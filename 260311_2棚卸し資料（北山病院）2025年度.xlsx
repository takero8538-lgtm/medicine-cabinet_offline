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E1757580-C2A9-48BF-8674-B029DC40E08E}" xr6:coauthVersionLast="47" xr6:coauthVersionMax="47" xr10:uidLastSave="{00000000-0000-0000-0000-000000000000}"/>
  <bookViews>
    <workbookView xWindow="-108" yWindow="-108" windowWidth="23256" windowHeight="13896" tabRatio="850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元データ" sheetId="1" r:id="rId7"/>
    <sheet name="マスタ非採用削除" sheetId="8" r:id="rId8"/>
    <sheet name="match_results" sheetId="18" r:id="rId9"/>
    <sheet name="非採用match" sheetId="27" r:id="rId10"/>
    <sheet name="分類" sheetId="16" r:id="rId11"/>
  </sheets>
  <definedNames>
    <definedName name="_xlnm._FilterDatabase" localSheetId="8" hidden="1">match_results!$A$1:$CE$834</definedName>
    <definedName name="_xlnm._FilterDatabase" localSheetId="7" hidden="1">マスタ非採用削除!$A$4:$N$687</definedName>
    <definedName name="_xlnm._FilterDatabase" localSheetId="6" hidden="1">元データ!$A$1:$U$834</definedName>
    <definedName name="_xlnm._FilterDatabase" localSheetId="0" hidden="1">統合マスタ!$A$4:$AC$837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3" l="1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" i="14"/>
  <c r="Z5" i="10"/>
  <c r="J90" i="15" l="1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R12" i="10" l="1"/>
  <c r="R24" i="10"/>
  <c r="R32" i="10"/>
  <c r="R33" i="10"/>
  <c r="R34" i="10"/>
  <c r="R45" i="10"/>
  <c r="R46" i="10"/>
  <c r="R58" i="10"/>
  <c r="R70" i="10"/>
  <c r="R77" i="10"/>
  <c r="R97" i="10"/>
  <c r="R98" i="10"/>
  <c r="R104" i="10"/>
  <c r="R108" i="10"/>
  <c r="R124" i="10"/>
  <c r="R154" i="10"/>
  <c r="R191" i="10"/>
  <c r="R204" i="10"/>
  <c r="R215" i="10"/>
  <c r="R230" i="10"/>
  <c r="R233" i="10"/>
  <c r="R245" i="10"/>
  <c r="R262" i="10"/>
  <c r="R278" i="10"/>
  <c r="R392" i="10"/>
  <c r="R414" i="10"/>
  <c r="R428" i="10"/>
  <c r="R442" i="10"/>
  <c r="R452" i="10"/>
  <c r="R485" i="10"/>
  <c r="R507" i="10"/>
  <c r="R510" i="10"/>
  <c r="R511" i="10"/>
  <c r="R515" i="10"/>
  <c r="R541" i="10"/>
  <c r="R546" i="10"/>
  <c r="R593" i="10"/>
  <c r="R638" i="10"/>
  <c r="R671" i="10"/>
  <c r="R696" i="10"/>
  <c r="R722" i="10"/>
  <c r="R734" i="10"/>
  <c r="R811" i="10"/>
  <c r="R823" i="10"/>
  <c r="R837" i="10"/>
  <c r="K304" i="13"/>
  <c r="K303" i="13"/>
  <c r="K302" i="13"/>
  <c r="K301" i="13"/>
  <c r="K300" i="13"/>
  <c r="K299" i="13"/>
  <c r="K298" i="13"/>
  <c r="K297" i="13"/>
  <c r="K296" i="13"/>
  <c r="K295" i="13"/>
  <c r="K294" i="13"/>
  <c r="K293" i="13"/>
  <c r="K292" i="13"/>
  <c r="K291" i="13"/>
  <c r="K290" i="13"/>
  <c r="K289" i="13"/>
  <c r="K288" i="13"/>
  <c r="K287" i="13"/>
  <c r="K286" i="13"/>
  <c r="K285" i="13"/>
  <c r="K284" i="13"/>
  <c r="K283" i="13"/>
  <c r="K282" i="13"/>
  <c r="K281" i="13"/>
  <c r="K280" i="13"/>
  <c r="K279" i="13"/>
  <c r="K278" i="13"/>
  <c r="K277" i="13"/>
  <c r="K276" i="13"/>
  <c r="K275" i="13"/>
  <c r="K274" i="13"/>
  <c r="K273" i="13"/>
  <c r="K272" i="13"/>
  <c r="K271" i="13"/>
  <c r="K270" i="13"/>
  <c r="K269" i="13"/>
  <c r="K268" i="13"/>
  <c r="K267" i="13"/>
  <c r="K266" i="13"/>
  <c r="K265" i="13"/>
  <c r="K264" i="13"/>
  <c r="K263" i="13"/>
  <c r="K262" i="13"/>
  <c r="K261" i="13"/>
  <c r="K260" i="13"/>
  <c r="K259" i="13"/>
  <c r="K258" i="13"/>
  <c r="K257" i="13"/>
  <c r="K256" i="13"/>
  <c r="K255" i="13"/>
  <c r="K254" i="13"/>
  <c r="K253" i="13"/>
  <c r="K252" i="13"/>
  <c r="K251" i="13"/>
  <c r="K250" i="13"/>
  <c r="K249" i="13"/>
  <c r="K248" i="13"/>
  <c r="K247" i="13"/>
  <c r="K246" i="13"/>
  <c r="K245" i="13"/>
  <c r="K244" i="13"/>
  <c r="K243" i="13"/>
  <c r="K242" i="13"/>
  <c r="K241" i="13"/>
  <c r="K240" i="13"/>
  <c r="K239" i="13"/>
  <c r="K238" i="13"/>
  <c r="K237" i="13"/>
  <c r="K236" i="13"/>
  <c r="K235" i="13"/>
  <c r="K234" i="13"/>
  <c r="K233" i="13"/>
  <c r="K232" i="13"/>
  <c r="K231" i="13"/>
  <c r="K230" i="13"/>
  <c r="K229" i="13"/>
  <c r="K228" i="13"/>
  <c r="K227" i="13"/>
  <c r="K226" i="13"/>
  <c r="K225" i="13"/>
  <c r="K224" i="13"/>
  <c r="K223" i="13"/>
  <c r="K222" i="13"/>
  <c r="K221" i="13"/>
  <c r="K220" i="13"/>
  <c r="K219" i="13"/>
  <c r="K218" i="13"/>
  <c r="K217" i="13"/>
  <c r="K216" i="13"/>
  <c r="K215" i="13"/>
  <c r="K214" i="13"/>
  <c r="K213" i="13"/>
  <c r="K212" i="13"/>
  <c r="K211" i="13"/>
  <c r="K210" i="13"/>
  <c r="K209" i="13"/>
  <c r="K208" i="13"/>
  <c r="K207" i="13"/>
  <c r="K206" i="13"/>
  <c r="K205" i="13"/>
  <c r="K204" i="13"/>
  <c r="K203" i="13"/>
  <c r="K202" i="13"/>
  <c r="K201" i="13"/>
  <c r="K200" i="13"/>
  <c r="K199" i="13"/>
  <c r="K198" i="13"/>
  <c r="K197" i="13"/>
  <c r="K196" i="13"/>
  <c r="K195" i="13"/>
  <c r="K194" i="13"/>
  <c r="K193" i="13"/>
  <c r="K192" i="13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U504" i="1"/>
  <c r="A837" i="10"/>
  <c r="C837" i="10"/>
  <c r="D837" i="10"/>
  <c r="E837" i="10"/>
  <c r="F837" i="10"/>
  <c r="G837" i="10"/>
  <c r="H837" i="10"/>
  <c r="I837" i="10"/>
  <c r="K837" i="10"/>
  <c r="L837" i="10"/>
  <c r="N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31" i="16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Y837" i="10" l="1"/>
  <c r="V837" i="10"/>
  <c r="AB837" i="10" s="1"/>
  <c r="Q837" i="10"/>
  <c r="B10" i="27"/>
  <c r="P837" i="10"/>
  <c r="B2" i="27"/>
  <c r="B41" i="27"/>
  <c r="B33" i="27"/>
  <c r="B9" i="27"/>
  <c r="B56" i="27"/>
  <c r="B48" i="27"/>
  <c r="B40" i="27"/>
  <c r="B32" i="27"/>
  <c r="B24" i="27"/>
  <c r="B16" i="27"/>
  <c r="B8" i="27"/>
  <c r="B49" i="27"/>
  <c r="B25" i="27"/>
  <c r="B17" i="27"/>
  <c r="B55" i="27"/>
  <c r="B47" i="27"/>
  <c r="B39" i="27"/>
  <c r="B31" i="27"/>
  <c r="B23" i="27"/>
  <c r="B15" i="27"/>
  <c r="B7" i="27"/>
  <c r="B54" i="27"/>
  <c r="B46" i="27"/>
  <c r="B38" i="27"/>
  <c r="B30" i="27"/>
  <c r="B22" i="27"/>
  <c r="B14" i="27"/>
  <c r="B6" i="27"/>
  <c r="B53" i="27"/>
  <c r="B45" i="27"/>
  <c r="B37" i="27"/>
  <c r="B29" i="27"/>
  <c r="B21" i="27"/>
  <c r="B13" i="27"/>
  <c r="B5" i="27"/>
  <c r="B52" i="27"/>
  <c r="B44" i="27"/>
  <c r="B36" i="27"/>
  <c r="B28" i="27"/>
  <c r="B20" i="27"/>
  <c r="B12" i="27"/>
  <c r="B4" i="27"/>
  <c r="B51" i="27"/>
  <c r="B43" i="27"/>
  <c r="B35" i="27"/>
  <c r="B27" i="27"/>
  <c r="B19" i="27"/>
  <c r="B11" i="27"/>
  <c r="B3" i="27"/>
  <c r="B50" i="27"/>
  <c r="B42" i="27"/>
  <c r="B34" i="27"/>
  <c r="B26" i="27"/>
  <c r="B18" i="27"/>
  <c r="O837" i="10"/>
  <c r="X837" i="10"/>
  <c r="W837" i="10"/>
  <c r="U837" i="10"/>
  <c r="T837" i="10"/>
  <c r="S837" i="10"/>
  <c r="Z837" i="10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O831" i="1"/>
  <c r="N831" i="1"/>
  <c r="O830" i="1"/>
  <c r="N830" i="1"/>
  <c r="O829" i="1"/>
  <c r="N829" i="1"/>
  <c r="P828" i="1"/>
  <c r="A831" i="10" s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O819" i="1"/>
  <c r="N819" i="1"/>
  <c r="A821" i="10"/>
  <c r="R821" i="10" s="1"/>
  <c r="O818" i="1"/>
  <c r="N818" i="1"/>
  <c r="P817" i="1"/>
  <c r="A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O811" i="1"/>
  <c r="N811" i="1"/>
  <c r="O810" i="1"/>
  <c r="N810" i="1"/>
  <c r="A812" i="10"/>
  <c r="O809" i="1"/>
  <c r="N809" i="1"/>
  <c r="A811" i="10"/>
  <c r="O808" i="1"/>
  <c r="N808" i="1"/>
  <c r="A810" i="10"/>
  <c r="O807" i="1"/>
  <c r="N807" i="1"/>
  <c r="O806" i="1"/>
  <c r="N806" i="1"/>
  <c r="O805" i="1"/>
  <c r="N805" i="1"/>
  <c r="P804" i="1"/>
  <c r="O804" i="1"/>
  <c r="N804" i="1"/>
  <c r="P803" i="1"/>
  <c r="A806" i="10" s="1"/>
  <c r="O803" i="1"/>
  <c r="N803" i="1"/>
  <c r="P802" i="1"/>
  <c r="A805" i="10" s="1"/>
  <c r="R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Q795" i="1" s="1"/>
  <c r="O795" i="1"/>
  <c r="N795" i="1"/>
  <c r="P794" i="1"/>
  <c r="A797" i="10" s="1"/>
  <c r="O794" i="1"/>
  <c r="N794" i="1"/>
  <c r="P793" i="1"/>
  <c r="A796" i="10" s="1"/>
  <c r="O793" i="1"/>
  <c r="N793" i="1"/>
  <c r="P792" i="1"/>
  <c r="Q792" i="1" s="1"/>
  <c r="O792" i="1"/>
  <c r="N792" i="1"/>
  <c r="P791" i="1"/>
  <c r="Q791" i="1" s="1"/>
  <c r="O791" i="1"/>
  <c r="N791" i="1"/>
  <c r="P790" i="1"/>
  <c r="O790" i="1"/>
  <c r="N790" i="1"/>
  <c r="P789" i="1"/>
  <c r="O789" i="1"/>
  <c r="N789" i="1"/>
  <c r="P788" i="1"/>
  <c r="A791" i="10" s="1"/>
  <c r="R791" i="10" s="1"/>
  <c r="O788" i="1"/>
  <c r="N788" i="1"/>
  <c r="P787" i="1"/>
  <c r="A790" i="10" s="1"/>
  <c r="O787" i="1"/>
  <c r="N787" i="1"/>
  <c r="P786" i="1"/>
  <c r="A789" i="10" s="1"/>
  <c r="R789" i="10" s="1"/>
  <c r="O786" i="1"/>
  <c r="N786" i="1"/>
  <c r="P785" i="1"/>
  <c r="Q785" i="1" s="1"/>
  <c r="O785" i="1"/>
  <c r="N785" i="1"/>
  <c r="P784" i="1"/>
  <c r="A787" i="10" s="1"/>
  <c r="R787" i="10" s="1"/>
  <c r="O784" i="1"/>
  <c r="N784" i="1"/>
  <c r="P783" i="1"/>
  <c r="Q783" i="1" s="1"/>
  <c r="O783" i="1"/>
  <c r="N783" i="1"/>
  <c r="P782" i="1"/>
  <c r="O782" i="1"/>
  <c r="N782" i="1"/>
  <c r="P781" i="1"/>
  <c r="O781" i="1"/>
  <c r="N781" i="1"/>
  <c r="P780" i="1"/>
  <c r="A783" i="10" s="1"/>
  <c r="O780" i="1"/>
  <c r="N780" i="1"/>
  <c r="P779" i="1"/>
  <c r="Q779" i="1" s="1"/>
  <c r="O779" i="1"/>
  <c r="N779" i="1"/>
  <c r="A781" i="10"/>
  <c r="O778" i="1"/>
  <c r="N778" i="1"/>
  <c r="P777" i="1"/>
  <c r="Q777" i="1" s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A776" i="10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770" i="10" s="1"/>
  <c r="O767" i="1"/>
  <c r="N767" i="1"/>
  <c r="P766" i="1"/>
  <c r="O766" i="1"/>
  <c r="N766" i="1"/>
  <c r="P765" i="1"/>
  <c r="O765" i="1"/>
  <c r="N765" i="1"/>
  <c r="P764" i="1"/>
  <c r="A767" i="10" s="1"/>
  <c r="O764" i="1"/>
  <c r="N764" i="1"/>
  <c r="P763" i="1"/>
  <c r="A766" i="10" s="1"/>
  <c r="O763" i="1"/>
  <c r="N763" i="1"/>
  <c r="P762" i="1"/>
  <c r="A765" i="10" s="1"/>
  <c r="O762" i="1"/>
  <c r="N762" i="1"/>
  <c r="P761" i="1"/>
  <c r="A764" i="10" s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O757" i="1"/>
  <c r="N757" i="1"/>
  <c r="P756" i="1"/>
  <c r="A759" i="10" s="1"/>
  <c r="O756" i="1"/>
  <c r="N756" i="1"/>
  <c r="P755" i="1"/>
  <c r="A758" i="10" s="1"/>
  <c r="O755" i="1"/>
  <c r="N755" i="1"/>
  <c r="P754" i="1"/>
  <c r="A757" i="10" s="1"/>
  <c r="R757" i="10" s="1"/>
  <c r="O754" i="1"/>
  <c r="N754" i="1"/>
  <c r="P753" i="1"/>
  <c r="Q753" i="1" s="1"/>
  <c r="O753" i="1"/>
  <c r="N753" i="1"/>
  <c r="P752" i="1"/>
  <c r="A755" i="10" s="1"/>
  <c r="R755" i="10" s="1"/>
  <c r="O752" i="1"/>
  <c r="N752" i="1"/>
  <c r="P751" i="1"/>
  <c r="Q751" i="1" s="1"/>
  <c r="O751" i="1"/>
  <c r="N751" i="1"/>
  <c r="P750" i="1"/>
  <c r="O750" i="1"/>
  <c r="N750" i="1"/>
  <c r="P749" i="1"/>
  <c r="A752" i="10" s="1"/>
  <c r="O749" i="1"/>
  <c r="N749" i="1"/>
  <c r="P748" i="1"/>
  <c r="Q748" i="1" s="1"/>
  <c r="O748" i="1"/>
  <c r="N748" i="1"/>
  <c r="P747" i="1"/>
  <c r="A750" i="10" s="1"/>
  <c r="O747" i="1"/>
  <c r="N747" i="1"/>
  <c r="P746" i="1"/>
  <c r="Q746" i="1" s="1"/>
  <c r="O746" i="1"/>
  <c r="N746" i="1"/>
  <c r="Q745" i="1"/>
  <c r="O745" i="1"/>
  <c r="N745" i="1"/>
  <c r="A747" i="10"/>
  <c r="R747" i="10" s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O739" i="1"/>
  <c r="N739" i="1"/>
  <c r="P738" i="1"/>
  <c r="A741" i="10" s="1"/>
  <c r="O738" i="1"/>
  <c r="N738" i="1"/>
  <c r="P737" i="1"/>
  <c r="A740" i="10" s="1"/>
  <c r="O737" i="1"/>
  <c r="N737" i="1"/>
  <c r="P736" i="1"/>
  <c r="Q736" i="1" s="1"/>
  <c r="O736" i="1"/>
  <c r="N736" i="1"/>
  <c r="P735" i="1"/>
  <c r="O735" i="1"/>
  <c r="N735" i="1"/>
  <c r="P734" i="1"/>
  <c r="A737" i="10" s="1"/>
  <c r="O734" i="1"/>
  <c r="N734" i="1"/>
  <c r="P733" i="1"/>
  <c r="A736" i="10" s="1"/>
  <c r="O733" i="1"/>
  <c r="N733" i="1"/>
  <c r="P732" i="1"/>
  <c r="Q732" i="1" s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R728" i="10" s="1"/>
  <c r="AB728" i="10" s="1"/>
  <c r="O725" i="1"/>
  <c r="N725" i="1"/>
  <c r="P724" i="1"/>
  <c r="A727" i="10" s="1"/>
  <c r="O724" i="1"/>
  <c r="N724" i="1"/>
  <c r="O723" i="1"/>
  <c r="N723" i="1"/>
  <c r="P722" i="1"/>
  <c r="Q722" i="1" s="1"/>
  <c r="O722" i="1"/>
  <c r="N722" i="1"/>
  <c r="O721" i="1"/>
  <c r="N721" i="1"/>
  <c r="A723" i="10"/>
  <c r="O720" i="1"/>
  <c r="N720" i="1"/>
  <c r="Q719" i="1"/>
  <c r="O719" i="1"/>
  <c r="N719" i="1"/>
  <c r="P718" i="1"/>
  <c r="A721" i="10" s="1"/>
  <c r="O718" i="1"/>
  <c r="N718" i="1"/>
  <c r="P717" i="1"/>
  <c r="A720" i="10" s="1"/>
  <c r="O717" i="1"/>
  <c r="N717" i="1"/>
  <c r="P716" i="1"/>
  <c r="O716" i="1"/>
  <c r="N716" i="1"/>
  <c r="P715" i="1"/>
  <c r="A718" i="10" s="1"/>
  <c r="O715" i="1"/>
  <c r="N715" i="1"/>
  <c r="P714" i="1"/>
  <c r="A717" i="10" s="1"/>
  <c r="O714" i="1"/>
  <c r="N714" i="1"/>
  <c r="P713" i="1"/>
  <c r="O713" i="1"/>
  <c r="N713" i="1"/>
  <c r="P712" i="1"/>
  <c r="A715" i="10" s="1"/>
  <c r="O712" i="1"/>
  <c r="N712" i="1"/>
  <c r="P711" i="1"/>
  <c r="A714" i="10" s="1"/>
  <c r="O711" i="1"/>
  <c r="N711" i="1"/>
  <c r="P710" i="1"/>
  <c r="A713" i="10" s="1"/>
  <c r="O710" i="1"/>
  <c r="N710" i="1"/>
  <c r="A712" i="10"/>
  <c r="R712" i="10" s="1"/>
  <c r="O709" i="1"/>
  <c r="N709" i="1"/>
  <c r="O708" i="1"/>
  <c r="N708" i="1"/>
  <c r="P707" i="1"/>
  <c r="A710" i="10" s="1"/>
  <c r="O707" i="1"/>
  <c r="N707" i="1"/>
  <c r="P706" i="1"/>
  <c r="A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O703" i="1"/>
  <c r="N703" i="1"/>
  <c r="P702" i="1"/>
  <c r="O702" i="1"/>
  <c r="N702" i="1"/>
  <c r="P701" i="1"/>
  <c r="A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O692" i="1"/>
  <c r="N692" i="1"/>
  <c r="P691" i="1"/>
  <c r="Q691" i="1" s="1"/>
  <c r="O691" i="1"/>
  <c r="N691" i="1"/>
  <c r="P690" i="1"/>
  <c r="A693" i="10" s="1"/>
  <c r="O690" i="1"/>
  <c r="N690" i="1"/>
  <c r="P689" i="1"/>
  <c r="O689" i="1"/>
  <c r="N689" i="1"/>
  <c r="P688" i="1"/>
  <c r="A691" i="10" s="1"/>
  <c r="O688" i="1"/>
  <c r="N688" i="1"/>
  <c r="P687" i="1"/>
  <c r="O687" i="1"/>
  <c r="N687" i="1"/>
  <c r="P686" i="1"/>
  <c r="O686" i="1"/>
  <c r="N686" i="1"/>
  <c r="P685" i="1"/>
  <c r="A688" i="10" s="1"/>
  <c r="O685" i="1"/>
  <c r="N685" i="1"/>
  <c r="P684" i="1"/>
  <c r="A687" i="10" s="1"/>
  <c r="O684" i="1"/>
  <c r="N684" i="1"/>
  <c r="P683" i="1"/>
  <c r="A686" i="10" s="1"/>
  <c r="O683" i="1"/>
  <c r="N683" i="1"/>
  <c r="P682" i="1"/>
  <c r="A685" i="10" s="1"/>
  <c r="O682" i="1"/>
  <c r="N682" i="1"/>
  <c r="P681" i="1"/>
  <c r="O681" i="1"/>
  <c r="N681" i="1"/>
  <c r="P680" i="1"/>
  <c r="A683" i="10" s="1"/>
  <c r="O680" i="1"/>
  <c r="N680" i="1"/>
  <c r="P679" i="1"/>
  <c r="O679" i="1"/>
  <c r="N679" i="1"/>
  <c r="P678" i="1"/>
  <c r="O678" i="1"/>
  <c r="N678" i="1"/>
  <c r="P677" i="1"/>
  <c r="A680" i="10" s="1"/>
  <c r="O677" i="1"/>
  <c r="N677" i="1"/>
  <c r="P676" i="1"/>
  <c r="A679" i="10" s="1"/>
  <c r="O676" i="1"/>
  <c r="N676" i="1"/>
  <c r="P675" i="1"/>
  <c r="A678" i="10" s="1"/>
  <c r="O675" i="1"/>
  <c r="N675" i="1"/>
  <c r="Q674" i="1"/>
  <c r="O674" i="1"/>
  <c r="N674" i="1"/>
  <c r="O673" i="1"/>
  <c r="N673" i="1"/>
  <c r="P672" i="1"/>
  <c r="A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O669" i="1"/>
  <c r="N669" i="1"/>
  <c r="A671" i="10"/>
  <c r="Z671" i="10" s="1"/>
  <c r="O668" i="1"/>
  <c r="N668" i="1"/>
  <c r="P667" i="1"/>
  <c r="A670" i="10" s="1"/>
  <c r="O667" i="1"/>
  <c r="N667" i="1"/>
  <c r="P666" i="1"/>
  <c r="A669" i="10" s="1"/>
  <c r="O666" i="1"/>
  <c r="N666" i="1"/>
  <c r="P665" i="1"/>
  <c r="A668" i="10" s="1"/>
  <c r="O665" i="1"/>
  <c r="N665" i="1"/>
  <c r="P664" i="1"/>
  <c r="A667" i="10" s="1"/>
  <c r="O664" i="1"/>
  <c r="N664" i="1"/>
  <c r="P663" i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662" i="10" s="1"/>
  <c r="O659" i="1"/>
  <c r="N659" i="1"/>
  <c r="P658" i="1"/>
  <c r="Q658" i="1" s="1"/>
  <c r="O658" i="1"/>
  <c r="N658" i="1"/>
  <c r="P657" i="1"/>
  <c r="A660" i="10" s="1"/>
  <c r="O657" i="1"/>
  <c r="N657" i="1"/>
  <c r="P656" i="1"/>
  <c r="A659" i="10" s="1"/>
  <c r="O656" i="1"/>
  <c r="N656" i="1"/>
  <c r="P655" i="1"/>
  <c r="O655" i="1"/>
  <c r="N655" i="1"/>
  <c r="P654" i="1"/>
  <c r="O654" i="1"/>
  <c r="N654" i="1"/>
  <c r="P653" i="1"/>
  <c r="A656" i="10" s="1"/>
  <c r="O653" i="1"/>
  <c r="N653" i="1"/>
  <c r="P652" i="1"/>
  <c r="O652" i="1"/>
  <c r="N652" i="1"/>
  <c r="P651" i="1"/>
  <c r="O651" i="1"/>
  <c r="N651" i="1"/>
  <c r="P650" i="1"/>
  <c r="A653" i="10" s="1"/>
  <c r="O650" i="1"/>
  <c r="N650" i="1"/>
  <c r="P649" i="1"/>
  <c r="A652" i="10" s="1"/>
  <c r="O649" i="1"/>
  <c r="N649" i="1"/>
  <c r="P648" i="1"/>
  <c r="A651" i="10" s="1"/>
  <c r="O648" i="1"/>
  <c r="N648" i="1"/>
  <c r="O647" i="1"/>
  <c r="N647" i="1"/>
  <c r="P646" i="1"/>
  <c r="Q646" i="1" s="1"/>
  <c r="O646" i="1"/>
  <c r="N646" i="1"/>
  <c r="P645" i="1"/>
  <c r="A648" i="10" s="1"/>
  <c r="O645" i="1"/>
  <c r="N645" i="1"/>
  <c r="P644" i="1"/>
  <c r="A647" i="10" s="1"/>
  <c r="O644" i="1"/>
  <c r="N644" i="1"/>
  <c r="P643" i="1"/>
  <c r="Q643" i="1" s="1"/>
  <c r="O643" i="1"/>
  <c r="N643" i="1"/>
  <c r="P642" i="1"/>
  <c r="A645" i="10" s="1"/>
  <c r="O642" i="1"/>
  <c r="N642" i="1"/>
  <c r="P641" i="1"/>
  <c r="A644" i="10" s="1"/>
  <c r="O641" i="1"/>
  <c r="N641" i="1"/>
  <c r="P640" i="1"/>
  <c r="A643" i="10" s="1"/>
  <c r="O640" i="1"/>
  <c r="N640" i="1"/>
  <c r="P639" i="1"/>
  <c r="A642" i="10" s="1"/>
  <c r="O639" i="1"/>
  <c r="N639" i="1"/>
  <c r="P638" i="1"/>
  <c r="Q638" i="1" s="1"/>
  <c r="O638" i="1"/>
  <c r="N638" i="1"/>
  <c r="P637" i="1"/>
  <c r="A640" i="10" s="1"/>
  <c r="O637" i="1"/>
  <c r="N637" i="1"/>
  <c r="P636" i="1"/>
  <c r="A639" i="10" s="1"/>
  <c r="O636" i="1"/>
  <c r="N636" i="1"/>
  <c r="A638" i="10"/>
  <c r="O635" i="1"/>
  <c r="N635" i="1"/>
  <c r="P634" i="1"/>
  <c r="A637" i="10" s="1"/>
  <c r="O634" i="1"/>
  <c r="N634" i="1"/>
  <c r="P633" i="1"/>
  <c r="O633" i="1"/>
  <c r="N633" i="1"/>
  <c r="P632" i="1"/>
  <c r="A635" i="10" s="1"/>
  <c r="O632" i="1"/>
  <c r="N632" i="1"/>
  <c r="P631" i="1"/>
  <c r="A634" i="10" s="1"/>
  <c r="O631" i="1"/>
  <c r="N631" i="1"/>
  <c r="P630" i="1"/>
  <c r="A633" i="10" s="1"/>
  <c r="O630" i="1"/>
  <c r="N630" i="1"/>
  <c r="P629" i="1"/>
  <c r="A632" i="10" s="1"/>
  <c r="O629" i="1"/>
  <c r="N629" i="1"/>
  <c r="P628" i="1"/>
  <c r="A631" i="10" s="1"/>
  <c r="O628" i="1"/>
  <c r="N628" i="1"/>
  <c r="Q627" i="1"/>
  <c r="O627" i="1"/>
  <c r="N627" i="1"/>
  <c r="P626" i="1"/>
  <c r="A629" i="10" s="1"/>
  <c r="O626" i="1"/>
  <c r="N626" i="1"/>
  <c r="P625" i="1"/>
  <c r="O625" i="1"/>
  <c r="N625" i="1"/>
  <c r="P624" i="1"/>
  <c r="A627" i="10" s="1"/>
  <c r="R627" i="10" s="1"/>
  <c r="AB627" i="10" s="1"/>
  <c r="O624" i="1"/>
  <c r="N624" i="1"/>
  <c r="O623" i="1"/>
  <c r="N623" i="1"/>
  <c r="P622" i="1"/>
  <c r="O622" i="1"/>
  <c r="N622" i="1"/>
  <c r="P621" i="1"/>
  <c r="A624" i="10" s="1"/>
  <c r="O621" i="1"/>
  <c r="N621" i="1"/>
  <c r="A623" i="10"/>
  <c r="O620" i="1"/>
  <c r="N620" i="1"/>
  <c r="P619" i="1"/>
  <c r="A622" i="10" s="1"/>
  <c r="O619" i="1"/>
  <c r="N619" i="1"/>
  <c r="P618" i="1"/>
  <c r="A621" i="10" s="1"/>
  <c r="O618" i="1"/>
  <c r="N618" i="1"/>
  <c r="P617" i="1"/>
  <c r="A620" i="10" s="1"/>
  <c r="O617" i="1"/>
  <c r="N617" i="1"/>
  <c r="P616" i="1"/>
  <c r="A619" i="10" s="1"/>
  <c r="O616" i="1"/>
  <c r="N616" i="1"/>
  <c r="P615" i="1"/>
  <c r="Q615" i="1" s="1"/>
  <c r="O615" i="1"/>
  <c r="N615" i="1"/>
  <c r="P614" i="1"/>
  <c r="O614" i="1"/>
  <c r="N614" i="1"/>
  <c r="A616" i="10"/>
  <c r="R616" i="10" s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O609" i="1"/>
  <c r="N609" i="1"/>
  <c r="P608" i="1"/>
  <c r="A611" i="10" s="1"/>
  <c r="O608" i="1"/>
  <c r="N608" i="1"/>
  <c r="P607" i="1"/>
  <c r="A610" i="10" s="1"/>
  <c r="O607" i="1"/>
  <c r="N607" i="1"/>
  <c r="P606" i="1"/>
  <c r="O606" i="1"/>
  <c r="N606" i="1"/>
  <c r="P605" i="1"/>
  <c r="A608" i="10" s="1"/>
  <c r="O605" i="1"/>
  <c r="N605" i="1"/>
  <c r="P604" i="1"/>
  <c r="Q604" i="1" s="1"/>
  <c r="O604" i="1"/>
  <c r="N604" i="1"/>
  <c r="A606" i="10"/>
  <c r="O603" i="1"/>
  <c r="N603" i="1"/>
  <c r="P602" i="1"/>
  <c r="A605" i="10" s="1"/>
  <c r="O602" i="1"/>
  <c r="N602" i="1"/>
  <c r="P601" i="1"/>
  <c r="A604" i="10" s="1"/>
  <c r="O601" i="1"/>
  <c r="N601" i="1"/>
  <c r="P600" i="1"/>
  <c r="A603" i="10" s="1"/>
  <c r="O600" i="1"/>
  <c r="N600" i="1"/>
  <c r="P599" i="1"/>
  <c r="A602" i="10" s="1"/>
  <c r="O599" i="1"/>
  <c r="N599" i="1"/>
  <c r="P598" i="1"/>
  <c r="O598" i="1"/>
  <c r="N598" i="1"/>
  <c r="P597" i="1"/>
  <c r="O597" i="1"/>
  <c r="N597" i="1"/>
  <c r="P596" i="1"/>
  <c r="A599" i="10" s="1"/>
  <c r="O596" i="1"/>
  <c r="N596" i="1"/>
  <c r="P595" i="1"/>
  <c r="A598" i="10" s="1"/>
  <c r="O595" i="1"/>
  <c r="N595" i="1"/>
  <c r="P594" i="1"/>
  <c r="A597" i="10" s="1"/>
  <c r="O594" i="1"/>
  <c r="N594" i="1"/>
  <c r="P593" i="1"/>
  <c r="Q593" i="1" s="1"/>
  <c r="O593" i="1"/>
  <c r="N593" i="1"/>
  <c r="P592" i="1"/>
  <c r="A595" i="10" s="1"/>
  <c r="O592" i="1"/>
  <c r="N592" i="1"/>
  <c r="P591" i="1"/>
  <c r="Q591" i="1" s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O587" i="1"/>
  <c r="N587" i="1"/>
  <c r="P586" i="1"/>
  <c r="A589" i="10" s="1"/>
  <c r="O586" i="1"/>
  <c r="N586" i="1"/>
  <c r="P585" i="1"/>
  <c r="A588" i="10" s="1"/>
  <c r="O585" i="1"/>
  <c r="N585" i="1"/>
  <c r="P584" i="1"/>
  <c r="A587" i="10" s="1"/>
  <c r="O584" i="1"/>
  <c r="N584" i="1"/>
  <c r="P583" i="1"/>
  <c r="A586" i="10" s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O578" i="1"/>
  <c r="N578" i="1"/>
  <c r="P577" i="1"/>
  <c r="A580" i="10" s="1"/>
  <c r="O577" i="1"/>
  <c r="N577" i="1"/>
  <c r="P576" i="1"/>
  <c r="A579" i="10" s="1"/>
  <c r="O576" i="1"/>
  <c r="N576" i="1"/>
  <c r="P575" i="1"/>
  <c r="A578" i="10" s="1"/>
  <c r="O575" i="1"/>
  <c r="N575" i="1"/>
  <c r="P574" i="1"/>
  <c r="Q574" i="1" s="1"/>
  <c r="O574" i="1"/>
  <c r="N574" i="1"/>
  <c r="P573" i="1"/>
  <c r="A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O570" i="1"/>
  <c r="N570" i="1"/>
  <c r="P569" i="1"/>
  <c r="A572" i="10" s="1"/>
  <c r="O569" i="1"/>
  <c r="N569" i="1"/>
  <c r="P568" i="1"/>
  <c r="A571" i="10" s="1"/>
  <c r="O568" i="1"/>
  <c r="N568" i="1"/>
  <c r="O567" i="1"/>
  <c r="N567" i="1"/>
  <c r="P566" i="1"/>
  <c r="O566" i="1"/>
  <c r="N566" i="1"/>
  <c r="P565" i="1"/>
  <c r="A568" i="10" s="1"/>
  <c r="O565" i="1"/>
  <c r="N565" i="1"/>
  <c r="P564" i="1"/>
  <c r="A567" i="10" s="1"/>
  <c r="O564" i="1"/>
  <c r="N564" i="1"/>
  <c r="A566" i="10"/>
  <c r="O563" i="1"/>
  <c r="N563" i="1"/>
  <c r="P562" i="1"/>
  <c r="A565" i="10" s="1"/>
  <c r="O562" i="1"/>
  <c r="N562" i="1"/>
  <c r="P561" i="1"/>
  <c r="A564" i="10" s="1"/>
  <c r="O561" i="1"/>
  <c r="N561" i="1"/>
  <c r="P560" i="1"/>
  <c r="A563" i="10" s="1"/>
  <c r="O560" i="1"/>
  <c r="N560" i="1"/>
  <c r="P559" i="1"/>
  <c r="O559" i="1"/>
  <c r="N559" i="1"/>
  <c r="P558" i="1"/>
  <c r="A561" i="10" s="1"/>
  <c r="O558" i="1"/>
  <c r="N558" i="1"/>
  <c r="P557" i="1"/>
  <c r="A560" i="10" s="1"/>
  <c r="O557" i="1"/>
  <c r="N557" i="1"/>
  <c r="P556" i="1"/>
  <c r="A559" i="10" s="1"/>
  <c r="O556" i="1"/>
  <c r="N556" i="1"/>
  <c r="P555" i="1"/>
  <c r="A558" i="10" s="1"/>
  <c r="O555" i="1"/>
  <c r="N555" i="1"/>
  <c r="A557" i="10"/>
  <c r="O554" i="1"/>
  <c r="N554" i="1"/>
  <c r="P553" i="1"/>
  <c r="A556" i="10" s="1"/>
  <c r="O553" i="1"/>
  <c r="N553" i="1"/>
  <c r="P552" i="1"/>
  <c r="A555" i="10" s="1"/>
  <c r="O552" i="1"/>
  <c r="N552" i="1"/>
  <c r="P551" i="1"/>
  <c r="O551" i="1"/>
  <c r="N551" i="1"/>
  <c r="P550" i="1"/>
  <c r="A553" i="10" s="1"/>
  <c r="O550" i="1"/>
  <c r="N550" i="1"/>
  <c r="P549" i="1"/>
  <c r="A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O546" i="1"/>
  <c r="N546" i="1"/>
  <c r="Q545" i="1"/>
  <c r="O545" i="1"/>
  <c r="N545" i="1"/>
  <c r="P544" i="1"/>
  <c r="A547" i="10" s="1"/>
  <c r="O544" i="1"/>
  <c r="N544" i="1"/>
  <c r="O543" i="1"/>
  <c r="N543" i="1"/>
  <c r="A545" i="10"/>
  <c r="O542" i="1"/>
  <c r="N542" i="1"/>
  <c r="A544" i="10"/>
  <c r="O541" i="1"/>
  <c r="N541" i="1"/>
  <c r="A543" i="10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O529" i="1"/>
  <c r="N529" i="1"/>
  <c r="P528" i="1"/>
  <c r="A531" i="10" s="1"/>
  <c r="O528" i="1"/>
  <c r="N528" i="1"/>
  <c r="P527" i="1"/>
  <c r="O527" i="1"/>
  <c r="N527" i="1"/>
  <c r="P526" i="1"/>
  <c r="A529" i="10" s="1"/>
  <c r="O526" i="1"/>
  <c r="N526" i="1"/>
  <c r="P525" i="1"/>
  <c r="O525" i="1"/>
  <c r="N525" i="1"/>
  <c r="P524" i="1"/>
  <c r="Q524" i="1" s="1"/>
  <c r="O524" i="1"/>
  <c r="N524" i="1"/>
  <c r="P523" i="1"/>
  <c r="A526" i="10" s="1"/>
  <c r="O523" i="1"/>
  <c r="N523" i="1"/>
  <c r="P522" i="1"/>
  <c r="A525" i="10" s="1"/>
  <c r="O522" i="1"/>
  <c r="N522" i="1"/>
  <c r="P521" i="1"/>
  <c r="Q521" i="1" s="1"/>
  <c r="O521" i="1"/>
  <c r="N521" i="1"/>
  <c r="P520" i="1"/>
  <c r="A523" i="10" s="1"/>
  <c r="O520" i="1"/>
  <c r="N520" i="1"/>
  <c r="P519" i="1"/>
  <c r="O519" i="1"/>
  <c r="N519" i="1"/>
  <c r="P518" i="1"/>
  <c r="A521" i="10" s="1"/>
  <c r="O518" i="1"/>
  <c r="N518" i="1"/>
  <c r="A520" i="10"/>
  <c r="O517" i="1"/>
  <c r="N517" i="1"/>
  <c r="P516" i="1"/>
  <c r="A519" i="10" s="1"/>
  <c r="O516" i="1"/>
  <c r="N516" i="1"/>
  <c r="P515" i="1"/>
  <c r="A518" i="10" s="1"/>
  <c r="O515" i="1"/>
  <c r="N515" i="1"/>
  <c r="A517" i="10"/>
  <c r="O514" i="1"/>
  <c r="N514" i="1"/>
  <c r="P513" i="1"/>
  <c r="A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O506" i="1"/>
  <c r="N506" i="1"/>
  <c r="P505" i="1"/>
  <c r="A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O502" i="1"/>
  <c r="N502" i="1"/>
  <c r="P501" i="1"/>
  <c r="A504" i="10" s="1"/>
  <c r="O501" i="1"/>
  <c r="N501" i="1"/>
  <c r="P500" i="1"/>
  <c r="A503" i="10" s="1"/>
  <c r="O500" i="1"/>
  <c r="N500" i="1"/>
  <c r="P499" i="1"/>
  <c r="A502" i="10" s="1"/>
  <c r="O499" i="1"/>
  <c r="N499" i="1"/>
  <c r="P498" i="1"/>
  <c r="Q498" i="1" s="1"/>
  <c r="O498" i="1"/>
  <c r="N498" i="1"/>
  <c r="P497" i="1"/>
  <c r="A500" i="10" s="1"/>
  <c r="O497" i="1"/>
  <c r="N497" i="1"/>
  <c r="P496" i="1"/>
  <c r="A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492" i="10" s="1"/>
  <c r="O489" i="1"/>
  <c r="N489" i="1"/>
  <c r="P488" i="1"/>
  <c r="A491" i="10" s="1"/>
  <c r="O488" i="1"/>
  <c r="N488" i="1"/>
  <c r="P487" i="1"/>
  <c r="O487" i="1"/>
  <c r="N487" i="1"/>
  <c r="P486" i="1"/>
  <c r="A489" i="10" s="1"/>
  <c r="O486" i="1"/>
  <c r="N486" i="1"/>
  <c r="P485" i="1"/>
  <c r="A488" i="10" s="1"/>
  <c r="O485" i="1"/>
  <c r="N485" i="1"/>
  <c r="P484" i="1"/>
  <c r="A487" i="10" s="1"/>
  <c r="O484" i="1"/>
  <c r="N484" i="1"/>
  <c r="P483" i="1"/>
  <c r="A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O480" i="1"/>
  <c r="N480" i="1"/>
  <c r="P479" i="1"/>
  <c r="O479" i="1"/>
  <c r="N479" i="1"/>
  <c r="P478" i="1"/>
  <c r="A481" i="10" s="1"/>
  <c r="O478" i="1"/>
  <c r="N478" i="1"/>
  <c r="P477" i="1"/>
  <c r="A480" i="10" s="1"/>
  <c r="O477" i="1"/>
  <c r="N477" i="1"/>
  <c r="P476" i="1"/>
  <c r="A479" i="10" s="1"/>
  <c r="O476" i="1"/>
  <c r="N476" i="1"/>
  <c r="A478" i="10"/>
  <c r="R478" i="10" s="1"/>
  <c r="O475" i="1"/>
  <c r="N475" i="1"/>
  <c r="P474" i="1"/>
  <c r="A477" i="10" s="1"/>
  <c r="O474" i="1"/>
  <c r="N474" i="1"/>
  <c r="P473" i="1"/>
  <c r="A476" i="10" s="1"/>
  <c r="O473" i="1"/>
  <c r="N473" i="1"/>
  <c r="P472" i="1"/>
  <c r="A475" i="10" s="1"/>
  <c r="O472" i="1"/>
  <c r="N472" i="1"/>
  <c r="P471" i="1"/>
  <c r="O471" i="1"/>
  <c r="N471" i="1"/>
  <c r="P470" i="1"/>
  <c r="A473" i="10" s="1"/>
  <c r="O470" i="1"/>
  <c r="N470" i="1"/>
  <c r="P469" i="1"/>
  <c r="A472" i="10" s="1"/>
  <c r="O469" i="1"/>
  <c r="N469" i="1"/>
  <c r="O468" i="1"/>
  <c r="N468" i="1"/>
  <c r="P467" i="1"/>
  <c r="A470" i="10" s="1"/>
  <c r="O467" i="1"/>
  <c r="N467" i="1"/>
  <c r="A469" i="10"/>
  <c r="R469" i="10" s="1"/>
  <c r="O466" i="1"/>
  <c r="N466" i="1"/>
  <c r="P465" i="1"/>
  <c r="A468" i="10" s="1"/>
  <c r="O465" i="1"/>
  <c r="N465" i="1"/>
  <c r="P464" i="1"/>
  <c r="A467" i="10" s="1"/>
  <c r="O464" i="1"/>
  <c r="N464" i="1"/>
  <c r="P463" i="1"/>
  <c r="Q463" i="1" s="1"/>
  <c r="O463" i="1"/>
  <c r="N463" i="1"/>
  <c r="P462" i="1"/>
  <c r="A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O458" i="1"/>
  <c r="N458" i="1"/>
  <c r="P457" i="1"/>
  <c r="A460" i="10" s="1"/>
  <c r="O457" i="1"/>
  <c r="N457" i="1"/>
  <c r="P456" i="1"/>
  <c r="A459" i="10" s="1"/>
  <c r="O456" i="1"/>
  <c r="N456" i="1"/>
  <c r="P455" i="1"/>
  <c r="Q455" i="1" s="1"/>
  <c r="O455" i="1"/>
  <c r="N455" i="1"/>
  <c r="P454" i="1"/>
  <c r="A457" i="10" s="1"/>
  <c r="O454" i="1"/>
  <c r="N454" i="1"/>
  <c r="P453" i="1"/>
  <c r="A456" i="10" s="1"/>
  <c r="O453" i="1"/>
  <c r="N453" i="1"/>
  <c r="P452" i="1"/>
  <c r="O452" i="1"/>
  <c r="N452" i="1"/>
  <c r="O451" i="1"/>
  <c r="N451" i="1"/>
  <c r="P450" i="1"/>
  <c r="A453" i="10" s="1"/>
  <c r="O450" i="1"/>
  <c r="N450" i="1"/>
  <c r="O449" i="1"/>
  <c r="N449" i="1"/>
  <c r="P448" i="1"/>
  <c r="A451" i="10" s="1"/>
  <c r="O448" i="1"/>
  <c r="N448" i="1"/>
  <c r="P447" i="1"/>
  <c r="O447" i="1"/>
  <c r="N447" i="1"/>
  <c r="P446" i="1"/>
  <c r="Q446" i="1" s="1"/>
  <c r="O446" i="1"/>
  <c r="N446" i="1"/>
  <c r="A448" i="10"/>
  <c r="O445" i="1"/>
  <c r="N445" i="1"/>
  <c r="P444" i="1"/>
  <c r="Q444" i="1" s="1"/>
  <c r="O444" i="1"/>
  <c r="N444" i="1"/>
  <c r="A446" i="10"/>
  <c r="R446" i="10" s="1"/>
  <c r="O443" i="1"/>
  <c r="N443" i="1"/>
  <c r="P442" i="1"/>
  <c r="A445" i="10" s="1"/>
  <c r="O442" i="1"/>
  <c r="N442" i="1"/>
  <c r="P441" i="1"/>
  <c r="Q441" i="1" s="1"/>
  <c r="O441" i="1"/>
  <c r="N441" i="1"/>
  <c r="P440" i="1"/>
  <c r="A443" i="10" s="1"/>
  <c r="O440" i="1"/>
  <c r="N440" i="1"/>
  <c r="Q439" i="1"/>
  <c r="O439" i="1"/>
  <c r="N439" i="1"/>
  <c r="P438" i="1"/>
  <c r="A441" i="10" s="1"/>
  <c r="O438" i="1"/>
  <c r="N438" i="1"/>
  <c r="P437" i="1"/>
  <c r="A440" i="10" s="1"/>
  <c r="O437" i="1"/>
  <c r="N437" i="1"/>
  <c r="P436" i="1"/>
  <c r="Q436" i="1" s="1"/>
  <c r="O436" i="1"/>
  <c r="N436" i="1"/>
  <c r="P435" i="1"/>
  <c r="A438" i="10" s="1"/>
  <c r="O435" i="1"/>
  <c r="N435" i="1"/>
  <c r="P434" i="1"/>
  <c r="A437" i="10" s="1"/>
  <c r="O434" i="1"/>
  <c r="N434" i="1"/>
  <c r="P433" i="1"/>
  <c r="Q433" i="1" s="1"/>
  <c r="O433" i="1"/>
  <c r="N433" i="1"/>
  <c r="P432" i="1"/>
  <c r="A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O429" i="1"/>
  <c r="N429" i="1"/>
  <c r="P428" i="1"/>
  <c r="A431" i="10" s="1"/>
  <c r="O428" i="1"/>
  <c r="N428" i="1"/>
  <c r="P427" i="1"/>
  <c r="Q427" i="1" s="1"/>
  <c r="O427" i="1"/>
  <c r="N427" i="1"/>
  <c r="P426" i="1"/>
  <c r="A429" i="10" s="1"/>
  <c r="O426" i="1"/>
  <c r="N426" i="1"/>
  <c r="O425" i="1"/>
  <c r="N425" i="1"/>
  <c r="A427" i="10"/>
  <c r="O424" i="1"/>
  <c r="N424" i="1"/>
  <c r="P423" i="1"/>
  <c r="A426" i="10" s="1"/>
  <c r="O423" i="1"/>
  <c r="N423" i="1"/>
  <c r="P422" i="1"/>
  <c r="Q422" i="1" s="1"/>
  <c r="O422" i="1"/>
  <c r="N422" i="1"/>
  <c r="P421" i="1"/>
  <c r="A424" i="10" s="1"/>
  <c r="O421" i="1"/>
  <c r="N421" i="1"/>
  <c r="P420" i="1"/>
  <c r="Q420" i="1" s="1"/>
  <c r="O420" i="1"/>
  <c r="N420" i="1"/>
  <c r="P419" i="1"/>
  <c r="A422" i="10" s="1"/>
  <c r="O419" i="1"/>
  <c r="N419" i="1"/>
  <c r="P418" i="1"/>
  <c r="A421" i="10" s="1"/>
  <c r="O418" i="1"/>
  <c r="N418" i="1"/>
  <c r="P417" i="1"/>
  <c r="O417" i="1"/>
  <c r="N417" i="1"/>
  <c r="P416" i="1"/>
  <c r="A419" i="10" s="1"/>
  <c r="O416" i="1"/>
  <c r="N416" i="1"/>
  <c r="P415" i="1"/>
  <c r="A418" i="10" s="1"/>
  <c r="O415" i="1"/>
  <c r="N415" i="1"/>
  <c r="P414" i="1"/>
  <c r="Q414" i="1" s="1"/>
  <c r="O414" i="1"/>
  <c r="N414" i="1"/>
  <c r="P413" i="1"/>
  <c r="A416" i="10" s="1"/>
  <c r="O413" i="1"/>
  <c r="N413" i="1"/>
  <c r="A415" i="10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O408" i="1"/>
  <c r="N408" i="1"/>
  <c r="P407" i="1"/>
  <c r="Q407" i="1" s="1"/>
  <c r="O407" i="1"/>
  <c r="N407" i="1"/>
  <c r="P406" i="1"/>
  <c r="A409" i="10" s="1"/>
  <c r="O406" i="1"/>
  <c r="N406" i="1"/>
  <c r="P405" i="1"/>
  <c r="A408" i="10" s="1"/>
  <c r="O405" i="1"/>
  <c r="N405" i="1"/>
  <c r="P404" i="1"/>
  <c r="Q404" i="1" s="1"/>
  <c r="O404" i="1"/>
  <c r="N404" i="1"/>
  <c r="P403" i="1"/>
  <c r="A406" i="10" s="1"/>
  <c r="O403" i="1"/>
  <c r="N403" i="1"/>
  <c r="P402" i="1"/>
  <c r="A405" i="10" s="1"/>
  <c r="O402" i="1"/>
  <c r="N402" i="1"/>
  <c r="P401" i="1"/>
  <c r="O401" i="1"/>
  <c r="N401" i="1"/>
  <c r="P400" i="1"/>
  <c r="A403" i="10" s="1"/>
  <c r="O400" i="1"/>
  <c r="N400" i="1"/>
  <c r="P399" i="1"/>
  <c r="A402" i="10" s="1"/>
  <c r="O399" i="1"/>
  <c r="N399" i="1"/>
  <c r="P398" i="1"/>
  <c r="A401" i="10" s="1"/>
  <c r="O398" i="1"/>
  <c r="N398" i="1"/>
  <c r="P397" i="1"/>
  <c r="O397" i="1"/>
  <c r="N397" i="1"/>
  <c r="P396" i="1"/>
  <c r="O396" i="1"/>
  <c r="N396" i="1"/>
  <c r="P395" i="1"/>
  <c r="A398" i="10" s="1"/>
  <c r="O395" i="1"/>
  <c r="N395" i="1"/>
  <c r="P394" i="1"/>
  <c r="A397" i="10" s="1"/>
  <c r="O394" i="1"/>
  <c r="N394" i="1"/>
  <c r="P393" i="1"/>
  <c r="O393" i="1"/>
  <c r="N393" i="1"/>
  <c r="P392" i="1"/>
  <c r="A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O386" i="1"/>
  <c r="N386" i="1"/>
  <c r="P385" i="1"/>
  <c r="O385" i="1"/>
  <c r="N385" i="1"/>
  <c r="P384" i="1"/>
  <c r="A387" i="10" s="1"/>
  <c r="O384" i="1"/>
  <c r="N384" i="1"/>
  <c r="P383" i="1"/>
  <c r="A386" i="10" s="1"/>
  <c r="O383" i="1"/>
  <c r="N383" i="1"/>
  <c r="P382" i="1"/>
  <c r="Q382" i="1" s="1"/>
  <c r="O382" i="1"/>
  <c r="N382" i="1"/>
  <c r="P381" i="1"/>
  <c r="A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O378" i="1"/>
  <c r="N378" i="1"/>
  <c r="P377" i="1"/>
  <c r="O377" i="1"/>
  <c r="N377" i="1"/>
  <c r="P376" i="1"/>
  <c r="A379" i="10" s="1"/>
  <c r="O376" i="1"/>
  <c r="N376" i="1"/>
  <c r="P375" i="1"/>
  <c r="A378" i="10" s="1"/>
  <c r="O375" i="1"/>
  <c r="N375" i="1"/>
  <c r="P374" i="1"/>
  <c r="A377" i="10" s="1"/>
  <c r="O374" i="1"/>
  <c r="N374" i="1"/>
  <c r="P373" i="1"/>
  <c r="A376" i="10" s="1"/>
  <c r="O373" i="1"/>
  <c r="N373" i="1"/>
  <c r="P372" i="1"/>
  <c r="A375" i="10" s="1"/>
  <c r="O372" i="1"/>
  <c r="N372" i="1"/>
  <c r="A374" i="10"/>
  <c r="O371" i="1"/>
  <c r="N371" i="1"/>
  <c r="P370" i="1"/>
  <c r="A373" i="10" s="1"/>
  <c r="O370" i="1"/>
  <c r="N370" i="1"/>
  <c r="P369" i="1"/>
  <c r="O369" i="1"/>
  <c r="N369" i="1"/>
  <c r="P368" i="1"/>
  <c r="A371" i="10" s="1"/>
  <c r="O368" i="1"/>
  <c r="N368" i="1"/>
  <c r="P367" i="1"/>
  <c r="Q367" i="1" s="1"/>
  <c r="O367" i="1"/>
  <c r="N367" i="1"/>
  <c r="P366" i="1"/>
  <c r="Q366" i="1" s="1"/>
  <c r="O366" i="1"/>
  <c r="N366" i="1"/>
  <c r="A368" i="10"/>
  <c r="O365" i="1"/>
  <c r="N365" i="1"/>
  <c r="P364" i="1"/>
  <c r="Q364" i="1" s="1"/>
  <c r="O364" i="1"/>
  <c r="N364" i="1"/>
  <c r="A366" i="10"/>
  <c r="O363" i="1"/>
  <c r="N363" i="1"/>
  <c r="P362" i="1"/>
  <c r="A365" i="10" s="1"/>
  <c r="O362" i="1"/>
  <c r="N362" i="1"/>
  <c r="P361" i="1"/>
  <c r="O361" i="1"/>
  <c r="N361" i="1"/>
  <c r="P360" i="1"/>
  <c r="A363" i="10" s="1"/>
  <c r="O360" i="1"/>
  <c r="N360" i="1"/>
  <c r="P359" i="1"/>
  <c r="A362" i="10" s="1"/>
  <c r="O359" i="1"/>
  <c r="N359" i="1"/>
  <c r="P358" i="1"/>
  <c r="A361" i="10" s="1"/>
  <c r="O358" i="1"/>
  <c r="N358" i="1"/>
  <c r="P357" i="1"/>
  <c r="A360" i="10" s="1"/>
  <c r="O357" i="1"/>
  <c r="N357" i="1"/>
  <c r="P356" i="1"/>
  <c r="A359" i="10" s="1"/>
  <c r="O356" i="1"/>
  <c r="N356" i="1"/>
  <c r="P355" i="1"/>
  <c r="Q355" i="1" s="1"/>
  <c r="O355" i="1"/>
  <c r="N355" i="1"/>
  <c r="P354" i="1"/>
  <c r="A357" i="10" s="1"/>
  <c r="O354" i="1"/>
  <c r="N354" i="1"/>
  <c r="P353" i="1"/>
  <c r="O353" i="1"/>
  <c r="N353" i="1"/>
  <c r="P352" i="1"/>
  <c r="A355" i="10" s="1"/>
  <c r="O352" i="1"/>
  <c r="N352" i="1"/>
  <c r="O351" i="1"/>
  <c r="N351" i="1"/>
  <c r="O350" i="1"/>
  <c r="N350" i="1"/>
  <c r="P349" i="1"/>
  <c r="A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O344" i="1"/>
  <c r="N344" i="1"/>
  <c r="P343" i="1"/>
  <c r="O343" i="1"/>
  <c r="N343" i="1"/>
  <c r="P342" i="1"/>
  <c r="A345" i="10" s="1"/>
  <c r="O342" i="1"/>
  <c r="N342" i="1"/>
  <c r="P341" i="1"/>
  <c r="A344" i="10" s="1"/>
  <c r="O341" i="1"/>
  <c r="N341" i="1"/>
  <c r="P340" i="1"/>
  <c r="A343" i="10" s="1"/>
  <c r="O340" i="1"/>
  <c r="N340" i="1"/>
  <c r="P339" i="1"/>
  <c r="A342" i="10" s="1"/>
  <c r="O339" i="1"/>
  <c r="N339" i="1"/>
  <c r="P338" i="1"/>
  <c r="A341" i="10" s="1"/>
  <c r="O338" i="1"/>
  <c r="N338" i="1"/>
  <c r="P337" i="1"/>
  <c r="A340" i="10" s="1"/>
  <c r="O337" i="1"/>
  <c r="N337" i="1"/>
  <c r="P336" i="1"/>
  <c r="A339" i="10" s="1"/>
  <c r="O336" i="1"/>
  <c r="N336" i="1"/>
  <c r="P335" i="1"/>
  <c r="O335" i="1"/>
  <c r="N335" i="1"/>
  <c r="P334" i="1"/>
  <c r="Q334" i="1" s="1"/>
  <c r="O334" i="1"/>
  <c r="N334" i="1"/>
  <c r="P333" i="1"/>
  <c r="A336" i="10" s="1"/>
  <c r="O333" i="1"/>
  <c r="N333" i="1"/>
  <c r="P332" i="1"/>
  <c r="O332" i="1"/>
  <c r="N332" i="1"/>
  <c r="P331" i="1"/>
  <c r="A334" i="10" s="1"/>
  <c r="O331" i="1"/>
  <c r="N331" i="1"/>
  <c r="P330" i="1"/>
  <c r="A333" i="10" s="1"/>
  <c r="O330" i="1"/>
  <c r="N330" i="1"/>
  <c r="P329" i="1"/>
  <c r="A332" i="10" s="1"/>
  <c r="O329" i="1"/>
  <c r="N329" i="1"/>
  <c r="P328" i="1"/>
  <c r="A331" i="10" s="1"/>
  <c r="O328" i="1"/>
  <c r="N328" i="1"/>
  <c r="P327" i="1"/>
  <c r="Q327" i="1" s="1"/>
  <c r="O327" i="1"/>
  <c r="N327" i="1"/>
  <c r="P326" i="1"/>
  <c r="A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O323" i="1"/>
  <c r="N323" i="1"/>
  <c r="P322" i="1"/>
  <c r="Q322" i="1" s="1"/>
  <c r="O322" i="1"/>
  <c r="N322" i="1"/>
  <c r="P321" i="1"/>
  <c r="A324" i="10" s="1"/>
  <c r="O321" i="1"/>
  <c r="N321" i="1"/>
  <c r="P320" i="1"/>
  <c r="A323" i="10" s="1"/>
  <c r="O320" i="1"/>
  <c r="N320" i="1"/>
  <c r="P319" i="1"/>
  <c r="A322" i="10" s="1"/>
  <c r="O319" i="1"/>
  <c r="N319" i="1"/>
  <c r="P318" i="1"/>
  <c r="A321" i="10" s="1"/>
  <c r="O318" i="1"/>
  <c r="N318" i="1"/>
  <c r="P317" i="1"/>
  <c r="A320" i="10" s="1"/>
  <c r="O317" i="1"/>
  <c r="N317" i="1"/>
  <c r="P316" i="1"/>
  <c r="O316" i="1"/>
  <c r="N316" i="1"/>
  <c r="P315" i="1"/>
  <c r="A318" i="10" s="1"/>
  <c r="O315" i="1"/>
  <c r="N315" i="1"/>
  <c r="P314" i="1"/>
  <c r="A317" i="10" s="1"/>
  <c r="O314" i="1"/>
  <c r="N314" i="1"/>
  <c r="O313" i="1"/>
  <c r="N313" i="1"/>
  <c r="P312" i="1"/>
  <c r="A315" i="10" s="1"/>
  <c r="O312" i="1"/>
  <c r="N312" i="1"/>
  <c r="P311" i="1"/>
  <c r="Q311" i="1" s="1"/>
  <c r="O311" i="1"/>
  <c r="N311" i="1"/>
  <c r="P310" i="1"/>
  <c r="A313" i="10" s="1"/>
  <c r="O310" i="1"/>
  <c r="N310" i="1"/>
  <c r="A312" i="10"/>
  <c r="R312" i="10" s="1"/>
  <c r="O309" i="1"/>
  <c r="N309" i="1"/>
  <c r="P308" i="1"/>
  <c r="O308" i="1"/>
  <c r="N308" i="1"/>
  <c r="P307" i="1"/>
  <c r="Q307" i="1" s="1"/>
  <c r="O307" i="1"/>
  <c r="N307" i="1"/>
  <c r="P306" i="1"/>
  <c r="A309" i="10" s="1"/>
  <c r="O306" i="1"/>
  <c r="N306" i="1"/>
  <c r="P305" i="1"/>
  <c r="O305" i="1"/>
  <c r="N305" i="1"/>
  <c r="P304" i="1"/>
  <c r="A307" i="10" s="1"/>
  <c r="O304" i="1"/>
  <c r="N304" i="1"/>
  <c r="P303" i="1"/>
  <c r="A306" i="10" s="1"/>
  <c r="O303" i="1"/>
  <c r="N303" i="1"/>
  <c r="P302" i="1"/>
  <c r="Q302" i="1" s="1"/>
  <c r="O302" i="1"/>
  <c r="N302" i="1"/>
  <c r="P301" i="1"/>
  <c r="A304" i="10" s="1"/>
  <c r="O301" i="1"/>
  <c r="N301" i="1"/>
  <c r="P300" i="1"/>
  <c r="A303" i="10" s="1"/>
  <c r="O300" i="1"/>
  <c r="N300" i="1"/>
  <c r="P299" i="1"/>
  <c r="A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O296" i="1"/>
  <c r="N296" i="1"/>
  <c r="P295" i="1"/>
  <c r="A298" i="10" s="1"/>
  <c r="O295" i="1"/>
  <c r="N295" i="1"/>
  <c r="P294" i="1"/>
  <c r="A297" i="10" s="1"/>
  <c r="O294" i="1"/>
  <c r="N294" i="1"/>
  <c r="P293" i="1"/>
  <c r="A296" i="10" s="1"/>
  <c r="O293" i="1"/>
  <c r="N293" i="1"/>
  <c r="P292" i="1"/>
  <c r="Q292" i="1" s="1"/>
  <c r="O292" i="1"/>
  <c r="N292" i="1"/>
  <c r="P291" i="1"/>
  <c r="A294" i="10" s="1"/>
  <c r="O291" i="1"/>
  <c r="N291" i="1"/>
  <c r="P290" i="1"/>
  <c r="A293" i="10" s="1"/>
  <c r="O290" i="1"/>
  <c r="N290" i="1"/>
  <c r="P289" i="1"/>
  <c r="O289" i="1"/>
  <c r="N289" i="1"/>
  <c r="P288" i="1"/>
  <c r="A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O285" i="1"/>
  <c r="N285" i="1"/>
  <c r="O284" i="1"/>
  <c r="N284" i="1"/>
  <c r="A286" i="10"/>
  <c r="O283" i="1"/>
  <c r="N283" i="1"/>
  <c r="P282" i="1"/>
  <c r="A285" i="10" s="1"/>
  <c r="O282" i="1"/>
  <c r="N282" i="1"/>
  <c r="P281" i="1"/>
  <c r="A284" i="10" s="1"/>
  <c r="O281" i="1"/>
  <c r="N281" i="1"/>
  <c r="P280" i="1"/>
  <c r="A283" i="10" s="1"/>
  <c r="O280" i="1"/>
  <c r="N280" i="1"/>
  <c r="P279" i="1"/>
  <c r="Q279" i="1" s="1"/>
  <c r="O279" i="1"/>
  <c r="N279" i="1"/>
  <c r="P278" i="1"/>
  <c r="A281" i="10" s="1"/>
  <c r="O278" i="1"/>
  <c r="N278" i="1"/>
  <c r="A280" i="10"/>
  <c r="O277" i="1"/>
  <c r="N277" i="1"/>
  <c r="P276" i="1"/>
  <c r="A279" i="10" s="1"/>
  <c r="O276" i="1"/>
  <c r="N276" i="1"/>
  <c r="A278" i="10"/>
  <c r="Z278" i="10" s="1"/>
  <c r="O275" i="1"/>
  <c r="N275" i="1"/>
  <c r="P274" i="1"/>
  <c r="A277" i="10" s="1"/>
  <c r="O274" i="1"/>
  <c r="N274" i="1"/>
  <c r="P273" i="1"/>
  <c r="O273" i="1"/>
  <c r="N273" i="1"/>
  <c r="P272" i="1"/>
  <c r="A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Q268" i="1" s="1"/>
  <c r="O268" i="1"/>
  <c r="N268" i="1"/>
  <c r="P267" i="1"/>
  <c r="Q267" i="1" s="1"/>
  <c r="O267" i="1"/>
  <c r="N267" i="1"/>
  <c r="P266" i="1"/>
  <c r="A269" i="10" s="1"/>
  <c r="O266" i="1"/>
  <c r="N266" i="1"/>
  <c r="P265" i="1"/>
  <c r="A268" i="10" s="1"/>
  <c r="O265" i="1"/>
  <c r="N265" i="1"/>
  <c r="P264" i="1"/>
  <c r="A267" i="10" s="1"/>
  <c r="O264" i="1"/>
  <c r="N264" i="1"/>
  <c r="P263" i="1"/>
  <c r="A266" i="10" s="1"/>
  <c r="O263" i="1"/>
  <c r="N263" i="1"/>
  <c r="P262" i="1"/>
  <c r="A265" i="10" s="1"/>
  <c r="O262" i="1"/>
  <c r="N262" i="1"/>
  <c r="P261" i="1"/>
  <c r="Q261" i="1" s="1"/>
  <c r="O261" i="1"/>
  <c r="N261" i="1"/>
  <c r="P260" i="1"/>
  <c r="A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O257" i="1"/>
  <c r="N257" i="1"/>
  <c r="P256" i="1"/>
  <c r="A259" i="10" s="1"/>
  <c r="O256" i="1"/>
  <c r="N256" i="1"/>
  <c r="P255" i="1"/>
  <c r="A258" i="10" s="1"/>
  <c r="O255" i="1"/>
  <c r="N255" i="1"/>
  <c r="P254" i="1"/>
  <c r="Q254" i="1" s="1"/>
  <c r="O254" i="1"/>
  <c r="N254" i="1"/>
  <c r="A256" i="10"/>
  <c r="O253" i="1"/>
  <c r="N253" i="1"/>
  <c r="P252" i="1"/>
  <c r="Q252" i="1" s="1"/>
  <c r="O252" i="1"/>
  <c r="N252" i="1"/>
  <c r="P251" i="1"/>
  <c r="A254" i="10" s="1"/>
  <c r="O251" i="1"/>
  <c r="N251" i="1"/>
  <c r="P250" i="1"/>
  <c r="A253" i="10" s="1"/>
  <c r="O250" i="1"/>
  <c r="N250" i="1"/>
  <c r="P249" i="1"/>
  <c r="A252" i="10" s="1"/>
  <c r="O249" i="1"/>
  <c r="N249" i="1"/>
  <c r="P248" i="1"/>
  <c r="A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O245" i="1"/>
  <c r="N245" i="1"/>
  <c r="P244" i="1"/>
  <c r="Q244" i="1" s="1"/>
  <c r="O244" i="1"/>
  <c r="N244" i="1"/>
  <c r="P243" i="1"/>
  <c r="A246" i="10" s="1"/>
  <c r="O243" i="1"/>
  <c r="N243" i="1"/>
  <c r="A245" i="10"/>
  <c r="Z245" i="10" s="1"/>
  <c r="O242" i="1"/>
  <c r="N242" i="1"/>
  <c r="P241" i="1"/>
  <c r="A244" i="10" s="1"/>
  <c r="O241" i="1"/>
  <c r="N241" i="1"/>
  <c r="P240" i="1"/>
  <c r="A243" i="10" s="1"/>
  <c r="O240" i="1"/>
  <c r="N240" i="1"/>
  <c r="P239" i="1"/>
  <c r="A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O236" i="1"/>
  <c r="N236" i="1"/>
  <c r="P235" i="1"/>
  <c r="Q235" i="1" s="1"/>
  <c r="O235" i="1"/>
  <c r="N235" i="1"/>
  <c r="A237" i="10"/>
  <c r="O234" i="1"/>
  <c r="N234" i="1"/>
  <c r="O233" i="1"/>
  <c r="N233" i="1"/>
  <c r="P232" i="1"/>
  <c r="A235" i="10" s="1"/>
  <c r="O232" i="1"/>
  <c r="N232" i="1"/>
  <c r="P231" i="1"/>
  <c r="Q231" i="1" s="1"/>
  <c r="O231" i="1"/>
  <c r="N231" i="1"/>
  <c r="O230" i="1"/>
  <c r="N230" i="1"/>
  <c r="P229" i="1"/>
  <c r="A232" i="10" s="1"/>
  <c r="O229" i="1"/>
  <c r="N229" i="1"/>
  <c r="P228" i="1"/>
  <c r="A231" i="10" s="1"/>
  <c r="O228" i="1"/>
  <c r="N228" i="1"/>
  <c r="A230" i="10"/>
  <c r="Z230" i="10" s="1"/>
  <c r="O227" i="1"/>
  <c r="N227" i="1"/>
  <c r="P226" i="1"/>
  <c r="A229" i="10" s="1"/>
  <c r="O226" i="1"/>
  <c r="N226" i="1"/>
  <c r="P225" i="1"/>
  <c r="O225" i="1"/>
  <c r="N225" i="1"/>
  <c r="P224" i="1"/>
  <c r="A227" i="10" s="1"/>
  <c r="O224" i="1"/>
  <c r="N224" i="1"/>
  <c r="P223" i="1"/>
  <c r="O223" i="1"/>
  <c r="N223" i="1"/>
  <c r="P222" i="1"/>
  <c r="A225" i="10" s="1"/>
  <c r="O222" i="1"/>
  <c r="N222" i="1"/>
  <c r="P221" i="1"/>
  <c r="A224" i="10" s="1"/>
  <c r="O221" i="1"/>
  <c r="N221" i="1"/>
  <c r="P220" i="1"/>
  <c r="A223" i="10" s="1"/>
  <c r="O220" i="1"/>
  <c r="N220" i="1"/>
  <c r="P219" i="1"/>
  <c r="A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O210" i="1"/>
  <c r="N210" i="1"/>
  <c r="P209" i="1"/>
  <c r="O209" i="1"/>
  <c r="N209" i="1"/>
  <c r="P208" i="1"/>
  <c r="A211" i="10" s="1"/>
  <c r="O208" i="1"/>
  <c r="N208" i="1"/>
  <c r="P207" i="1"/>
  <c r="A210" i="10" s="1"/>
  <c r="O207" i="1"/>
  <c r="N207" i="1"/>
  <c r="P206" i="1"/>
  <c r="A209" i="10" s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O203" i="1"/>
  <c r="N203" i="1"/>
  <c r="P202" i="1"/>
  <c r="A205" i="10" s="1"/>
  <c r="O202" i="1"/>
  <c r="N202" i="1"/>
  <c r="A204" i="10"/>
  <c r="Z204" i="10" s="1"/>
  <c r="O201" i="1"/>
  <c r="N201" i="1"/>
  <c r="P200" i="1"/>
  <c r="A203" i="10" s="1"/>
  <c r="O200" i="1"/>
  <c r="N200" i="1"/>
  <c r="P199" i="1"/>
  <c r="O199" i="1"/>
  <c r="N199" i="1"/>
  <c r="P198" i="1"/>
  <c r="A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O194" i="1"/>
  <c r="N194" i="1"/>
  <c r="P193" i="1"/>
  <c r="O193" i="1"/>
  <c r="N193" i="1"/>
  <c r="P192" i="1"/>
  <c r="A195" i="10" s="1"/>
  <c r="O192" i="1"/>
  <c r="N192" i="1"/>
  <c r="P191" i="1"/>
  <c r="A194" i="10" s="1"/>
  <c r="O191" i="1"/>
  <c r="N191" i="1"/>
  <c r="P190" i="1"/>
  <c r="A193" i="10" s="1"/>
  <c r="O190" i="1"/>
  <c r="N190" i="1"/>
  <c r="P189" i="1"/>
  <c r="A192" i="10" s="1"/>
  <c r="O189" i="1"/>
  <c r="N189" i="1"/>
  <c r="A191" i="10"/>
  <c r="Z191" i="10" s="1"/>
  <c r="O188" i="1"/>
  <c r="N188" i="1"/>
  <c r="P187" i="1"/>
  <c r="A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O184" i="1"/>
  <c r="N184" i="1"/>
  <c r="Q183" i="1"/>
  <c r="O183" i="1"/>
  <c r="N183" i="1"/>
  <c r="P182" i="1"/>
  <c r="A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O176" i="1"/>
  <c r="N176" i="1"/>
  <c r="P175" i="1"/>
  <c r="O175" i="1"/>
  <c r="N175" i="1"/>
  <c r="P174" i="1"/>
  <c r="A177" i="10" s="1"/>
  <c r="O174" i="1"/>
  <c r="N174" i="1"/>
  <c r="P173" i="1"/>
  <c r="A176" i="10" s="1"/>
  <c r="O173" i="1"/>
  <c r="N173" i="1"/>
  <c r="P172" i="1"/>
  <c r="Q172" i="1" s="1"/>
  <c r="O172" i="1"/>
  <c r="N172" i="1"/>
  <c r="P171" i="1"/>
  <c r="A174" i="10" s="1"/>
  <c r="O171" i="1"/>
  <c r="N171" i="1"/>
  <c r="P170" i="1"/>
  <c r="A173" i="10" s="1"/>
  <c r="O170" i="1"/>
  <c r="N170" i="1"/>
  <c r="P169" i="1"/>
  <c r="A172" i="10" s="1"/>
  <c r="O169" i="1"/>
  <c r="N169" i="1"/>
  <c r="P168" i="1"/>
  <c r="A171" i="10" s="1"/>
  <c r="O168" i="1"/>
  <c r="N168" i="1"/>
  <c r="P167" i="1"/>
  <c r="A170" i="10" s="1"/>
  <c r="O167" i="1"/>
  <c r="N167" i="1"/>
  <c r="P166" i="1"/>
  <c r="Q166" i="1" s="1"/>
  <c r="O166" i="1"/>
  <c r="N166" i="1"/>
  <c r="A168" i="10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O162" i="1"/>
  <c r="N162" i="1"/>
  <c r="P161" i="1"/>
  <c r="O161" i="1"/>
  <c r="N161" i="1"/>
  <c r="P160" i="1"/>
  <c r="A163" i="10" s="1"/>
  <c r="O160" i="1"/>
  <c r="N160" i="1"/>
  <c r="P159" i="1"/>
  <c r="Q159" i="1" s="1"/>
  <c r="O159" i="1"/>
  <c r="N159" i="1"/>
  <c r="P158" i="1"/>
  <c r="A161" i="10" s="1"/>
  <c r="O158" i="1"/>
  <c r="N158" i="1"/>
  <c r="P157" i="1"/>
  <c r="A160" i="10" s="1"/>
  <c r="O157" i="1"/>
  <c r="N157" i="1"/>
  <c r="P156" i="1"/>
  <c r="O156" i="1"/>
  <c r="N156" i="1"/>
  <c r="P155" i="1"/>
  <c r="A158" i="10" s="1"/>
  <c r="O155" i="1"/>
  <c r="N155" i="1"/>
  <c r="P154" i="1"/>
  <c r="Q154" i="1" s="1"/>
  <c r="O154" i="1"/>
  <c r="N154" i="1"/>
  <c r="O153" i="1"/>
  <c r="N153" i="1"/>
  <c r="P152" i="1"/>
  <c r="A155" i="10" s="1"/>
  <c r="O152" i="1"/>
  <c r="N152" i="1"/>
  <c r="Q151" i="1"/>
  <c r="O151" i="1"/>
  <c r="N151" i="1"/>
  <c r="P150" i="1"/>
  <c r="A153" i="10" s="1"/>
  <c r="O150" i="1"/>
  <c r="N150" i="1"/>
  <c r="P149" i="1"/>
  <c r="Q149" i="1" s="1"/>
  <c r="O149" i="1"/>
  <c r="N149" i="1"/>
  <c r="P148" i="1"/>
  <c r="A151" i="10" s="1"/>
  <c r="O148" i="1"/>
  <c r="N148" i="1"/>
  <c r="P147" i="1"/>
  <c r="A150" i="10" s="1"/>
  <c r="O147" i="1"/>
  <c r="N147" i="1"/>
  <c r="P146" i="1"/>
  <c r="A149" i="10" s="1"/>
  <c r="O146" i="1"/>
  <c r="N146" i="1"/>
  <c r="P145" i="1"/>
  <c r="O145" i="1"/>
  <c r="N145" i="1"/>
  <c r="P144" i="1"/>
  <c r="A147" i="10" s="1"/>
  <c r="O144" i="1"/>
  <c r="N144" i="1"/>
  <c r="P143" i="1"/>
  <c r="Q143" i="1" s="1"/>
  <c r="O143" i="1"/>
  <c r="N143" i="1"/>
  <c r="P142" i="1"/>
  <c r="A145" i="10" s="1"/>
  <c r="O142" i="1"/>
  <c r="N142" i="1"/>
  <c r="P141" i="1"/>
  <c r="Q141" i="1" s="1"/>
  <c r="O141" i="1"/>
  <c r="N141" i="1"/>
  <c r="P140" i="1"/>
  <c r="A143" i="10" s="1"/>
  <c r="O140" i="1"/>
  <c r="N140" i="1"/>
  <c r="A142" i="10"/>
  <c r="O139" i="1"/>
  <c r="N139" i="1"/>
  <c r="P138" i="1"/>
  <c r="A141" i="10" s="1"/>
  <c r="O138" i="1"/>
  <c r="N138" i="1"/>
  <c r="P137" i="1"/>
  <c r="O137" i="1"/>
  <c r="N137" i="1"/>
  <c r="P136" i="1"/>
  <c r="A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O131" i="1"/>
  <c r="N131" i="1"/>
  <c r="P130" i="1"/>
  <c r="A133" i="10" s="1"/>
  <c r="O130" i="1"/>
  <c r="N130" i="1"/>
  <c r="P129" i="1"/>
  <c r="A132" i="10" s="1"/>
  <c r="O129" i="1"/>
  <c r="N129" i="1"/>
  <c r="P128" i="1"/>
  <c r="A131" i="10" s="1"/>
  <c r="O128" i="1"/>
  <c r="N128" i="1"/>
  <c r="P127" i="1"/>
  <c r="A130" i="10" s="1"/>
  <c r="O127" i="1"/>
  <c r="N127" i="1"/>
  <c r="P126" i="1"/>
  <c r="O126" i="1"/>
  <c r="N126" i="1"/>
  <c r="P125" i="1"/>
  <c r="A128" i="10" s="1"/>
  <c r="O125" i="1"/>
  <c r="N125" i="1"/>
  <c r="P124" i="1"/>
  <c r="A127" i="10" s="1"/>
  <c r="O124" i="1"/>
  <c r="N124" i="1"/>
  <c r="P123" i="1"/>
  <c r="Q123" i="1" s="1"/>
  <c r="O123" i="1"/>
  <c r="N123" i="1"/>
  <c r="P122" i="1"/>
  <c r="A125" i="10" s="1"/>
  <c r="O122" i="1"/>
  <c r="N122" i="1"/>
  <c r="Q121" i="1"/>
  <c r="O121" i="1"/>
  <c r="N121" i="1"/>
  <c r="P120" i="1"/>
  <c r="A123" i="10" s="1"/>
  <c r="O120" i="1"/>
  <c r="N120" i="1"/>
  <c r="P119" i="1"/>
  <c r="A122" i="10" s="1"/>
  <c r="O119" i="1"/>
  <c r="N119" i="1"/>
  <c r="O118" i="1"/>
  <c r="N118" i="1"/>
  <c r="A120" i="10"/>
  <c r="R120" i="10" s="1"/>
  <c r="O117" i="1"/>
  <c r="N117" i="1"/>
  <c r="P116" i="1"/>
  <c r="A119" i="10" s="1"/>
  <c r="O116" i="1"/>
  <c r="N116" i="1"/>
  <c r="P115" i="1"/>
  <c r="A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O112" i="1"/>
  <c r="N112" i="1"/>
  <c r="P111" i="1"/>
  <c r="A114" i="10" s="1"/>
  <c r="O111" i="1"/>
  <c r="N111" i="1"/>
  <c r="P110" i="1"/>
  <c r="A113" i="10" s="1"/>
  <c r="O110" i="1"/>
  <c r="N110" i="1"/>
  <c r="P109" i="1"/>
  <c r="A112" i="10" s="1"/>
  <c r="O109" i="1"/>
  <c r="N109" i="1"/>
  <c r="P108" i="1"/>
  <c r="Q108" i="1" s="1"/>
  <c r="O108" i="1"/>
  <c r="N108" i="1"/>
  <c r="P107" i="1"/>
  <c r="A110" i="10" s="1"/>
  <c r="O107" i="1"/>
  <c r="N107" i="1"/>
  <c r="P106" i="1"/>
  <c r="A109" i="10" s="1"/>
  <c r="O106" i="1"/>
  <c r="N106" i="1"/>
  <c r="A108" i="10"/>
  <c r="Z108" i="10" s="1"/>
  <c r="O105" i="1"/>
  <c r="N105" i="1"/>
  <c r="A107" i="10"/>
  <c r="O104" i="1"/>
  <c r="N104" i="1"/>
  <c r="O103" i="1"/>
  <c r="N103" i="1"/>
  <c r="P102" i="1"/>
  <c r="A105" i="10" s="1"/>
  <c r="O102" i="1"/>
  <c r="N102" i="1"/>
  <c r="A104" i="10"/>
  <c r="Z104" i="10" s="1"/>
  <c r="O101" i="1"/>
  <c r="N101" i="1"/>
  <c r="P100" i="1"/>
  <c r="A103" i="10" s="1"/>
  <c r="O100" i="1"/>
  <c r="N100" i="1"/>
  <c r="P99" i="1"/>
  <c r="A102" i="10" s="1"/>
  <c r="O99" i="1"/>
  <c r="N99" i="1"/>
  <c r="P98" i="1"/>
  <c r="A101" i="10" s="1"/>
  <c r="O98" i="1"/>
  <c r="N98" i="1"/>
  <c r="A100" i="10"/>
  <c r="O97" i="1"/>
  <c r="N97" i="1"/>
  <c r="P96" i="1"/>
  <c r="A99" i="10" s="1"/>
  <c r="O96" i="1"/>
  <c r="N96" i="1"/>
  <c r="O95" i="1"/>
  <c r="N95" i="1"/>
  <c r="A97" i="10"/>
  <c r="Z97" i="10" s="1"/>
  <c r="O94" i="1"/>
  <c r="N94" i="1"/>
  <c r="P93" i="1"/>
  <c r="A96" i="10" s="1"/>
  <c r="O93" i="1"/>
  <c r="N93" i="1"/>
  <c r="P92" i="1"/>
  <c r="Q92" i="1" s="1"/>
  <c r="O92" i="1"/>
  <c r="N92" i="1"/>
  <c r="P91" i="1"/>
  <c r="Q91" i="1" s="1"/>
  <c r="O91" i="1"/>
  <c r="N91" i="1"/>
  <c r="P90" i="1"/>
  <c r="A93" i="10" s="1"/>
  <c r="O90" i="1"/>
  <c r="N90" i="1"/>
  <c r="P89" i="1"/>
  <c r="A92" i="10" s="1"/>
  <c r="O89" i="1"/>
  <c r="N89" i="1"/>
  <c r="P88" i="1"/>
  <c r="A91" i="10" s="1"/>
  <c r="O88" i="1"/>
  <c r="N88" i="1"/>
  <c r="P87" i="1"/>
  <c r="A90" i="10" s="1"/>
  <c r="O87" i="1"/>
  <c r="N87" i="1"/>
  <c r="P86" i="1"/>
  <c r="A89" i="10" s="1"/>
  <c r="O86" i="1"/>
  <c r="N86" i="1"/>
  <c r="P85" i="1"/>
  <c r="Q85" i="1" s="1"/>
  <c r="O85" i="1"/>
  <c r="N85" i="1"/>
  <c r="P84" i="1"/>
  <c r="A87" i="10" s="1"/>
  <c r="O84" i="1"/>
  <c r="N84" i="1"/>
  <c r="P83" i="1"/>
  <c r="A86" i="10" s="1"/>
  <c r="O83" i="1"/>
  <c r="N83" i="1"/>
  <c r="P82" i="1"/>
  <c r="Q82" i="1" s="1"/>
  <c r="O82" i="1"/>
  <c r="N82" i="1"/>
  <c r="P81" i="1"/>
  <c r="A84" i="10" s="1"/>
  <c r="O81" i="1"/>
  <c r="N81" i="1"/>
  <c r="P80" i="1"/>
  <c r="A83" i="10" s="1"/>
  <c r="O80" i="1"/>
  <c r="N80" i="1"/>
  <c r="P79" i="1"/>
  <c r="A82" i="10" s="1"/>
  <c r="O79" i="1"/>
  <c r="N79" i="1"/>
  <c r="P78" i="1"/>
  <c r="A81" i="10" s="1"/>
  <c r="O78" i="1"/>
  <c r="N78" i="1"/>
  <c r="Q77" i="1"/>
  <c r="O77" i="1"/>
  <c r="N77" i="1"/>
  <c r="P76" i="1"/>
  <c r="A79" i="10" s="1"/>
  <c r="O76" i="1"/>
  <c r="N76" i="1"/>
  <c r="P75" i="1"/>
  <c r="A78" i="10" s="1"/>
  <c r="O75" i="1"/>
  <c r="N75" i="1"/>
  <c r="A77" i="10"/>
  <c r="Z77" i="10" s="1"/>
  <c r="O74" i="1"/>
  <c r="N74" i="1"/>
  <c r="A76" i="10"/>
  <c r="O73" i="1"/>
  <c r="N73" i="1"/>
  <c r="A75" i="10"/>
  <c r="O72" i="1"/>
  <c r="N72" i="1"/>
  <c r="P71" i="1"/>
  <c r="A74" i="10" s="1"/>
  <c r="O71" i="1"/>
  <c r="N71" i="1"/>
  <c r="P70" i="1"/>
  <c r="A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O65" i="1"/>
  <c r="N65" i="1"/>
  <c r="A67" i="10"/>
  <c r="O64" i="1"/>
  <c r="N64" i="1"/>
  <c r="P63" i="1"/>
  <c r="A66" i="10" s="1"/>
  <c r="O63" i="1"/>
  <c r="N63" i="1"/>
  <c r="P62" i="1"/>
  <c r="A65" i="10" s="1"/>
  <c r="O62" i="1"/>
  <c r="N62" i="1"/>
  <c r="P61" i="1"/>
  <c r="A64" i="10" s="1"/>
  <c r="O61" i="1"/>
  <c r="N61" i="1"/>
  <c r="P60" i="1"/>
  <c r="A63" i="10" s="1"/>
  <c r="O60" i="1"/>
  <c r="N60" i="1"/>
  <c r="P59" i="1"/>
  <c r="A62" i="10" s="1"/>
  <c r="O59" i="1"/>
  <c r="N59" i="1"/>
  <c r="P58" i="1"/>
  <c r="A61" i="10" s="1"/>
  <c r="O58" i="1"/>
  <c r="N58" i="1"/>
  <c r="P57" i="1"/>
  <c r="A60" i="10" s="1"/>
  <c r="O57" i="1"/>
  <c r="N57" i="1"/>
  <c r="P56" i="1"/>
  <c r="A59" i="10" s="1"/>
  <c r="O56" i="1"/>
  <c r="N56" i="1"/>
  <c r="O55" i="1"/>
  <c r="N55" i="1"/>
  <c r="P54" i="1"/>
  <c r="O54" i="1"/>
  <c r="N54" i="1"/>
  <c r="P53" i="1"/>
  <c r="A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51" i="10" s="1"/>
  <c r="O48" i="1"/>
  <c r="N48" i="1"/>
  <c r="P47" i="1"/>
  <c r="A50" i="10" s="1"/>
  <c r="O47" i="1"/>
  <c r="N47" i="1"/>
  <c r="P46" i="1"/>
  <c r="A49" i="10" s="1"/>
  <c r="O46" i="1"/>
  <c r="N46" i="1"/>
  <c r="P45" i="1"/>
  <c r="Q45" i="1" s="1"/>
  <c r="O45" i="1"/>
  <c r="N45" i="1"/>
  <c r="P44" i="1"/>
  <c r="A47" i="10" s="1"/>
  <c r="O44" i="1"/>
  <c r="N44" i="1"/>
  <c r="A46" i="10"/>
  <c r="Z46" i="10" s="1"/>
  <c r="O43" i="1"/>
  <c r="N43" i="1"/>
  <c r="Q42" i="1"/>
  <c r="O42" i="1"/>
  <c r="N42" i="1"/>
  <c r="P41" i="1"/>
  <c r="A44" i="10" s="1"/>
  <c r="O41" i="1"/>
  <c r="N41" i="1"/>
  <c r="P40" i="1"/>
  <c r="A43" i="10" s="1"/>
  <c r="O40" i="1"/>
  <c r="N40" i="1"/>
  <c r="P39" i="1"/>
  <c r="A42" i="10" s="1"/>
  <c r="O39" i="1"/>
  <c r="N39" i="1"/>
  <c r="P38" i="1"/>
  <c r="A41" i="10" s="1"/>
  <c r="O38" i="1"/>
  <c r="N38" i="1"/>
  <c r="P37" i="1"/>
  <c r="A40" i="10" s="1"/>
  <c r="O37" i="1"/>
  <c r="N37" i="1"/>
  <c r="P36" i="1"/>
  <c r="Q36" i="1" s="1"/>
  <c r="O36" i="1"/>
  <c r="N36" i="1"/>
  <c r="P35" i="1"/>
  <c r="A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O26" i="1"/>
  <c r="N26" i="1"/>
  <c r="Q25" i="1"/>
  <c r="O25" i="1"/>
  <c r="N25" i="1"/>
  <c r="P24" i="1"/>
  <c r="A27" i="10" s="1"/>
  <c r="O24" i="1"/>
  <c r="N24" i="1"/>
  <c r="P23" i="1"/>
  <c r="A26" i="10" s="1"/>
  <c r="O23" i="1"/>
  <c r="N23" i="1"/>
  <c r="P22" i="1"/>
  <c r="A25" i="10" s="1"/>
  <c r="O22" i="1"/>
  <c r="N22" i="1"/>
  <c r="A24" i="10"/>
  <c r="Z24" i="10" s="1"/>
  <c r="O21" i="1"/>
  <c r="N21" i="1"/>
  <c r="P20" i="1"/>
  <c r="A23" i="10" s="1"/>
  <c r="O20" i="1"/>
  <c r="N20" i="1"/>
  <c r="P19" i="1"/>
  <c r="A22" i="10" s="1"/>
  <c r="O19" i="1"/>
  <c r="N19" i="1"/>
  <c r="P18" i="1"/>
  <c r="A21" i="10" s="1"/>
  <c r="O18" i="1"/>
  <c r="N18" i="1"/>
  <c r="O17" i="1"/>
  <c r="N17" i="1"/>
  <c r="P16" i="1"/>
  <c r="A19" i="10" s="1"/>
  <c r="O16" i="1"/>
  <c r="N16" i="1"/>
  <c r="P15" i="1"/>
  <c r="A18" i="10" s="1"/>
  <c r="O15" i="1"/>
  <c r="N15" i="1"/>
  <c r="P14" i="1"/>
  <c r="A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O8" i="1"/>
  <c r="N8" i="1"/>
  <c r="O7" i="1"/>
  <c r="N7" i="1"/>
  <c r="P6" i="1"/>
  <c r="A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R5" i="10" s="1"/>
  <c r="AB5" i="10" s="1"/>
  <c r="O2" i="1"/>
  <c r="N2" i="1"/>
  <c r="A10" i="10"/>
  <c r="R10" i="10" s="1"/>
  <c r="AB10" i="10" s="1"/>
  <c r="A13" i="10"/>
  <c r="R13" i="10" s="1"/>
  <c r="A14" i="10"/>
  <c r="A15" i="10"/>
  <c r="R15" i="10" s="1"/>
  <c r="A16" i="10"/>
  <c r="R16" i="10" s="1"/>
  <c r="A20" i="10"/>
  <c r="R20" i="10" s="1"/>
  <c r="A30" i="10"/>
  <c r="R30" i="10" s="1"/>
  <c r="AB30" i="10" s="1"/>
  <c r="A33" i="10"/>
  <c r="Z33" i="10" s="1"/>
  <c r="A52" i="10"/>
  <c r="A54" i="10"/>
  <c r="A57" i="10"/>
  <c r="A58" i="10"/>
  <c r="Z58" i="10" s="1"/>
  <c r="A98" i="10"/>
  <c r="Z98" i="10" s="1"/>
  <c r="A106" i="10"/>
  <c r="A116" i="10"/>
  <c r="A121" i="10"/>
  <c r="R121" i="10" s="1"/>
  <c r="A124" i="10"/>
  <c r="Z124" i="10" s="1"/>
  <c r="A129" i="10"/>
  <c r="A137" i="10"/>
  <c r="A138" i="10"/>
  <c r="R138" i="10" s="1"/>
  <c r="A140" i="10"/>
  <c r="A148" i="10"/>
  <c r="A156" i="10"/>
  <c r="A159" i="10"/>
  <c r="A164" i="10"/>
  <c r="A169" i="10"/>
  <c r="A175" i="10"/>
  <c r="A178" i="10"/>
  <c r="A180" i="10"/>
  <c r="A188" i="10"/>
  <c r="A196" i="10"/>
  <c r="A202" i="10"/>
  <c r="A212" i="10"/>
  <c r="A217" i="10"/>
  <c r="A218" i="10"/>
  <c r="A220" i="10"/>
  <c r="A226" i="10"/>
  <c r="A228" i="10"/>
  <c r="A233" i="10"/>
  <c r="Z233" i="10" s="1"/>
  <c r="A236" i="10"/>
  <c r="A241" i="10"/>
  <c r="A247" i="10"/>
  <c r="A250" i="10"/>
  <c r="A257" i="10"/>
  <c r="A264" i="10"/>
  <c r="A271" i="10"/>
  <c r="A272" i="10"/>
  <c r="A276" i="10"/>
  <c r="A287" i="10"/>
  <c r="A289" i="10"/>
  <c r="A292" i="10"/>
  <c r="A295" i="10"/>
  <c r="A300" i="10"/>
  <c r="A308" i="10"/>
  <c r="A311" i="10"/>
  <c r="A314" i="10"/>
  <c r="A316" i="10"/>
  <c r="R316" i="10" s="1"/>
  <c r="A319" i="10"/>
  <c r="A327" i="10"/>
  <c r="A330" i="10"/>
  <c r="A335" i="10"/>
  <c r="A338" i="10"/>
  <c r="A346" i="10"/>
  <c r="A348" i="10"/>
  <c r="R348" i="10" s="1"/>
  <c r="A350" i="10"/>
  <c r="R350" i="10" s="1"/>
  <c r="A353" i="10"/>
  <c r="R353" i="10" s="1"/>
  <c r="A354" i="10"/>
  <c r="R354" i="10" s="1"/>
  <c r="A356" i="10"/>
  <c r="A364" i="10"/>
  <c r="A367" i="10"/>
  <c r="A372" i="10"/>
  <c r="A380" i="10"/>
  <c r="A388" i="10"/>
  <c r="A396" i="10"/>
  <c r="A399" i="10"/>
  <c r="A400" i="10"/>
  <c r="A404" i="10"/>
  <c r="A407" i="10"/>
  <c r="A412" i="10"/>
  <c r="A420" i="10"/>
  <c r="A428" i="10"/>
  <c r="Z428" i="10" s="1"/>
  <c r="A434" i="10"/>
  <c r="A439" i="10"/>
  <c r="A442" i="10"/>
  <c r="Z442" i="10" s="1"/>
  <c r="A450" i="10"/>
  <c r="A452" i="10"/>
  <c r="Z452" i="10" s="1"/>
  <c r="A454" i="10"/>
  <c r="R454" i="10" s="1"/>
  <c r="A455" i="10"/>
  <c r="A463" i="10"/>
  <c r="A466" i="10"/>
  <c r="A471" i="10"/>
  <c r="R471" i="10" s="1"/>
  <c r="A474" i="10"/>
  <c r="A482" i="10"/>
  <c r="A490" i="10"/>
  <c r="A498" i="10"/>
  <c r="A506" i="10"/>
  <c r="A514" i="10"/>
  <c r="A522" i="10"/>
  <c r="A524" i="10"/>
  <c r="A528" i="10"/>
  <c r="A530" i="10"/>
  <c r="A536" i="10"/>
  <c r="A537" i="10"/>
  <c r="A538" i="10"/>
  <c r="A542" i="10"/>
  <c r="A546" i="10"/>
  <c r="Z546" i="10" s="1"/>
  <c r="A554" i="10"/>
  <c r="A562" i="10"/>
  <c r="A569" i="10"/>
  <c r="A570" i="10"/>
  <c r="A574" i="10"/>
  <c r="A577" i="10"/>
  <c r="A584" i="10"/>
  <c r="A585" i="10"/>
  <c r="A592" i="10"/>
  <c r="A594" i="10"/>
  <c r="A600" i="10"/>
  <c r="A601" i="10"/>
  <c r="A609" i="10"/>
  <c r="A615" i="10"/>
  <c r="R615" i="10" s="1"/>
  <c r="A617" i="10"/>
  <c r="A625" i="10"/>
  <c r="A626" i="10"/>
  <c r="R626" i="10" s="1"/>
  <c r="AB626" i="10" s="1"/>
  <c r="A628" i="10"/>
  <c r="A636" i="10"/>
  <c r="A641" i="10"/>
  <c r="A650" i="10"/>
  <c r="A654" i="10"/>
  <c r="A655" i="10"/>
  <c r="A657" i="10"/>
  <c r="A658" i="10"/>
  <c r="A663" i="10"/>
  <c r="A665" i="10"/>
  <c r="A666" i="10"/>
  <c r="A673" i="10"/>
  <c r="A674" i="10"/>
  <c r="A676" i="10"/>
  <c r="R676" i="10" s="1"/>
  <c r="A681" i="10"/>
  <c r="R681" i="10" s="1"/>
  <c r="A682" i="10"/>
  <c r="A684" i="10"/>
  <c r="A689" i="10"/>
  <c r="A690" i="10"/>
  <c r="A692" i="10"/>
  <c r="A694" i="10"/>
  <c r="A697" i="10"/>
  <c r="A700" i="10"/>
  <c r="A705" i="10"/>
  <c r="A708" i="10"/>
  <c r="A711" i="10"/>
  <c r="R711" i="10" s="1"/>
  <c r="A716" i="10"/>
  <c r="A719" i="10"/>
  <c r="A722" i="10"/>
  <c r="Z722" i="10" s="1"/>
  <c r="A724" i="10"/>
  <c r="A726" i="10"/>
  <c r="R726" i="10" s="1"/>
  <c r="A730" i="10"/>
  <c r="R730" i="10" s="1"/>
  <c r="A735" i="10"/>
  <c r="A738" i="10"/>
  <c r="R738" i="10" s="1"/>
  <c r="A743" i="10"/>
  <c r="R743" i="10" s="1"/>
  <c r="A745" i="10"/>
  <c r="R745" i="10" s="1"/>
  <c r="AB745" i="10" s="1"/>
  <c r="A746" i="10"/>
  <c r="R746" i="10" s="1"/>
  <c r="A748" i="10"/>
  <c r="A749" i="10"/>
  <c r="A753" i="10"/>
  <c r="R753" i="10" s="1"/>
  <c r="A760" i="10"/>
  <c r="A761" i="10"/>
  <c r="R761" i="10" s="1"/>
  <c r="A768" i="10"/>
  <c r="R768" i="10" s="1"/>
  <c r="A769" i="10"/>
  <c r="R769" i="10" s="1"/>
  <c r="A772" i="10"/>
  <c r="A773" i="10"/>
  <c r="R773" i="10" s="1"/>
  <c r="AB773" i="10" s="1"/>
  <c r="A777" i="10"/>
  <c r="A780" i="10"/>
  <c r="R780" i="10" s="1"/>
  <c r="AB780" i="10" s="1"/>
  <c r="A784" i="10"/>
  <c r="R784" i="10" s="1"/>
  <c r="A785" i="10"/>
  <c r="R785" i="10" s="1"/>
  <c r="A786" i="10"/>
  <c r="A792" i="10"/>
  <c r="A793" i="10"/>
  <c r="A794" i="10"/>
  <c r="A800" i="10"/>
  <c r="R800" i="10" s="1"/>
  <c r="A801" i="10"/>
  <c r="R801" i="10" s="1"/>
  <c r="A807" i="10"/>
  <c r="A808" i="10"/>
  <c r="A809" i="10"/>
  <c r="R809" i="10" s="1"/>
  <c r="A813" i="10"/>
  <c r="R813" i="10" s="1"/>
  <c r="A815" i="10"/>
  <c r="R815" i="10" s="1"/>
  <c r="A818" i="10"/>
  <c r="A823" i="10"/>
  <c r="A824" i="10"/>
  <c r="R824" i="10" s="1"/>
  <c r="A825" i="10"/>
  <c r="A828" i="10"/>
  <c r="R828" i="10" s="1"/>
  <c r="A832" i="10"/>
  <c r="A833" i="10"/>
  <c r="R833" i="10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6" i="12"/>
  <c r="B7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35" i="1"/>
  <c r="Q41" i="1"/>
  <c r="Q51" i="1"/>
  <c r="Q57" i="1"/>
  <c r="Q73" i="1"/>
  <c r="Q89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89" i="1"/>
  <c r="Q297" i="1"/>
  <c r="Q299" i="1"/>
  <c r="Q305" i="1"/>
  <c r="Q313" i="1"/>
  <c r="Q339" i="1"/>
  <c r="Q343" i="1"/>
  <c r="Q345" i="1"/>
  <c r="Q351" i="1"/>
  <c r="Q353" i="1"/>
  <c r="Q361" i="1"/>
  <c r="Q369" i="1"/>
  <c r="Q377" i="1"/>
  <c r="Q393" i="1"/>
  <c r="Q409" i="1"/>
  <c r="Q411" i="1"/>
  <c r="Q417" i="1"/>
  <c r="Q425" i="1"/>
  <c r="Q451" i="1"/>
  <c r="Q471" i="1"/>
  <c r="Q479" i="1"/>
  <c r="Q483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17" i="1"/>
  <c r="Q625" i="1"/>
  <c r="Q633" i="1"/>
  <c r="Q651" i="1"/>
  <c r="Q663" i="1"/>
  <c r="Q667" i="1"/>
  <c r="Q673" i="1"/>
  <c r="Q681" i="1"/>
  <c r="Q689" i="1"/>
  <c r="Q697" i="1"/>
  <c r="Q705" i="1"/>
  <c r="Q713" i="1"/>
  <c r="Q721" i="1"/>
  <c r="Q723" i="1"/>
  <c r="Q729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6" i="1"/>
  <c r="Q7" i="1"/>
  <c r="Q10" i="1"/>
  <c r="Q12" i="1"/>
  <c r="Q17" i="1"/>
  <c r="Q20" i="1"/>
  <c r="Q21" i="1"/>
  <c r="Q30" i="1"/>
  <c r="Q31" i="1"/>
  <c r="Q38" i="1"/>
  <c r="Q39" i="1"/>
  <c r="Q54" i="1"/>
  <c r="Q55" i="1"/>
  <c r="Q65" i="1"/>
  <c r="Q70" i="1"/>
  <c r="Q86" i="1"/>
  <c r="Q93" i="1"/>
  <c r="Q94" i="1"/>
  <c r="Q95" i="1"/>
  <c r="Q103" i="1"/>
  <c r="Q106" i="1"/>
  <c r="Q111" i="1"/>
  <c r="Q112" i="1"/>
  <c r="Q118" i="1"/>
  <c r="Q122" i="1"/>
  <c r="Q126" i="1"/>
  <c r="Q130" i="1"/>
  <c r="Q134" i="1"/>
  <c r="Q135" i="1"/>
  <c r="Q142" i="1"/>
  <c r="Q145" i="1"/>
  <c r="Q150" i="1"/>
  <c r="Q156" i="1"/>
  <c r="Q167" i="1"/>
  <c r="Q175" i="1"/>
  <c r="Q182" i="1"/>
  <c r="Q188" i="1"/>
  <c r="Q191" i="1"/>
  <c r="Q193" i="1"/>
  <c r="Q198" i="1"/>
  <c r="Q199" i="1"/>
  <c r="Q200" i="1"/>
  <c r="Q206" i="1"/>
  <c r="Q207" i="1"/>
  <c r="Q209" i="1"/>
  <c r="Q222" i="1"/>
  <c r="Q230" i="1"/>
  <c r="Q245" i="1"/>
  <c r="Q257" i="1"/>
  <c r="Q262" i="1"/>
  <c r="Q269" i="1"/>
  <c r="Q273" i="1"/>
  <c r="Q277" i="1"/>
  <c r="Q284" i="1"/>
  <c r="Q285" i="1"/>
  <c r="Q293" i="1"/>
  <c r="Q301" i="1"/>
  <c r="Q308" i="1"/>
  <c r="Q309" i="1"/>
  <c r="Q310" i="1"/>
  <c r="Q316" i="1"/>
  <c r="Q319" i="1"/>
  <c r="Q320" i="1"/>
  <c r="Q324" i="1"/>
  <c r="Q332" i="1"/>
  <c r="Q335" i="1"/>
  <c r="Q340" i="1"/>
  <c r="Q350" i="1"/>
  <c r="Q352" i="1"/>
  <c r="Q357" i="1"/>
  <c r="Q365" i="1"/>
  <c r="Q372" i="1"/>
  <c r="Q373" i="1"/>
  <c r="Q376" i="1"/>
  <c r="Q381" i="1"/>
  <c r="Q383" i="1"/>
  <c r="Q385" i="1"/>
  <c r="Q389" i="1"/>
  <c r="Q396" i="1"/>
  <c r="Q397" i="1"/>
  <c r="Q401" i="1"/>
  <c r="Q402" i="1"/>
  <c r="Q405" i="1"/>
  <c r="Q421" i="1"/>
  <c r="Q423" i="1"/>
  <c r="Q428" i="1"/>
  <c r="Q429" i="1"/>
  <c r="Q437" i="1"/>
  <c r="Q445" i="1"/>
  <c r="Q447" i="1"/>
  <c r="Q449" i="1"/>
  <c r="Q450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6" i="1"/>
  <c r="Q538" i="1"/>
  <c r="Q541" i="1"/>
  <c r="Q542" i="1"/>
  <c r="Q550" i="1"/>
  <c r="Q551" i="1"/>
  <c r="Q557" i="1"/>
  <c r="Q558" i="1"/>
  <c r="Q559" i="1"/>
  <c r="Q566" i="1"/>
  <c r="Q573" i="1"/>
  <c r="Q575" i="1"/>
  <c r="Q581" i="1"/>
  <c r="Q582" i="1"/>
  <c r="Q583" i="1"/>
  <c r="Q589" i="1"/>
  <c r="Q590" i="1"/>
  <c r="Q597" i="1"/>
  <c r="Q598" i="1"/>
  <c r="Q602" i="1"/>
  <c r="Q605" i="1"/>
  <c r="Q606" i="1"/>
  <c r="Q612" i="1"/>
  <c r="Q613" i="1"/>
  <c r="Q614" i="1"/>
  <c r="Q620" i="1"/>
  <c r="Q622" i="1"/>
  <c r="Q623" i="1"/>
  <c r="Q628" i="1"/>
  <c r="Q629" i="1"/>
  <c r="Q636" i="1"/>
  <c r="Q641" i="1"/>
  <c r="Q644" i="1"/>
  <c r="Q647" i="1"/>
  <c r="Q652" i="1"/>
  <c r="Q654" i="1"/>
  <c r="Q655" i="1"/>
  <c r="Q657" i="1"/>
  <c r="Q662" i="1"/>
  <c r="Q670" i="1"/>
  <c r="Q678" i="1"/>
  <c r="Q679" i="1"/>
  <c r="Q686" i="1"/>
  <c r="Q687" i="1"/>
  <c r="Q693" i="1"/>
  <c r="Q694" i="1"/>
  <c r="Q695" i="1"/>
  <c r="Q702" i="1"/>
  <c r="Q703" i="1"/>
  <c r="Q708" i="1"/>
  <c r="Q709" i="1"/>
  <c r="Q714" i="1"/>
  <c r="Q716" i="1"/>
  <c r="Q727" i="1"/>
  <c r="Q730" i="1"/>
  <c r="Q735" i="1"/>
  <c r="Q738" i="1"/>
  <c r="Q740" i="1"/>
  <c r="Q743" i="1"/>
  <c r="Q744" i="1"/>
  <c r="Q749" i="1"/>
  <c r="Q750" i="1"/>
  <c r="Q754" i="1"/>
  <c r="Q756" i="1"/>
  <c r="Q757" i="1"/>
  <c r="Q758" i="1"/>
  <c r="Q762" i="1"/>
  <c r="Q765" i="1"/>
  <c r="Q766" i="1"/>
  <c r="Q767" i="1"/>
  <c r="Q770" i="1"/>
  <c r="Q774" i="1"/>
  <c r="Q775" i="1"/>
  <c r="Q778" i="1"/>
  <c r="Q781" i="1"/>
  <c r="Q782" i="1"/>
  <c r="Q786" i="1"/>
  <c r="Q789" i="1"/>
  <c r="Q790" i="1"/>
  <c r="Q794" i="1"/>
  <c r="Q796" i="1"/>
  <c r="Q797" i="1"/>
  <c r="Q798" i="1"/>
  <c r="Q804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C837" i="10" a="1"/>
  <c r="AB616" i="10" l="1"/>
  <c r="AB471" i="10"/>
  <c r="AC837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A775" i="10"/>
  <c r="R775" i="10" s="1"/>
  <c r="AB775" i="10" s="1"/>
  <c r="A444" i="10"/>
  <c r="Y444" i="10" s="1"/>
  <c r="A410" i="10"/>
  <c r="R410" i="10" s="1"/>
  <c r="AB410" i="10" s="1"/>
  <c r="A255" i="10"/>
  <c r="R255" i="10" s="1"/>
  <c r="Q342" i="1"/>
  <c r="A497" i="10"/>
  <c r="A370" i="10"/>
  <c r="R370" i="10" s="1"/>
  <c r="AB370" i="10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754" i="10"/>
  <c r="R754" i="10" s="1"/>
  <c r="A649" i="10"/>
  <c r="A493" i="10"/>
  <c r="A436" i="10"/>
  <c r="V436" i="10" s="1"/>
  <c r="A664" i="10"/>
  <c r="A146" i="10"/>
  <c r="Q764" i="1"/>
  <c r="Q174" i="1"/>
  <c r="Q87" i="1"/>
  <c r="Q62" i="1"/>
  <c r="Q26" i="1"/>
  <c r="Q665" i="1"/>
  <c r="A337" i="10"/>
  <c r="A310" i="10"/>
  <c r="A94" i="10"/>
  <c r="P94" i="10" s="1"/>
  <c r="A8" i="10"/>
  <c r="O8" i="10" s="1"/>
  <c r="A751" i="10"/>
  <c r="R751" i="10" s="1"/>
  <c r="Q802" i="1"/>
  <c r="Q759" i="1"/>
  <c r="Q618" i="1"/>
  <c r="Q518" i="1"/>
  <c r="Q418" i="1"/>
  <c r="Q394" i="1"/>
  <c r="Q221" i="1"/>
  <c r="Q79" i="1"/>
  <c r="Q375" i="1"/>
  <c r="Q329" i="1"/>
  <c r="A394" i="10"/>
  <c r="X394" i="10" s="1"/>
  <c r="A200" i="10"/>
  <c r="Q124" i="1"/>
  <c r="Q637" i="1"/>
  <c r="Q413" i="1"/>
  <c r="Q158" i="1"/>
  <c r="Q78" i="1"/>
  <c r="Q40" i="1"/>
  <c r="Q649" i="1"/>
  <c r="Z213" i="10"/>
  <c r="R213" i="10"/>
  <c r="Z229" i="10"/>
  <c r="R229" i="10"/>
  <c r="Z321" i="10"/>
  <c r="R321" i="10"/>
  <c r="Z470" i="10"/>
  <c r="R470" i="10"/>
  <c r="Z637" i="10"/>
  <c r="R637" i="10"/>
  <c r="Z822" i="10"/>
  <c r="R822" i="10"/>
  <c r="Z772" i="10"/>
  <c r="R772" i="10"/>
  <c r="AB772" i="10" s="1"/>
  <c r="Z705" i="10"/>
  <c r="R705" i="10"/>
  <c r="Z530" i="10"/>
  <c r="R530" i="10"/>
  <c r="Z313" i="10"/>
  <c r="R313" i="10"/>
  <c r="Z340" i="10"/>
  <c r="R340" i="10"/>
  <c r="Z357" i="10"/>
  <c r="R357" i="10"/>
  <c r="Z381" i="10"/>
  <c r="R381" i="10"/>
  <c r="Z465" i="10"/>
  <c r="R465" i="10"/>
  <c r="Z686" i="10"/>
  <c r="R686" i="10"/>
  <c r="Z808" i="10"/>
  <c r="R808" i="10"/>
  <c r="Z727" i="10"/>
  <c r="R727" i="10"/>
  <c r="Z689" i="10"/>
  <c r="R689" i="10"/>
  <c r="Z666" i="10"/>
  <c r="R666" i="10"/>
  <c r="Z655" i="10"/>
  <c r="R655" i="10"/>
  <c r="Z600" i="10"/>
  <c r="R600" i="10"/>
  <c r="Z574" i="10"/>
  <c r="R574" i="10"/>
  <c r="AB574" i="10" s="1"/>
  <c r="Z537" i="10"/>
  <c r="R537" i="10"/>
  <c r="Z506" i="10"/>
  <c r="R506" i="10"/>
  <c r="Z474" i="10"/>
  <c r="R474" i="10"/>
  <c r="Z444" i="10"/>
  <c r="R444" i="10"/>
  <c r="AB444" i="10" s="1"/>
  <c r="Z380" i="10"/>
  <c r="R380" i="10"/>
  <c r="Z319" i="10"/>
  <c r="R319" i="10"/>
  <c r="Z292" i="10"/>
  <c r="R292" i="10"/>
  <c r="Z255" i="10"/>
  <c r="Z220" i="10"/>
  <c r="R220" i="10"/>
  <c r="AB220" i="10" s="1"/>
  <c r="Z193" i="10"/>
  <c r="R193" i="10"/>
  <c r="Z156" i="10"/>
  <c r="R156" i="10"/>
  <c r="Z57" i="10"/>
  <c r="R57" i="10"/>
  <c r="AB57" i="10" s="1"/>
  <c r="Z11" i="10"/>
  <c r="R11" i="10"/>
  <c r="AB11" i="10" s="1"/>
  <c r="Z23" i="10"/>
  <c r="R23" i="10"/>
  <c r="AB23" i="10" s="1"/>
  <c r="Z56" i="10"/>
  <c r="R56" i="10"/>
  <c r="AB56" i="10" s="1"/>
  <c r="Z59" i="10"/>
  <c r="R59" i="10"/>
  <c r="Z67" i="10"/>
  <c r="R67" i="10"/>
  <c r="Z75" i="10"/>
  <c r="R75" i="10"/>
  <c r="Z83" i="10"/>
  <c r="R83" i="10"/>
  <c r="Z91" i="10"/>
  <c r="R91" i="10"/>
  <c r="Z102" i="10"/>
  <c r="R102" i="10"/>
  <c r="Z113" i="10"/>
  <c r="R113" i="10"/>
  <c r="Z132" i="10"/>
  <c r="R132" i="10"/>
  <c r="Z143" i="10"/>
  <c r="R143" i="10"/>
  <c r="Z151" i="10"/>
  <c r="R151" i="10"/>
  <c r="Z170" i="10"/>
  <c r="R170" i="10"/>
  <c r="Z194" i="10"/>
  <c r="R194" i="10"/>
  <c r="Z210" i="10"/>
  <c r="R210" i="10"/>
  <c r="Z248" i="10"/>
  <c r="R248" i="10"/>
  <c r="Z256" i="10"/>
  <c r="R256" i="10"/>
  <c r="AB256" i="10" s="1"/>
  <c r="Z280" i="10"/>
  <c r="R280" i="10"/>
  <c r="AB280" i="10" s="1"/>
  <c r="Z291" i="10"/>
  <c r="R291" i="10"/>
  <c r="Z299" i="10"/>
  <c r="R299" i="10"/>
  <c r="Z307" i="10"/>
  <c r="R307" i="10"/>
  <c r="Z315" i="10"/>
  <c r="R315" i="10"/>
  <c r="Z318" i="10"/>
  <c r="R318" i="10"/>
  <c r="Z326" i="10"/>
  <c r="R326" i="10"/>
  <c r="AB326" i="10" s="1"/>
  <c r="Z334" i="10"/>
  <c r="R334" i="10"/>
  <c r="Z342" i="10"/>
  <c r="R342" i="10"/>
  <c r="AB342" i="10" s="1"/>
  <c r="Z359" i="10"/>
  <c r="R359" i="10"/>
  <c r="AB359" i="10" s="1"/>
  <c r="Z375" i="10"/>
  <c r="R375" i="10"/>
  <c r="Z418" i="10"/>
  <c r="R418" i="10"/>
  <c r="Z426" i="10"/>
  <c r="R426" i="10"/>
  <c r="Z429" i="10"/>
  <c r="R429" i="10"/>
  <c r="Z437" i="10"/>
  <c r="R437" i="10"/>
  <c r="Z445" i="10"/>
  <c r="R445" i="10"/>
  <c r="Z459" i="10"/>
  <c r="R459" i="10"/>
  <c r="Z467" i="10"/>
  <c r="R467" i="10"/>
  <c r="Z486" i="10"/>
  <c r="R486" i="10"/>
  <c r="Z502" i="10"/>
  <c r="R502" i="10"/>
  <c r="AB502" i="10" s="1"/>
  <c r="Z518" i="10"/>
  <c r="R518" i="10"/>
  <c r="Z526" i="10"/>
  <c r="R526" i="10"/>
  <c r="Z553" i="10"/>
  <c r="R553" i="10"/>
  <c r="AB553" i="10" s="1"/>
  <c r="Z561" i="10"/>
  <c r="R561" i="10"/>
  <c r="Z572" i="10"/>
  <c r="R572" i="10"/>
  <c r="Z580" i="10"/>
  <c r="R580" i="10"/>
  <c r="Z588" i="10"/>
  <c r="R588" i="10"/>
  <c r="Z604" i="10"/>
  <c r="R604" i="10"/>
  <c r="Z612" i="10"/>
  <c r="R612" i="10"/>
  <c r="Z623" i="10"/>
  <c r="R623" i="10"/>
  <c r="Z634" i="10"/>
  <c r="R634" i="10"/>
  <c r="Z642" i="10"/>
  <c r="R642" i="10"/>
  <c r="Z653" i="10"/>
  <c r="R653" i="10"/>
  <c r="Z669" i="10"/>
  <c r="R669" i="10"/>
  <c r="Z680" i="10"/>
  <c r="R680" i="10"/>
  <c r="AB680" i="10" s="1"/>
  <c r="Z688" i="10"/>
  <c r="R688" i="10"/>
  <c r="Z704" i="10"/>
  <c r="R704" i="10"/>
  <c r="Z715" i="10"/>
  <c r="R715" i="10"/>
  <c r="Z723" i="10"/>
  <c r="R723" i="10"/>
  <c r="Z737" i="10"/>
  <c r="R737" i="10"/>
  <c r="Z764" i="10"/>
  <c r="R764" i="10"/>
  <c r="Z796" i="10"/>
  <c r="R796" i="10"/>
  <c r="Z834" i="10"/>
  <c r="R834" i="10"/>
  <c r="Z786" i="10"/>
  <c r="R786" i="10"/>
  <c r="AB786" i="10" s="1"/>
  <c r="Z372" i="10"/>
  <c r="R372" i="10"/>
  <c r="Z250" i="10"/>
  <c r="R250" i="10"/>
  <c r="Z148" i="10"/>
  <c r="R148" i="10"/>
  <c r="AB148" i="10" s="1"/>
  <c r="Z54" i="10"/>
  <c r="R54" i="10"/>
  <c r="Z40" i="10"/>
  <c r="R40" i="10"/>
  <c r="AB40" i="10" s="1"/>
  <c r="Z127" i="10"/>
  <c r="R127" i="10"/>
  <c r="Z625" i="10"/>
  <c r="R625" i="10"/>
  <c r="Z570" i="10"/>
  <c r="R570" i="10"/>
  <c r="Z407" i="10"/>
  <c r="R407" i="10"/>
  <c r="AB407" i="10" s="1"/>
  <c r="Z289" i="10"/>
  <c r="R289" i="10"/>
  <c r="Z188" i="10"/>
  <c r="R188" i="10"/>
  <c r="Z62" i="10"/>
  <c r="R62" i="10"/>
  <c r="Z78" i="10"/>
  <c r="R78" i="10"/>
  <c r="Z283" i="10"/>
  <c r="R283" i="10"/>
  <c r="Z329" i="10"/>
  <c r="R329" i="10"/>
  <c r="AB329" i="10" s="1"/>
  <c r="Z556" i="10"/>
  <c r="R556" i="10"/>
  <c r="AB556" i="10" s="1"/>
  <c r="Z564" i="10"/>
  <c r="R564" i="10"/>
  <c r="AB564" i="10" s="1"/>
  <c r="Z599" i="10"/>
  <c r="R599" i="10"/>
  <c r="Z683" i="10"/>
  <c r="R683" i="10"/>
  <c r="Z43" i="10"/>
  <c r="R43" i="10"/>
  <c r="Z73" i="10"/>
  <c r="R73" i="10"/>
  <c r="Z119" i="10"/>
  <c r="R119" i="10"/>
  <c r="AB119" i="10" s="1"/>
  <c r="Z160" i="10"/>
  <c r="R160" i="10"/>
  <c r="Z246" i="10"/>
  <c r="R246" i="10"/>
  <c r="Z405" i="10"/>
  <c r="R405" i="10"/>
  <c r="Z424" i="10"/>
  <c r="R424" i="10"/>
  <c r="AB424" i="10" s="1"/>
  <c r="Z451" i="10"/>
  <c r="R451" i="10"/>
  <c r="Z500" i="10"/>
  <c r="R500" i="10"/>
  <c r="Z770" i="10"/>
  <c r="R770" i="10"/>
  <c r="Z754" i="10"/>
  <c r="Z740" i="10"/>
  <c r="R740" i="10"/>
  <c r="Z700" i="10"/>
  <c r="R700" i="10"/>
  <c r="Z663" i="10"/>
  <c r="R663" i="10"/>
  <c r="Z649" i="10"/>
  <c r="R649" i="10"/>
  <c r="Z586" i="10"/>
  <c r="R586" i="10"/>
  <c r="Z562" i="10"/>
  <c r="R562" i="10"/>
  <c r="Z529" i="10"/>
  <c r="R529" i="10"/>
  <c r="Z493" i="10"/>
  <c r="R493" i="10"/>
  <c r="Z463" i="10"/>
  <c r="R463" i="10"/>
  <c r="AB463" i="10" s="1"/>
  <c r="Z400" i="10"/>
  <c r="R400" i="10"/>
  <c r="Z367" i="10"/>
  <c r="R367" i="10"/>
  <c r="Z338" i="10"/>
  <c r="R338" i="10"/>
  <c r="AB338" i="10" s="1"/>
  <c r="Z311" i="10"/>
  <c r="R311" i="10"/>
  <c r="Z276" i="10"/>
  <c r="R276" i="10"/>
  <c r="AB276" i="10" s="1"/>
  <c r="Z241" i="10"/>
  <c r="R241" i="10"/>
  <c r="Z212" i="10"/>
  <c r="R212" i="10"/>
  <c r="Z178" i="10"/>
  <c r="R178" i="10"/>
  <c r="Z140" i="10"/>
  <c r="R140" i="10"/>
  <c r="Z44" i="10"/>
  <c r="R44" i="10"/>
  <c r="Z9" i="10"/>
  <c r="R9" i="10"/>
  <c r="Z38" i="10"/>
  <c r="R38" i="10"/>
  <c r="Z60" i="10"/>
  <c r="R60" i="10"/>
  <c r="Z68" i="10"/>
  <c r="R68" i="10"/>
  <c r="Z76" i="10"/>
  <c r="R76" i="10"/>
  <c r="Z84" i="10"/>
  <c r="R84" i="10"/>
  <c r="Z92" i="10"/>
  <c r="R92" i="10"/>
  <c r="Z103" i="10"/>
  <c r="R103" i="10"/>
  <c r="Z114" i="10"/>
  <c r="R114" i="10"/>
  <c r="AB114" i="10" s="1"/>
  <c r="Z125" i="10"/>
  <c r="R125" i="10"/>
  <c r="Z133" i="10"/>
  <c r="R133" i="10"/>
  <c r="Z163" i="10"/>
  <c r="R163" i="10"/>
  <c r="Z171" i="10"/>
  <c r="R171" i="10"/>
  <c r="Z179" i="10"/>
  <c r="R179" i="10"/>
  <c r="Z187" i="10"/>
  <c r="R187" i="10"/>
  <c r="Z195" i="10"/>
  <c r="R195" i="10"/>
  <c r="Z203" i="10"/>
  <c r="R203" i="10"/>
  <c r="Z211" i="10"/>
  <c r="R211" i="10"/>
  <c r="Z219" i="10"/>
  <c r="R219" i="10"/>
  <c r="Z227" i="10"/>
  <c r="R227" i="10"/>
  <c r="Z265" i="10"/>
  <c r="R265" i="10"/>
  <c r="Z281" i="10"/>
  <c r="R281" i="10"/>
  <c r="Z343" i="10"/>
  <c r="R343" i="10"/>
  <c r="Z360" i="10"/>
  <c r="R360" i="10"/>
  <c r="Z376" i="10"/>
  <c r="R376" i="10"/>
  <c r="Z384" i="10"/>
  <c r="R384" i="10"/>
  <c r="Z408" i="10"/>
  <c r="R408" i="10"/>
  <c r="Z419" i="10"/>
  <c r="R419" i="10"/>
  <c r="Z427" i="10"/>
  <c r="R427" i="10"/>
  <c r="Z438" i="10"/>
  <c r="R438" i="10"/>
  <c r="AB438" i="10" s="1"/>
  <c r="Z460" i="10"/>
  <c r="R460" i="10"/>
  <c r="Z468" i="10"/>
  <c r="R468" i="10"/>
  <c r="Z479" i="10"/>
  <c r="R479" i="10"/>
  <c r="Z487" i="10"/>
  <c r="R487" i="10"/>
  <c r="Z503" i="10"/>
  <c r="R503" i="10"/>
  <c r="AB503" i="10" s="1"/>
  <c r="Z519" i="10"/>
  <c r="R519" i="10"/>
  <c r="Z543" i="10"/>
  <c r="R543" i="10"/>
  <c r="Z573" i="10"/>
  <c r="R573" i="10"/>
  <c r="Z581" i="10"/>
  <c r="R581" i="10"/>
  <c r="Z589" i="10"/>
  <c r="R589" i="10"/>
  <c r="Z597" i="10"/>
  <c r="R597" i="10"/>
  <c r="Z605" i="10"/>
  <c r="R605" i="10"/>
  <c r="Z624" i="10"/>
  <c r="R624" i="10"/>
  <c r="AB624" i="10" s="1"/>
  <c r="Z635" i="10"/>
  <c r="R635" i="10"/>
  <c r="Z643" i="10"/>
  <c r="R643" i="10"/>
  <c r="Z662" i="10"/>
  <c r="R662" i="10"/>
  <c r="AB662" i="10" s="1"/>
  <c r="Z670" i="10"/>
  <c r="R670" i="10"/>
  <c r="Z765" i="10"/>
  <c r="R765" i="10"/>
  <c r="AB765" i="10" s="1"/>
  <c r="Z781" i="10"/>
  <c r="R781" i="10"/>
  <c r="Z797" i="10"/>
  <c r="R797" i="10"/>
  <c r="Z820" i="10"/>
  <c r="R820" i="10"/>
  <c r="Z708" i="10"/>
  <c r="R708" i="10"/>
  <c r="Z165" i="10"/>
  <c r="R165" i="10"/>
  <c r="Z173" i="10"/>
  <c r="R173" i="10"/>
  <c r="Z197" i="10"/>
  <c r="R197" i="10"/>
  <c r="Z251" i="10"/>
  <c r="R251" i="10"/>
  <c r="Z259" i="10"/>
  <c r="R259" i="10"/>
  <c r="AB259" i="10" s="1"/>
  <c r="Z275" i="10"/>
  <c r="R275" i="10"/>
  <c r="Z294" i="10"/>
  <c r="R294" i="10"/>
  <c r="Z302" i="10"/>
  <c r="R302" i="10"/>
  <c r="Z362" i="10"/>
  <c r="R362" i="10"/>
  <c r="Z378" i="10"/>
  <c r="R378" i="10"/>
  <c r="Z402" i="10"/>
  <c r="R402" i="10"/>
  <c r="Z440" i="10"/>
  <c r="R440" i="10"/>
  <c r="Z505" i="10"/>
  <c r="R505" i="10"/>
  <c r="Z545" i="10"/>
  <c r="R545" i="10"/>
  <c r="Z718" i="10"/>
  <c r="R718" i="10"/>
  <c r="Z724" i="10"/>
  <c r="R724" i="10"/>
  <c r="Z650" i="10"/>
  <c r="R650" i="10"/>
  <c r="Z497" i="10"/>
  <c r="R497" i="10"/>
  <c r="Z439" i="10"/>
  <c r="R439" i="10"/>
  <c r="AB439" i="10" s="1"/>
  <c r="Z287" i="10"/>
  <c r="R287" i="10"/>
  <c r="Z217" i="10"/>
  <c r="R217" i="10"/>
  <c r="AB217" i="10" s="1"/>
  <c r="Z146" i="10"/>
  <c r="R146" i="10"/>
  <c r="Z52" i="10"/>
  <c r="R52" i="10"/>
  <c r="Z332" i="10"/>
  <c r="R332" i="10"/>
  <c r="AB332" i="10" s="1"/>
  <c r="Z373" i="10"/>
  <c r="R373" i="10"/>
  <c r="Z397" i="10"/>
  <c r="R397" i="10"/>
  <c r="Z435" i="10"/>
  <c r="R435" i="10"/>
  <c r="Z443" i="10"/>
  <c r="R443" i="10"/>
  <c r="Z457" i="10"/>
  <c r="R457" i="10"/>
  <c r="Z492" i="10"/>
  <c r="R492" i="10"/>
  <c r="Z532" i="10"/>
  <c r="R532" i="10"/>
  <c r="Z818" i="10"/>
  <c r="R818" i="10"/>
  <c r="Z783" i="10"/>
  <c r="R783" i="10"/>
  <c r="Z721" i="10"/>
  <c r="R721" i="10"/>
  <c r="Z697" i="10"/>
  <c r="R697" i="10"/>
  <c r="AB697" i="10" s="1"/>
  <c r="Z660" i="10"/>
  <c r="R660" i="10"/>
  <c r="Z648" i="10"/>
  <c r="R648" i="10"/>
  <c r="AB648" i="10" s="1"/>
  <c r="Z610" i="10"/>
  <c r="R610" i="10"/>
  <c r="Z585" i="10"/>
  <c r="R585" i="10"/>
  <c r="Z554" i="10"/>
  <c r="R554" i="10"/>
  <c r="Z528" i="10"/>
  <c r="R528" i="10"/>
  <c r="Z490" i="10"/>
  <c r="R490" i="10"/>
  <c r="Z455" i="10"/>
  <c r="R455" i="10"/>
  <c r="AB455" i="10" s="1"/>
  <c r="Z434" i="10"/>
  <c r="R434" i="10"/>
  <c r="Z399" i="10"/>
  <c r="R399" i="10"/>
  <c r="Z364" i="10"/>
  <c r="R364" i="10"/>
  <c r="Z337" i="10"/>
  <c r="R337" i="10"/>
  <c r="Z310" i="10"/>
  <c r="R310" i="10"/>
  <c r="Z272" i="10"/>
  <c r="R272" i="10"/>
  <c r="Z236" i="10"/>
  <c r="R236" i="10"/>
  <c r="Z209" i="10"/>
  <c r="R209" i="10"/>
  <c r="Z175" i="10"/>
  <c r="R175" i="10"/>
  <c r="AB175" i="10" s="1"/>
  <c r="R8" i="10"/>
  <c r="AB8" i="10" s="1"/>
  <c r="Z27" i="10"/>
  <c r="R27" i="10"/>
  <c r="Z41" i="10"/>
  <c r="R41" i="10"/>
  <c r="Z49" i="10"/>
  <c r="R49" i="10"/>
  <c r="Z63" i="10"/>
  <c r="R63" i="10"/>
  <c r="Z79" i="10"/>
  <c r="R79" i="10"/>
  <c r="Z87" i="10"/>
  <c r="R87" i="10"/>
  <c r="Z109" i="10"/>
  <c r="R109" i="10"/>
  <c r="Z128" i="10"/>
  <c r="R128" i="10"/>
  <c r="Z139" i="10"/>
  <c r="R139" i="10"/>
  <c r="Z147" i="10"/>
  <c r="R147" i="10"/>
  <c r="AB147" i="10" s="1"/>
  <c r="Z155" i="10"/>
  <c r="R155" i="10"/>
  <c r="AB155" i="10" s="1"/>
  <c r="Z158" i="10"/>
  <c r="R158" i="10"/>
  <c r="Z174" i="10"/>
  <c r="R174" i="10"/>
  <c r="Z182" i="10"/>
  <c r="R182" i="10"/>
  <c r="Z190" i="10"/>
  <c r="R190" i="10"/>
  <c r="Z206" i="10"/>
  <c r="R206" i="10"/>
  <c r="Z222" i="10"/>
  <c r="R222" i="10"/>
  <c r="Z244" i="10"/>
  <c r="R244" i="10"/>
  <c r="Z252" i="10"/>
  <c r="R252" i="10"/>
  <c r="Z260" i="10"/>
  <c r="R260" i="10"/>
  <c r="Z268" i="10"/>
  <c r="R268" i="10"/>
  <c r="Z284" i="10"/>
  <c r="R284" i="10"/>
  <c r="Z303" i="10"/>
  <c r="R303" i="10"/>
  <c r="Z322" i="10"/>
  <c r="R322" i="10"/>
  <c r="Z355" i="10"/>
  <c r="R355" i="10"/>
  <c r="AB355" i="10" s="1"/>
  <c r="Z363" i="10"/>
  <c r="R363" i="10"/>
  <c r="Z371" i="10"/>
  <c r="R371" i="10"/>
  <c r="Z379" i="10"/>
  <c r="R379" i="10"/>
  <c r="Z387" i="10"/>
  <c r="R387" i="10"/>
  <c r="Z395" i="10"/>
  <c r="R395" i="10"/>
  <c r="Z403" i="10"/>
  <c r="R403" i="10"/>
  <c r="Z411" i="10"/>
  <c r="R411" i="10"/>
  <c r="Z422" i="10"/>
  <c r="R422" i="10"/>
  <c r="AB422" i="10" s="1"/>
  <c r="Z441" i="10"/>
  <c r="R441" i="10"/>
  <c r="Z549" i="10"/>
  <c r="R549" i="10"/>
  <c r="AB549" i="10" s="1"/>
  <c r="Z557" i="10"/>
  <c r="R557" i="10"/>
  <c r="AB557" i="10" s="1"/>
  <c r="Z565" i="10"/>
  <c r="R565" i="10"/>
  <c r="AB565" i="10" s="1"/>
  <c r="Z576" i="10"/>
  <c r="R576" i="10"/>
  <c r="Z608" i="10"/>
  <c r="R608" i="10"/>
  <c r="Z619" i="10"/>
  <c r="R619" i="10"/>
  <c r="AB619" i="10" s="1"/>
  <c r="Z741" i="10"/>
  <c r="R741" i="10"/>
  <c r="AB741" i="10" s="1"/>
  <c r="Z752" i="10"/>
  <c r="R752" i="10"/>
  <c r="Z776" i="10"/>
  <c r="R776" i="10"/>
  <c r="Z806" i="10"/>
  <c r="R806" i="10"/>
  <c r="Z812" i="10"/>
  <c r="R812" i="10"/>
  <c r="Z807" i="10"/>
  <c r="R807" i="10"/>
  <c r="Z760" i="10"/>
  <c r="R760" i="10"/>
  <c r="Z665" i="10"/>
  <c r="R665" i="10"/>
  <c r="Z105" i="10"/>
  <c r="R105" i="10"/>
  <c r="Z205" i="10"/>
  <c r="R205" i="10"/>
  <c r="Z267" i="10"/>
  <c r="R267" i="10"/>
  <c r="AB267" i="10" s="1"/>
  <c r="Z617" i="10"/>
  <c r="R617" i="10"/>
  <c r="Z346" i="10"/>
  <c r="R346" i="10"/>
  <c r="AB346" i="10" s="1"/>
  <c r="Z21" i="10"/>
  <c r="R21" i="10"/>
  <c r="Z29" i="10"/>
  <c r="R29" i="10"/>
  <c r="Z35" i="10"/>
  <c r="R35" i="10"/>
  <c r="Z65" i="10"/>
  <c r="R65" i="10"/>
  <c r="Z81" i="10"/>
  <c r="R81" i="10"/>
  <c r="AB81" i="10" s="1"/>
  <c r="Z122" i="10"/>
  <c r="R122" i="10"/>
  <c r="Z130" i="10"/>
  <c r="R130" i="10"/>
  <c r="Z176" i="10"/>
  <c r="R176" i="10"/>
  <c r="Z192" i="10"/>
  <c r="R192" i="10"/>
  <c r="Z254" i="10"/>
  <c r="R254" i="10"/>
  <c r="Z297" i="10"/>
  <c r="R297" i="10"/>
  <c r="Z508" i="10"/>
  <c r="R508" i="10"/>
  <c r="Z516" i="10"/>
  <c r="R516" i="10"/>
  <c r="AB516" i="10" s="1"/>
  <c r="Z640" i="10"/>
  <c r="R640" i="10"/>
  <c r="Z794" i="10"/>
  <c r="R794" i="10"/>
  <c r="Z735" i="10"/>
  <c r="R735" i="10"/>
  <c r="Z719" i="10"/>
  <c r="R719" i="10"/>
  <c r="Z694" i="10"/>
  <c r="R694" i="10"/>
  <c r="Z674" i="10"/>
  <c r="R674" i="10"/>
  <c r="Z658" i="10"/>
  <c r="R658" i="10"/>
  <c r="Z641" i="10"/>
  <c r="R641" i="10"/>
  <c r="AB641" i="10" s="1"/>
  <c r="Z609" i="10"/>
  <c r="R609" i="10"/>
  <c r="Z584" i="10"/>
  <c r="R584" i="10"/>
  <c r="Z524" i="10"/>
  <c r="R524" i="10"/>
  <c r="Z482" i="10"/>
  <c r="R482" i="10"/>
  <c r="AB482" i="10" s="1"/>
  <c r="Z396" i="10"/>
  <c r="R396" i="10"/>
  <c r="Z356" i="10"/>
  <c r="R356" i="10"/>
  <c r="Z335" i="10"/>
  <c r="R335" i="10"/>
  <c r="Z308" i="10"/>
  <c r="R308" i="10"/>
  <c r="Z271" i="10"/>
  <c r="R271" i="10"/>
  <c r="Z202" i="10"/>
  <c r="R202" i="10"/>
  <c r="AB202" i="10" s="1"/>
  <c r="Z169" i="10"/>
  <c r="R169" i="10"/>
  <c r="AB169" i="10" s="1"/>
  <c r="Z137" i="10"/>
  <c r="R137" i="10"/>
  <c r="Z89" i="10"/>
  <c r="R89" i="10"/>
  <c r="Z19" i="10"/>
  <c r="R19" i="10"/>
  <c r="AB19" i="10" s="1"/>
  <c r="Z22" i="10"/>
  <c r="R22" i="10"/>
  <c r="AB22" i="10" s="1"/>
  <c r="Z66" i="10"/>
  <c r="R66" i="10"/>
  <c r="Z82" i="10"/>
  <c r="R82" i="10"/>
  <c r="Z90" i="10"/>
  <c r="R90" i="10"/>
  <c r="Z101" i="10"/>
  <c r="R101" i="10"/>
  <c r="Z112" i="10"/>
  <c r="R112" i="10"/>
  <c r="Z123" i="10"/>
  <c r="R123" i="10"/>
  <c r="AB123" i="10" s="1"/>
  <c r="Z131" i="10"/>
  <c r="R131" i="10"/>
  <c r="AB131" i="10" s="1"/>
  <c r="Z150" i="10"/>
  <c r="R150" i="10"/>
  <c r="Z161" i="10"/>
  <c r="R161" i="10"/>
  <c r="Z177" i="10"/>
  <c r="R177" i="10"/>
  <c r="Z185" i="10"/>
  <c r="R185" i="10"/>
  <c r="Z201" i="10"/>
  <c r="R201" i="10"/>
  <c r="Z225" i="10"/>
  <c r="R225" i="10"/>
  <c r="Z239" i="10"/>
  <c r="R239" i="10"/>
  <c r="Z263" i="10"/>
  <c r="R263" i="10"/>
  <c r="Z279" i="10"/>
  <c r="R279" i="10"/>
  <c r="Z298" i="10"/>
  <c r="R298" i="10"/>
  <c r="Z306" i="10"/>
  <c r="R306" i="10"/>
  <c r="Z317" i="10"/>
  <c r="R317" i="10"/>
  <c r="Z333" i="10"/>
  <c r="R333" i="10"/>
  <c r="AB333" i="10" s="1"/>
  <c r="Z341" i="10"/>
  <c r="R341" i="10"/>
  <c r="AB341" i="10" s="1"/>
  <c r="Z352" i="10"/>
  <c r="R352" i="10"/>
  <c r="AB352" i="10" s="1"/>
  <c r="Z366" i="10"/>
  <c r="R366" i="10"/>
  <c r="Z374" i="10"/>
  <c r="R374" i="10"/>
  <c r="Z398" i="10"/>
  <c r="R398" i="10"/>
  <c r="Z406" i="10"/>
  <c r="R406" i="10"/>
  <c r="AB406" i="10" s="1"/>
  <c r="Z477" i="10"/>
  <c r="R477" i="10"/>
  <c r="Z509" i="10"/>
  <c r="R509" i="10"/>
  <c r="Z517" i="10"/>
  <c r="R517" i="10"/>
  <c r="Z525" i="10"/>
  <c r="R525" i="10"/>
  <c r="Z552" i="10"/>
  <c r="R552" i="10"/>
  <c r="Z560" i="10"/>
  <c r="R560" i="10"/>
  <c r="Z568" i="10"/>
  <c r="R568" i="10"/>
  <c r="Z571" i="10"/>
  <c r="R571" i="10"/>
  <c r="Z579" i="10"/>
  <c r="R579" i="10"/>
  <c r="Z587" i="10"/>
  <c r="R587" i="10"/>
  <c r="Z595" i="10"/>
  <c r="R595" i="10"/>
  <c r="Z603" i="10"/>
  <c r="R603" i="10"/>
  <c r="Z611" i="10"/>
  <c r="R611" i="10"/>
  <c r="AB611" i="10" s="1"/>
  <c r="Z622" i="10"/>
  <c r="R622" i="10"/>
  <c r="Z633" i="10"/>
  <c r="R633" i="10"/>
  <c r="Z652" i="10"/>
  <c r="R652" i="10"/>
  <c r="Z679" i="10"/>
  <c r="R679" i="10"/>
  <c r="AB679" i="10" s="1"/>
  <c r="Z687" i="10"/>
  <c r="R687" i="10"/>
  <c r="AB687" i="10" s="1"/>
  <c r="Z695" i="10"/>
  <c r="R695" i="10"/>
  <c r="Z714" i="10"/>
  <c r="R714" i="10"/>
  <c r="Z736" i="10"/>
  <c r="R736" i="10"/>
  <c r="Z654" i="10"/>
  <c r="R654" i="10"/>
  <c r="AB654" i="10" s="1"/>
  <c r="Z594" i="10"/>
  <c r="R594" i="10"/>
  <c r="Z536" i="10"/>
  <c r="R536" i="10"/>
  <c r="Z498" i="10"/>
  <c r="R498" i="10"/>
  <c r="Z218" i="10"/>
  <c r="R218" i="10"/>
  <c r="Z116" i="10"/>
  <c r="R116" i="10"/>
  <c r="Z14" i="10"/>
  <c r="R14" i="10"/>
  <c r="Z26" i="10"/>
  <c r="R26" i="10"/>
  <c r="AB26" i="10" s="1"/>
  <c r="Z86" i="10"/>
  <c r="R86" i="10"/>
  <c r="Z345" i="10"/>
  <c r="R345" i="10"/>
  <c r="AB345" i="10" s="1"/>
  <c r="Z386" i="10"/>
  <c r="R386" i="10"/>
  <c r="Z448" i="10"/>
  <c r="R448" i="10"/>
  <c r="Z629" i="10"/>
  <c r="R629" i="10"/>
  <c r="Z645" i="10"/>
  <c r="R645" i="10"/>
  <c r="Z672" i="10"/>
  <c r="R672" i="10"/>
  <c r="AB672" i="10" s="1"/>
  <c r="Z691" i="10"/>
  <c r="R691" i="10"/>
  <c r="Z814" i="10"/>
  <c r="R814" i="10"/>
  <c r="Z149" i="10"/>
  <c r="R149" i="10"/>
  <c r="Z224" i="10"/>
  <c r="R224" i="10"/>
  <c r="Z235" i="10"/>
  <c r="R235" i="10"/>
  <c r="AB235" i="10" s="1"/>
  <c r="Z389" i="10"/>
  <c r="R389" i="10"/>
  <c r="Z559" i="10"/>
  <c r="R559" i="10"/>
  <c r="Z632" i="10"/>
  <c r="R632" i="10"/>
  <c r="Z651" i="10"/>
  <c r="R651" i="10"/>
  <c r="Z667" i="10"/>
  <c r="R667" i="10"/>
  <c r="Z675" i="10"/>
  <c r="R675" i="10"/>
  <c r="Z678" i="10"/>
  <c r="R678" i="10"/>
  <c r="AB678" i="10" s="1"/>
  <c r="Z817" i="10"/>
  <c r="R817" i="10"/>
  <c r="AB817" i="10" s="1"/>
  <c r="Z825" i="10"/>
  <c r="R825" i="10"/>
  <c r="Z684" i="10"/>
  <c r="R684" i="10"/>
  <c r="Z243" i="10"/>
  <c r="R243" i="10"/>
  <c r="Z421" i="10"/>
  <c r="R421" i="10"/>
  <c r="Z432" i="10"/>
  <c r="R432" i="10"/>
  <c r="Z473" i="10"/>
  <c r="R473" i="10"/>
  <c r="Z489" i="10"/>
  <c r="R489" i="10"/>
  <c r="Z521" i="10"/>
  <c r="R521" i="10"/>
  <c r="Z759" i="10"/>
  <c r="R759" i="10"/>
  <c r="Z682" i="10"/>
  <c r="R682" i="10"/>
  <c r="Z664" i="10"/>
  <c r="R664" i="10"/>
  <c r="Z592" i="10"/>
  <c r="R592" i="10"/>
  <c r="AB592" i="10" s="1"/>
  <c r="Z569" i="10"/>
  <c r="R569" i="10"/>
  <c r="Z466" i="10"/>
  <c r="R466" i="10"/>
  <c r="Z404" i="10"/>
  <c r="R404" i="10"/>
  <c r="Z314" i="10"/>
  <c r="R314" i="10"/>
  <c r="AB314" i="10" s="1"/>
  <c r="Z247" i="10"/>
  <c r="R247" i="10"/>
  <c r="AB247" i="10" s="1"/>
  <c r="Z180" i="10"/>
  <c r="R180" i="10"/>
  <c r="Z106" i="10"/>
  <c r="R106" i="10"/>
  <c r="Z18" i="10"/>
  <c r="R18" i="10"/>
  <c r="AB18" i="10" s="1"/>
  <c r="Z51" i="10"/>
  <c r="R51" i="10"/>
  <c r="Z141" i="10"/>
  <c r="R141" i="10"/>
  <c r="Z232" i="10"/>
  <c r="R232" i="10"/>
  <c r="Z286" i="10"/>
  <c r="R286" i="10"/>
  <c r="Z324" i="10"/>
  <c r="R324" i="10"/>
  <c r="Z365" i="10"/>
  <c r="R365" i="10"/>
  <c r="Z416" i="10"/>
  <c r="R416" i="10"/>
  <c r="Z567" i="10"/>
  <c r="R567" i="10"/>
  <c r="Z621" i="10"/>
  <c r="R621" i="10"/>
  <c r="Z659" i="10"/>
  <c r="R659" i="10"/>
  <c r="Z710" i="10"/>
  <c r="R710" i="10"/>
  <c r="Z832" i="10"/>
  <c r="R832" i="10"/>
  <c r="Z793" i="10"/>
  <c r="R793" i="10"/>
  <c r="Z767" i="10"/>
  <c r="R767" i="10"/>
  <c r="Z749" i="10"/>
  <c r="R749" i="10"/>
  <c r="Z716" i="10"/>
  <c r="R716" i="10"/>
  <c r="Z692" i="10"/>
  <c r="R692" i="10"/>
  <c r="Z673" i="10"/>
  <c r="R673" i="10"/>
  <c r="AB673" i="10" s="1"/>
  <c r="Z657" i="10"/>
  <c r="R657" i="10"/>
  <c r="Z636" i="10"/>
  <c r="R636" i="10"/>
  <c r="Z602" i="10"/>
  <c r="R602" i="10"/>
  <c r="Z578" i="10"/>
  <c r="R578" i="10"/>
  <c r="Z542" i="10"/>
  <c r="R542" i="10"/>
  <c r="Z522" i="10"/>
  <c r="R522" i="10"/>
  <c r="Z481" i="10"/>
  <c r="R481" i="10"/>
  <c r="Z420" i="10"/>
  <c r="R420" i="10"/>
  <c r="Z330" i="10"/>
  <c r="R330" i="10"/>
  <c r="Z300" i="10"/>
  <c r="R300" i="10"/>
  <c r="Z264" i="10"/>
  <c r="R264" i="10"/>
  <c r="Z228" i="10"/>
  <c r="R228" i="10"/>
  <c r="Z200" i="10"/>
  <c r="R200" i="10"/>
  <c r="Z164" i="10"/>
  <c r="R164" i="10"/>
  <c r="Z129" i="10"/>
  <c r="R129" i="10"/>
  <c r="Z74" i="10"/>
  <c r="R74" i="10"/>
  <c r="AB74" i="10" s="1"/>
  <c r="Z25" i="10"/>
  <c r="R25" i="10"/>
  <c r="Z47" i="10"/>
  <c r="R47" i="10"/>
  <c r="Z61" i="10"/>
  <c r="R61" i="10"/>
  <c r="AB61" i="10" s="1"/>
  <c r="Z93" i="10"/>
  <c r="R93" i="10"/>
  <c r="Z107" i="10"/>
  <c r="R107" i="10"/>
  <c r="AB107" i="10" s="1"/>
  <c r="Z115" i="10"/>
  <c r="R115" i="10"/>
  <c r="Z134" i="10"/>
  <c r="R134" i="10"/>
  <c r="Z145" i="10"/>
  <c r="R145" i="10"/>
  <c r="Z153" i="10"/>
  <c r="R153" i="10"/>
  <c r="AB153" i="10" s="1"/>
  <c r="Z172" i="10"/>
  <c r="R172" i="10"/>
  <c r="Z242" i="10"/>
  <c r="R242" i="10"/>
  <c r="Z258" i="10"/>
  <c r="R258" i="10"/>
  <c r="Z266" i="10"/>
  <c r="R266" i="10"/>
  <c r="Z293" i="10"/>
  <c r="R293" i="10"/>
  <c r="AB293" i="10" s="1"/>
  <c r="Z309" i="10"/>
  <c r="R309" i="10"/>
  <c r="Z320" i="10"/>
  <c r="R320" i="10"/>
  <c r="Z336" i="10"/>
  <c r="R336" i="10"/>
  <c r="Z344" i="10"/>
  <c r="R344" i="10"/>
  <c r="Z361" i="10"/>
  <c r="R361" i="10"/>
  <c r="Z377" i="10"/>
  <c r="R377" i="10"/>
  <c r="AB377" i="10" s="1"/>
  <c r="Z401" i="10"/>
  <c r="R401" i="10"/>
  <c r="AB401" i="10" s="1"/>
  <c r="Z409" i="10"/>
  <c r="R409" i="10"/>
  <c r="Z431" i="10"/>
  <c r="R431" i="10"/>
  <c r="Z461" i="10"/>
  <c r="R461" i="10"/>
  <c r="Z472" i="10"/>
  <c r="R472" i="10"/>
  <c r="Z480" i="10"/>
  <c r="R480" i="10"/>
  <c r="Z488" i="10"/>
  <c r="R488" i="10"/>
  <c r="Z496" i="10"/>
  <c r="R496" i="10"/>
  <c r="AB496" i="10" s="1"/>
  <c r="Z504" i="10"/>
  <c r="R504" i="10"/>
  <c r="AB504" i="10" s="1"/>
  <c r="Z512" i="10"/>
  <c r="R512" i="10"/>
  <c r="AB512" i="10" s="1"/>
  <c r="Z520" i="10"/>
  <c r="R520" i="10"/>
  <c r="Z544" i="10"/>
  <c r="R544" i="10"/>
  <c r="Z547" i="10"/>
  <c r="R547" i="10"/>
  <c r="Z555" i="10"/>
  <c r="R555" i="10"/>
  <c r="Z563" i="10"/>
  <c r="R563" i="10"/>
  <c r="AB563" i="10" s="1"/>
  <c r="Z590" i="10"/>
  <c r="R590" i="10"/>
  <c r="AB590" i="10" s="1"/>
  <c r="Z598" i="10"/>
  <c r="R598" i="10"/>
  <c r="Z606" i="10"/>
  <c r="R606" i="10"/>
  <c r="Z644" i="10"/>
  <c r="R644" i="10"/>
  <c r="Z698" i="10"/>
  <c r="R698" i="10"/>
  <c r="Z706" i="10"/>
  <c r="R706" i="10"/>
  <c r="Z717" i="10"/>
  <c r="R717" i="10"/>
  <c r="Z750" i="10"/>
  <c r="R750" i="10"/>
  <c r="Z758" i="10"/>
  <c r="R758" i="10"/>
  <c r="Z766" i="10"/>
  <c r="R766" i="10"/>
  <c r="Z790" i="10"/>
  <c r="R790" i="10"/>
  <c r="AB790" i="10" s="1"/>
  <c r="Z810" i="10"/>
  <c r="R810" i="10"/>
  <c r="Z831" i="10"/>
  <c r="R831" i="10"/>
  <c r="Z792" i="10"/>
  <c r="R792" i="10"/>
  <c r="Z777" i="10"/>
  <c r="R777" i="10"/>
  <c r="AB777" i="10" s="1"/>
  <c r="Z748" i="10"/>
  <c r="R748" i="10"/>
  <c r="Z713" i="10"/>
  <c r="R713" i="10"/>
  <c r="Z690" i="10"/>
  <c r="R690" i="10"/>
  <c r="Z668" i="10"/>
  <c r="R668" i="10"/>
  <c r="Z656" i="10"/>
  <c r="R656" i="10"/>
  <c r="Z628" i="10"/>
  <c r="R628" i="10"/>
  <c r="Z601" i="10"/>
  <c r="R601" i="10"/>
  <c r="AB601" i="10" s="1"/>
  <c r="Z577" i="10"/>
  <c r="R577" i="10"/>
  <c r="Z538" i="10"/>
  <c r="R538" i="10"/>
  <c r="Z514" i="10"/>
  <c r="R514" i="10"/>
  <c r="Z476" i="10"/>
  <c r="R476" i="10"/>
  <c r="Z450" i="10"/>
  <c r="R450" i="10"/>
  <c r="Z412" i="10"/>
  <c r="R412" i="10"/>
  <c r="Z388" i="10"/>
  <c r="R388" i="10"/>
  <c r="Z327" i="10"/>
  <c r="R327" i="10"/>
  <c r="Z295" i="10"/>
  <c r="R295" i="10"/>
  <c r="Z257" i="10"/>
  <c r="R257" i="10"/>
  <c r="Z226" i="10"/>
  <c r="R226" i="10"/>
  <c r="Z196" i="10"/>
  <c r="R196" i="10"/>
  <c r="Z159" i="10"/>
  <c r="R159" i="10"/>
  <c r="Z17" i="10"/>
  <c r="R17" i="10"/>
  <c r="Z42" i="10"/>
  <c r="R42" i="10"/>
  <c r="Z50" i="10"/>
  <c r="R50" i="10"/>
  <c r="Z64" i="10"/>
  <c r="R64" i="10"/>
  <c r="Z96" i="10"/>
  <c r="R96" i="10"/>
  <c r="Z99" i="10"/>
  <c r="R99" i="10"/>
  <c r="Z110" i="10"/>
  <c r="R110" i="10"/>
  <c r="Z118" i="10"/>
  <c r="R118" i="10"/>
  <c r="Z223" i="10"/>
  <c r="R223" i="10"/>
  <c r="Z231" i="10"/>
  <c r="R231" i="10"/>
  <c r="Z237" i="10"/>
  <c r="R237" i="10"/>
  <c r="Z253" i="10"/>
  <c r="R253" i="10"/>
  <c r="AB253" i="10" s="1"/>
  <c r="Z269" i="10"/>
  <c r="R269" i="10"/>
  <c r="Z277" i="10"/>
  <c r="R277" i="10"/>
  <c r="Z285" i="10"/>
  <c r="R285" i="10"/>
  <c r="Z288" i="10"/>
  <c r="R288" i="10"/>
  <c r="Z296" i="10"/>
  <c r="R296" i="10"/>
  <c r="Z304" i="10"/>
  <c r="R304" i="10"/>
  <c r="Z323" i="10"/>
  <c r="R323" i="10"/>
  <c r="Z331" i="10"/>
  <c r="R331" i="10"/>
  <c r="Z339" i="10"/>
  <c r="R339" i="10"/>
  <c r="Z347" i="10"/>
  <c r="R347" i="10"/>
  <c r="AB347" i="10" s="1"/>
  <c r="Z415" i="10"/>
  <c r="R415" i="10"/>
  <c r="Z453" i="10"/>
  <c r="R453" i="10"/>
  <c r="AB453" i="10" s="1"/>
  <c r="Z456" i="10"/>
  <c r="R456" i="10"/>
  <c r="Z475" i="10"/>
  <c r="R475" i="10"/>
  <c r="Z483" i="10"/>
  <c r="R483" i="10"/>
  <c r="Z491" i="10"/>
  <c r="R491" i="10"/>
  <c r="AB491" i="10" s="1"/>
  <c r="Z499" i="10"/>
  <c r="R499" i="10"/>
  <c r="Z523" i="10"/>
  <c r="R523" i="10"/>
  <c r="Z531" i="10"/>
  <c r="R531" i="10"/>
  <c r="Z539" i="10"/>
  <c r="R539" i="10"/>
  <c r="Z558" i="10"/>
  <c r="R558" i="10"/>
  <c r="Z566" i="10"/>
  <c r="R566" i="10"/>
  <c r="Z620" i="10"/>
  <c r="R620" i="10"/>
  <c r="Z631" i="10"/>
  <c r="R631" i="10"/>
  <c r="Z639" i="10"/>
  <c r="R639" i="10"/>
  <c r="Z647" i="10"/>
  <c r="R647" i="10"/>
  <c r="Z685" i="10"/>
  <c r="R685" i="10"/>
  <c r="Z693" i="10"/>
  <c r="R693" i="10"/>
  <c r="Z701" i="10"/>
  <c r="R701" i="10"/>
  <c r="AB701" i="10" s="1"/>
  <c r="Z709" i="10"/>
  <c r="R709" i="10"/>
  <c r="Z720" i="10"/>
  <c r="R720" i="10"/>
  <c r="Z742" i="10"/>
  <c r="R742" i="10"/>
  <c r="AB742" i="10" s="1"/>
  <c r="Z368" i="10"/>
  <c r="R368" i="10"/>
  <c r="Z168" i="10"/>
  <c r="R168" i="10"/>
  <c r="Z142" i="10"/>
  <c r="R142" i="10"/>
  <c r="Z100" i="10"/>
  <c r="R100" i="10"/>
  <c r="K834" i="1"/>
  <c r="J837" i="10"/>
  <c r="Q725" i="1"/>
  <c r="Q453" i="1"/>
  <c r="Q569" i="1"/>
  <c r="Q419" i="1"/>
  <c r="A756" i="10"/>
  <c r="A744" i="10"/>
  <c r="A548" i="10"/>
  <c r="A351" i="10"/>
  <c r="A274" i="10"/>
  <c r="A199" i="10"/>
  <c r="A39" i="10"/>
  <c r="Q560" i="1"/>
  <c r="Q472" i="1"/>
  <c r="Q349" i="1"/>
  <c r="Q330" i="1"/>
  <c r="Q239" i="1"/>
  <c r="Q140" i="1"/>
  <c r="Q609" i="1"/>
  <c r="Q363" i="1"/>
  <c r="A596" i="10"/>
  <c r="Q692" i="1"/>
  <c r="Q677" i="1"/>
  <c r="Q639" i="1"/>
  <c r="Q434" i="1"/>
  <c r="Q386" i="1"/>
  <c r="Q370" i="1"/>
  <c r="Q263" i="1"/>
  <c r="Q14" i="1"/>
  <c r="A816" i="10"/>
  <c r="A290" i="10"/>
  <c r="A273" i="10"/>
  <c r="A234" i="10"/>
  <c r="A215" i="10"/>
  <c r="Z215" i="10" s="1"/>
  <c r="A198" i="10"/>
  <c r="A126" i="10"/>
  <c r="A36" i="10"/>
  <c r="Q776" i="1"/>
  <c r="Q529" i="1"/>
  <c r="Q513" i="1"/>
  <c r="Q362" i="1"/>
  <c r="Q228" i="1"/>
  <c r="Q110" i="1"/>
  <c r="Q601" i="1"/>
  <c r="A703" i="10"/>
  <c r="A464" i="10"/>
  <c r="A325" i="10"/>
  <c r="A249" i="10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A305" i="10"/>
  <c r="A207" i="10"/>
  <c r="A167" i="10"/>
  <c r="A7" i="10"/>
  <c r="Q278" i="1"/>
  <c r="Q553" i="1"/>
  <c r="Q505" i="1"/>
  <c r="A540" i="10"/>
  <c r="P540" i="10" s="1"/>
  <c r="Q712" i="1"/>
  <c r="Q684" i="1"/>
  <c r="Q630" i="1"/>
  <c r="Q592" i="1"/>
  <c r="Q378" i="1"/>
  <c r="Q354" i="1"/>
  <c r="Q295" i="1"/>
  <c r="Q44" i="1"/>
  <c r="Q155" i="1"/>
  <c r="A282" i="10"/>
  <c r="A6" i="10"/>
  <c r="Q711" i="1"/>
  <c r="Q442" i="1"/>
  <c r="Q294" i="1"/>
  <c r="Q220" i="1"/>
  <c r="Q619" i="1"/>
  <c r="Q585" i="1"/>
  <c r="Q497" i="1"/>
  <c r="A382" i="10"/>
  <c r="A183" i="10"/>
  <c r="Q274" i="1"/>
  <c r="Q234" i="1"/>
  <c r="A385" i="10"/>
  <c r="A95" i="10"/>
  <c r="Q290" i="1"/>
  <c r="Q787" i="1"/>
  <c r="Q119" i="1"/>
  <c r="A804" i="10"/>
  <c r="A607" i="10"/>
  <c r="A425" i="10"/>
  <c r="A162" i="10"/>
  <c r="Q250" i="1"/>
  <c r="Q564" i="1"/>
  <c r="Q398" i="1"/>
  <c r="Q76" i="1"/>
  <c r="A583" i="10"/>
  <c r="A111" i="10"/>
  <c r="Q476" i="1"/>
  <c r="Q358" i="1"/>
  <c r="Q266" i="1"/>
  <c r="Q46" i="1"/>
  <c r="A618" i="10"/>
  <c r="A328" i="10"/>
  <c r="Q666" i="1"/>
  <c r="A511" i="10"/>
  <c r="Z511" i="10" s="1"/>
  <c r="A154" i="10"/>
  <c r="Z154" i="10" s="1"/>
  <c r="A135" i="10"/>
  <c r="A71" i="10"/>
  <c r="Q406" i="1"/>
  <c r="Q374" i="1"/>
  <c r="A551" i="10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80" i="10"/>
  <c r="Z780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T567" i="10"/>
  <c r="U567" i="10"/>
  <c r="N567" i="10"/>
  <c r="V567" i="10"/>
  <c r="O567" i="10"/>
  <c r="W567" i="10"/>
  <c r="P567" i="10"/>
  <c r="X567" i="10"/>
  <c r="Q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N709" i="10"/>
  <c r="V709" i="10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W5" i="10"/>
  <c r="T5" i="10"/>
  <c r="O5" i="10"/>
  <c r="U5" i="10"/>
  <c r="V5" i="10"/>
  <c r="P5" i="10"/>
  <c r="X5" i="10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O415" i="10"/>
  <c r="W415" i="10"/>
  <c r="P415" i="10"/>
  <c r="X415" i="10"/>
  <c r="Q415" i="10"/>
  <c r="Y415" i="10"/>
  <c r="S431" i="10"/>
  <c r="T431" i="10"/>
  <c r="N431" i="10"/>
  <c r="V431" i="10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W426" i="10"/>
  <c r="P426" i="10"/>
  <c r="X426" i="10"/>
  <c r="Q426" i="10"/>
  <c r="Y426" i="10"/>
  <c r="S426" i="10"/>
  <c r="T426" i="10"/>
  <c r="U426" i="10"/>
  <c r="N426" i="10"/>
  <c r="V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P266" i="10"/>
  <c r="X266" i="10"/>
  <c r="Q266" i="10"/>
  <c r="Y266" i="10"/>
  <c r="S266" i="10"/>
  <c r="U266" i="10"/>
  <c r="V266" i="10"/>
  <c r="W266" i="10"/>
  <c r="N266" i="10"/>
  <c r="O266" i="10"/>
  <c r="T266" i="10"/>
  <c r="S298" i="10"/>
  <c r="T298" i="10"/>
  <c r="U298" i="10"/>
  <c r="N298" i="10"/>
  <c r="V298" i="10"/>
  <c r="O298" i="10"/>
  <c r="W298" i="10"/>
  <c r="P298" i="10"/>
  <c r="X298" i="10"/>
  <c r="Q298" i="10"/>
  <c r="Y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S65" i="10"/>
  <c r="N65" i="10"/>
  <c r="V65" i="10"/>
  <c r="O65" i="10"/>
  <c r="W65" i="10"/>
  <c r="X65" i="10"/>
  <c r="P65" i="10"/>
  <c r="Q65" i="10"/>
  <c r="T65" i="10"/>
  <c r="U65" i="10"/>
  <c r="Y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N473" i="10"/>
  <c r="V473" i="10"/>
  <c r="O473" i="10"/>
  <c r="W473" i="10"/>
  <c r="P473" i="10"/>
  <c r="X473" i="10"/>
  <c r="Q473" i="10"/>
  <c r="Y473" i="10"/>
  <c r="S473" i="10"/>
  <c r="T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N647" i="10"/>
  <c r="V647" i="10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O818" i="10"/>
  <c r="W818" i="10"/>
  <c r="P818" i="10"/>
  <c r="X818" i="10"/>
  <c r="Q818" i="10"/>
  <c r="Y818" i="10"/>
  <c r="S818" i="10"/>
  <c r="U808" i="10"/>
  <c r="N808" i="10"/>
  <c r="V808" i="10"/>
  <c r="O808" i="10"/>
  <c r="W808" i="10"/>
  <c r="P808" i="10"/>
  <c r="X808" i="10"/>
  <c r="Q808" i="10"/>
  <c r="Y808" i="10"/>
  <c r="S808" i="10"/>
  <c r="U794" i="10"/>
  <c r="N794" i="10"/>
  <c r="V794" i="10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O760" i="10"/>
  <c r="W760" i="10"/>
  <c r="P760" i="10"/>
  <c r="X760" i="10"/>
  <c r="Q760" i="10"/>
  <c r="Y760" i="10"/>
  <c r="S760" i="10"/>
  <c r="U748" i="10"/>
  <c r="N748" i="10"/>
  <c r="V748" i="10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P625" i="10"/>
  <c r="X625" i="10"/>
  <c r="Q625" i="10"/>
  <c r="Y625" i="10"/>
  <c r="U625" i="10"/>
  <c r="W625" i="10"/>
  <c r="O625" i="10"/>
  <c r="S607" i="10"/>
  <c r="T607" i="10"/>
  <c r="U607" i="10"/>
  <c r="V607" i="10"/>
  <c r="O607" i="10"/>
  <c r="W607" i="10"/>
  <c r="P607" i="10"/>
  <c r="X607" i="10"/>
  <c r="Q607" i="10"/>
  <c r="Y607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N554" i="10"/>
  <c r="Q528" i="10"/>
  <c r="Y528" i="10"/>
  <c r="S528" i="10"/>
  <c r="T528" i="10"/>
  <c r="N528" i="10"/>
  <c r="V528" i="10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O514" i="10"/>
  <c r="W514" i="10"/>
  <c r="P514" i="10"/>
  <c r="X514" i="10"/>
  <c r="U497" i="10"/>
  <c r="N497" i="10"/>
  <c r="V497" i="10"/>
  <c r="O497" i="10"/>
  <c r="W497" i="10"/>
  <c r="P497" i="10"/>
  <c r="X497" i="10"/>
  <c r="Q497" i="10"/>
  <c r="Y497" i="10"/>
  <c r="S497" i="10"/>
  <c r="T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S425" i="10"/>
  <c r="W425" i="10"/>
  <c r="X425" i="10"/>
  <c r="T410" i="10"/>
  <c r="S399" i="10"/>
  <c r="T399" i="10"/>
  <c r="U399" i="10"/>
  <c r="N399" i="10"/>
  <c r="V399" i="10"/>
  <c r="O399" i="10"/>
  <c r="W399" i="10"/>
  <c r="P399" i="10"/>
  <c r="X399" i="10"/>
  <c r="Q399" i="10"/>
  <c r="Y399" i="10"/>
  <c r="O370" i="10"/>
  <c r="W370" i="10"/>
  <c r="Y370" i="10"/>
  <c r="U370" i="10"/>
  <c r="N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O218" i="10"/>
  <c r="S218" i="10"/>
  <c r="W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S111" i="10"/>
  <c r="T111" i="10"/>
  <c r="Y111" i="10"/>
  <c r="T74" i="10"/>
  <c r="U74" i="10"/>
  <c r="O74" i="10"/>
  <c r="W74" i="10"/>
  <c r="N74" i="10"/>
  <c r="P74" i="10"/>
  <c r="Q74" i="10"/>
  <c r="S74" i="10"/>
  <c r="X74" i="10"/>
  <c r="Y74" i="10"/>
  <c r="V74" i="10"/>
  <c r="S57" i="10"/>
  <c r="T57" i="10"/>
  <c r="N57" i="10"/>
  <c r="V57" i="10"/>
  <c r="O57" i="10"/>
  <c r="W57" i="10"/>
  <c r="X57" i="10"/>
  <c r="Y57" i="10"/>
  <c r="P57" i="10"/>
  <c r="Q57" i="10"/>
  <c r="U57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V173" i="10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P653" i="10"/>
  <c r="X653" i="10"/>
  <c r="Q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V750" i="10"/>
  <c r="O750" i="10"/>
  <c r="W750" i="10"/>
  <c r="P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782" i="10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O692" i="10"/>
  <c r="W692" i="10"/>
  <c r="P692" i="10"/>
  <c r="X692" i="10"/>
  <c r="Y692" i="10"/>
  <c r="A677" i="10"/>
  <c r="S664" i="10"/>
  <c r="T664" i="10"/>
  <c r="U664" i="10"/>
  <c r="N664" i="10"/>
  <c r="V664" i="10"/>
  <c r="O664" i="10"/>
  <c r="W664" i="10"/>
  <c r="P664" i="10"/>
  <c r="X664" i="10"/>
  <c r="Q664" i="10"/>
  <c r="Y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O538" i="10"/>
  <c r="P538" i="10"/>
  <c r="S538" i="10"/>
  <c r="U538" i="10"/>
  <c r="W538" i="10"/>
  <c r="X538" i="10"/>
  <c r="A527" i="10"/>
  <c r="A513" i="10"/>
  <c r="A495" i="10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423" i="10"/>
  <c r="O396" i="10"/>
  <c r="W396" i="10"/>
  <c r="P396" i="10"/>
  <c r="X396" i="10"/>
  <c r="Q396" i="10"/>
  <c r="Y396" i="10"/>
  <c r="S396" i="10"/>
  <c r="T396" i="10"/>
  <c r="U396" i="10"/>
  <c r="N396" i="10"/>
  <c r="V396" i="10"/>
  <c r="A383" i="10"/>
  <c r="A369" i="10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Q200" i="10"/>
  <c r="Y200" i="10"/>
  <c r="T200" i="10"/>
  <c r="U200" i="10"/>
  <c r="N200" i="10"/>
  <c r="V200" i="10"/>
  <c r="P200" i="10"/>
  <c r="X200" i="10"/>
  <c r="O200" i="10"/>
  <c r="S200" i="10"/>
  <c r="W200" i="10"/>
  <c r="A186" i="10"/>
  <c r="O156" i="10"/>
  <c r="W156" i="10"/>
  <c r="P156" i="10"/>
  <c r="X156" i="10"/>
  <c r="Q156" i="10"/>
  <c r="Y156" i="10"/>
  <c r="S156" i="10"/>
  <c r="T156" i="10"/>
  <c r="U156" i="10"/>
  <c r="N156" i="10"/>
  <c r="V156" i="10"/>
  <c r="O94" i="10"/>
  <c r="W94" i="10"/>
  <c r="S94" i="10"/>
  <c r="V94" i="10"/>
  <c r="A55" i="10"/>
  <c r="A37" i="10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S169" i="10"/>
  <c r="N169" i="10"/>
  <c r="V169" i="10"/>
  <c r="O169" i="10"/>
  <c r="W169" i="10"/>
  <c r="Q169" i="10"/>
  <c r="Y169" i="10"/>
  <c r="U169" i="10"/>
  <c r="X169" i="10"/>
  <c r="P169" i="10"/>
  <c r="T169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N689" i="10"/>
  <c r="V689" i="10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O650" i="10"/>
  <c r="W650" i="10"/>
  <c r="P650" i="10"/>
  <c r="X650" i="10"/>
  <c r="Q650" i="10"/>
  <c r="Y650" i="10"/>
  <c r="U511" i="10"/>
  <c r="N511" i="10"/>
  <c r="V511" i="10"/>
  <c r="AB511" i="10" s="1"/>
  <c r="O511" i="10"/>
  <c r="W511" i="10"/>
  <c r="P511" i="10"/>
  <c r="X511" i="10"/>
  <c r="Q511" i="10"/>
  <c r="Y511" i="10"/>
  <c r="S511" i="10"/>
  <c r="T511" i="10"/>
  <c r="P436" i="10"/>
  <c r="Q436" i="10"/>
  <c r="S436" i="10"/>
  <c r="Y436" i="10"/>
  <c r="T257" i="10"/>
  <c r="U257" i="10"/>
  <c r="N257" i="10"/>
  <c r="V257" i="10"/>
  <c r="O257" i="10"/>
  <c r="W257" i="10"/>
  <c r="P257" i="10"/>
  <c r="X257" i="10"/>
  <c r="Q257" i="10"/>
  <c r="Y257" i="10"/>
  <c r="S257" i="10"/>
  <c r="O154" i="10"/>
  <c r="T154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N649" i="10"/>
  <c r="V649" i="10"/>
  <c r="O649" i="10"/>
  <c r="W649" i="10"/>
  <c r="P649" i="10"/>
  <c r="X649" i="10"/>
  <c r="Q649" i="10"/>
  <c r="Y649" i="10"/>
  <c r="S649" i="10"/>
  <c r="T649" i="10"/>
  <c r="S617" i="10"/>
  <c r="T617" i="10"/>
  <c r="U617" i="10"/>
  <c r="N617" i="10"/>
  <c r="V617" i="10"/>
  <c r="O617" i="10"/>
  <c r="W617" i="10"/>
  <c r="P617" i="10"/>
  <c r="X617" i="10"/>
  <c r="Q617" i="10"/>
  <c r="Y617" i="10"/>
  <c r="A591" i="10"/>
  <c r="S577" i="10"/>
  <c r="T577" i="10"/>
  <c r="U577" i="10"/>
  <c r="N577" i="10"/>
  <c r="V577" i="10"/>
  <c r="O577" i="10"/>
  <c r="W577" i="10"/>
  <c r="P577" i="10"/>
  <c r="X577" i="10"/>
  <c r="Q577" i="10"/>
  <c r="Y577" i="10"/>
  <c r="Q536" i="10"/>
  <c r="Y536" i="10"/>
  <c r="T536" i="10"/>
  <c r="N536" i="10"/>
  <c r="V536" i="10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O490" i="10"/>
  <c r="W490" i="10"/>
  <c r="P490" i="10"/>
  <c r="X490" i="10"/>
  <c r="A449" i="10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Q198" i="10"/>
  <c r="Y198" i="10"/>
  <c r="T198" i="10"/>
  <c r="U198" i="10"/>
  <c r="N198" i="10"/>
  <c r="V198" i="10"/>
  <c r="P198" i="10"/>
  <c r="X198" i="10"/>
  <c r="O198" i="10"/>
  <c r="S198" i="10"/>
  <c r="W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AB230" i="10" s="1"/>
  <c r="U230" i="10"/>
  <c r="W230" i="10"/>
  <c r="X230" i="10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788" i="10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729" i="10"/>
  <c r="S700" i="10"/>
  <c r="T700" i="10"/>
  <c r="U700" i="10"/>
  <c r="N700" i="10"/>
  <c r="V700" i="10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575" i="10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535" i="10"/>
  <c r="Q506" i="10"/>
  <c r="Y506" i="10"/>
  <c r="S506" i="10"/>
  <c r="T506" i="10"/>
  <c r="U506" i="10"/>
  <c r="N506" i="10"/>
  <c r="V506" i="10"/>
  <c r="O506" i="10"/>
  <c r="W506" i="10"/>
  <c r="P506" i="10"/>
  <c r="X506" i="10"/>
  <c r="A458" i="10"/>
  <c r="A447" i="10"/>
  <c r="A433" i="10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O196" i="10"/>
  <c r="S196" i="10"/>
  <c r="W196" i="10"/>
  <c r="A181" i="10"/>
  <c r="A166" i="10"/>
  <c r="S137" i="10"/>
  <c r="T137" i="10"/>
  <c r="U137" i="10"/>
  <c r="N137" i="10"/>
  <c r="V137" i="10"/>
  <c r="O137" i="10"/>
  <c r="W137" i="10"/>
  <c r="P137" i="10"/>
  <c r="X137" i="10"/>
  <c r="Q137" i="10"/>
  <c r="Y137" i="10"/>
  <c r="A31" i="10"/>
  <c r="S9" i="10"/>
  <c r="T9" i="10"/>
  <c r="N9" i="10"/>
  <c r="V9" i="10"/>
  <c r="O9" i="10"/>
  <c r="W9" i="10"/>
  <c r="P9" i="10"/>
  <c r="Q9" i="10"/>
  <c r="U9" i="10"/>
  <c r="X9" i="10"/>
  <c r="Y9" i="10"/>
  <c r="O12" i="10"/>
  <c r="W12" i="10"/>
  <c r="P12" i="10"/>
  <c r="X12" i="10"/>
  <c r="S12" i="10"/>
  <c r="N12" i="10"/>
  <c r="Q12" i="10"/>
  <c r="T12" i="10"/>
  <c r="U12" i="10"/>
  <c r="V12" i="10"/>
  <c r="AB12" i="10" s="1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P67" i="10"/>
  <c r="Y67" i="10"/>
  <c r="Q67" i="10"/>
  <c r="S67" i="10"/>
  <c r="T67" i="10"/>
  <c r="V67" i="10"/>
  <c r="N75" i="10"/>
  <c r="V75" i="10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826" i="10"/>
  <c r="A802" i="10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O522" i="10"/>
  <c r="W522" i="10"/>
  <c r="P522" i="10"/>
  <c r="X522" i="10"/>
  <c r="Q474" i="10"/>
  <c r="Y474" i="10"/>
  <c r="S474" i="10"/>
  <c r="T474" i="10"/>
  <c r="U474" i="10"/>
  <c r="N474" i="10"/>
  <c r="V474" i="10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393" i="10"/>
  <c r="S365" i="10"/>
  <c r="T365" i="10"/>
  <c r="U365" i="10"/>
  <c r="N365" i="10"/>
  <c r="V365" i="10"/>
  <c r="O365" i="10"/>
  <c r="W365" i="10"/>
  <c r="P365" i="10"/>
  <c r="X365" i="10"/>
  <c r="Q365" i="10"/>
  <c r="Y365" i="10"/>
  <c r="N337" i="10"/>
  <c r="V337" i="10"/>
  <c r="O337" i="10"/>
  <c r="W337" i="10"/>
  <c r="X337" i="10"/>
  <c r="Y337" i="10"/>
  <c r="P337" i="10"/>
  <c r="Q337" i="10"/>
  <c r="S337" i="10"/>
  <c r="T337" i="10"/>
  <c r="U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69" i="10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O684" i="10"/>
  <c r="W684" i="10"/>
  <c r="P684" i="10"/>
  <c r="X684" i="10"/>
  <c r="Q684" i="10"/>
  <c r="Y684" i="10"/>
  <c r="N657" i="10"/>
  <c r="V657" i="10"/>
  <c r="O657" i="10"/>
  <c r="W657" i="10"/>
  <c r="P657" i="10"/>
  <c r="X657" i="10"/>
  <c r="Q657" i="10"/>
  <c r="Y657" i="10"/>
  <c r="S657" i="10"/>
  <c r="T657" i="10"/>
  <c r="U657" i="10"/>
  <c r="A613" i="10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533" i="10"/>
  <c r="T444" i="10"/>
  <c r="V444" i="10"/>
  <c r="O444" i="10"/>
  <c r="A417" i="10"/>
  <c r="A391" i="10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238" i="10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136" i="10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T271" i="10"/>
  <c r="U271" i="10"/>
  <c r="O271" i="10"/>
  <c r="W271" i="10"/>
  <c r="S271" i="10"/>
  <c r="V271" i="10"/>
  <c r="X271" i="10"/>
  <c r="Y271" i="10"/>
  <c r="N271" i="10"/>
  <c r="P271" i="10"/>
  <c r="Q271" i="10"/>
  <c r="U199" i="10"/>
  <c r="P199" i="10"/>
  <c r="X199" i="10"/>
  <c r="Q199" i="10"/>
  <c r="Y199" i="10"/>
  <c r="T199" i="10"/>
  <c r="V199" i="10"/>
  <c r="W199" i="10"/>
  <c r="N199" i="10"/>
  <c r="O199" i="10"/>
  <c r="S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P236" i="10"/>
  <c r="S236" i="10"/>
  <c r="A221" i="10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28" i="10"/>
  <c r="O14" i="10"/>
  <c r="W14" i="10"/>
  <c r="P14" i="10"/>
  <c r="X14" i="10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Y636" i="10"/>
  <c r="O564" i="10"/>
  <c r="W564" i="10"/>
  <c r="P564" i="10"/>
  <c r="X564" i="10"/>
  <c r="Q564" i="10"/>
  <c r="Y564" i="10"/>
  <c r="S564" i="10"/>
  <c r="T564" i="10"/>
  <c r="U564" i="10"/>
  <c r="N564" i="10"/>
  <c r="U493" i="10"/>
  <c r="N493" i="10"/>
  <c r="V493" i="10"/>
  <c r="O493" i="10"/>
  <c r="W493" i="10"/>
  <c r="P493" i="10"/>
  <c r="X493" i="10"/>
  <c r="Q493" i="10"/>
  <c r="Y493" i="10"/>
  <c r="S493" i="10"/>
  <c r="T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U215" i="10"/>
  <c r="P215" i="10"/>
  <c r="X215" i="10"/>
  <c r="Q215" i="10"/>
  <c r="Y215" i="10"/>
  <c r="T215" i="10"/>
  <c r="V215" i="10"/>
  <c r="AB215" i="10" s="1"/>
  <c r="W215" i="10"/>
  <c r="N215" i="10"/>
  <c r="O215" i="10"/>
  <c r="S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O570" i="10"/>
  <c r="W570" i="10"/>
  <c r="P570" i="10"/>
  <c r="X570" i="10"/>
  <c r="Q570" i="10"/>
  <c r="Y570" i="10"/>
  <c r="S570" i="10"/>
  <c r="T570" i="10"/>
  <c r="U570" i="10"/>
  <c r="V570" i="10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W542" i="10"/>
  <c r="P542" i="10"/>
  <c r="X542" i="10"/>
  <c r="Q542" i="10"/>
  <c r="Y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P274" i="10"/>
  <c r="X274" i="10"/>
  <c r="Q274" i="10"/>
  <c r="Y274" i="10"/>
  <c r="S274" i="10"/>
  <c r="T274" i="10"/>
  <c r="U274" i="10"/>
  <c r="V274" i="10"/>
  <c r="W274" i="10"/>
  <c r="N274" i="10"/>
  <c r="O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A646" i="10"/>
  <c r="A614" i="10"/>
  <c r="A534" i="10"/>
  <c r="A494" i="10"/>
  <c r="A413" i="10"/>
  <c r="A301" i="10"/>
  <c r="A270" i="10"/>
  <c r="A261" i="10"/>
  <c r="A208" i="10"/>
  <c r="A189" i="10"/>
  <c r="A157" i="10"/>
  <c r="A117" i="10"/>
  <c r="A85" i="10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A462" i="10"/>
  <c r="A349" i="10"/>
  <c r="A144" i="10"/>
  <c r="A53" i="10"/>
  <c r="Q170" i="1"/>
  <c r="Q98" i="1"/>
  <c r="Q523" i="1"/>
  <c r="Q467" i="1"/>
  <c r="Q371" i="1"/>
  <c r="Q283" i="1"/>
  <c r="Q187" i="1"/>
  <c r="Q131" i="1"/>
  <c r="Q99" i="1"/>
  <c r="Q59" i="1"/>
  <c r="A798" i="10"/>
  <c r="A734" i="10"/>
  <c r="Z734" i="10" s="1"/>
  <c r="A702" i="10"/>
  <c r="A661" i="10"/>
  <c r="A582" i="10"/>
  <c r="A550" i="10"/>
  <c r="A501" i="10"/>
  <c r="A430" i="10"/>
  <c r="A390" i="10"/>
  <c r="A358" i="10"/>
  <c r="A214" i="10"/>
  <c r="A72" i="10"/>
  <c r="Q698" i="1"/>
  <c r="Q586" i="1"/>
  <c r="Q282" i="1"/>
  <c r="Q827" i="1"/>
  <c r="Q763" i="1"/>
  <c r="Q635" i="1"/>
  <c r="Q403" i="1"/>
  <c r="Q219" i="1"/>
  <c r="A630" i="10"/>
  <c r="A80" i="10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A827" i="10"/>
  <c r="A819" i="10"/>
  <c r="A803" i="10"/>
  <c r="A795" i="10"/>
  <c r="A771" i="10"/>
  <c r="A763" i="10"/>
  <c r="A739" i="10"/>
  <c r="A731" i="10"/>
  <c r="A707" i="10"/>
  <c r="A699" i="10"/>
  <c r="A216" i="10"/>
  <c r="A152" i="10"/>
  <c r="A88" i="10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A48" i="10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C813" i="10" a="1"/>
  <c r="AC485" i="10" a="1"/>
  <c r="AC510" i="10" a="1"/>
  <c r="AC98" i="10" a="1"/>
  <c r="AC746" i="10" a="1"/>
  <c r="AC191" i="10" a="1"/>
  <c r="AC593" i="10" a="1"/>
  <c r="AC833" i="10" a="1"/>
  <c r="AC511" i="10" a="1"/>
  <c r="AC12" i="10" a="1"/>
  <c r="AC515" i="10" a="1"/>
  <c r="AC730" i="10" a="1"/>
  <c r="AC215" i="10" a="1"/>
  <c r="AC204" i="10" a="1"/>
  <c r="AC712" i="10" a="1"/>
  <c r="AC671" i="10" a="1"/>
  <c r="AC452" i="10" a="1"/>
  <c r="AC696" i="10" a="1"/>
  <c r="AC392" i="10" a="1"/>
  <c r="AC33" i="10" a="1"/>
  <c r="AC262" i="10" a="1"/>
  <c r="AC676" i="10" a="1"/>
  <c r="AC824" i="10" a="1"/>
  <c r="AC442" i="10" a="1"/>
  <c r="AC245" i="10" a="1"/>
  <c r="AC34" i="10" a="1"/>
  <c r="AC348" i="10" a="1"/>
  <c r="AC120" i="10" a="1"/>
  <c r="AC97" i="10" a="1"/>
  <c r="AC233" i="10" a="1"/>
  <c r="AC104" i="10" a="1"/>
  <c r="AC77" i="10" a="1"/>
  <c r="AC428" i="10" a="1"/>
  <c r="AC733" i="10" a="1"/>
  <c r="AC787" i="10" a="1"/>
  <c r="AC414" i="10" a="1"/>
  <c r="AC811" i="10" a="1"/>
  <c r="AC815" i="10" a="1"/>
  <c r="AC32" i="10" a="1"/>
  <c r="AC24" i="10" a="1"/>
  <c r="AC46" i="10" a="1"/>
  <c r="AC108" i="10" a="1"/>
  <c r="AC58" i="10" a="1"/>
  <c r="AC638" i="10" a="1"/>
  <c r="AC230" i="10" a="1"/>
  <c r="AC732" i="10" a="1"/>
  <c r="AC726" i="10" a="1"/>
  <c r="AC546" i="10" a="1"/>
  <c r="AC541" i="10" a="1"/>
  <c r="AC507" i="10" a="1"/>
  <c r="AC70" i="10" a="1"/>
  <c r="AC823" i="10" a="1"/>
  <c r="AC711" i="10" a="1"/>
  <c r="AC121" i="10" a="1"/>
  <c r="AC278" i="10" a="1"/>
  <c r="AC722" i="10" a="1"/>
  <c r="AC821" i="10" a="1"/>
  <c r="AC124" i="10" a="1"/>
  <c r="AB368" i="10" l="1"/>
  <c r="AB639" i="10"/>
  <c r="AB558" i="10"/>
  <c r="AB499" i="10"/>
  <c r="AB456" i="10"/>
  <c r="AB339" i="10"/>
  <c r="AB296" i="10"/>
  <c r="AB269" i="10"/>
  <c r="AB223" i="10"/>
  <c r="AB96" i="10"/>
  <c r="AB17" i="10"/>
  <c r="AB272" i="10"/>
  <c r="AB399" i="10"/>
  <c r="AB528" i="10"/>
  <c r="AB783" i="10"/>
  <c r="AB457" i="10"/>
  <c r="AB373" i="10"/>
  <c r="AB650" i="10"/>
  <c r="AB505" i="10"/>
  <c r="AB362" i="10"/>
  <c r="AB165" i="10"/>
  <c r="AB781" i="10"/>
  <c r="AB643" i="10"/>
  <c r="AB597" i="10"/>
  <c r="AB543" i="10"/>
  <c r="AB479" i="10"/>
  <c r="AB427" i="10"/>
  <c r="AB376" i="10"/>
  <c r="AB265" i="10"/>
  <c r="AB203" i="10"/>
  <c r="AB171" i="10"/>
  <c r="AB76" i="10"/>
  <c r="AB9" i="10"/>
  <c r="AB212" i="10"/>
  <c r="AB493" i="10"/>
  <c r="AB649" i="10"/>
  <c r="AB292" i="10"/>
  <c r="AB474" i="10"/>
  <c r="AB600" i="10"/>
  <c r="AB727" i="10"/>
  <c r="AB381" i="10"/>
  <c r="AB530" i="10"/>
  <c r="AB637" i="10"/>
  <c r="AB213" i="10"/>
  <c r="AB100" i="10"/>
  <c r="AB693" i="10"/>
  <c r="AB631" i="10"/>
  <c r="AB539" i="10"/>
  <c r="AB331" i="10"/>
  <c r="AB288" i="10"/>
  <c r="AB118" i="10"/>
  <c r="AB64" i="10"/>
  <c r="AB159" i="10"/>
  <c r="AB295" i="10"/>
  <c r="AB450" i="10"/>
  <c r="AB577" i="10"/>
  <c r="AB668" i="10"/>
  <c r="AB717" i="10"/>
  <c r="AB606" i="10"/>
  <c r="AB555" i="10"/>
  <c r="AB480" i="10"/>
  <c r="AB409" i="10"/>
  <c r="AB344" i="10"/>
  <c r="AB172" i="10"/>
  <c r="AB115" i="10"/>
  <c r="AB47" i="10"/>
  <c r="AB164" i="10"/>
  <c r="AB300" i="10"/>
  <c r="AB522" i="10"/>
  <c r="AB636" i="10"/>
  <c r="AB716" i="10"/>
  <c r="AB832" i="10"/>
  <c r="AB567" i="10"/>
  <c r="AB286" i="10"/>
  <c r="AB521" i="10"/>
  <c r="AB421" i="10"/>
  <c r="AB651" i="10"/>
  <c r="AB691" i="10"/>
  <c r="AB448" i="10"/>
  <c r="AB498" i="10"/>
  <c r="AB736" i="10"/>
  <c r="AB579" i="10"/>
  <c r="AB552" i="10"/>
  <c r="AB477" i="10"/>
  <c r="AB366" i="10"/>
  <c r="AB317" i="10"/>
  <c r="AB263" i="10"/>
  <c r="AB185" i="10"/>
  <c r="AB90" i="10"/>
  <c r="AB356" i="10"/>
  <c r="AB584" i="10"/>
  <c r="AB674" i="10"/>
  <c r="AB794" i="10"/>
  <c r="AB297" i="10"/>
  <c r="AB130" i="10"/>
  <c r="AB35" i="10"/>
  <c r="AB617" i="10"/>
  <c r="AB665" i="10"/>
  <c r="AB806" i="10"/>
  <c r="AB411" i="10"/>
  <c r="AB379" i="10"/>
  <c r="AB322" i="10"/>
  <c r="AB260" i="10"/>
  <c r="AB206" i="10"/>
  <c r="AB158" i="10"/>
  <c r="AB128" i="10"/>
  <c r="AB63" i="10"/>
  <c r="AB770" i="10"/>
  <c r="AB405" i="10"/>
  <c r="AB73" i="10"/>
  <c r="AB78" i="10"/>
  <c r="AB372" i="10"/>
  <c r="AB764" i="10"/>
  <c r="AB704" i="10"/>
  <c r="AB653" i="10"/>
  <c r="AB612" i="10"/>
  <c r="AB572" i="10"/>
  <c r="AB518" i="10"/>
  <c r="AB459" i="10"/>
  <c r="AB426" i="10"/>
  <c r="AB315" i="10"/>
  <c r="AB194" i="10"/>
  <c r="AB132" i="10"/>
  <c r="AB83" i="10"/>
  <c r="AB156" i="10"/>
  <c r="AB257" i="10"/>
  <c r="AB412" i="10"/>
  <c r="AB538" i="10"/>
  <c r="AB656" i="10"/>
  <c r="AB748" i="10"/>
  <c r="AB810" i="10"/>
  <c r="AB750" i="10"/>
  <c r="AB644" i="10"/>
  <c r="AB520" i="10"/>
  <c r="AB488" i="10"/>
  <c r="AB431" i="10"/>
  <c r="AB361" i="10"/>
  <c r="AB309" i="10"/>
  <c r="AB242" i="10"/>
  <c r="AB134" i="10"/>
  <c r="AB129" i="10"/>
  <c r="AB264" i="10"/>
  <c r="AB481" i="10"/>
  <c r="AB602" i="10"/>
  <c r="AB692" i="10"/>
  <c r="AB793" i="10"/>
  <c r="AB621" i="10"/>
  <c r="AB324" i="10"/>
  <c r="AB51" i="10"/>
  <c r="AB569" i="10"/>
  <c r="AB759" i="10"/>
  <c r="AB432" i="10"/>
  <c r="AB825" i="10"/>
  <c r="AB667" i="10"/>
  <c r="AB389" i="10"/>
  <c r="AB814" i="10"/>
  <c r="AB629" i="10"/>
  <c r="AB86" i="10"/>
  <c r="AB218" i="10"/>
  <c r="AB622" i="10"/>
  <c r="AB587" i="10"/>
  <c r="AB560" i="10"/>
  <c r="AB509" i="10"/>
  <c r="AB374" i="10"/>
  <c r="AB279" i="10"/>
  <c r="AB201" i="10"/>
  <c r="AB150" i="10"/>
  <c r="AB101" i="10"/>
  <c r="AB335" i="10"/>
  <c r="AB524" i="10"/>
  <c r="AB658" i="10"/>
  <c r="AB735" i="10"/>
  <c r="AB508" i="10"/>
  <c r="AB176" i="10"/>
  <c r="AB65" i="10"/>
  <c r="AB105" i="10"/>
  <c r="AB812" i="10"/>
  <c r="AB387" i="10"/>
  <c r="AB268" i="10"/>
  <c r="AB222" i="10"/>
  <c r="AB174" i="10"/>
  <c r="AB139" i="10"/>
  <c r="AB79" i="10"/>
  <c r="AB27" i="10"/>
  <c r="AB599" i="10"/>
  <c r="AB283" i="10"/>
  <c r="AB289" i="10"/>
  <c r="AB127" i="10"/>
  <c r="AB250" i="10"/>
  <c r="AB796" i="10"/>
  <c r="AB715" i="10"/>
  <c r="AB669" i="10"/>
  <c r="AB623" i="10"/>
  <c r="AB580" i="10"/>
  <c r="AB526" i="10"/>
  <c r="AB467" i="10"/>
  <c r="AB429" i="10"/>
  <c r="AB318" i="10"/>
  <c r="AB291" i="10"/>
  <c r="AB210" i="10"/>
  <c r="AB143" i="10"/>
  <c r="AB91" i="10"/>
  <c r="AB59" i="10"/>
  <c r="AB310" i="10"/>
  <c r="AB434" i="10"/>
  <c r="AB554" i="10"/>
  <c r="AB660" i="10"/>
  <c r="AB818" i="10"/>
  <c r="AB443" i="10"/>
  <c r="AB287" i="10"/>
  <c r="AB724" i="10"/>
  <c r="AB440" i="10"/>
  <c r="AB302" i="10"/>
  <c r="AB251" i="10"/>
  <c r="AB708" i="10"/>
  <c r="AB635" i="10"/>
  <c r="AB589" i="10"/>
  <c r="AB519" i="10"/>
  <c r="AB468" i="10"/>
  <c r="AB419" i="10"/>
  <c r="AB360" i="10"/>
  <c r="AB227" i="10"/>
  <c r="AB195" i="10"/>
  <c r="AB163" i="10"/>
  <c r="AB103" i="10"/>
  <c r="AB68" i="10"/>
  <c r="AB44" i="10"/>
  <c r="AB241" i="10"/>
  <c r="AB367" i="10"/>
  <c r="AB529" i="10"/>
  <c r="AB663" i="10"/>
  <c r="AB319" i="10"/>
  <c r="AB506" i="10"/>
  <c r="AB655" i="10"/>
  <c r="AB808" i="10"/>
  <c r="AB357" i="10"/>
  <c r="AB705" i="10"/>
  <c r="AB470" i="10"/>
  <c r="AB142" i="10"/>
  <c r="AB720" i="10"/>
  <c r="AB685" i="10"/>
  <c r="AB620" i="10"/>
  <c r="AB531" i="10"/>
  <c r="AB483" i="10"/>
  <c r="AB415" i="10"/>
  <c r="AB323" i="10"/>
  <c r="AB285" i="10"/>
  <c r="AB237" i="10"/>
  <c r="AB110" i="10"/>
  <c r="AB50" i="10"/>
  <c r="AB196" i="10"/>
  <c r="AB327" i="10"/>
  <c r="AB476" i="10"/>
  <c r="AB690" i="10"/>
  <c r="AB792" i="10"/>
  <c r="AB766" i="10"/>
  <c r="AB706" i="10"/>
  <c r="AB598" i="10"/>
  <c r="AB547" i="10"/>
  <c r="AB472" i="10"/>
  <c r="AB336" i="10"/>
  <c r="AB266" i="10"/>
  <c r="AB25" i="10"/>
  <c r="AB200" i="10"/>
  <c r="AB330" i="10"/>
  <c r="AB542" i="10"/>
  <c r="AB657" i="10"/>
  <c r="AB749" i="10"/>
  <c r="AB710" i="10"/>
  <c r="AB416" i="10"/>
  <c r="AB232" i="10"/>
  <c r="AB106" i="10"/>
  <c r="AB404" i="10"/>
  <c r="AB664" i="10"/>
  <c r="AB489" i="10"/>
  <c r="AB243" i="10"/>
  <c r="AB632" i="10"/>
  <c r="AB224" i="10"/>
  <c r="AB386" i="10"/>
  <c r="AB14" i="10"/>
  <c r="AB536" i="10"/>
  <c r="AB714" i="10"/>
  <c r="AB652" i="10"/>
  <c r="AB603" i="10"/>
  <c r="AB571" i="10"/>
  <c r="AB525" i="10"/>
  <c r="AB306" i="10"/>
  <c r="AB239" i="10"/>
  <c r="AB177" i="10"/>
  <c r="AB82" i="10"/>
  <c r="AB89" i="10"/>
  <c r="AB271" i="10"/>
  <c r="AB396" i="10"/>
  <c r="AB609" i="10"/>
  <c r="AB694" i="10"/>
  <c r="AB640" i="10"/>
  <c r="AB254" i="10"/>
  <c r="AB122" i="10"/>
  <c r="AB29" i="10"/>
  <c r="AB760" i="10"/>
  <c r="AB776" i="10"/>
  <c r="AB608" i="10"/>
  <c r="AB403" i="10"/>
  <c r="AB371" i="10"/>
  <c r="AB303" i="10"/>
  <c r="AB252" i="10"/>
  <c r="AB190" i="10"/>
  <c r="AB109" i="10"/>
  <c r="AB49" i="10"/>
  <c r="AB500" i="10"/>
  <c r="AB246" i="10"/>
  <c r="AB43" i="10"/>
  <c r="AB62" i="10"/>
  <c r="AB570" i="10"/>
  <c r="AB54" i="10"/>
  <c r="AB737" i="10"/>
  <c r="AB688" i="10"/>
  <c r="AB642" i="10"/>
  <c r="AB604" i="10"/>
  <c r="AB561" i="10"/>
  <c r="AB445" i="10"/>
  <c r="AB418" i="10"/>
  <c r="AB334" i="10"/>
  <c r="AB307" i="10"/>
  <c r="AB170" i="10"/>
  <c r="AB113" i="10"/>
  <c r="AB75" i="10"/>
  <c r="AB193" i="10"/>
  <c r="AB209" i="10"/>
  <c r="AB337" i="10"/>
  <c r="AB585" i="10"/>
  <c r="AB532" i="10"/>
  <c r="AB435" i="10"/>
  <c r="AB52" i="10"/>
  <c r="AB718" i="10"/>
  <c r="AB402" i="10"/>
  <c r="AB294" i="10"/>
  <c r="AB197" i="10"/>
  <c r="AB820" i="10"/>
  <c r="AB670" i="10"/>
  <c r="AB581" i="10"/>
  <c r="AB460" i="10"/>
  <c r="AB408" i="10"/>
  <c r="AB343" i="10"/>
  <c r="AB219" i="10"/>
  <c r="AB187" i="10"/>
  <c r="AB133" i="10"/>
  <c r="AB92" i="10"/>
  <c r="AB60" i="10"/>
  <c r="AB140" i="10"/>
  <c r="AB400" i="10"/>
  <c r="AB562" i="10"/>
  <c r="AB700" i="10"/>
  <c r="AB380" i="10"/>
  <c r="AB537" i="10"/>
  <c r="AB666" i="10"/>
  <c r="AB686" i="10"/>
  <c r="AB340" i="10"/>
  <c r="AB321" i="10"/>
  <c r="AB168" i="10"/>
  <c r="AB709" i="10"/>
  <c r="AB647" i="10"/>
  <c r="AB566" i="10"/>
  <c r="AB523" i="10"/>
  <c r="AB475" i="10"/>
  <c r="AB304" i="10"/>
  <c r="AB277" i="10"/>
  <c r="AB231" i="10"/>
  <c r="AB99" i="10"/>
  <c r="AB42" i="10"/>
  <c r="AB226" i="10"/>
  <c r="AB388" i="10"/>
  <c r="AB514" i="10"/>
  <c r="AB628" i="10"/>
  <c r="AB713" i="10"/>
  <c r="AB831" i="10"/>
  <c r="AB758" i="10"/>
  <c r="AB698" i="10"/>
  <c r="AB544" i="10"/>
  <c r="AB461" i="10"/>
  <c r="AB320" i="10"/>
  <c r="AB258" i="10"/>
  <c r="AB145" i="10"/>
  <c r="AB93" i="10"/>
  <c r="AB228" i="10"/>
  <c r="AB420" i="10"/>
  <c r="AB578" i="10"/>
  <c r="AB767" i="10"/>
  <c r="AB659" i="10"/>
  <c r="AB365" i="10"/>
  <c r="AB141" i="10"/>
  <c r="AB180" i="10"/>
  <c r="AB466" i="10"/>
  <c r="AB682" i="10"/>
  <c r="AB473" i="10"/>
  <c r="AB684" i="10"/>
  <c r="AB675" i="10"/>
  <c r="AB559" i="10"/>
  <c r="AB149" i="10"/>
  <c r="AB645" i="10"/>
  <c r="AB116" i="10"/>
  <c r="AB594" i="10"/>
  <c r="AB695" i="10"/>
  <c r="AB633" i="10"/>
  <c r="AB595" i="10"/>
  <c r="AB568" i="10"/>
  <c r="AB517" i="10"/>
  <c r="AB398" i="10"/>
  <c r="AB298" i="10"/>
  <c r="AB225" i="10"/>
  <c r="AB161" i="10"/>
  <c r="AB112" i="10"/>
  <c r="AB66" i="10"/>
  <c r="AB137" i="10"/>
  <c r="AB308" i="10"/>
  <c r="AB719" i="10"/>
  <c r="AB192" i="10"/>
  <c r="AB21" i="10"/>
  <c r="AB205" i="10"/>
  <c r="AB807" i="10"/>
  <c r="AB752" i="10"/>
  <c r="AB576" i="10"/>
  <c r="AB441" i="10"/>
  <c r="AB395" i="10"/>
  <c r="AB363" i="10"/>
  <c r="AB284" i="10"/>
  <c r="AB244" i="10"/>
  <c r="AB182" i="10"/>
  <c r="AB87" i="10"/>
  <c r="AB41" i="10"/>
  <c r="AB451" i="10"/>
  <c r="AB160" i="10"/>
  <c r="AB683" i="10"/>
  <c r="AB188" i="10"/>
  <c r="AB625" i="10"/>
  <c r="AB834" i="10"/>
  <c r="AB723" i="10"/>
  <c r="AB634" i="10"/>
  <c r="AB588" i="10"/>
  <c r="AB486" i="10"/>
  <c r="AB437" i="10"/>
  <c r="AB375" i="10"/>
  <c r="AB299" i="10"/>
  <c r="AB248" i="10"/>
  <c r="AB151" i="10"/>
  <c r="AB102" i="10"/>
  <c r="AB67" i="10"/>
  <c r="AB751" i="10"/>
  <c r="AB754" i="10"/>
  <c r="AB255" i="10"/>
  <c r="AB236" i="10"/>
  <c r="AB364" i="10"/>
  <c r="AB490" i="10"/>
  <c r="AB610" i="10"/>
  <c r="AB721" i="10"/>
  <c r="AB492" i="10"/>
  <c r="AB397" i="10"/>
  <c r="AB146" i="10"/>
  <c r="AB497" i="10"/>
  <c r="AB545" i="10"/>
  <c r="AB378" i="10"/>
  <c r="AB275" i="10"/>
  <c r="AB173" i="10"/>
  <c r="AB797" i="10"/>
  <c r="AB605" i="10"/>
  <c r="AB573" i="10"/>
  <c r="AB487" i="10"/>
  <c r="AB384" i="10"/>
  <c r="AB281" i="10"/>
  <c r="AB211" i="10"/>
  <c r="AB179" i="10"/>
  <c r="AB125" i="10"/>
  <c r="AB84" i="10"/>
  <c r="AB38" i="10"/>
  <c r="AB178" i="10"/>
  <c r="AB311" i="10"/>
  <c r="AB586" i="10"/>
  <c r="AB740" i="10"/>
  <c r="AB689" i="10"/>
  <c r="AB465" i="10"/>
  <c r="AB313" i="10"/>
  <c r="AB822" i="10"/>
  <c r="AB229" i="10"/>
  <c r="AC124" i="10"/>
  <c r="AC821" i="10"/>
  <c r="AC722" i="10"/>
  <c r="AC278" i="10"/>
  <c r="AC121" i="10"/>
  <c r="AC711" i="10"/>
  <c r="AC823" i="10"/>
  <c r="AC70" i="10"/>
  <c r="AC507" i="10"/>
  <c r="AC541" i="10"/>
  <c r="AC546" i="10"/>
  <c r="AC726" i="10"/>
  <c r="AC732" i="10"/>
  <c r="AC230" i="10"/>
  <c r="AC638" i="10"/>
  <c r="AC58" i="10"/>
  <c r="AC108" i="10"/>
  <c r="AC46" i="10"/>
  <c r="AC24" i="10"/>
  <c r="AC32" i="10"/>
  <c r="AC815" i="10"/>
  <c r="AC811" i="10"/>
  <c r="AC414" i="10"/>
  <c r="AC787" i="10"/>
  <c r="AC733" i="10"/>
  <c r="AC428" i="10"/>
  <c r="AC77" i="10"/>
  <c r="AC104" i="10"/>
  <c r="AC233" i="10"/>
  <c r="AC97" i="10"/>
  <c r="AC120" i="10"/>
  <c r="AC348" i="10"/>
  <c r="AC34" i="10"/>
  <c r="AC245" i="10"/>
  <c r="AC442" i="10"/>
  <c r="AC824" i="10"/>
  <c r="AC676" i="10"/>
  <c r="AC262" i="10"/>
  <c r="AC33" i="10"/>
  <c r="AC392" i="10"/>
  <c r="AC696" i="10"/>
  <c r="AC452" i="10"/>
  <c r="AC671" i="10"/>
  <c r="AC712" i="10"/>
  <c r="AC204" i="10"/>
  <c r="AC215" i="10"/>
  <c r="AC730" i="10"/>
  <c r="AC515" i="10"/>
  <c r="AC12" i="10"/>
  <c r="AC511" i="10"/>
  <c r="AC833" i="10"/>
  <c r="AC593" i="10"/>
  <c r="AC191" i="10"/>
  <c r="AC746" i="10"/>
  <c r="AC98" i="10"/>
  <c r="AC510" i="10"/>
  <c r="AC485" i="10"/>
  <c r="AC813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R394" i="10"/>
  <c r="AB394" i="10" s="1"/>
  <c r="R94" i="10"/>
  <c r="AB94" i="10" s="1"/>
  <c r="R436" i="10"/>
  <c r="AB436" i="10" s="1"/>
  <c r="S410" i="10"/>
  <c r="U444" i="10"/>
  <c r="S394" i="10"/>
  <c r="N436" i="10"/>
  <c r="X436" i="10"/>
  <c r="X8" i="10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R707" i="10"/>
  <c r="Z550" i="10"/>
  <c r="R550" i="10"/>
  <c r="AB550" i="10" s="1"/>
  <c r="Z458" i="10"/>
  <c r="R458" i="10"/>
  <c r="Z771" i="10"/>
  <c r="R771" i="10"/>
  <c r="Z184" i="10"/>
  <c r="R184" i="10"/>
  <c r="Z699" i="10"/>
  <c r="R699" i="10"/>
  <c r="AB699" i="10" s="1"/>
  <c r="Z819" i="10"/>
  <c r="R819" i="10"/>
  <c r="Z501" i="10"/>
  <c r="R501" i="10"/>
  <c r="AB501" i="10" s="1"/>
  <c r="Z270" i="10"/>
  <c r="R270" i="10"/>
  <c r="Z136" i="10"/>
  <c r="R136" i="10"/>
  <c r="Z417" i="10"/>
  <c r="R417" i="10"/>
  <c r="Z447" i="10"/>
  <c r="R447" i="10"/>
  <c r="Z591" i="10"/>
  <c r="R591" i="10"/>
  <c r="Z495" i="10"/>
  <c r="R495" i="10"/>
  <c r="AB495" i="10" s="1"/>
  <c r="Z583" i="10"/>
  <c r="R583" i="10"/>
  <c r="U804" i="10"/>
  <c r="R804" i="10"/>
  <c r="Z183" i="10"/>
  <c r="R183" i="10"/>
  <c r="Z7" i="10"/>
  <c r="R7" i="10"/>
  <c r="AB7" i="10" s="1"/>
  <c r="Z234" i="10"/>
  <c r="R234" i="10"/>
  <c r="Z351" i="10"/>
  <c r="R351" i="10"/>
  <c r="AB351" i="10" s="1"/>
  <c r="Z827" i="10"/>
  <c r="R827" i="10"/>
  <c r="Z551" i="10"/>
  <c r="R551" i="10"/>
  <c r="Z548" i="10"/>
  <c r="R548" i="10"/>
  <c r="Z144" i="10"/>
  <c r="R144" i="10"/>
  <c r="Z238" i="10"/>
  <c r="R238" i="10"/>
  <c r="AB238" i="10" s="1"/>
  <c r="Z69" i="10"/>
  <c r="R69" i="10"/>
  <c r="Z527" i="10"/>
  <c r="R527" i="10"/>
  <c r="AB527" i="10" s="1"/>
  <c r="Z618" i="10"/>
  <c r="R618" i="10"/>
  <c r="Z282" i="10"/>
  <c r="R282" i="10"/>
  <c r="Z207" i="10"/>
  <c r="R207" i="10"/>
  <c r="Z325" i="10"/>
  <c r="R325" i="10"/>
  <c r="Z290" i="10"/>
  <c r="R290" i="10"/>
  <c r="W744" i="10"/>
  <c r="R744" i="10"/>
  <c r="Z382" i="10"/>
  <c r="R382" i="10"/>
  <c r="AB382" i="10" s="1"/>
  <c r="Z6" i="10"/>
  <c r="R6" i="10"/>
  <c r="AB6" i="10" s="1"/>
  <c r="Z167" i="10"/>
  <c r="R167" i="10"/>
  <c r="Z249" i="10"/>
  <c r="R249" i="10"/>
  <c r="Z731" i="10"/>
  <c r="R731" i="10"/>
  <c r="Z835" i="10"/>
  <c r="R835" i="10"/>
  <c r="Z630" i="10"/>
  <c r="R630" i="10"/>
  <c r="Z582" i="10"/>
  <c r="R582" i="10"/>
  <c r="Z85" i="10"/>
  <c r="R85" i="10"/>
  <c r="Z413" i="10"/>
  <c r="R413" i="10"/>
  <c r="Z739" i="10"/>
  <c r="R739" i="10"/>
  <c r="AB739" i="10" s="1"/>
  <c r="Z72" i="10"/>
  <c r="R72" i="10"/>
  <c r="Z661" i="10"/>
  <c r="R661" i="10"/>
  <c r="AB661" i="10" s="1"/>
  <c r="Z349" i="10"/>
  <c r="R349" i="10"/>
  <c r="Z117" i="10"/>
  <c r="R117" i="10"/>
  <c r="Z494" i="10"/>
  <c r="R494" i="10"/>
  <c r="Z221" i="10"/>
  <c r="R221" i="10"/>
  <c r="Z613" i="10"/>
  <c r="R613" i="10"/>
  <c r="Z802" i="10"/>
  <c r="R802" i="10"/>
  <c r="Z166" i="10"/>
  <c r="R166" i="10"/>
  <c r="Z449" i="10"/>
  <c r="R449" i="10"/>
  <c r="Z37" i="10"/>
  <c r="R37" i="10"/>
  <c r="Z186" i="10"/>
  <c r="R186" i="10"/>
  <c r="Z305" i="10"/>
  <c r="R305" i="10"/>
  <c r="Z464" i="10"/>
  <c r="R464" i="10"/>
  <c r="Z816" i="10"/>
  <c r="R816" i="10"/>
  <c r="Z756" i="10"/>
  <c r="R756" i="10"/>
  <c r="Z80" i="10"/>
  <c r="R80" i="10"/>
  <c r="Z575" i="10"/>
  <c r="R575" i="10"/>
  <c r="Z763" i="10"/>
  <c r="R763" i="10"/>
  <c r="Z214" i="10"/>
  <c r="R214" i="10"/>
  <c r="Z702" i="10"/>
  <c r="R702" i="10"/>
  <c r="Z462" i="10"/>
  <c r="R462" i="10"/>
  <c r="Z157" i="10"/>
  <c r="R157" i="10"/>
  <c r="AB157" i="10" s="1"/>
  <c r="Z534" i="10"/>
  <c r="R534" i="10"/>
  <c r="AB534" i="10" s="1"/>
  <c r="Z533" i="10"/>
  <c r="R533" i="10"/>
  <c r="Z826" i="10"/>
  <c r="R826" i="10"/>
  <c r="Z181" i="10"/>
  <c r="R181" i="10"/>
  <c r="Z729" i="10"/>
  <c r="R729" i="10"/>
  <c r="Z55" i="10"/>
  <c r="R55" i="10"/>
  <c r="AB55" i="10" s="1"/>
  <c r="Z369" i="10"/>
  <c r="R369" i="10"/>
  <c r="Z677" i="10"/>
  <c r="R677" i="10"/>
  <c r="Z71" i="10"/>
  <c r="R71" i="10"/>
  <c r="Z95" i="10"/>
  <c r="R95" i="10"/>
  <c r="Z540" i="10"/>
  <c r="R540" i="10"/>
  <c r="Z484" i="10"/>
  <c r="R484" i="10"/>
  <c r="AB484" i="10" s="1"/>
  <c r="Z703" i="10"/>
  <c r="R703" i="10"/>
  <c r="Z36" i="10"/>
  <c r="R36" i="10"/>
  <c r="Z596" i="10"/>
  <c r="R596" i="10"/>
  <c r="Z301" i="10"/>
  <c r="R301" i="10"/>
  <c r="AB301" i="10" s="1"/>
  <c r="Z328" i="10"/>
  <c r="R328" i="10"/>
  <c r="Z273" i="10"/>
  <c r="R273" i="10"/>
  <c r="Z358" i="10"/>
  <c r="R358" i="10"/>
  <c r="AB358" i="10" s="1"/>
  <c r="Z725" i="10"/>
  <c r="R725" i="10"/>
  <c r="Z189" i="10"/>
  <c r="R189" i="10"/>
  <c r="Z614" i="10"/>
  <c r="R614" i="10"/>
  <c r="AB614" i="10" s="1"/>
  <c r="Z28" i="10"/>
  <c r="R28" i="10"/>
  <c r="Z393" i="10"/>
  <c r="R393" i="10"/>
  <c r="AB393" i="10" s="1"/>
  <c r="Z535" i="10"/>
  <c r="R535" i="10"/>
  <c r="Z383" i="10"/>
  <c r="R383" i="10"/>
  <c r="Z135" i="10"/>
  <c r="R135" i="10"/>
  <c r="Z162" i="10"/>
  <c r="R162" i="10"/>
  <c r="Z385" i="10"/>
  <c r="R385" i="10"/>
  <c r="AB385" i="10" s="1"/>
  <c r="Z126" i="10"/>
  <c r="R126" i="10"/>
  <c r="AB126" i="10" s="1"/>
  <c r="Z39" i="10"/>
  <c r="R39" i="10"/>
  <c r="AB39" i="10" s="1"/>
  <c r="Z423" i="10"/>
  <c r="R423" i="10"/>
  <c r="AB423" i="10" s="1"/>
  <c r="Z513" i="10"/>
  <c r="R513" i="10"/>
  <c r="AB513" i="10" s="1"/>
  <c r="Z240" i="10"/>
  <c r="R240" i="10"/>
  <c r="Z152" i="10"/>
  <c r="R152" i="10"/>
  <c r="AB152" i="10" s="1"/>
  <c r="Z795" i="10"/>
  <c r="R795" i="10"/>
  <c r="Z390" i="10"/>
  <c r="R390" i="10"/>
  <c r="Z798" i="10"/>
  <c r="R798" i="10"/>
  <c r="Z208" i="10"/>
  <c r="R208" i="10"/>
  <c r="Z646" i="10"/>
  <c r="R646" i="10"/>
  <c r="Z836" i="10"/>
  <c r="R836" i="10"/>
  <c r="Z425" i="10"/>
  <c r="R425" i="10"/>
  <c r="AB425" i="10" s="1"/>
  <c r="Z198" i="10"/>
  <c r="R198" i="10"/>
  <c r="AB198" i="10" s="1"/>
  <c r="Z199" i="10"/>
  <c r="R199" i="10"/>
  <c r="AB199" i="10" s="1"/>
  <c r="Z53" i="10"/>
  <c r="R53" i="10"/>
  <c r="Z788" i="10"/>
  <c r="R788" i="10"/>
  <c r="Z48" i="10"/>
  <c r="R48" i="10"/>
  <c r="Z88" i="10"/>
  <c r="R88" i="10"/>
  <c r="Z216" i="10"/>
  <c r="R216" i="10"/>
  <c r="Z803" i="10"/>
  <c r="R803" i="10"/>
  <c r="Z430" i="10"/>
  <c r="R430" i="10"/>
  <c r="Z261" i="10"/>
  <c r="R261" i="10"/>
  <c r="Z774" i="10"/>
  <c r="R774" i="10"/>
  <c r="Z391" i="10"/>
  <c r="R391" i="10"/>
  <c r="Z31" i="10"/>
  <c r="R31" i="10"/>
  <c r="Z433" i="10"/>
  <c r="R433" i="10"/>
  <c r="Z782" i="10"/>
  <c r="R782" i="10"/>
  <c r="Z111" i="10"/>
  <c r="R111" i="10"/>
  <c r="AB111" i="10" s="1"/>
  <c r="Z607" i="10"/>
  <c r="R607" i="10"/>
  <c r="AB607" i="10" s="1"/>
  <c r="Z274" i="10"/>
  <c r="R274" i="10"/>
  <c r="AB274" i="10" s="1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X596" i="10"/>
  <c r="P703" i="10"/>
  <c r="O95" i="10"/>
  <c r="N596" i="10"/>
  <c r="P596" i="10"/>
  <c r="X484" i="10"/>
  <c r="V703" i="10"/>
  <c r="S71" i="10"/>
  <c r="W95" i="10"/>
  <c r="V162" i="10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W464" i="10"/>
  <c r="M834" i="1"/>
  <c r="M837" i="10"/>
  <c r="V135" i="10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N756" i="10"/>
  <c r="N207" i="10"/>
  <c r="V618" i="10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N6" i="10"/>
  <c r="T744" i="10"/>
  <c r="V548" i="10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P425" i="10"/>
  <c r="V540" i="10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Y7" i="10"/>
  <c r="T7" i="10"/>
  <c r="V183" i="10"/>
  <c r="P183" i="10"/>
  <c r="P351" i="10"/>
  <c r="O816" i="10"/>
  <c r="U234" i="10"/>
  <c r="X7" i="10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S207" i="10"/>
  <c r="P207" i="10"/>
  <c r="O290" i="10"/>
  <c r="W167" i="10"/>
  <c r="T6" i="10"/>
  <c r="O6" i="10"/>
  <c r="Y548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Q804" i="10"/>
  <c r="O583" i="10"/>
  <c r="V583" i="10"/>
  <c r="P804" i="10"/>
  <c r="N583" i="10"/>
  <c r="T804" i="10"/>
  <c r="Y583" i="10"/>
  <c r="U583" i="10"/>
  <c r="X804" i="10"/>
  <c r="O804" i="10"/>
  <c r="Q583" i="10"/>
  <c r="T583" i="10"/>
  <c r="V804" i="10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X166" i="10"/>
  <c r="Y166" i="10"/>
  <c r="P166" i="10"/>
  <c r="U788" i="10"/>
  <c r="N788" i="10"/>
  <c r="V788" i="10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O144" i="10"/>
  <c r="W144" i="10"/>
  <c r="P144" i="10"/>
  <c r="X144" i="10"/>
  <c r="Q144" i="10"/>
  <c r="Y144" i="10"/>
  <c r="S144" i="10"/>
  <c r="T144" i="10"/>
  <c r="U144" i="10"/>
  <c r="V144" i="10"/>
  <c r="N144" i="10"/>
  <c r="N85" i="10"/>
  <c r="V85" i="10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U535" i="10"/>
  <c r="N535" i="10"/>
  <c r="V535" i="10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Q591" i="10"/>
  <c r="Y591" i="10"/>
  <c r="S383" i="10"/>
  <c r="T383" i="10"/>
  <c r="U383" i="10"/>
  <c r="N383" i="10"/>
  <c r="V383" i="10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Y430" i="10"/>
  <c r="N69" i="10"/>
  <c r="V69" i="10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T88" i="10"/>
  <c r="U88" i="10"/>
  <c r="O88" i="10"/>
  <c r="W88" i="10"/>
  <c r="V88" i="10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O771" i="10"/>
  <c r="W771" i="10"/>
  <c r="P771" i="10"/>
  <c r="X771" i="10"/>
  <c r="T72" i="10"/>
  <c r="U72" i="10"/>
  <c r="O72" i="10"/>
  <c r="W72" i="10"/>
  <c r="V72" i="10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Q349" i="10"/>
  <c r="Y349" i="10"/>
  <c r="U117" i="10"/>
  <c r="N117" i="10"/>
  <c r="V117" i="10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O494" i="10"/>
  <c r="W494" i="10"/>
  <c r="P494" i="10"/>
  <c r="X494" i="10"/>
  <c r="U533" i="10"/>
  <c r="N533" i="10"/>
  <c r="V533" i="10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P433" i="10"/>
  <c r="X433" i="10"/>
  <c r="Q433" i="10"/>
  <c r="Y433" i="10"/>
  <c r="O433" i="10"/>
  <c r="U433" i="10"/>
  <c r="W433" i="10"/>
  <c r="N707" i="10"/>
  <c r="V707" i="10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O795" i="10"/>
  <c r="W795" i="10"/>
  <c r="P795" i="10"/>
  <c r="X795" i="10"/>
  <c r="Q214" i="10"/>
  <c r="Y214" i="10"/>
  <c r="T214" i="10"/>
  <c r="U214" i="10"/>
  <c r="N214" i="10"/>
  <c r="V214" i="10"/>
  <c r="P214" i="10"/>
  <c r="X214" i="10"/>
  <c r="O214" i="10"/>
  <c r="S214" i="10"/>
  <c r="W214" i="10"/>
  <c r="S702" i="10"/>
  <c r="T702" i="10"/>
  <c r="U702" i="10"/>
  <c r="N702" i="10"/>
  <c r="V702" i="10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O31" i="10"/>
  <c r="W31" i="10"/>
  <c r="P31" i="10"/>
  <c r="Q31" i="10"/>
  <c r="U31" i="10"/>
  <c r="X31" i="10"/>
  <c r="Y31" i="10"/>
  <c r="U447" i="10"/>
  <c r="N447" i="10"/>
  <c r="V447" i="10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X827" i="10"/>
  <c r="O28" i="10"/>
  <c r="W28" i="10"/>
  <c r="P28" i="10"/>
  <c r="X28" i="10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W836" i="10"/>
  <c r="Q458" i="10"/>
  <c r="Y458" i="10"/>
  <c r="S458" i="10"/>
  <c r="T458" i="10"/>
  <c r="U458" i="10"/>
  <c r="N458" i="10"/>
  <c r="V458" i="10"/>
  <c r="O458" i="10"/>
  <c r="W458" i="10"/>
  <c r="P458" i="10"/>
  <c r="X458" i="10"/>
  <c r="U449" i="10"/>
  <c r="N449" i="10"/>
  <c r="V449" i="10"/>
  <c r="O449" i="10"/>
  <c r="W449" i="10"/>
  <c r="P449" i="10"/>
  <c r="X449" i="10"/>
  <c r="Q449" i="10"/>
  <c r="Y449" i="10"/>
  <c r="S449" i="10"/>
  <c r="T449" i="10"/>
  <c r="N677" i="10"/>
  <c r="V677" i="10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P208" i="10"/>
  <c r="X208" i="10"/>
  <c r="S208" i="10"/>
  <c r="W208" i="10"/>
  <c r="O208" i="10"/>
  <c r="S646" i="10"/>
  <c r="T646" i="10"/>
  <c r="U646" i="10"/>
  <c r="N646" i="10"/>
  <c r="V646" i="10"/>
  <c r="O646" i="10"/>
  <c r="W646" i="10"/>
  <c r="P646" i="10"/>
  <c r="X646" i="10"/>
  <c r="Q646" i="10"/>
  <c r="Y646" i="10"/>
  <c r="S417" i="10"/>
  <c r="T417" i="10"/>
  <c r="U417" i="10"/>
  <c r="N417" i="10"/>
  <c r="V417" i="10"/>
  <c r="O417" i="10"/>
  <c r="W417" i="10"/>
  <c r="P417" i="10"/>
  <c r="X417" i="10"/>
  <c r="Q417" i="10"/>
  <c r="Y417" i="10"/>
  <c r="S37" i="10"/>
  <c r="T37" i="10"/>
  <c r="N37" i="10"/>
  <c r="V37" i="10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368" i="10" a="1"/>
  <c r="AC223" i="10" a="1"/>
  <c r="AC543" i="10" a="1"/>
  <c r="AC567" i="10" a="1"/>
  <c r="AC158" i="10" a="1"/>
  <c r="AC656" i="10" a="1"/>
  <c r="AC825" i="10" a="1"/>
  <c r="AC812" i="10" a="1"/>
  <c r="AC599" i="10" a="1"/>
  <c r="AC623" i="10" a="1"/>
  <c r="AC330" i="10" a="1"/>
  <c r="AC228" i="10" a="1"/>
  <c r="AC437" i="10" a="1"/>
  <c r="AC84" i="10" a="1"/>
  <c r="AC448" i="10" a="1"/>
  <c r="AC277" i="10" a="1"/>
  <c r="AC145" i="10" a="1"/>
  <c r="AC212" i="10" a="1"/>
  <c r="AC286" i="10" a="1"/>
  <c r="AC309" i="10" a="1"/>
  <c r="AC387" i="10" a="1"/>
  <c r="AC287" i="10" a="1"/>
  <c r="AC68" i="10" a="1"/>
  <c r="AC598" i="10" a="1"/>
  <c r="AC252" i="10" a="1"/>
  <c r="AC570" i="10" a="1"/>
  <c r="AC187" i="10" a="1"/>
  <c r="AC682" i="10" a="1"/>
  <c r="AC594" i="10" a="1"/>
  <c r="AC146" i="10" a="1"/>
  <c r="AC38" i="10" a="1"/>
  <c r="AC822" i="10" a="1"/>
  <c r="AC79" i="10" a="1"/>
  <c r="AC517" i="10" a="1"/>
  <c r="AC521" i="10" a="1"/>
  <c r="AC584" i="10" a="1"/>
  <c r="AC132" i="10" a="1"/>
  <c r="AC808" i="10" a="1"/>
  <c r="AC29" i="10" a="1"/>
  <c r="AC54" i="10" a="1"/>
  <c r="AC133" i="10" a="1"/>
  <c r="AC226" i="10" a="1"/>
  <c r="AC544" i="10" a="1"/>
  <c r="AC625" i="10" a="1"/>
  <c r="AC236" i="10" a="1"/>
  <c r="AC229" i="10" a="1"/>
  <c r="AC142" i="10" a="1"/>
  <c r="AC499" i="10" a="1"/>
  <c r="AC674" i="10" a="1"/>
  <c r="AC411" i="10" a="1"/>
  <c r="AC814" i="10" a="1"/>
  <c r="AC374" i="10" a="1"/>
  <c r="AC222" i="10" a="1"/>
  <c r="AC483" i="10" a="1"/>
  <c r="AC603" i="10" a="1"/>
  <c r="AC307" i="10" a="1"/>
  <c r="AC670" i="10" a="1"/>
  <c r="AC112" i="10" a="1"/>
  <c r="AC182" i="10" a="1"/>
  <c r="AC834" i="10" a="1"/>
  <c r="AC545" i="10" a="1"/>
  <c r="AC384" i="10" a="1"/>
  <c r="AC274" i="10" a="1"/>
  <c r="AC386" i="10" a="1"/>
  <c r="AC165" i="10" a="1"/>
  <c r="AC100" i="10" a="1"/>
  <c r="AC159" i="10" a="1"/>
  <c r="AC651" i="10" a="1"/>
  <c r="AC366" i="10" a="1"/>
  <c r="AC156" i="10" a="1"/>
  <c r="AC434" i="10" a="1"/>
  <c r="AC360" i="10" a="1"/>
  <c r="AC435" i="10" a="1"/>
  <c r="AC675" i="10" a="1"/>
  <c r="AC66" i="10" a="1"/>
  <c r="AC378" i="10" a="1"/>
  <c r="AC783" i="10" a="1"/>
  <c r="AC344" i="10" a="1"/>
  <c r="AC75" i="10" a="1"/>
  <c r="AC781" i="10" a="1"/>
  <c r="AC520" i="10" a="1"/>
  <c r="AC796" i="10" a="1"/>
  <c r="AC554" i="10" a="1"/>
  <c r="AC251" i="10" a="1"/>
  <c r="AC227" i="10" a="1"/>
  <c r="AC224" i="10" a="1"/>
  <c r="AC608" i="10" a="1"/>
  <c r="AC275" i="10" a="1"/>
  <c r="AC149" i="10" a="1"/>
  <c r="AC597" i="10" a="1"/>
  <c r="AC602" i="10" a="1"/>
  <c r="AC622" i="10" a="1"/>
  <c r="AC105" i="10" a="1"/>
  <c r="AC818" i="10" a="1"/>
  <c r="AC237" i="10" a="1"/>
  <c r="AC106" i="10" a="1"/>
  <c r="AC371" i="10" a="1"/>
  <c r="AC343" i="10" a="1"/>
  <c r="AC168" i="10" a="1"/>
  <c r="AC160" i="10" a="1"/>
  <c r="AC797" i="10" a="1"/>
  <c r="AC111" i="10" a="1"/>
  <c r="AC260" i="10" a="1"/>
  <c r="AC232" i="10" a="1"/>
  <c r="AC713" i="10" a="1"/>
  <c r="AC67" i="10" a="1"/>
  <c r="AC734" i="10" a="1"/>
  <c r="AC154" i="10" a="1"/>
  <c r="AC45" i="10" a="1"/>
  <c r="AC67" i="10" l="1"/>
  <c r="AC713" i="10"/>
  <c r="AC232" i="10"/>
  <c r="AC260" i="10"/>
  <c r="AC111" i="10"/>
  <c r="AC797" i="10"/>
  <c r="AC160" i="10"/>
  <c r="AC168" i="10"/>
  <c r="AC343" i="10"/>
  <c r="AC371" i="10"/>
  <c r="AC106" i="10"/>
  <c r="AC237" i="10"/>
  <c r="AC818" i="10"/>
  <c r="AC105" i="10"/>
  <c r="AC622" i="10"/>
  <c r="AC602" i="10"/>
  <c r="AC597" i="10"/>
  <c r="AC149" i="10"/>
  <c r="AC275" i="10"/>
  <c r="AC608" i="10"/>
  <c r="AC224" i="10"/>
  <c r="AC227" i="10"/>
  <c r="AC251" i="10"/>
  <c r="AC554" i="10"/>
  <c r="AC796" i="10"/>
  <c r="AC520" i="10"/>
  <c r="AC781" i="10"/>
  <c r="AC75" i="10"/>
  <c r="AC344" i="10"/>
  <c r="AC783" i="10"/>
  <c r="AC378" i="10"/>
  <c r="AC66" i="10"/>
  <c r="AC675" i="10"/>
  <c r="AC435" i="10"/>
  <c r="AC360" i="10"/>
  <c r="AC434" i="10"/>
  <c r="AC156" i="10"/>
  <c r="AC366" i="10"/>
  <c r="AC651" i="10"/>
  <c r="AC159" i="10"/>
  <c r="AC100" i="10"/>
  <c r="AC165" i="10"/>
  <c r="AC386" i="10"/>
  <c r="AC274" i="10"/>
  <c r="AC384" i="10"/>
  <c r="AC545" i="10"/>
  <c r="AC834" i="10"/>
  <c r="AC182" i="10"/>
  <c r="AC112" i="10"/>
  <c r="AC670" i="10"/>
  <c r="AC307" i="10"/>
  <c r="AC603" i="10"/>
  <c r="AC483" i="10"/>
  <c r="AC222" i="10"/>
  <c r="AC374" i="10"/>
  <c r="AC814" i="10"/>
  <c r="AC411" i="10"/>
  <c r="AC674" i="10"/>
  <c r="AC499" i="10"/>
  <c r="AC142" i="10"/>
  <c r="AC229" i="10"/>
  <c r="AC236" i="10"/>
  <c r="AC625" i="10"/>
  <c r="AC544" i="10"/>
  <c r="AC226" i="10"/>
  <c r="AC133" i="10"/>
  <c r="AC54" i="10"/>
  <c r="AC29" i="10"/>
  <c r="AC808" i="10"/>
  <c r="AC132" i="10"/>
  <c r="AC584" i="10"/>
  <c r="AC521" i="10"/>
  <c r="AC517" i="10"/>
  <c r="AC79" i="10"/>
  <c r="AC822" i="10"/>
  <c r="AC38" i="10"/>
  <c r="AC146" i="10"/>
  <c r="AC594" i="10"/>
  <c r="AC682" i="10"/>
  <c r="AC187" i="10"/>
  <c r="AC570" i="10"/>
  <c r="AC252" i="10"/>
  <c r="AC598" i="10"/>
  <c r="AC68" i="10"/>
  <c r="AC287" i="10"/>
  <c r="AC387" i="10"/>
  <c r="AC309" i="10"/>
  <c r="AC286" i="10"/>
  <c r="AC212" i="10"/>
  <c r="AC145" i="10"/>
  <c r="AC277" i="10"/>
  <c r="AC448" i="10"/>
  <c r="AC84" i="10"/>
  <c r="AC437" i="10"/>
  <c r="AC228" i="10"/>
  <c r="AC330" i="10"/>
  <c r="AC623" i="10"/>
  <c r="AC599" i="10"/>
  <c r="AC812" i="10"/>
  <c r="AC825" i="10"/>
  <c r="AC656" i="10"/>
  <c r="AC158" i="10"/>
  <c r="AC567" i="10"/>
  <c r="AC543" i="10"/>
  <c r="AC223" i="10"/>
  <c r="AC368" i="10"/>
  <c r="AB391" i="10"/>
  <c r="AB803" i="10"/>
  <c r="AB788" i="10"/>
  <c r="AB798" i="10"/>
  <c r="AB240" i="10"/>
  <c r="AB383" i="10"/>
  <c r="AB273" i="10"/>
  <c r="AB36" i="10"/>
  <c r="AB95" i="10"/>
  <c r="AB533" i="10"/>
  <c r="AB702" i="10"/>
  <c r="AB80" i="10"/>
  <c r="AB305" i="10"/>
  <c r="AB166" i="10"/>
  <c r="AB494" i="10"/>
  <c r="AB72" i="10"/>
  <c r="AB582" i="10"/>
  <c r="AB249" i="10"/>
  <c r="AB744" i="10"/>
  <c r="AB282" i="10"/>
  <c r="AB827" i="10"/>
  <c r="AB183" i="10"/>
  <c r="AB591" i="10"/>
  <c r="AB270" i="10"/>
  <c r="AB184" i="10"/>
  <c r="AB707" i="10"/>
  <c r="AB782" i="10"/>
  <c r="AB774" i="10"/>
  <c r="AB216" i="10"/>
  <c r="AB53" i="10"/>
  <c r="AB836" i="10"/>
  <c r="AB390" i="10"/>
  <c r="AB535" i="10"/>
  <c r="AB189" i="10"/>
  <c r="AB328" i="10"/>
  <c r="AB703" i="10"/>
  <c r="AB71" i="10"/>
  <c r="AB729" i="10"/>
  <c r="AB214" i="10"/>
  <c r="AB756" i="10"/>
  <c r="AB186" i="10"/>
  <c r="AB802" i="10"/>
  <c r="AB117" i="10"/>
  <c r="AB630" i="10"/>
  <c r="AB167" i="10"/>
  <c r="AB290" i="10"/>
  <c r="AB618" i="10"/>
  <c r="AB144" i="10"/>
  <c r="AB804" i="10"/>
  <c r="AB447" i="10"/>
  <c r="AB771" i="10"/>
  <c r="AB433" i="10"/>
  <c r="AB261" i="10"/>
  <c r="AB88" i="10"/>
  <c r="AB646" i="10"/>
  <c r="AB795" i="10"/>
  <c r="AB162" i="10"/>
  <c r="AB725" i="10"/>
  <c r="AB677" i="10"/>
  <c r="AB181" i="10"/>
  <c r="AB763" i="10"/>
  <c r="AB816" i="10"/>
  <c r="AB37" i="10"/>
  <c r="AB613" i="10"/>
  <c r="AB349" i="10"/>
  <c r="AB413" i="10"/>
  <c r="AB835" i="10"/>
  <c r="AB325" i="10"/>
  <c r="AB548" i="10"/>
  <c r="AB234" i="10"/>
  <c r="AB583" i="10"/>
  <c r="AB417" i="10"/>
  <c r="AB819" i="10"/>
  <c r="AB458" i="10"/>
  <c r="AB31" i="10"/>
  <c r="AB430" i="10"/>
  <c r="AB48" i="10"/>
  <c r="AB208" i="10"/>
  <c r="AB135" i="10"/>
  <c r="AB28" i="10"/>
  <c r="AB596" i="10"/>
  <c r="AB540" i="10"/>
  <c r="AB369" i="10"/>
  <c r="AB826" i="10"/>
  <c r="AB462" i="10"/>
  <c r="AB575" i="10"/>
  <c r="AB464" i="10"/>
  <c r="AB449" i="10"/>
  <c r="AB221" i="10"/>
  <c r="AB85" i="10"/>
  <c r="AB731" i="10"/>
  <c r="AB207" i="10"/>
  <c r="AB69" i="10"/>
  <c r="AB551" i="10"/>
  <c r="AB136" i="10"/>
  <c r="AC45" i="10"/>
  <c r="AC154" i="10"/>
  <c r="AC734" i="10"/>
  <c r="C5" i="15" a="1"/>
  <c r="C5" i="15" s="1"/>
  <c r="C5" i="14" a="1"/>
  <c r="C5" i="14" s="1"/>
  <c r="C5" i="13" a="1"/>
  <c r="C5" i="12" a="1"/>
  <c r="C5" i="12" s="1"/>
  <c r="C5" i="11" a="1"/>
  <c r="C5" i="11" s="1"/>
  <c r="B12" i="10"/>
  <c r="AC494" i="10" a="1"/>
  <c r="AC836" i="10" a="1"/>
  <c r="AC464" i="10" a="1"/>
  <c r="AC36" i="10" a="1"/>
  <c r="AC390" i="10" a="1"/>
  <c r="AC613" i="10" a="1"/>
  <c r="AC28" i="10" a="1"/>
  <c r="AC391" i="10" a="1"/>
  <c r="AC95" i="10" a="1"/>
  <c r="AC186" i="10" a="1"/>
  <c r="AC725" i="10" a="1"/>
  <c r="AC413" i="10" a="1"/>
  <c r="AC85" i="10" a="1"/>
  <c r="AC69" i="10" a="1"/>
  <c r="AC495" i="10" a="1"/>
  <c r="AC550" i="10" a="1"/>
  <c r="AC126" i="10" a="1"/>
  <c r="AC614" i="10" a="1"/>
  <c r="AC382" i="10" a="1"/>
  <c r="AC527" i="10" a="1"/>
  <c r="AC463" i="10" a="1"/>
  <c r="AC611" i="10" a="1"/>
  <c r="AC235" i="10" a="1"/>
  <c r="AC10" i="10" a="1"/>
  <c r="AC341" i="10" a="1"/>
  <c r="AC648" i="10" a="1"/>
  <c r="AC293" i="10" a="1"/>
  <c r="AC259" i="10" a="1"/>
  <c r="AC444" i="10" a="1"/>
  <c r="AC496" i="10" a="1"/>
  <c r="AC680" i="10" a="1"/>
  <c r="AC679" i="10" a="1"/>
  <c r="AC574" i="10" a="1"/>
  <c r="AC107" i="10" a="1"/>
  <c r="AC641" i="10" a="1"/>
  <c r="AC728" i="10" a="1"/>
  <c r="AC333" i="10" a="1"/>
  <c r="AC148" i="10" a="1"/>
  <c r="AC247" i="10" a="1"/>
  <c r="AC438" i="10" a="1"/>
  <c r="AC779" i="10" a="1"/>
  <c r="AC61" i="10" a="1"/>
  <c r="AC19" i="10" a="1"/>
  <c r="AC775" i="10" a="1"/>
  <c r="AC512" i="10" a="1"/>
  <c r="AC780" i="10" a="1"/>
  <c r="AC256" i="10" a="1"/>
  <c r="AC557" i="10" a="1"/>
  <c r="AC355" i="10" a="1"/>
  <c r="AC202" i="10" a="1"/>
  <c r="AC280" i="10" a="1"/>
  <c r="AC744" i="10" a="1"/>
  <c r="AC677" i="10" a="1"/>
  <c r="AC835" i="10" a="1"/>
  <c r="AC369" i="10" a="1"/>
  <c r="AC731" i="10" a="1"/>
  <c r="AC798" i="10" a="1"/>
  <c r="AC630" i="10" a="1"/>
  <c r="AC430" i="10" a="1"/>
  <c r="AC763" i="10" a="1"/>
  <c r="AC827" i="10" a="1"/>
  <c r="AC221" i="10" a="1"/>
  <c r="AC383" i="10" a="1"/>
  <c r="AC53" i="10" a="1"/>
  <c r="AC234" i="10" a="1"/>
  <c r="AC447" i="10" a="1"/>
  <c r="AC816" i="10" a="1"/>
  <c r="AC37" i="10" a="1"/>
  <c r="AC349" i="10" a="1"/>
  <c r="AC535" i="10" a="1"/>
  <c r="AC826" i="10" a="1"/>
  <c r="AC55" i="10" a="1"/>
  <c r="AC417" i="10" a="1"/>
  <c r="AC385" i="10" a="1"/>
  <c r="AC358" i="10" a="1"/>
  <c r="AC423" i="10" a="1"/>
  <c r="AC328" i="10" a="1"/>
  <c r="AC596" i="10" a="1"/>
  <c r="AC771" i="10" a="1"/>
  <c r="AC803" i="10" a="1"/>
  <c r="AC702" i="10" a="1"/>
  <c r="AC425" i="10" a="1"/>
  <c r="AC548" i="10" a="1"/>
  <c r="AC618" i="10" a="1"/>
  <c r="AC703" i="10" a="1"/>
  <c r="AC144" i="10" a="1"/>
  <c r="AC533" i="10" a="1"/>
  <c r="AC819" i="10" a="1"/>
  <c r="AC547" i="10" a="1"/>
  <c r="AC225" i="10" a="1"/>
  <c r="AC461" i="10" a="1"/>
  <c r="AC40" i="10" a="1"/>
  <c r="AC367" i="10" a="1"/>
  <c r="AC313" i="10" a="1"/>
  <c r="AC776" i="10" a="1"/>
  <c r="AC73" i="10" a="1"/>
  <c r="AC446" i="10" a="1"/>
  <c r="AC101" i="10" a="1"/>
  <c r="AC300" i="10" a="1"/>
  <c r="AC454" i="10" a="1"/>
  <c r="AC806" i="10" a="1"/>
  <c r="AC250" i="10" a="1"/>
  <c r="AC352" i="10" a="1"/>
  <c r="AC110" i="10" a="1"/>
  <c r="AC663" i="10" a="1"/>
  <c r="AC52" i="10" a="1"/>
  <c r="AC296" i="10" a="1"/>
  <c r="AC347" i="10" a="1"/>
  <c r="AC466" i="10" a="1"/>
  <c r="AC687" i="10" a="1"/>
  <c r="AC65" i="10" a="1"/>
  <c r="AC820" i="10" a="1"/>
  <c r="AC297" i="10" a="1"/>
  <c r="AC185" i="10" a="1"/>
  <c r="AC530" i="10" a="1"/>
  <c r="AC644" i="10" a="1"/>
  <c r="AC255" i="10" a="1"/>
  <c r="AC96" i="10" a="1"/>
  <c r="AC424" i="10" a="1"/>
  <c r="AC56" i="10" a="1"/>
  <c r="AC617" i="10" a="1"/>
  <c r="AC299" i="10" a="1"/>
  <c r="AC123" i="10" a="1"/>
  <c r="AC331" i="10" a="1"/>
  <c r="AC327" i="10" a="1"/>
  <c r="AC439" i="10" a="1"/>
  <c r="AC514" i="10" a="1"/>
  <c r="AC402" i="10" a="1"/>
  <c r="AC558" i="10" a="1"/>
  <c r="AC612" i="10" a="1"/>
  <c r="AC516" i="10" a="1"/>
  <c r="AC589" i="10" a="1"/>
  <c r="AC697" i="10" a="1"/>
  <c r="AC476" i="10" a="1"/>
  <c r="AC701" i="10" a="1"/>
  <c r="AC607" i="10" a="1"/>
  <c r="AC553" i="10" a="1"/>
  <c r="AC298" i="10" a="1"/>
  <c r="AC478" i="10" a="1"/>
  <c r="AC295" i="10" a="1"/>
  <c r="AC477" i="10" a="1"/>
  <c r="AC412" i="10" a="1"/>
  <c r="AC741" i="10" a="1"/>
  <c r="AC346" i="10" a="1"/>
  <c r="AC555" i="10" a="1"/>
  <c r="AC475" i="10" a="1"/>
  <c r="AC308" i="10" a="1"/>
  <c r="AC345" i="10" a="1"/>
  <c r="AC401" i="10" a="1"/>
  <c r="AC745" i="10" a="1"/>
  <c r="AC586" i="10" a="1"/>
  <c r="AC81" i="10" a="1"/>
  <c r="AC143" i="10" a="1"/>
  <c r="AC681" i="10" a="1"/>
  <c r="AC294" i="10" a="1"/>
  <c r="AC211" i="10" a="1"/>
  <c r="AC595" i="10" a="1"/>
  <c r="AC35" i="10" a="1"/>
  <c r="AC600" i="10" a="1"/>
  <c r="AC281" i="10" a="1"/>
  <c r="AC805" i="10" a="1"/>
  <c r="AC151" i="10" a="1"/>
  <c r="AC113" i="10" a="1"/>
  <c r="AC76" i="10" a="1"/>
  <c r="AC624" i="10" a="1"/>
  <c r="AC620" i="10" a="1"/>
  <c r="AC44" i="10" a="1"/>
  <c r="AC64" i="10" a="1"/>
  <c r="AC337" i="10" a="1"/>
  <c r="AC571" i="10" a="1"/>
  <c r="AC326" i="10" a="1"/>
  <c r="AC650" i="10" a="1"/>
  <c r="AC807" i="10" a="1"/>
  <c r="AC621" i="10" a="1"/>
  <c r="AC817" i="10" a="1"/>
  <c r="AC109" i="10" a="1"/>
  <c r="AC157" i="10" a="1"/>
  <c r="AC661" i="10" a="1"/>
  <c r="AC301" i="10" a="1"/>
  <c r="AC804" i="10" a="1"/>
  <c r="AC290" i="10" a="1"/>
  <c r="AC167" i="10" a="1"/>
  <c r="AC31" i="10" a="1"/>
  <c r="AC795" i="10" a="1"/>
  <c r="AC582" i="10" a="1"/>
  <c r="AC739" i="10" a="1"/>
  <c r="AC305" i="10" a="1"/>
  <c r="AC458" i="10" a="1"/>
  <c r="AC513" i="10" a="1"/>
  <c r="AC208" i="10" a="1"/>
  <c r="AC189" i="10" a="1"/>
  <c r="AC152" i="10" a="1"/>
  <c r="AC48" i="10" a="1"/>
  <c r="AC583" i="10" a="1"/>
  <c r="AC183" i="10" a="1"/>
  <c r="AC162" i="10" a="1"/>
  <c r="AC393" i="10" a="1"/>
  <c r="AC238" i="10" a="1"/>
  <c r="AC166" i="10" a="1"/>
  <c r="AC802" i="10" a="1"/>
  <c r="AC136" i="10" a="1"/>
  <c r="AC282" i="10" a="1"/>
  <c r="AC39" i="10" a="1"/>
  <c r="AC72" i="10" a="1"/>
  <c r="AC270" i="10" a="1"/>
  <c r="AC181" i="10" a="1"/>
  <c r="AC273" i="10" a="1"/>
  <c r="AC534" i="10" a="1"/>
  <c r="AC774" i="10" a="1"/>
  <c r="AC249" i="10" a="1"/>
  <c r="AC207" i="10" a="1"/>
  <c r="AC71" i="10" a="1"/>
  <c r="AC756" i="10" a="1"/>
  <c r="AC484" i="10" a="1"/>
  <c r="AC410" i="10" a="1"/>
  <c r="AC699" i="10" a="1"/>
  <c r="AC729" i="10" a="1"/>
  <c r="AC240" i="10" a="1"/>
  <c r="AC707" i="10" a="1"/>
  <c r="AC88" i="10" a="1"/>
  <c r="AC788" i="10" a="1"/>
  <c r="AC261" i="10" a="1"/>
  <c r="AC540" i="10" a="1"/>
  <c r="AC325" i="10" a="1"/>
  <c r="AC135" i="10" a="1"/>
  <c r="AC214" i="10" a="1"/>
  <c r="AC449" i="10" a="1"/>
  <c r="AC462" i="10" a="1"/>
  <c r="AC117" i="10" a="1"/>
  <c r="AC501" i="10" a="1"/>
  <c r="AC591" i="10" a="1"/>
  <c r="AC646" i="10" a="1"/>
  <c r="AC184" i="10" a="1"/>
  <c r="AC433" i="10" a="1"/>
  <c r="AC551" i="10" a="1"/>
  <c r="AC351" i="10" a="1"/>
  <c r="AC370" i="10" a="1"/>
  <c r="AC171" i="10" a="1"/>
  <c r="AC311" i="10" a="1"/>
  <c r="AC531" i="10" a="1"/>
  <c r="AC453" i="10" a="1"/>
  <c r="AC381" i="10" a="1"/>
  <c r="AC51" i="10" a="1"/>
  <c r="AC404" i="10" a="1"/>
  <c r="AC633" i="10" a="1"/>
  <c r="AC649" i="10" a="1"/>
  <c r="AC576" i="10" a="1"/>
  <c r="AC689" i="10" a="1"/>
  <c r="AC635" i="10" a="1"/>
  <c r="AC723" i="10" a="1"/>
  <c r="AC688" i="10" a="1"/>
  <c r="AC82" i="10" a="1"/>
  <c r="AC94" i="10" a="1"/>
  <c r="AC244" i="10" a="1"/>
  <c r="AC652" i="10" a="1"/>
  <c r="AC770" i="10" a="1"/>
  <c r="AC790" i="10" a="1"/>
  <c r="AC653" i="10" a="1"/>
  <c r="AC141" i="10" a="1"/>
  <c r="AC665" i="10" a="1"/>
  <c r="AC760" i="10" a="1"/>
  <c r="AC647" i="10" a="1"/>
  <c r="AC263" i="10" a="1"/>
  <c r="AC418" i="10" a="1"/>
  <c r="AC269" i="10" a="1"/>
  <c r="AC119" i="10" a="1"/>
  <c r="AC487" i="10" a="1"/>
  <c r="AC354" i="10" a="1"/>
  <c r="AC170" i="10" a="1"/>
  <c r="AC709" i="10" a="1"/>
  <c r="AC441" i="10" a="1"/>
  <c r="AC336" i="10" a="1"/>
  <c r="AC609" i="10" a="1"/>
  <c r="AC388" i="10" a="1"/>
  <c r="AC585" i="10" a="1"/>
  <c r="AC283" i="10" a="1"/>
  <c r="AC246" i="10" a="1"/>
  <c r="AC655" i="10" a="1"/>
  <c r="AC636" i="10" a="1"/>
  <c r="AC432" i="10" a="1"/>
  <c r="AC197" i="10" a="1"/>
  <c r="AC218" i="10" a="1"/>
  <c r="AC789" i="10" a="1"/>
  <c r="AC86" i="10" a="1"/>
  <c r="AC601" i="10" a="1"/>
  <c r="AC659" i="10" a="1"/>
  <c r="AC627" i="10" a="1"/>
  <c r="AC537" i="10" a="1"/>
  <c r="AC563" i="10" a="1"/>
  <c r="AC397" i="10" a="1"/>
  <c r="AC332" i="10" a="1"/>
  <c r="AC137" i="10" a="1"/>
  <c r="AC364" i="10" a="1"/>
  <c r="AC506" i="10" a="1"/>
  <c r="AC131" i="10" a="1"/>
  <c r="AC715" i="10" a="1"/>
  <c r="AC284" i="10" a="1"/>
  <c r="AC396" i="10" a="1"/>
  <c r="AC759" i="10" a="1"/>
  <c r="AC766" i="10" a="1"/>
  <c r="AC685" i="10" a="1"/>
  <c r="AC57" i="10" a="1"/>
  <c r="AC399" i="10" a="1"/>
  <c r="AC772" i="10" a="1"/>
  <c r="AC639" i="10" a="1"/>
  <c r="AC322" i="10" a="1"/>
  <c r="AC306" i="10" a="1"/>
  <c r="AC431" i="10" a="1"/>
  <c r="AC359" i="10" a="1"/>
  <c r="AC559" i="10" a="1"/>
  <c r="AC519" i="10" a="1"/>
  <c r="AC468" i="10" a="1"/>
  <c r="AC409" i="10" a="1"/>
  <c r="AC47" i="10" a="1"/>
  <c r="AC471" i="10" a="1"/>
  <c r="AC164" i="10" a="1"/>
  <c r="AC398" i="10" a="1"/>
  <c r="AC666" i="10" a="1"/>
  <c r="AC691" i="10" a="1"/>
  <c r="AC440" i="10" a="1"/>
  <c r="AC268" i="10" a="1"/>
  <c r="AC643" i="10" a="1"/>
  <c r="AC248" i="10" a="1"/>
  <c r="AC637" i="10" a="1"/>
  <c r="AC457" i="10" a="1"/>
  <c r="AC161" i="10" a="1"/>
  <c r="AC830" i="10" a="1"/>
  <c r="AC642" i="10" a="1"/>
  <c r="AC291" i="10" a="1"/>
  <c r="AC493" i="10" a="1"/>
  <c r="AC427" i="10" a="1"/>
  <c r="AC363" i="10" a="1"/>
  <c r="AC116" i="10" a="1"/>
  <c r="AC264" i="10" a="1"/>
  <c r="AC302" i="10" a="1"/>
  <c r="AC634" i="10" a="1"/>
  <c r="AC523" i="10" a="1"/>
  <c r="AC445" i="10" a="1"/>
  <c r="AC373" i="10" a="1"/>
  <c r="AC91" i="10" a="1"/>
  <c r="AC43" i="10" a="1"/>
  <c r="AC673" i="10" a="1"/>
  <c r="AC700" i="10" a="1"/>
  <c r="AC743" i="10" a="1"/>
  <c r="AC206" i="10" a="1"/>
  <c r="AC716" i="10" a="1"/>
  <c r="AC686" i="10" a="1"/>
  <c r="AC662" i="10" a="1"/>
  <c r="AC560" i="10" a="1"/>
  <c r="AC50" i="10" a="1"/>
  <c r="AC213" i="10" a="1"/>
  <c r="AC188" i="10" a="1"/>
  <c r="AC654" i="10" a="1"/>
  <c r="AC694" i="10" a="1"/>
  <c r="AC736" i="10" a="1"/>
  <c r="AC752" i="10" a="1"/>
  <c r="AC239" i="10" a="1"/>
  <c r="AC465" i="10" a="1"/>
  <c r="AC329" i="10" a="1"/>
  <c r="AC706" i="10" a="1"/>
  <c r="AC604" i="10" a="1"/>
  <c r="AC103" i="10" a="1"/>
  <c r="AC361" i="10" a="1"/>
  <c r="AC20" i="10" a="1"/>
  <c r="AC615" i="10" a="1"/>
  <c r="AC498" i="10" a="1"/>
  <c r="AC695" i="10" a="1"/>
  <c r="AC502" i="10" a="1"/>
  <c r="AC522" i="10" a="1"/>
  <c r="AC220" i="10" a="1"/>
  <c r="AC289" i="10" a="1"/>
  <c r="AC140" i="10" a="1"/>
  <c r="AC705" i="10" a="1"/>
  <c r="AC829" i="10" a="1"/>
  <c r="AC451" i="10" a="1"/>
  <c r="AC403" i="10" a="1"/>
  <c r="AC667" i="10" a="1"/>
  <c r="AC509" i="10" a="1"/>
  <c r="AC769" i="10" a="1"/>
  <c r="AC765" i="10" a="1"/>
  <c r="AC518" i="10" a="1"/>
  <c r="AC467" i="10" a="1"/>
  <c r="AC102" i="10" a="1"/>
  <c r="AC335" i="10" a="1"/>
  <c r="AC657" i="10" a="1"/>
  <c r="AC684" i="10" a="1"/>
  <c r="AC150" i="10" a="1"/>
  <c r="AC605" i="10" a="1"/>
  <c r="AC792" i="10" a="1"/>
  <c r="AC828" i="10" a="1"/>
  <c r="AC579" i="10" a="1"/>
  <c r="AC753" i="10" a="1"/>
  <c r="AC89" i="10" a="1"/>
  <c r="AC342" i="10" a="1"/>
  <c r="AC163" i="10" a="1"/>
  <c r="AC169" i="10" a="1"/>
  <c r="AC742" i="10" a="1"/>
  <c r="AC288" i="10" a="1"/>
  <c r="AC272" i="10" a="1"/>
  <c r="AC721" i="10" a="1"/>
  <c r="AC758" i="10" a="1"/>
  <c r="AC460" i="10" a="1"/>
  <c r="AC320" i="10" a="1"/>
  <c r="AC173" i="10" a="1"/>
  <c r="AC201" i="10" a="1"/>
  <c r="AC314" i="10" a="1"/>
  <c r="AC356" i="10" a="1"/>
  <c r="AC497" i="10" a="1"/>
  <c r="AC714" i="10" a="1"/>
  <c r="AC631" i="10" a="1"/>
  <c r="AC303" i="10" a="1"/>
  <c r="AC210" i="10" a="1"/>
  <c r="AC362" i="10" a="1"/>
  <c r="AC415" i="10" a="1"/>
  <c r="AC63" i="10" a="1"/>
  <c r="AC588" i="10" a="1"/>
  <c r="AC645" i="10" a="1"/>
  <c r="AC626" i="10" a="1"/>
  <c r="AC800" i="10" a="1"/>
  <c r="AC436" i="10" a="1"/>
  <c r="AC749" i="10" a="1"/>
  <c r="AC400" i="10" a="1"/>
  <c r="AC761" i="10" a="1"/>
  <c r="AC683" i="10" a="1"/>
  <c r="AC408" i="10" a="1"/>
  <c r="AC562" i="10" a="1"/>
  <c r="AC539" i="10" a="1"/>
  <c r="AC115" i="10" a="1"/>
  <c r="AC504" i="10" a="1"/>
  <c r="AC481" i="10" a="1"/>
  <c r="AC751" i="10" a="1"/>
  <c r="AC532" i="10" a="1"/>
  <c r="AC317" i="10" a="1"/>
  <c r="AC529" i="10" a="1"/>
  <c r="AC60" i="10" a="1"/>
  <c r="AC564" i="10" a="1"/>
  <c r="AC500" i="10" a="1"/>
  <c r="AC406" i="10" a="1"/>
  <c r="AC318" i="10" a="1"/>
  <c r="AC470" i="10" a="1"/>
  <c r="AC456" i="10" a="1"/>
  <c r="AC610" i="10" a="1"/>
  <c r="AC738" i="10" a="1"/>
  <c r="AC199" i="10" a="1"/>
  <c r="AC757" i="10" a="1"/>
  <c r="AC486" i="10" a="1"/>
  <c r="AC78" i="10" a="1"/>
  <c r="AC727" i="10" a="1"/>
  <c r="AC420" i="10" a="1"/>
  <c r="AC754" i="10" a="1"/>
  <c r="AC592" i="10" a="1"/>
  <c r="AC429" i="10" a="1"/>
  <c r="AC389" i="10" a="1"/>
  <c r="AC59" i="10" a="1"/>
  <c r="AC658" i="10" a="1"/>
  <c r="AC767" i="10" a="1"/>
  <c r="AC719" i="10" a="1"/>
  <c r="AC480" i="10" a="1"/>
  <c r="AC203" i="10" a="1"/>
  <c r="AC422" i="10" a="1"/>
  <c r="AC339" i="10" a="1"/>
  <c r="AC192" i="10" a="1"/>
  <c r="AC90" i="10" a="1"/>
  <c r="AC200" i="10" a="1"/>
  <c r="AC538" i="10" a="1"/>
  <c r="AC669" i="10" a="1"/>
  <c r="AC285" i="10" a="1"/>
  <c r="AC129" i="10" a="1"/>
  <c r="AC708" i="10" a="1"/>
  <c r="AC794" i="10" a="1"/>
  <c r="AC473" i="10" a="1"/>
  <c r="AC231" i="10" a="1"/>
  <c r="AC580" i="10" a="1"/>
  <c r="AC266" i="10" a="1"/>
  <c r="AC426" i="10" a="1"/>
  <c r="AC130" i="10" a="1"/>
  <c r="AC503" i="10" a="1"/>
  <c r="AC138" i="10" a="1"/>
  <c r="AC492" i="10" a="1"/>
  <c r="AC179" i="10" a="1"/>
  <c r="AC762" i="10" a="1"/>
  <c r="AC717" i="10" a="1"/>
  <c r="AC556" i="10" a="1"/>
  <c r="AC724" i="10" a="1"/>
  <c r="AC271" i="10" a="1"/>
  <c r="AC526" i="10" a="1"/>
  <c r="AC310" i="10" a="1"/>
  <c r="AC587" i="10" a="1"/>
  <c r="AC549" i="10" a="1"/>
  <c r="AC710" i="10" a="1"/>
  <c r="AC718" i="10" a="1"/>
  <c r="AC542" i="10" a="1"/>
  <c r="AC338" i="10" a="1"/>
  <c r="AC276" i="10" a="1"/>
  <c r="AC785" i="10" a="1"/>
  <c r="AC195" i="10" a="1"/>
  <c r="AC416" i="10" a="1"/>
  <c r="AC118" i="10" a="1"/>
  <c r="AC265" i="10" a="1"/>
  <c r="AC292" i="10" a="1"/>
  <c r="AC740" i="10" a="1"/>
  <c r="AC128" i="10" a="1"/>
  <c r="AC242" i="10" a="1"/>
  <c r="AC357" i="10" a="1"/>
  <c r="AC83" i="10" a="1"/>
  <c r="AC196" i="10" a="1"/>
  <c r="AC777" i="10" a="1"/>
  <c r="AC190" i="10" a="1"/>
  <c r="AC380" i="10" a="1"/>
  <c r="AC525" i="10" a="1"/>
  <c r="AC267" i="10" a="1"/>
  <c r="AC257" i="10" a="1"/>
  <c r="AC678" i="10" a="1"/>
  <c r="AC552" i="10" a="1"/>
  <c r="AC315" i="10" a="1"/>
  <c r="AC578" i="10" a="1"/>
  <c r="AC831" i="10" a="1"/>
  <c r="AC672" i="10" a="1"/>
  <c r="AC640" i="10" a="1"/>
  <c r="AC323" i="10" a="1"/>
  <c r="AC304" i="10" a="1"/>
  <c r="AC42" i="10" a="1"/>
  <c r="AC217" i="10" a="1"/>
  <c r="AC340" i="10" a="1"/>
  <c r="AC692" i="10" a="1"/>
  <c r="AC735" i="10" a="1"/>
  <c r="AC793" i="10" a="1"/>
  <c r="AC750" i="10" a="1"/>
  <c r="AC720" i="10" a="1"/>
  <c r="AC74" i="10" a="1"/>
  <c r="AC569" i="10" a="1"/>
  <c r="AC748" i="10" a="1"/>
  <c r="AC258" i="10" a="1"/>
  <c r="AC472" i="10" a="1"/>
  <c r="AC321" i="10" a="1"/>
  <c r="AC737" i="10" a="1"/>
  <c r="AC698" i="10" a="1"/>
  <c r="AC127" i="10" a="1"/>
  <c r="AC316" i="10" a="1"/>
  <c r="AC30" i="10" a="1"/>
  <c r="AC353" i="10" a="1"/>
  <c r="AC616" i="10" a="1"/>
  <c r="AC784" i="10" a="1"/>
  <c r="AC319" i="10" a="1"/>
  <c r="AC155" i="10" a="1"/>
  <c r="AC198" i="10" a="1"/>
  <c r="AC254" i="10" a="1"/>
  <c r="AC561" i="10" a="1"/>
  <c r="AC755" i="10" a="1"/>
  <c r="AC372" i="10" a="1"/>
  <c r="AC482" i="10" a="1"/>
  <c r="AC407" i="10" a="1"/>
  <c r="AC419" i="10" a="1"/>
  <c r="AC147" i="10" a="1"/>
  <c r="AC450" i="10" a="1"/>
  <c r="AC606" i="10" a="1"/>
  <c r="AC172" i="10" a="1"/>
  <c r="AC747" i="10" a="1"/>
  <c r="AC177" i="10" a="1"/>
  <c r="AC455" i="10" a="1"/>
  <c r="AC573" i="10" a="1"/>
  <c r="AC219" i="10" a="1"/>
  <c r="AC443" i="10" a="1"/>
  <c r="AC395" i="10" a="1"/>
  <c r="AC178" i="10" a="1"/>
  <c r="AC572" i="10" a="1"/>
  <c r="AC799" i="10" a="1"/>
  <c r="AC565" i="10" a="1"/>
  <c r="AC566" i="10" a="1"/>
  <c r="AC459" i="10" a="1"/>
  <c r="AC376" i="10" a="1"/>
  <c r="AC180" i="10" a="1"/>
  <c r="AC209" i="10" a="1"/>
  <c r="AC174" i="10" a="1"/>
  <c r="AC241" i="10" a="1"/>
  <c r="AC365" i="10" a="1"/>
  <c r="AC474" i="10" a="1"/>
  <c r="AC660" i="10" a="1"/>
  <c r="AC778" i="10" a="1"/>
  <c r="AC581" i="10" a="1"/>
  <c r="AC93" i="10" a="1"/>
  <c r="AC491" i="10" a="1"/>
  <c r="AC421" i="10" a="1"/>
  <c r="AC134" i="10" a="1"/>
  <c r="AC153" i="10" a="1"/>
  <c r="AC324" i="10" a="1"/>
  <c r="AC405" i="10" a="1"/>
  <c r="AC508" i="10" a="1"/>
  <c r="AC577" i="10" a="1"/>
  <c r="AC243" i="10" a="1"/>
  <c r="AC139" i="10" a="1"/>
  <c r="AC334" i="10" a="1"/>
  <c r="AC524" i="10" a="1"/>
  <c r="AC690" i="10" a="1"/>
  <c r="AC632" i="10" a="1"/>
  <c r="AC125" i="10" a="1"/>
  <c r="AC114" i="10" a="1"/>
  <c r="AC693" i="10" a="1"/>
  <c r="AC122" i="10" a="1"/>
  <c r="AC528" i="10" a="1"/>
  <c r="AC505" i="10" a="1"/>
  <c r="AC279" i="10" a="1"/>
  <c r="AC41" i="10" a="1"/>
  <c r="AC194" i="10" a="1"/>
  <c r="AC764" i="10" a="1"/>
  <c r="AC375" i="10" a="1"/>
  <c r="AC87" i="10" a="1"/>
  <c r="AC801" i="10" a="1"/>
  <c r="AC234" i="10" l="1"/>
  <c r="AC53" i="10"/>
  <c r="AC383" i="10"/>
  <c r="AC221" i="10"/>
  <c r="AC827" i="10"/>
  <c r="AC763" i="10"/>
  <c r="AC430" i="10"/>
  <c r="AC630" i="10"/>
  <c r="AC798" i="10"/>
  <c r="AC731" i="10"/>
  <c r="AC369" i="10"/>
  <c r="AC835" i="10"/>
  <c r="AC677" i="10"/>
  <c r="AC744" i="10"/>
  <c r="AC280" i="10"/>
  <c r="AC202" i="10"/>
  <c r="AC355" i="10"/>
  <c r="AC557" i="10"/>
  <c r="AC256" i="10"/>
  <c r="AC780" i="10"/>
  <c r="AC512" i="10"/>
  <c r="AC775" i="10"/>
  <c r="AC19" i="10"/>
  <c r="AC61" i="10"/>
  <c r="AC779" i="10"/>
  <c r="AC438" i="10"/>
  <c r="AC247" i="10"/>
  <c r="AC148" i="10"/>
  <c r="AC333" i="10"/>
  <c r="AC728" i="10"/>
  <c r="AC641" i="10"/>
  <c r="AC107" i="10"/>
  <c r="AC574" i="10"/>
  <c r="AC679" i="10"/>
  <c r="AC680" i="10"/>
  <c r="AC496" i="10"/>
  <c r="AC444" i="10"/>
  <c r="AC259" i="10"/>
  <c r="AC293" i="10"/>
  <c r="AC648" i="10"/>
  <c r="AC341" i="10"/>
  <c r="AC10" i="10"/>
  <c r="AC235" i="10"/>
  <c r="AC611" i="10"/>
  <c r="AC463" i="10"/>
  <c r="AC527" i="10"/>
  <c r="AC382" i="10"/>
  <c r="AC614" i="10"/>
  <c r="AC126" i="10"/>
  <c r="AC550" i="10"/>
  <c r="AC495" i="10"/>
  <c r="AC69" i="10"/>
  <c r="AC85" i="10"/>
  <c r="AC413" i="10"/>
  <c r="AC725" i="10"/>
  <c r="AC186" i="10"/>
  <c r="AC95" i="10"/>
  <c r="AC391" i="10"/>
  <c r="AC28" i="10"/>
  <c r="AC613" i="10"/>
  <c r="AC390" i="10"/>
  <c r="AC36" i="10"/>
  <c r="AC464" i="10"/>
  <c r="AC836" i="10"/>
  <c r="AC494" i="10"/>
  <c r="AC801" i="10"/>
  <c r="AC87" i="10"/>
  <c r="AC375" i="10"/>
  <c r="AC764" i="10"/>
  <c r="AC194" i="10"/>
  <c r="AC41" i="10"/>
  <c r="AC279" i="10"/>
  <c r="AC505" i="10"/>
  <c r="AC528" i="10"/>
  <c r="AC122" i="10"/>
  <c r="AC693" i="10"/>
  <c r="AC114" i="10"/>
  <c r="AC125" i="10"/>
  <c r="AC632" i="10"/>
  <c r="AC690" i="10"/>
  <c r="AC524" i="10"/>
  <c r="AC334" i="10"/>
  <c r="AC139" i="10"/>
  <c r="AC243" i="10"/>
  <c r="AC577" i="10"/>
  <c r="AC508" i="10"/>
  <c r="AC405" i="10"/>
  <c r="AC324" i="10"/>
  <c r="AC153" i="10"/>
  <c r="AC134" i="10"/>
  <c r="AC421" i="10"/>
  <c r="AC491" i="10"/>
  <c r="AC93" i="10"/>
  <c r="AC581" i="10"/>
  <c r="AC778" i="10"/>
  <c r="AC660" i="10"/>
  <c r="AC474" i="10"/>
  <c r="AC365" i="10"/>
  <c r="AC241" i="10"/>
  <c r="AC174" i="10"/>
  <c r="AC209" i="10"/>
  <c r="AC180" i="10"/>
  <c r="AC376" i="10"/>
  <c r="AC459" i="10"/>
  <c r="AC566" i="10"/>
  <c r="AC565" i="10"/>
  <c r="AC799" i="10"/>
  <c r="AC572" i="10"/>
  <c r="AC178" i="10"/>
  <c r="AC395" i="10"/>
  <c r="AC443" i="10"/>
  <c r="AC219" i="10"/>
  <c r="AC573" i="10"/>
  <c r="AC455" i="10"/>
  <c r="AC177" i="10"/>
  <c r="AC747" i="10"/>
  <c r="AC172" i="10"/>
  <c r="AC606" i="10"/>
  <c r="AC450" i="10"/>
  <c r="AC147" i="10"/>
  <c r="AC419" i="10"/>
  <c r="AC407" i="10"/>
  <c r="AC482" i="10"/>
  <c r="AC372" i="10"/>
  <c r="AC755" i="10"/>
  <c r="AC561" i="10"/>
  <c r="AC254" i="10"/>
  <c r="AC198" i="10"/>
  <c r="AC155" i="10"/>
  <c r="AC319" i="10"/>
  <c r="AC784" i="10"/>
  <c r="AC616" i="10"/>
  <c r="AC353" i="10"/>
  <c r="AC30" i="10"/>
  <c r="AC316" i="10"/>
  <c r="AC127" i="10"/>
  <c r="AC698" i="10"/>
  <c r="AC737" i="10"/>
  <c r="AC321" i="10"/>
  <c r="AC472" i="10"/>
  <c r="AC258" i="10"/>
  <c r="AC748" i="10"/>
  <c r="AC569" i="10"/>
  <c r="AC74" i="10"/>
  <c r="AC720" i="10"/>
  <c r="AC750" i="10"/>
  <c r="AC793" i="10"/>
  <c r="AC735" i="10"/>
  <c r="AC692" i="10"/>
  <c r="AC340" i="10"/>
  <c r="AC217" i="10"/>
  <c r="AC42" i="10"/>
  <c r="AC304" i="10"/>
  <c r="AC323" i="10"/>
  <c r="AC640" i="10"/>
  <c r="AC672" i="10"/>
  <c r="AC831" i="10"/>
  <c r="AC578" i="10"/>
  <c r="AC315" i="10"/>
  <c r="AC552" i="10"/>
  <c r="AC678" i="10"/>
  <c r="AC257" i="10"/>
  <c r="AC267" i="10"/>
  <c r="AC525" i="10"/>
  <c r="AC380" i="10"/>
  <c r="AC190" i="10"/>
  <c r="AC777" i="10"/>
  <c r="AC196" i="10"/>
  <c r="AC83" i="10"/>
  <c r="AC357" i="10"/>
  <c r="AC242" i="10"/>
  <c r="AC128" i="10"/>
  <c r="AC740" i="10"/>
  <c r="AC292" i="10"/>
  <c r="AC265" i="10"/>
  <c r="AC118" i="10"/>
  <c r="AC416" i="10"/>
  <c r="AC195" i="10"/>
  <c r="AC785" i="10"/>
  <c r="AC276" i="10"/>
  <c r="AC338" i="10"/>
  <c r="AC542" i="10"/>
  <c r="AC718" i="10"/>
  <c r="AC710" i="10"/>
  <c r="AC549" i="10"/>
  <c r="AC587" i="10"/>
  <c r="AC310" i="10"/>
  <c r="AC526" i="10"/>
  <c r="AC271" i="10"/>
  <c r="AC724" i="10"/>
  <c r="AC556" i="10"/>
  <c r="AC717" i="10"/>
  <c r="AC762" i="10"/>
  <c r="AC179" i="10"/>
  <c r="AC492" i="10"/>
  <c r="AC138" i="10"/>
  <c r="AC503" i="10"/>
  <c r="AC130" i="10"/>
  <c r="AC426" i="10"/>
  <c r="AC266" i="10"/>
  <c r="AC580" i="10"/>
  <c r="AC231" i="10"/>
  <c r="AC473" i="10"/>
  <c r="AC794" i="10"/>
  <c r="AC708" i="10"/>
  <c r="AC129" i="10"/>
  <c r="AC285" i="10"/>
  <c r="AC669" i="10"/>
  <c r="AC538" i="10"/>
  <c r="AC200" i="10"/>
  <c r="AC90" i="10"/>
  <c r="AC192" i="10"/>
  <c r="AC339" i="10"/>
  <c r="AC422" i="10"/>
  <c r="AC203" i="10"/>
  <c r="AC480" i="10"/>
  <c r="AC719" i="10"/>
  <c r="AC767" i="10"/>
  <c r="AC658" i="10"/>
  <c r="AC59" i="10"/>
  <c r="AC389" i="10"/>
  <c r="AC429" i="10"/>
  <c r="AC592" i="10"/>
  <c r="AC754" i="10"/>
  <c r="AC420" i="10"/>
  <c r="AC727" i="10"/>
  <c r="AC78" i="10"/>
  <c r="AC486" i="10"/>
  <c r="AC757" i="10"/>
  <c r="AC199" i="10"/>
  <c r="AC738" i="10"/>
  <c r="AC610" i="10"/>
  <c r="AC456" i="10"/>
  <c r="AC470" i="10"/>
  <c r="AC318" i="10"/>
  <c r="AC406" i="10"/>
  <c r="AC500" i="10"/>
  <c r="AC564" i="10"/>
  <c r="AC60" i="10"/>
  <c r="AC529" i="10"/>
  <c r="AC317" i="10"/>
  <c r="AC532" i="10"/>
  <c r="AC751" i="10"/>
  <c r="AC481" i="10"/>
  <c r="AC504" i="10"/>
  <c r="AC115" i="10"/>
  <c r="AC539" i="10"/>
  <c r="AC562" i="10"/>
  <c r="AC408" i="10"/>
  <c r="AC683" i="10"/>
  <c r="AC761" i="10"/>
  <c r="AC400" i="10"/>
  <c r="AC749" i="10"/>
  <c r="AC436" i="10"/>
  <c r="AC800" i="10"/>
  <c r="AC626" i="10"/>
  <c r="AC645" i="10"/>
  <c r="AC588" i="10"/>
  <c r="AC63" i="10"/>
  <c r="AC415" i="10"/>
  <c r="AC362" i="10"/>
  <c r="AC210" i="10"/>
  <c r="AC303" i="10"/>
  <c r="AC631" i="10"/>
  <c r="AC714" i="10"/>
  <c r="AC497" i="10"/>
  <c r="AC356" i="10"/>
  <c r="AC314" i="10"/>
  <c r="AC201" i="10"/>
  <c r="AC173" i="10"/>
  <c r="AC320" i="10"/>
  <c r="AC460" i="10"/>
  <c r="AC758" i="10"/>
  <c r="AC721" i="10"/>
  <c r="AC272" i="10"/>
  <c r="AC288" i="10"/>
  <c r="AC742" i="10"/>
  <c r="AC169" i="10"/>
  <c r="AC163" i="10"/>
  <c r="AC342" i="10"/>
  <c r="AC89" i="10"/>
  <c r="AC753" i="10"/>
  <c r="AC579" i="10"/>
  <c r="AC828" i="10"/>
  <c r="AC792" i="10"/>
  <c r="AC605" i="10"/>
  <c r="AC150" i="10"/>
  <c r="AC684" i="10"/>
  <c r="AC657" i="10"/>
  <c r="AC335" i="10"/>
  <c r="AC102" i="10"/>
  <c r="AC467" i="10"/>
  <c r="AC518" i="10"/>
  <c r="AC765" i="10"/>
  <c r="AC769" i="10"/>
  <c r="AC509" i="10"/>
  <c r="AC667" i="10"/>
  <c r="AC403" i="10"/>
  <c r="AC451" i="10"/>
  <c r="AC829" i="10"/>
  <c r="AC705" i="10"/>
  <c r="AC140" i="10"/>
  <c r="AC289" i="10"/>
  <c r="AC220" i="10"/>
  <c r="AC522" i="10"/>
  <c r="AC502" i="10"/>
  <c r="AC695" i="10"/>
  <c r="AC498" i="10"/>
  <c r="AC615" i="10"/>
  <c r="AC20" i="10"/>
  <c r="AC361" i="10"/>
  <c r="AC103" i="10"/>
  <c r="AC604" i="10"/>
  <c r="AC706" i="10"/>
  <c r="AC329" i="10"/>
  <c r="AC465" i="10"/>
  <c r="AC239" i="10"/>
  <c r="AC752" i="10"/>
  <c r="AC736" i="10"/>
  <c r="AC694" i="10"/>
  <c r="AC654" i="10"/>
  <c r="AC188" i="10"/>
  <c r="AC213" i="10"/>
  <c r="AC50" i="10"/>
  <c r="AC560" i="10"/>
  <c r="AC662" i="10"/>
  <c r="AC686" i="10"/>
  <c r="AC716" i="10"/>
  <c r="AC206" i="10"/>
  <c r="AC743" i="10"/>
  <c r="AC700" i="10"/>
  <c r="AC673" i="10"/>
  <c r="AC43" i="10"/>
  <c r="AC91" i="10"/>
  <c r="AC373" i="10"/>
  <c r="AC445" i="10"/>
  <c r="AC523" i="10"/>
  <c r="AC634" i="10"/>
  <c r="AC302" i="10"/>
  <c r="AC264" i="10"/>
  <c r="AC116" i="10"/>
  <c r="AC363" i="10"/>
  <c r="AC427" i="10"/>
  <c r="AC493" i="10"/>
  <c r="AC291" i="10"/>
  <c r="AC642" i="10"/>
  <c r="AC830" i="10"/>
  <c r="AC161" i="10"/>
  <c r="AC457" i="10"/>
  <c r="AC637" i="10"/>
  <c r="AC248" i="10"/>
  <c r="AC643" i="10"/>
  <c r="AC268" i="10"/>
  <c r="AC440" i="10"/>
  <c r="AC691" i="10"/>
  <c r="AC666" i="10"/>
  <c r="AC398" i="10"/>
  <c r="AC164" i="10"/>
  <c r="AC471" i="10"/>
  <c r="AC47" i="10"/>
  <c r="AC409" i="10"/>
  <c r="AC468" i="10"/>
  <c r="AC519" i="10"/>
  <c r="AC559" i="10"/>
  <c r="AC359" i="10"/>
  <c r="AC431" i="10"/>
  <c r="AC306" i="10"/>
  <c r="AC322" i="10"/>
  <c r="AC639" i="10"/>
  <c r="AC772" i="10"/>
  <c r="AC399" i="10"/>
  <c r="AC57" i="10"/>
  <c r="AC685" i="10"/>
  <c r="AC766" i="10"/>
  <c r="AC759" i="10"/>
  <c r="AC396" i="10"/>
  <c r="AC284" i="10"/>
  <c r="AC715" i="10"/>
  <c r="AC131" i="10"/>
  <c r="AC506" i="10"/>
  <c r="AC364" i="10"/>
  <c r="AC137" i="10"/>
  <c r="AC332" i="10"/>
  <c r="AC397" i="10"/>
  <c r="AC563" i="10"/>
  <c r="AC537" i="10"/>
  <c r="AC627" i="10"/>
  <c r="AC659" i="10"/>
  <c r="AC601" i="10"/>
  <c r="AC86" i="10"/>
  <c r="AC789" i="10"/>
  <c r="AC218" i="10"/>
  <c r="AC197" i="10"/>
  <c r="AC432" i="10"/>
  <c r="AC636" i="10"/>
  <c r="AC655" i="10"/>
  <c r="AC246" i="10"/>
  <c r="AC283" i="10"/>
  <c r="AC585" i="10"/>
  <c r="AC388" i="10"/>
  <c r="AC609" i="10"/>
  <c r="AC336" i="10"/>
  <c r="AC441" i="10"/>
  <c r="AC709" i="10"/>
  <c r="AC170" i="10"/>
  <c r="AC354" i="10"/>
  <c r="AC487" i="10"/>
  <c r="AC119" i="10"/>
  <c r="AC269" i="10"/>
  <c r="AC418" i="10"/>
  <c r="AC263" i="10"/>
  <c r="AC647" i="10"/>
  <c r="AC760" i="10"/>
  <c r="AC665" i="10"/>
  <c r="AC141" i="10"/>
  <c r="AC653" i="10"/>
  <c r="AC790" i="10"/>
  <c r="AC770" i="10"/>
  <c r="AC652" i="10"/>
  <c r="AC244" i="10"/>
  <c r="AC94" i="10"/>
  <c r="AC82" i="10"/>
  <c r="AC688" i="10"/>
  <c r="AC723" i="10"/>
  <c r="AC635" i="10"/>
  <c r="AC689" i="10"/>
  <c r="AC576" i="10"/>
  <c r="AC649" i="10"/>
  <c r="AC633" i="10"/>
  <c r="AC404" i="10"/>
  <c r="AC51" i="10"/>
  <c r="AC381" i="10"/>
  <c r="AC453" i="10"/>
  <c r="AC531" i="10"/>
  <c r="AC311" i="10"/>
  <c r="AC171" i="10"/>
  <c r="AC370" i="10"/>
  <c r="AC351" i="10"/>
  <c r="AC551" i="10"/>
  <c r="AC433" i="10"/>
  <c r="AC184" i="10"/>
  <c r="AC646" i="10"/>
  <c r="AC591" i="10"/>
  <c r="AC501" i="10"/>
  <c r="AC117" i="10"/>
  <c r="AC462" i="10"/>
  <c r="AC449" i="10"/>
  <c r="AC214" i="10"/>
  <c r="AC135" i="10"/>
  <c r="AC325" i="10"/>
  <c r="AC540" i="10"/>
  <c r="AC261" i="10"/>
  <c r="AC788" i="10"/>
  <c r="AC88" i="10"/>
  <c r="AC707" i="10"/>
  <c r="AC240" i="10"/>
  <c r="AC729" i="10"/>
  <c r="AC699" i="10"/>
  <c r="AC410" i="10"/>
  <c r="AC484" i="10"/>
  <c r="AC756" i="10"/>
  <c r="AC71" i="10"/>
  <c r="AC207" i="10"/>
  <c r="AC249" i="10"/>
  <c r="AC774" i="10"/>
  <c r="AC534" i="10"/>
  <c r="AC273" i="10"/>
  <c r="AC181" i="10"/>
  <c r="AC270" i="10"/>
  <c r="AC72" i="10"/>
  <c r="AC39" i="10"/>
  <c r="AC282" i="10"/>
  <c r="AC136" i="10"/>
  <c r="AC802" i="10"/>
  <c r="AC166" i="10"/>
  <c r="AC238" i="10"/>
  <c r="AC393" i="10"/>
  <c r="AC162" i="10"/>
  <c r="AC183" i="10"/>
  <c r="AC583" i="10"/>
  <c r="AC48" i="10"/>
  <c r="AC152" i="10"/>
  <c r="AC189" i="10"/>
  <c r="AC208" i="10"/>
  <c r="AC513" i="10"/>
  <c r="AC458" i="10"/>
  <c r="AC305" i="10"/>
  <c r="AC739" i="10"/>
  <c r="AC582" i="10"/>
  <c r="AC795" i="10"/>
  <c r="AC31" i="10"/>
  <c r="AC167" i="10"/>
  <c r="AC290" i="10"/>
  <c r="AC804" i="10"/>
  <c r="AC301" i="10"/>
  <c r="AC661" i="10"/>
  <c r="AC157" i="10"/>
  <c r="AC109" i="10"/>
  <c r="AC817" i="10"/>
  <c r="AC621" i="10"/>
  <c r="AC807" i="10"/>
  <c r="AC650" i="10"/>
  <c r="AC326" i="10"/>
  <c r="AC571" i="10"/>
  <c r="AC337" i="10"/>
  <c r="AC64" i="10"/>
  <c r="AC44" i="10"/>
  <c r="AC620" i="10"/>
  <c r="AC624" i="10"/>
  <c r="AC76" i="10"/>
  <c r="AC113" i="10"/>
  <c r="AC151" i="10"/>
  <c r="AC805" i="10"/>
  <c r="AC281" i="10"/>
  <c r="AC600" i="10"/>
  <c r="AC35" i="10"/>
  <c r="AC595" i="10"/>
  <c r="AC211" i="10"/>
  <c r="AC294" i="10"/>
  <c r="AC681" i="10"/>
  <c r="AC143" i="10"/>
  <c r="AC81" i="10"/>
  <c r="AC586" i="10"/>
  <c r="AC745" i="10"/>
  <c r="AC401" i="10"/>
  <c r="AC345" i="10"/>
  <c r="AC308" i="10"/>
  <c r="AC475" i="10"/>
  <c r="AC555" i="10"/>
  <c r="AC346" i="10"/>
  <c r="AC741" i="10"/>
  <c r="AC412" i="10"/>
  <c r="AC477" i="10"/>
  <c r="AC295" i="10"/>
  <c r="AC478" i="10"/>
  <c r="AC298" i="10"/>
  <c r="AC553" i="10"/>
  <c r="AC607" i="10"/>
  <c r="AC701" i="10"/>
  <c r="AC476" i="10"/>
  <c r="AC697" i="10"/>
  <c r="AC589" i="10"/>
  <c r="AC516" i="10"/>
  <c r="AC612" i="10"/>
  <c r="AC558" i="10"/>
  <c r="AC402" i="10"/>
  <c r="AC514" i="10"/>
  <c r="AC439" i="10"/>
  <c r="AC327" i="10"/>
  <c r="AC331" i="10"/>
  <c r="AC123" i="10"/>
  <c r="AC299" i="10"/>
  <c r="AC617" i="10"/>
  <c r="AC56" i="10"/>
  <c r="AC424" i="10"/>
  <c r="AC96" i="10"/>
  <c r="AC255" i="10"/>
  <c r="AC644" i="10"/>
  <c r="AC530" i="10"/>
  <c r="AC185" i="10"/>
  <c r="AC297" i="10"/>
  <c r="AC820" i="10"/>
  <c r="AC65" i="10"/>
  <c r="AC687" i="10"/>
  <c r="AC466" i="10"/>
  <c r="AC347" i="10"/>
  <c r="AC296" i="10"/>
  <c r="AC52" i="10"/>
  <c r="AC663" i="10"/>
  <c r="AC110" i="10"/>
  <c r="AC352" i="10"/>
  <c r="AC250" i="10"/>
  <c r="AC806" i="10"/>
  <c r="AC454" i="10"/>
  <c r="AC300" i="10"/>
  <c r="AC101" i="10"/>
  <c r="AC446" i="10"/>
  <c r="AC73" i="10"/>
  <c r="AC776" i="10"/>
  <c r="AC313" i="10"/>
  <c r="AC367" i="10"/>
  <c r="AC40" i="10"/>
  <c r="AC461" i="10"/>
  <c r="AC225" i="10"/>
  <c r="AC547" i="10"/>
  <c r="AC819" i="10"/>
  <c r="AC533" i="10"/>
  <c r="AC144" i="10"/>
  <c r="AC703" i="10"/>
  <c r="AC618" i="10"/>
  <c r="AC548" i="10"/>
  <c r="AC425" i="10"/>
  <c r="AC702" i="10"/>
  <c r="AC803" i="10"/>
  <c r="AC771" i="10"/>
  <c r="AC596" i="10"/>
  <c r="AC328" i="10"/>
  <c r="AC423" i="10"/>
  <c r="AC358" i="10"/>
  <c r="AC385" i="10"/>
  <c r="AC417" i="10"/>
  <c r="AC55" i="10"/>
  <c r="AC826" i="10"/>
  <c r="AC535" i="10"/>
  <c r="AC349" i="10"/>
  <c r="AC37" i="10"/>
  <c r="AC816" i="10"/>
  <c r="AC447" i="10"/>
  <c r="C5" i="13"/>
  <c r="K5" i="13"/>
  <c r="M5" i="13" s="1"/>
  <c r="J6" i="11"/>
  <c r="J14" i="11"/>
  <c r="J22" i="11"/>
  <c r="J30" i="11"/>
  <c r="J38" i="11"/>
  <c r="J46" i="11"/>
  <c r="J54" i="11"/>
  <c r="J62" i="11"/>
  <c r="J70" i="11"/>
  <c r="J78" i="11"/>
  <c r="J86" i="11"/>
  <c r="J102" i="11"/>
  <c r="J110" i="11"/>
  <c r="J118" i="11"/>
  <c r="J126" i="11"/>
  <c r="J134" i="11"/>
  <c r="J142" i="11"/>
  <c r="J7" i="11"/>
  <c r="J15" i="11"/>
  <c r="J23" i="11"/>
  <c r="J31" i="11"/>
  <c r="J39" i="11"/>
  <c r="J47" i="11"/>
  <c r="J55" i="11"/>
  <c r="J63" i="11"/>
  <c r="J71" i="11"/>
  <c r="J79" i="11"/>
  <c r="J87" i="11"/>
  <c r="J95" i="11"/>
  <c r="J103" i="11"/>
  <c r="J111" i="11"/>
  <c r="J119" i="11"/>
  <c r="J127" i="11"/>
  <c r="J135" i="11"/>
  <c r="J143" i="11"/>
  <c r="J8" i="11"/>
  <c r="J16" i="11"/>
  <c r="J24" i="11"/>
  <c r="J32" i="11"/>
  <c r="J40" i="11"/>
  <c r="J48" i="11"/>
  <c r="J56" i="11"/>
  <c r="J64" i="11"/>
  <c r="J72" i="11"/>
  <c r="J80" i="11"/>
  <c r="J88" i="11"/>
  <c r="J96" i="11"/>
  <c r="J104" i="11"/>
  <c r="J112" i="11"/>
  <c r="J120" i="11"/>
  <c r="J128" i="11"/>
  <c r="J136" i="11"/>
  <c r="J144" i="11"/>
  <c r="J9" i="11"/>
  <c r="J17" i="11"/>
  <c r="J25" i="11"/>
  <c r="J33" i="11"/>
  <c r="J41" i="11"/>
  <c r="J49" i="11"/>
  <c r="J57" i="11"/>
  <c r="J65" i="11"/>
  <c r="J73" i="11"/>
  <c r="J81" i="11"/>
  <c r="J89" i="11"/>
  <c r="J97" i="11"/>
  <c r="J105" i="11"/>
  <c r="J113" i="11"/>
  <c r="J121" i="11"/>
  <c r="J129" i="11"/>
  <c r="J137" i="11"/>
  <c r="J145" i="11"/>
  <c r="J18" i="11"/>
  <c r="J26" i="11"/>
  <c r="J34" i="11"/>
  <c r="J42" i="11"/>
  <c r="J50" i="11"/>
  <c r="J66" i="11"/>
  <c r="J74" i="11"/>
  <c r="J82" i="11"/>
  <c r="J90" i="11"/>
  <c r="J98" i="11"/>
  <c r="J106" i="11"/>
  <c r="J114" i="11"/>
  <c r="J122" i="11"/>
  <c r="J130" i="11"/>
  <c r="J138" i="11"/>
  <c r="J58" i="11"/>
  <c r="J146" i="11"/>
  <c r="J10" i="11"/>
  <c r="J11" i="11"/>
  <c r="J19" i="11"/>
  <c r="J27" i="11"/>
  <c r="J35" i="11"/>
  <c r="J43" i="11"/>
  <c r="J51" i="11"/>
  <c r="J59" i="11"/>
  <c r="J67" i="11"/>
  <c r="J75" i="11"/>
  <c r="J83" i="11"/>
  <c r="J91" i="11"/>
  <c r="J99" i="11"/>
  <c r="J107" i="11"/>
  <c r="J115" i="11"/>
  <c r="J123" i="11"/>
  <c r="J131" i="11"/>
  <c r="J139" i="11"/>
  <c r="J147" i="11"/>
  <c r="J12" i="11"/>
  <c r="J20" i="11"/>
  <c r="J28" i="11"/>
  <c r="J36" i="11"/>
  <c r="J44" i="11"/>
  <c r="J52" i="11"/>
  <c r="J60" i="11"/>
  <c r="J68" i="11"/>
  <c r="J76" i="11"/>
  <c r="J84" i="11"/>
  <c r="J92" i="11"/>
  <c r="J100" i="11"/>
  <c r="J108" i="11"/>
  <c r="J116" i="11"/>
  <c r="J124" i="11"/>
  <c r="J132" i="11"/>
  <c r="J140" i="11"/>
  <c r="J148" i="11"/>
  <c r="J5" i="11"/>
  <c r="J13" i="11"/>
  <c r="J21" i="11"/>
  <c r="J29" i="11"/>
  <c r="J37" i="11"/>
  <c r="J45" i="11"/>
  <c r="J53" i="11"/>
  <c r="J61" i="11"/>
  <c r="J69" i="11"/>
  <c r="J77" i="11"/>
  <c r="J85" i="11"/>
  <c r="J93" i="11"/>
  <c r="J101" i="11"/>
  <c r="J109" i="11"/>
  <c r="J117" i="11"/>
  <c r="J125" i="11"/>
  <c r="J133" i="11"/>
  <c r="J141" i="11"/>
  <c r="J94" i="11"/>
  <c r="J6" i="15"/>
  <c r="J14" i="15"/>
  <c r="J22" i="15"/>
  <c r="J30" i="15"/>
  <c r="J38" i="15"/>
  <c r="J46" i="15"/>
  <c r="J54" i="15"/>
  <c r="J62" i="15"/>
  <c r="J70" i="15"/>
  <c r="J78" i="15"/>
  <c r="J86" i="15"/>
  <c r="J7" i="15"/>
  <c r="J15" i="15"/>
  <c r="J23" i="15"/>
  <c r="J31" i="15"/>
  <c r="J39" i="15"/>
  <c r="J47" i="15"/>
  <c r="J55" i="15"/>
  <c r="J63" i="15"/>
  <c r="J71" i="15"/>
  <c r="J79" i="15"/>
  <c r="J87" i="15"/>
  <c r="J8" i="15"/>
  <c r="J16" i="15"/>
  <c r="J24" i="15"/>
  <c r="J32" i="15"/>
  <c r="J40" i="15"/>
  <c r="J48" i="15"/>
  <c r="J56" i="15"/>
  <c r="J64" i="15"/>
  <c r="J72" i="15"/>
  <c r="J80" i="15"/>
  <c r="J88" i="15"/>
  <c r="J9" i="15"/>
  <c r="J17" i="15"/>
  <c r="J25" i="15"/>
  <c r="J33" i="15"/>
  <c r="J41" i="15"/>
  <c r="J49" i="15"/>
  <c r="J57" i="15"/>
  <c r="J65" i="15"/>
  <c r="J73" i="15"/>
  <c r="J81" i="15"/>
  <c r="J89" i="15"/>
  <c r="J10" i="15"/>
  <c r="J18" i="15"/>
  <c r="J26" i="15"/>
  <c r="J34" i="15"/>
  <c r="J42" i="15"/>
  <c r="J50" i="15"/>
  <c r="J58" i="15"/>
  <c r="J66" i="15"/>
  <c r="J74" i="15"/>
  <c r="J82" i="15"/>
  <c r="J11" i="15"/>
  <c r="J19" i="15"/>
  <c r="J27" i="15"/>
  <c r="J35" i="15"/>
  <c r="J43" i="15"/>
  <c r="J51" i="15"/>
  <c r="J59" i="15"/>
  <c r="J67" i="15"/>
  <c r="J75" i="15"/>
  <c r="J83" i="15"/>
  <c r="J21" i="15"/>
  <c r="J45" i="15"/>
  <c r="J61" i="15"/>
  <c r="J69" i="15"/>
  <c r="J77" i="15"/>
  <c r="J12" i="15"/>
  <c r="J20" i="15"/>
  <c r="J28" i="15"/>
  <c r="J36" i="15"/>
  <c r="J44" i="15"/>
  <c r="J52" i="15"/>
  <c r="J60" i="15"/>
  <c r="J68" i="15"/>
  <c r="J76" i="15"/>
  <c r="J84" i="15"/>
  <c r="J13" i="15"/>
  <c r="J29" i="15"/>
  <c r="J37" i="15"/>
  <c r="J53" i="15"/>
  <c r="J85" i="15"/>
  <c r="J5" i="15"/>
  <c r="J305" i="14"/>
  <c r="J313" i="14"/>
  <c r="J321" i="14"/>
  <c r="J329" i="14"/>
  <c r="J337" i="14"/>
  <c r="J345" i="14"/>
  <c r="J353" i="14"/>
  <c r="J361" i="14"/>
  <c r="J369" i="14"/>
  <c r="J306" i="14"/>
  <c r="J314" i="14"/>
  <c r="J322" i="14"/>
  <c r="J330" i="14"/>
  <c r="J338" i="14"/>
  <c r="J346" i="14"/>
  <c r="J354" i="14"/>
  <c r="J362" i="14"/>
  <c r="J370" i="14"/>
  <c r="J307" i="14"/>
  <c r="J315" i="14"/>
  <c r="J323" i="14"/>
  <c r="J331" i="14"/>
  <c r="J339" i="14"/>
  <c r="J347" i="14"/>
  <c r="J355" i="14"/>
  <c r="J363" i="14"/>
  <c r="J308" i="14"/>
  <c r="J316" i="14"/>
  <c r="J324" i="14"/>
  <c r="J332" i="14"/>
  <c r="J340" i="14"/>
  <c r="J348" i="14"/>
  <c r="J356" i="14"/>
  <c r="J364" i="14"/>
  <c r="J309" i="14"/>
  <c r="J317" i="14"/>
  <c r="J325" i="14"/>
  <c r="J333" i="14"/>
  <c r="J341" i="14"/>
  <c r="J349" i="14"/>
  <c r="J357" i="14"/>
  <c r="J365" i="14"/>
  <c r="J310" i="14"/>
  <c r="J318" i="14"/>
  <c r="J326" i="14"/>
  <c r="J334" i="14"/>
  <c r="J342" i="14"/>
  <c r="J350" i="14"/>
  <c r="J358" i="14"/>
  <c r="J366" i="14"/>
  <c r="J311" i="14"/>
  <c r="J319" i="14"/>
  <c r="J327" i="14"/>
  <c r="J335" i="14"/>
  <c r="J343" i="14"/>
  <c r="J351" i="14"/>
  <c r="J359" i="14"/>
  <c r="J367" i="14"/>
  <c r="J312" i="14"/>
  <c r="J320" i="14"/>
  <c r="J328" i="14"/>
  <c r="J336" i="14"/>
  <c r="J344" i="14"/>
  <c r="J352" i="14"/>
  <c r="J360" i="14"/>
  <c r="J368" i="14"/>
  <c r="J118" i="14"/>
  <c r="J7" i="14"/>
  <c r="J15" i="14"/>
  <c r="J23" i="14"/>
  <c r="J31" i="14"/>
  <c r="J39" i="14"/>
  <c r="J47" i="14"/>
  <c r="J55" i="14"/>
  <c r="J63" i="14"/>
  <c r="J71" i="14"/>
  <c r="J79" i="14"/>
  <c r="J87" i="14"/>
  <c r="J95" i="14"/>
  <c r="J103" i="14"/>
  <c r="J111" i="14"/>
  <c r="J119" i="14"/>
  <c r="J127" i="14"/>
  <c r="J135" i="14"/>
  <c r="J143" i="14"/>
  <c r="J151" i="14"/>
  <c r="J159" i="14"/>
  <c r="J167" i="14"/>
  <c r="J175" i="14"/>
  <c r="J183" i="14"/>
  <c r="J191" i="14"/>
  <c r="J199" i="14"/>
  <c r="J207" i="14"/>
  <c r="J215" i="14"/>
  <c r="J223" i="14"/>
  <c r="J231" i="14"/>
  <c r="J239" i="14"/>
  <c r="J247" i="14"/>
  <c r="J255" i="14"/>
  <c r="J263" i="14"/>
  <c r="J271" i="14"/>
  <c r="J279" i="14"/>
  <c r="J287" i="14"/>
  <c r="J295" i="14"/>
  <c r="J303" i="14"/>
  <c r="J8" i="14"/>
  <c r="J16" i="14"/>
  <c r="J24" i="14"/>
  <c r="J32" i="14"/>
  <c r="J40" i="14"/>
  <c r="J48" i="14"/>
  <c r="J56" i="14"/>
  <c r="J64" i="14"/>
  <c r="J72" i="14"/>
  <c r="J80" i="14"/>
  <c r="J88" i="14"/>
  <c r="J96" i="14"/>
  <c r="J104" i="14"/>
  <c r="J112" i="14"/>
  <c r="J120" i="14"/>
  <c r="J128" i="14"/>
  <c r="J136" i="14"/>
  <c r="J144" i="14"/>
  <c r="J152" i="14"/>
  <c r="J160" i="14"/>
  <c r="J168" i="14"/>
  <c r="J176" i="14"/>
  <c r="J184" i="14"/>
  <c r="J192" i="14"/>
  <c r="J200" i="14"/>
  <c r="J208" i="14"/>
  <c r="J216" i="14"/>
  <c r="J224" i="14"/>
  <c r="J232" i="14"/>
  <c r="J240" i="14"/>
  <c r="J248" i="14"/>
  <c r="J256" i="14"/>
  <c r="J264" i="14"/>
  <c r="J272" i="14"/>
  <c r="J280" i="14"/>
  <c r="J288" i="14"/>
  <c r="J296" i="14"/>
  <c r="J304" i="14"/>
  <c r="J115" i="14"/>
  <c r="J227" i="14"/>
  <c r="J275" i="14"/>
  <c r="J299" i="14"/>
  <c r="J28" i="14"/>
  <c r="J108" i="14"/>
  <c r="J156" i="14"/>
  <c r="J180" i="14"/>
  <c r="J220" i="14"/>
  <c r="J252" i="14"/>
  <c r="J284" i="14"/>
  <c r="J9" i="14"/>
  <c r="J17" i="14"/>
  <c r="J25" i="14"/>
  <c r="J33" i="14"/>
  <c r="J41" i="14"/>
  <c r="J49" i="14"/>
  <c r="J57" i="14"/>
  <c r="J65" i="14"/>
  <c r="J73" i="14"/>
  <c r="J81" i="14"/>
  <c r="J89" i="14"/>
  <c r="J97" i="14"/>
  <c r="J105" i="14"/>
  <c r="J113" i="14"/>
  <c r="J121" i="14"/>
  <c r="J129" i="14"/>
  <c r="J137" i="14"/>
  <c r="J145" i="14"/>
  <c r="J153" i="14"/>
  <c r="J161" i="14"/>
  <c r="J169" i="14"/>
  <c r="J177" i="14"/>
  <c r="J185" i="14"/>
  <c r="J193" i="14"/>
  <c r="J201" i="14"/>
  <c r="J209" i="14"/>
  <c r="J217" i="14"/>
  <c r="J225" i="14"/>
  <c r="J233" i="14"/>
  <c r="J241" i="14"/>
  <c r="J249" i="14"/>
  <c r="J257" i="14"/>
  <c r="J265" i="14"/>
  <c r="J273" i="14"/>
  <c r="J281" i="14"/>
  <c r="J289" i="14"/>
  <c r="J297" i="14"/>
  <c r="J91" i="14"/>
  <c r="J251" i="14"/>
  <c r="J291" i="14"/>
  <c r="J36" i="14"/>
  <c r="J44" i="14"/>
  <c r="J52" i="14"/>
  <c r="J68" i="14"/>
  <c r="J92" i="14"/>
  <c r="J124" i="14"/>
  <c r="J148" i="14"/>
  <c r="J172" i="14"/>
  <c r="J196" i="14"/>
  <c r="J228" i="14"/>
  <c r="J260" i="14"/>
  <c r="J292" i="14"/>
  <c r="J10" i="14"/>
  <c r="J18" i="14"/>
  <c r="J26" i="14"/>
  <c r="J34" i="14"/>
  <c r="J42" i="14"/>
  <c r="J50" i="14"/>
  <c r="J58" i="14"/>
  <c r="J66" i="14"/>
  <c r="J74" i="14"/>
  <c r="J82" i="14"/>
  <c r="J90" i="14"/>
  <c r="J98" i="14"/>
  <c r="J106" i="14"/>
  <c r="J114" i="14"/>
  <c r="J122" i="14"/>
  <c r="J130" i="14"/>
  <c r="J138" i="14"/>
  <c r="J146" i="14"/>
  <c r="J154" i="14"/>
  <c r="J162" i="14"/>
  <c r="J170" i="14"/>
  <c r="J178" i="14"/>
  <c r="J186" i="14"/>
  <c r="J194" i="14"/>
  <c r="J202" i="14"/>
  <c r="J210" i="14"/>
  <c r="J218" i="14"/>
  <c r="J226" i="14"/>
  <c r="J234" i="14"/>
  <c r="J242" i="14"/>
  <c r="J250" i="14"/>
  <c r="J258" i="14"/>
  <c r="J266" i="14"/>
  <c r="J274" i="14"/>
  <c r="J282" i="14"/>
  <c r="J290" i="14"/>
  <c r="J298" i="14"/>
  <c r="J107" i="14"/>
  <c r="J179" i="14"/>
  <c r="J203" i="14"/>
  <c r="J219" i="14"/>
  <c r="J243" i="14"/>
  <c r="J267" i="14"/>
  <c r="J20" i="14"/>
  <c r="J76" i="14"/>
  <c r="J116" i="14"/>
  <c r="J140" i="14"/>
  <c r="J204" i="14"/>
  <c r="J236" i="14"/>
  <c r="J276" i="14"/>
  <c r="J11" i="14"/>
  <c r="J19" i="14"/>
  <c r="J27" i="14"/>
  <c r="J35" i="14"/>
  <c r="J43" i="14"/>
  <c r="J51" i="14"/>
  <c r="J59" i="14"/>
  <c r="J67" i="14"/>
  <c r="J75" i="14"/>
  <c r="J83" i="14"/>
  <c r="J99" i="14"/>
  <c r="J123" i="14"/>
  <c r="J131" i="14"/>
  <c r="J139" i="14"/>
  <c r="J147" i="14"/>
  <c r="J155" i="14"/>
  <c r="J163" i="14"/>
  <c r="J171" i="14"/>
  <c r="J187" i="14"/>
  <c r="J195" i="14"/>
  <c r="J211" i="14"/>
  <c r="J235" i="14"/>
  <c r="J259" i="14"/>
  <c r="J283" i="14"/>
  <c r="J12" i="14"/>
  <c r="J60" i="14"/>
  <c r="J84" i="14"/>
  <c r="J100" i="14"/>
  <c r="J132" i="14"/>
  <c r="J164" i="14"/>
  <c r="J188" i="14"/>
  <c r="J212" i="14"/>
  <c r="J244" i="14"/>
  <c r="J268" i="14"/>
  <c r="J300" i="14"/>
  <c r="J13" i="14"/>
  <c r="J21" i="14"/>
  <c r="J29" i="14"/>
  <c r="J37" i="14"/>
  <c r="J45" i="14"/>
  <c r="J53" i="14"/>
  <c r="J61" i="14"/>
  <c r="J69" i="14"/>
  <c r="J77" i="14"/>
  <c r="J85" i="14"/>
  <c r="J93" i="14"/>
  <c r="J101" i="14"/>
  <c r="J109" i="14"/>
  <c r="J117" i="14"/>
  <c r="J125" i="14"/>
  <c r="J133" i="14"/>
  <c r="J141" i="14"/>
  <c r="J149" i="14"/>
  <c r="J157" i="14"/>
  <c r="J165" i="14"/>
  <c r="J173" i="14"/>
  <c r="J181" i="14"/>
  <c r="J189" i="14"/>
  <c r="J197" i="14"/>
  <c r="J205" i="14"/>
  <c r="J213" i="14"/>
  <c r="J221" i="14"/>
  <c r="J229" i="14"/>
  <c r="J237" i="14"/>
  <c r="J245" i="14"/>
  <c r="J253" i="14"/>
  <c r="J261" i="14"/>
  <c r="J269" i="14"/>
  <c r="J277" i="14"/>
  <c r="J285" i="14"/>
  <c r="J293" i="14"/>
  <c r="J301" i="14"/>
  <c r="J6" i="14"/>
  <c r="J14" i="14"/>
  <c r="J22" i="14"/>
  <c r="J30" i="14"/>
  <c r="J38" i="14"/>
  <c r="J46" i="14"/>
  <c r="J54" i="14"/>
  <c r="J62" i="14"/>
  <c r="J70" i="14"/>
  <c r="J78" i="14"/>
  <c r="J86" i="14"/>
  <c r="J94" i="14"/>
  <c r="J102" i="14"/>
  <c r="J110" i="14"/>
  <c r="J126" i="14"/>
  <c r="J134" i="14"/>
  <c r="J142" i="14"/>
  <c r="J150" i="14"/>
  <c r="J158" i="14"/>
  <c r="J166" i="14"/>
  <c r="J174" i="14"/>
  <c r="J182" i="14"/>
  <c r="J190" i="14"/>
  <c r="J198" i="14"/>
  <c r="J206" i="14"/>
  <c r="J214" i="14"/>
  <c r="J222" i="14"/>
  <c r="J230" i="14"/>
  <c r="J238" i="14"/>
  <c r="J246" i="14"/>
  <c r="J254" i="14"/>
  <c r="J262" i="14"/>
  <c r="J270" i="14"/>
  <c r="J278" i="14"/>
  <c r="J286" i="14"/>
  <c r="J294" i="14"/>
  <c r="J302" i="14"/>
  <c r="J5" i="14"/>
  <c r="J6" i="13"/>
  <c r="J14" i="13"/>
  <c r="J22" i="13"/>
  <c r="J30" i="13"/>
  <c r="J38" i="13"/>
  <c r="J46" i="13"/>
  <c r="J7" i="13"/>
  <c r="J15" i="13"/>
  <c r="J23" i="13"/>
  <c r="J31" i="13"/>
  <c r="J39" i="13"/>
  <c r="J13" i="13"/>
  <c r="J8" i="13"/>
  <c r="J16" i="13"/>
  <c r="J24" i="13"/>
  <c r="J32" i="13"/>
  <c r="J40" i="13"/>
  <c r="J37" i="13"/>
  <c r="J9" i="13"/>
  <c r="J17" i="13"/>
  <c r="J25" i="13"/>
  <c r="J33" i="13"/>
  <c r="J41" i="13"/>
  <c r="J29" i="13"/>
  <c r="J10" i="13"/>
  <c r="J18" i="13"/>
  <c r="J26" i="13"/>
  <c r="J34" i="13"/>
  <c r="J42" i="13"/>
  <c r="J20" i="13"/>
  <c r="J21" i="13"/>
  <c r="J11" i="13"/>
  <c r="J19" i="13"/>
  <c r="J27" i="13"/>
  <c r="J35" i="13"/>
  <c r="J43" i="13"/>
  <c r="J12" i="13"/>
  <c r="J28" i="13"/>
  <c r="J36" i="13"/>
  <c r="J44" i="13"/>
  <c r="J45" i="13"/>
  <c r="J5" i="13"/>
  <c r="J8" i="12"/>
  <c r="J16" i="12"/>
  <c r="J24" i="12"/>
  <c r="J32" i="12"/>
  <c r="J40" i="12"/>
  <c r="J48" i="12"/>
  <c r="J56" i="12"/>
  <c r="J64" i="12"/>
  <c r="J26" i="12"/>
  <c r="J13" i="12"/>
  <c r="J61" i="12"/>
  <c r="J22" i="12"/>
  <c r="J62" i="12"/>
  <c r="J15" i="12"/>
  <c r="J39" i="12"/>
  <c r="J47" i="12"/>
  <c r="J63" i="12"/>
  <c r="J9" i="12"/>
  <c r="J17" i="12"/>
  <c r="J25" i="12"/>
  <c r="J33" i="12"/>
  <c r="J41" i="12"/>
  <c r="J49" i="12"/>
  <c r="J57" i="12"/>
  <c r="J65" i="12"/>
  <c r="J18" i="12"/>
  <c r="J58" i="12"/>
  <c r="J21" i="12"/>
  <c r="J30" i="12"/>
  <c r="J31" i="12"/>
  <c r="J55" i="12"/>
  <c r="J10" i="12"/>
  <c r="J34" i="12"/>
  <c r="J42" i="12"/>
  <c r="J50" i="12"/>
  <c r="J66" i="12"/>
  <c r="J37" i="12"/>
  <c r="J6" i="12"/>
  <c r="J46" i="12"/>
  <c r="J23" i="12"/>
  <c r="J11" i="12"/>
  <c r="J19" i="12"/>
  <c r="J27" i="12"/>
  <c r="J35" i="12"/>
  <c r="J43" i="12"/>
  <c r="J51" i="12"/>
  <c r="J59" i="12"/>
  <c r="J67" i="12"/>
  <c r="J12" i="12"/>
  <c r="J20" i="12"/>
  <c r="J28" i="12"/>
  <c r="J36" i="12"/>
  <c r="J44" i="12"/>
  <c r="J52" i="12"/>
  <c r="J60" i="12"/>
  <c r="J29" i="12"/>
  <c r="J45" i="12"/>
  <c r="J53" i="12"/>
  <c r="J14" i="12"/>
  <c r="J38" i="12"/>
  <c r="J54" i="12"/>
  <c r="J7" i="12"/>
  <c r="J5" i="12"/>
  <c r="K40" i="13"/>
  <c r="M40" i="13" s="1"/>
  <c r="K32" i="13"/>
  <c r="M32" i="13" s="1"/>
  <c r="K24" i="13"/>
  <c r="M24" i="13" s="1"/>
  <c r="K16" i="13"/>
  <c r="M16" i="13" s="1"/>
  <c r="K8" i="13"/>
  <c r="M8" i="13" s="1"/>
  <c r="K18" i="13"/>
  <c r="M18" i="13" s="1"/>
  <c r="K41" i="13"/>
  <c r="M41" i="13" s="1"/>
  <c r="K39" i="13"/>
  <c r="M39" i="13" s="1"/>
  <c r="K31" i="13"/>
  <c r="M31" i="13" s="1"/>
  <c r="K23" i="13"/>
  <c r="M23" i="13" s="1"/>
  <c r="K15" i="13"/>
  <c r="M15" i="13" s="1"/>
  <c r="K7" i="13"/>
  <c r="M7" i="13" s="1"/>
  <c r="K33" i="13"/>
  <c r="M33" i="13" s="1"/>
  <c r="K46" i="13"/>
  <c r="M46" i="13" s="1"/>
  <c r="K38" i="13"/>
  <c r="M38" i="13" s="1"/>
  <c r="K30" i="13"/>
  <c r="M30" i="13" s="1"/>
  <c r="K22" i="13"/>
  <c r="M22" i="13" s="1"/>
  <c r="K14" i="13"/>
  <c r="M14" i="13" s="1"/>
  <c r="K6" i="13"/>
  <c r="M6" i="13" s="1"/>
  <c r="K34" i="13"/>
  <c r="M34" i="13" s="1"/>
  <c r="K9" i="13"/>
  <c r="M9" i="13" s="1"/>
  <c r="K45" i="13"/>
  <c r="M45" i="13" s="1"/>
  <c r="K37" i="13"/>
  <c r="M37" i="13" s="1"/>
  <c r="K29" i="13"/>
  <c r="M29" i="13" s="1"/>
  <c r="K21" i="13"/>
  <c r="M21" i="13" s="1"/>
  <c r="K13" i="13"/>
  <c r="M13" i="13" s="1"/>
  <c r="K44" i="13"/>
  <c r="M44" i="13" s="1"/>
  <c r="K36" i="13"/>
  <c r="M36" i="13" s="1"/>
  <c r="K28" i="13"/>
  <c r="M28" i="13" s="1"/>
  <c r="K20" i="13"/>
  <c r="M20" i="13" s="1"/>
  <c r="K12" i="13"/>
  <c r="M12" i="13" s="1"/>
  <c r="K26" i="13"/>
  <c r="M26" i="13" s="1"/>
  <c r="K25" i="13"/>
  <c r="M25" i="13" s="1"/>
  <c r="K43" i="13"/>
  <c r="M43" i="13" s="1"/>
  <c r="K35" i="13"/>
  <c r="M35" i="13" s="1"/>
  <c r="K27" i="13"/>
  <c r="M27" i="13" s="1"/>
  <c r="K19" i="13"/>
  <c r="M19" i="13" s="1"/>
  <c r="K11" i="13"/>
  <c r="M11" i="13" s="1"/>
  <c r="K42" i="13"/>
  <c r="M42" i="13" s="1"/>
  <c r="K10" i="13"/>
  <c r="M10" i="13" s="1"/>
  <c r="K17" i="13"/>
  <c r="M17" i="13" s="1"/>
  <c r="K5" i="11"/>
  <c r="K6" i="11"/>
  <c r="K14" i="11"/>
  <c r="K22" i="11"/>
  <c r="K30" i="11"/>
  <c r="K38" i="11"/>
  <c r="K46" i="11"/>
  <c r="K54" i="11"/>
  <c r="K62" i="11"/>
  <c r="K70" i="11"/>
  <c r="K78" i="11"/>
  <c r="K86" i="11"/>
  <c r="K94" i="11"/>
  <c r="K102" i="11"/>
  <c r="K110" i="11"/>
  <c r="K118" i="11"/>
  <c r="K126" i="11"/>
  <c r="K134" i="11"/>
  <c r="K142" i="11"/>
  <c r="K52" i="11"/>
  <c r="K76" i="11"/>
  <c r="K108" i="11"/>
  <c r="K7" i="11"/>
  <c r="K15" i="11"/>
  <c r="K23" i="11"/>
  <c r="K31" i="11"/>
  <c r="K39" i="11"/>
  <c r="K47" i="11"/>
  <c r="K55" i="11"/>
  <c r="K63" i="11"/>
  <c r="K71" i="11"/>
  <c r="K79" i="11"/>
  <c r="K87" i="11"/>
  <c r="K95" i="11"/>
  <c r="K103" i="11"/>
  <c r="K111" i="11"/>
  <c r="K119" i="11"/>
  <c r="K127" i="11"/>
  <c r="K135" i="11"/>
  <c r="K143" i="11"/>
  <c r="K60" i="11"/>
  <c r="K100" i="11"/>
  <c r="K8" i="11"/>
  <c r="K16" i="11"/>
  <c r="K24" i="11"/>
  <c r="K32" i="11"/>
  <c r="K40" i="11"/>
  <c r="K48" i="11"/>
  <c r="K56" i="11"/>
  <c r="K64" i="11"/>
  <c r="K72" i="11"/>
  <c r="K80" i="11"/>
  <c r="K88" i="11"/>
  <c r="K96" i="11"/>
  <c r="K104" i="11"/>
  <c r="K112" i="11"/>
  <c r="K120" i="11"/>
  <c r="K128" i="11"/>
  <c r="K136" i="11"/>
  <c r="K144" i="11"/>
  <c r="K12" i="11"/>
  <c r="K140" i="11"/>
  <c r="K9" i="11"/>
  <c r="K17" i="11"/>
  <c r="K25" i="11"/>
  <c r="K33" i="11"/>
  <c r="K41" i="11"/>
  <c r="K49" i="11"/>
  <c r="K57" i="11"/>
  <c r="K65" i="11"/>
  <c r="K73" i="11"/>
  <c r="K81" i="11"/>
  <c r="K89" i="11"/>
  <c r="K97" i="11"/>
  <c r="K105" i="11"/>
  <c r="K113" i="11"/>
  <c r="K121" i="11"/>
  <c r="K129" i="11"/>
  <c r="K137" i="11"/>
  <c r="K145" i="11"/>
  <c r="K44" i="11"/>
  <c r="K68" i="11"/>
  <c r="K92" i="11"/>
  <c r="K132" i="11"/>
  <c r="K10" i="11"/>
  <c r="K18" i="11"/>
  <c r="K26" i="11"/>
  <c r="K34" i="11"/>
  <c r="K42" i="11"/>
  <c r="K50" i="11"/>
  <c r="K58" i="11"/>
  <c r="K66" i="11"/>
  <c r="K74" i="11"/>
  <c r="K82" i="11"/>
  <c r="K90" i="11"/>
  <c r="K98" i="11"/>
  <c r="K106" i="11"/>
  <c r="K114" i="11"/>
  <c r="K122" i="11"/>
  <c r="K130" i="11"/>
  <c r="K138" i="11"/>
  <c r="K146" i="11"/>
  <c r="K28" i="11"/>
  <c r="K116" i="11"/>
  <c r="K11" i="11"/>
  <c r="K19" i="11"/>
  <c r="K27" i="11"/>
  <c r="K35" i="11"/>
  <c r="K43" i="11"/>
  <c r="K51" i="11"/>
  <c r="K59" i="11"/>
  <c r="K67" i="11"/>
  <c r="K75" i="11"/>
  <c r="K83" i="11"/>
  <c r="K91" i="11"/>
  <c r="K99" i="11"/>
  <c r="K107" i="11"/>
  <c r="K115" i="11"/>
  <c r="K123" i="11"/>
  <c r="K131" i="11"/>
  <c r="K139" i="11"/>
  <c r="K147" i="11"/>
  <c r="K20" i="11"/>
  <c r="K124" i="11"/>
  <c r="K13" i="11"/>
  <c r="K21" i="11"/>
  <c r="K29" i="11"/>
  <c r="K37" i="11"/>
  <c r="K45" i="11"/>
  <c r="K53" i="11"/>
  <c r="K61" i="11"/>
  <c r="K69" i="11"/>
  <c r="K77" i="11"/>
  <c r="K85" i="11"/>
  <c r="K93" i="11"/>
  <c r="K101" i="11"/>
  <c r="K109" i="11"/>
  <c r="K117" i="11"/>
  <c r="K125" i="11"/>
  <c r="K133" i="11"/>
  <c r="K141" i="11"/>
  <c r="K36" i="11"/>
  <c r="K84" i="11"/>
  <c r="K148" i="11"/>
  <c r="B13" i="10"/>
  <c r="AC6" i="10" a="1"/>
  <c r="AC782" i="10" a="1"/>
  <c r="AC8" i="10" a="1"/>
  <c r="AC575" i="10" a="1"/>
  <c r="AC216" i="10" a="1"/>
  <c r="AC80" i="10" a="1"/>
  <c r="AC7" i="10" a="1"/>
  <c r="AC619" i="10" a="1"/>
  <c r="AC377" i="10" a="1"/>
  <c r="AC11" i="10" a="1"/>
  <c r="AC394" i="10" a="1"/>
  <c r="AC704" i="10" a="1"/>
  <c r="AC489" i="10" a="1"/>
  <c r="AC15" i="10" a="1"/>
  <c r="AC13" i="10" a="1"/>
  <c r="AC312" i="10" a="1"/>
  <c r="AC469" i="10" a="1"/>
  <c r="AC786" i="10" a="1"/>
  <c r="AC773" i="10" a="1"/>
  <c r="AC62" i="10" a="1"/>
  <c r="AC27" i="10" a="1"/>
  <c r="AC21" i="10" a="1"/>
  <c r="AC664" i="10" a="1"/>
  <c r="AC175" i="10" a="1"/>
  <c r="AC479" i="10" a="1"/>
  <c r="AC809" i="10" a="1"/>
  <c r="AC668" i="10" a="1"/>
  <c r="AC590" i="10" a="1"/>
  <c r="AC568" i="10" a="1"/>
  <c r="AC490" i="10" a="1"/>
  <c r="AC536" i="10" a="1"/>
  <c r="AC791" i="10" a="1"/>
  <c r="AC629" i="10" a="1"/>
  <c r="AC49" i="10" a="1"/>
  <c r="AC16" i="10" a="1"/>
  <c r="AC193" i="10" a="1"/>
  <c r="AC628" i="10" a="1"/>
  <c r="AC379" i="10" a="1"/>
  <c r="AC832" i="10" a="1"/>
  <c r="AC23" i="10" a="1"/>
  <c r="AC26" i="10" a="1"/>
  <c r="AC253" i="10" a="1"/>
  <c r="AC17" i="10" a="1"/>
  <c r="AC810" i="10" a="1"/>
  <c r="AC14" i="10" a="1"/>
  <c r="AC488" i="10" a="1"/>
  <c r="AC92" i="10" a="1"/>
  <c r="AC99" i="10" a="1"/>
  <c r="AC9" i="10" a="1"/>
  <c r="AC18" i="10" a="1"/>
  <c r="AC768" i="10" a="1"/>
  <c r="AC176" i="10" a="1"/>
  <c r="AC205" i="10" a="1"/>
  <c r="AC25" i="10" a="1"/>
  <c r="AC22" i="10" a="1"/>
  <c r="AC350" i="10" a="1"/>
  <c r="AC5" i="10" a="1"/>
  <c r="AC350" i="10" l="1"/>
  <c r="AC22" i="10"/>
  <c r="AC25" i="10"/>
  <c r="AC205" i="10"/>
  <c r="AC176" i="10"/>
  <c r="AC768" i="10"/>
  <c r="AC18" i="10"/>
  <c r="AC9" i="10"/>
  <c r="AC99" i="10"/>
  <c r="AC92" i="10"/>
  <c r="AC488" i="10"/>
  <c r="AC14" i="10"/>
  <c r="AC810" i="10"/>
  <c r="AC17" i="10"/>
  <c r="AC253" i="10"/>
  <c r="AC26" i="10"/>
  <c r="AC23" i="10"/>
  <c r="AC832" i="10"/>
  <c r="AC379" i="10"/>
  <c r="AC628" i="10"/>
  <c r="AC193" i="10"/>
  <c r="AC16" i="10"/>
  <c r="AC49" i="10"/>
  <c r="AC629" i="10"/>
  <c r="AC791" i="10"/>
  <c r="AC536" i="10"/>
  <c r="AC490" i="10"/>
  <c r="AC568" i="10"/>
  <c r="AC590" i="10"/>
  <c r="AC668" i="10"/>
  <c r="AC809" i="10"/>
  <c r="AC479" i="10"/>
  <c r="AC175" i="10"/>
  <c r="AC664" i="10"/>
  <c r="AC21" i="10"/>
  <c r="AC27" i="10"/>
  <c r="AC62" i="10"/>
  <c r="AC773" i="10"/>
  <c r="AC786" i="10"/>
  <c r="AC469" i="10"/>
  <c r="AC312" i="10"/>
  <c r="AC13" i="10"/>
  <c r="AC15" i="10"/>
  <c r="AC489" i="10"/>
  <c r="AC704" i="10"/>
  <c r="AC394" i="10"/>
  <c r="AC11" i="10"/>
  <c r="AC377" i="10"/>
  <c r="AC619" i="10"/>
  <c r="AC7" i="10"/>
  <c r="AC80" i="10"/>
  <c r="AC216" i="10"/>
  <c r="AC575" i="10"/>
  <c r="AC8" i="10"/>
  <c r="AC782" i="10"/>
  <c r="AC6" i="10"/>
  <c r="AC5" i="10"/>
  <c r="B14" i="10"/>
  <c r="B15" i="10" s="1"/>
  <c r="B16" i="10" l="1"/>
  <c r="B17" i="10" s="1"/>
  <c r="B18" i="10" s="1"/>
  <c r="B19" i="10" s="1"/>
  <c r="B20" i="10" s="1"/>
  <c r="B21" i="10" s="1"/>
  <c r="B22" i="10" l="1"/>
  <c r="B23" i="10" s="1"/>
  <c r="B24" i="10" l="1"/>
  <c r="B25" i="10" s="1"/>
  <c r="B26" i="10" l="1"/>
  <c r="B27" i="10" s="1"/>
  <c r="B28" i="10" l="1"/>
  <c r="B29" i="10" l="1"/>
  <c r="B30" i="10" l="1"/>
  <c r="B31" i="10" s="1"/>
  <c r="B32" i="10" l="1"/>
  <c r="B33" i="10" s="1"/>
  <c r="B34" i="10" s="1"/>
  <c r="B35" i="10" s="1"/>
  <c r="B36" i="10" s="1"/>
  <c r="B37" i="10" l="1"/>
  <c r="B38" i="10" s="1"/>
  <c r="B39" i="10" s="1"/>
  <c r="B40" i="10" l="1"/>
  <c r="B41" i="10" l="1"/>
  <c r="B42" i="10" l="1"/>
  <c r="B43" i="10" l="1"/>
  <c r="B44" i="10" l="1"/>
  <c r="B45" i="10" s="1"/>
  <c r="B46" i="10" s="1"/>
  <c r="B47" i="10" s="1"/>
  <c r="B48" i="10" s="1"/>
  <c r="B49" i="10" s="1"/>
  <c r="B50" i="10" s="1"/>
  <c r="B51" i="10" l="1"/>
  <c r="B52" i="10" s="1"/>
  <c r="B53" i="10" s="1"/>
  <c r="B54" i="10" l="1"/>
  <c r="B55" i="10" s="1"/>
  <c r="B56" i="10" s="1"/>
  <c r="B57" i="10" s="1"/>
  <c r="B58" i="10" s="1"/>
  <c r="B59" i="10" s="1"/>
  <c r="B60" i="10" s="1"/>
  <c r="B61" i="10" s="1"/>
  <c r="B62" i="10" s="1"/>
  <c r="B63" i="10" l="1"/>
  <c r="B64" i="10" l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l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<sst xmlns="http://schemas.openxmlformats.org/spreadsheetml/2006/main" count="13863" uniqueCount="4229">
  <si>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</si>
  <si>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</si>
  <si>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</si>
  <si>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</si>
  <si>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</si>
  <si>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</si>
  <si>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</si>
  <si>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</si>
  <si>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</si>
  <si>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</si>
  <si>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</si>
  <si>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</si>
  <si>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</si>
  <si>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</si>
  <si>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</si>
  <si>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</si>
  <si>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</si>
  <si>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</si>
  <si>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</si>
  <si>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</si>
  <si>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</si>
  <si>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</si>
  <si>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</si>
  <si>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</si>
  <si>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</si>
  <si>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</si>
  <si>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</si>
  <si>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</si>
  <si>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</si>
  <si>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</si>
  <si>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</si>
  <si>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</si>
  <si>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</si>
  <si>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</si>
  <si>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</si>
  <si>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</si>
  <si>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</si>
  <si>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</si>
  <si>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</si>
  <si>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</si>
  <si>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</si>
  <si>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</si>
  <si>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</si>
  <si>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</si>
  <si>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</si>
  <si>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</si>
  <si>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</si>
  <si>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</si>
  <si>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</si>
  <si>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</si>
  <si>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</si>
  <si>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</si>
  <si>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</si>
  <si>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</si>
  <si>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</si>
  <si>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</si>
  <si>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</si>
  <si>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</si>
  <si>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</si>
  <si>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</si>
  <si>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</si>
  <si>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</si>
  <si>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</si>
  <si>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</si>
  <si>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</si>
  <si>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</si>
  <si>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</si>
  <si>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</si>
  <si>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</si>
  <si>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</si>
  <si>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</si>
  <si>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</si>
  <si>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</si>
  <si>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</si>
  <si>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</si>
  <si>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</si>
  <si>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</si>
  <si>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</si>
  <si>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</si>
  <si>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</si>
  <si>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</si>
  <si>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</si>
  <si>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</si>
  <si>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</si>
  <si>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</si>
  <si>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</si>
  <si>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</si>
  <si>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</si>
  <si>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</si>
  <si>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</si>
  <si>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</si>
  <si>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</si>
  <si>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</si>
  <si>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</si>
  <si>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</si>
  <si>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</si>
  <si>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</si>
  <si>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</si>
  <si>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</si>
  <si>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</si>
  <si>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</si>
  <si>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</si>
  <si>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</si>
  <si>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</si>
  <si>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</si>
  <si>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</si>
  <si>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</si>
  <si>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</si>
  <si>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</si>
  <si>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</si>
  <si>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</si>
  <si>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</si>
  <si>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</si>
  <si>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</si>
  <si>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</si>
  <si>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</si>
  <si>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</si>
  <si>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</si>
  <si>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</si>
  <si>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</si>
  <si>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</si>
  <si>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</si>
  <si>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</si>
  <si>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</si>
  <si>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</si>
  <si>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</si>
  <si>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</si>
  <si>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</si>
  <si>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</si>
  <si>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</si>
  <si>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</si>
  <si>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</si>
  <si>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</si>
  <si>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</si>
  <si>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</si>
  <si>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</si>
  <si>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</si>
  <si>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</si>
  <si>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</si>
  <si>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</si>
  <si>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</si>
  <si>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</si>
  <si>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</si>
  <si>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</si>
  <si>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</si>
  <si>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</si>
  <si>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</si>
  <si>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</si>
  <si>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</si>
  <si>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</si>
  <si>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</si>
  <si>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</si>
  <si>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</si>
  <si>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</si>
  <si>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</si>
  <si>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</si>
  <si>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</si>
  <si>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</si>
  <si>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</si>
  <si>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</si>
  <si>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</si>
  <si>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</si>
  <si>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</si>
  <si>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</si>
  <si>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</si>
  <si>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</si>
  <si>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</si>
  <si>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</si>
  <si>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</si>
  <si>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</si>
  <si>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</si>
  <si>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</si>
  <si>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</si>
  <si>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</si>
  <si>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</si>
  <si>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</si>
  <si>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</si>
  <si>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</si>
  <si>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</si>
  <si>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</si>
  <si>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</si>
  <si>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</si>
  <si>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</si>
  <si>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</si>
  <si>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</si>
  <si>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</si>
  <si>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</si>
  <si>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</si>
  <si>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</si>
  <si>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</si>
  <si>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</si>
  <si>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</si>
  <si>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</si>
  <si>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</si>
  <si>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</si>
  <si>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</si>
  <si>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</si>
  <si>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</si>
  <si>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</si>
  <si>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</si>
  <si>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</si>
  <si>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</si>
  <si>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</si>
  <si>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</si>
  <si>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</si>
  <si>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</si>
  <si>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</si>
  <si>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</si>
  <si>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</si>
  <si>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</si>
  <si>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</si>
  <si>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</si>
  <si>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</si>
  <si>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</si>
  <si>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</si>
  <si>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</si>
  <si>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</si>
  <si>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</si>
  <si>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</si>
  <si>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</si>
  <si>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</si>
  <si>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</si>
  <si>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</si>
  <si>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</si>
  <si>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</si>
  <si>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</si>
  <si>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</si>
  <si>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</si>
  <si>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</si>
  <si>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</si>
  <si>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</si>
  <si>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</si>
  <si>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</si>
  <si>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</si>
  <si>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</si>
  <si>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</si>
  <si>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</si>
  <si>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</si>
  <si>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</si>
  <si>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</si>
  <si>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</si>
  <si>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</si>
  <si>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</si>
  <si>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</si>
  <si>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</si>
  <si>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</si>
  <si>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</si>
  <si>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</si>
  <si>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</si>
  <si>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</si>
  <si>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</si>
  <si>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</si>
  <si>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</si>
  <si>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</si>
  <si>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</si>
  <si>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</si>
  <si>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</si>
  <si>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</si>
  <si>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</si>
  <si>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</si>
  <si>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</si>
  <si>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</si>
  <si>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</si>
  <si>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</si>
  <si>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</si>
  <si>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</si>
  <si>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</si>
  <si>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</si>
  <si>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</si>
  <si>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</si>
  <si>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</si>
  <si>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</si>
  <si>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</si>
  <si>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</si>
  <si>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</si>
  <si>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</si>
  <si>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</si>
  <si>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</si>
  <si>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</si>
  <si>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</si>
  <si>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</si>
  <si>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</si>
  <si>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</si>
  <si>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</si>
  <si>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</si>
  <si>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</si>
  <si>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</si>
  <si>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</si>
  <si>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</si>
  <si>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</si>
  <si>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</si>
  <si>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</si>
  <si>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</si>
  <si>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</si>
  <si>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</si>
  <si>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</si>
  <si>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</si>
  <si>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</si>
  <si>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</si>
  <si>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</si>
  <si>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</si>
  <si>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</si>
  <si>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</si>
  <si>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</si>
  <si>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</si>
  <si>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</si>
  <si>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</si>
  <si>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</si>
  <si>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</si>
  <si>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</si>
  <si>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</si>
  <si>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</si>
  <si>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</si>
  <si>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</si>
  <si>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</si>
  <si>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</si>
  <si>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</si>
  <si>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</si>
  <si>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</si>
  <si>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</si>
  <si>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</si>
  <si>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</si>
  <si>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</si>
  <si>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</si>
  <si>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</si>
  <si>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</si>
  <si>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</si>
  <si>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</si>
  <si>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</si>
  <si>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</si>
  <si>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</si>
  <si>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</si>
  <si>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</si>
  <si>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</si>
  <si>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</si>
  <si>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</si>
  <si>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</si>
  <si>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</si>
  <si>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</si>
  <si>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</si>
  <si>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</si>
  <si>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</si>
  <si>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</si>
  <si>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</si>
  <si>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</si>
  <si>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</si>
  <si>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</si>
  <si>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</si>
  <si>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</si>
  <si>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</si>
  <si>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</si>
  <si>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</si>
  <si>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</si>
  <si>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</si>
  <si>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</si>
  <si>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</si>
  <si>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</si>
  <si>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</si>
  <si>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</si>
  <si>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</si>
  <si>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</si>
  <si>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</si>
  <si>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</si>
  <si>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</si>
  <si>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</si>
  <si>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</si>
  <si>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</si>
  <si>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</si>
  <si>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</si>
  <si>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</si>
  <si>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</si>
  <si>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</si>
  <si>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</si>
  <si>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</si>
  <si>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</si>
  <si>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</si>
  <si>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</si>
  <si>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</si>
  <si>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</si>
  <si>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</si>
  <si>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</si>
  <si>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</si>
  <si>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</si>
  <si>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</si>
  <si>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</si>
  <si>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</si>
  <si>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</si>
  <si>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</si>
  <si>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</si>
  <si>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</si>
  <si>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</si>
  <si>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</si>
  <si>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</si>
  <si>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</si>
  <si>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</si>
  <si>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</si>
  <si>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</si>
  <si>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</si>
  <si>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</si>
  <si>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</si>
  <si>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</si>
  <si>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</si>
  <si>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</si>
  <si>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</si>
  <si>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</si>
  <si>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</si>
  <si>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</si>
  <si>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</si>
  <si>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</si>
  <si>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</si>
  <si>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</si>
  <si>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</si>
  <si>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</si>
  <si>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</si>
  <si>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</si>
  <si>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</si>
  <si>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</si>
  <si>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</si>
  <si>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</si>
  <si>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</si>
  <si>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</si>
  <si>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</si>
  <si>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</si>
  <si>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</si>
  <si>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</si>
  <si>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</si>
  <si>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</si>
  <si>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</si>
  <si>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</si>
  <si>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</si>
  <si>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</si>
  <si>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</si>
  <si>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</si>
  <si>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</si>
  <si>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</si>
  <si>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</si>
  <si>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</si>
  <si>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</si>
  <si>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</si>
  <si>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</si>
  <si>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</si>
  <si>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</si>
  <si>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</si>
  <si>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</si>
  <si>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</si>
  <si>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</si>
  <si>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</si>
  <si>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</si>
  <si>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</si>
  <si>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</si>
  <si>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</si>
  <si>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</si>
  <si>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</si>
  <si>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</si>
  <si>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</si>
  <si>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</si>
  <si>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</si>
  <si>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</si>
  <si>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</si>
  <si>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</si>
  <si>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</si>
  <si>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</si>
  <si>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</si>
  <si>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</si>
  <si>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</si>
  <si>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</si>
  <si>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</si>
  <si>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</si>
  <si>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</si>
  <si>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</si>
  <si>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</si>
  <si>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</si>
  <si>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</si>
  <si>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</si>
  <si>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</si>
  <si>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</si>
  <si>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</si>
  <si>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</si>
  <si>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</si>
  <si>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</si>
  <si>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</si>
  <si>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</si>
  <si>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</si>
  <si>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</si>
  <si>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</si>
  <si>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</si>
  <si>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</si>
  <si>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</si>
  <si>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</si>
  <si>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</si>
  <si>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</si>
  <si>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</si>
  <si>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</si>
  <si>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</si>
  <si>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</si>
  <si>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</si>
  <si>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</si>
  <si>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</si>
  <si>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</si>
  <si>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</si>
  <si>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</si>
  <si>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</si>
  <si>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</si>
  <si>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</si>
  <si>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</si>
  <si>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</si>
  <si>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</si>
  <si>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</si>
  <si>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</si>
  <si>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</si>
  <si>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</si>
  <si>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</si>
  <si>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</si>
  <si>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</si>
  <si>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</si>
  <si>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</si>
  <si>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</si>
  <si>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</si>
  <si>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</si>
  <si>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</si>
  <si>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</si>
  <si>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</si>
  <si>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</si>
  <si>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</si>
  <si>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</si>
  <si>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</si>
  <si>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</si>
  <si>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</si>
  <si>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</si>
  <si>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</si>
  <si>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</si>
  <si>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</si>
  <si>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</si>
  <si>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</si>
  <si>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</si>
  <si>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</si>
  <si>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</si>
  <si>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</si>
  <si>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</si>
  <si>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</si>
  <si>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</si>
  <si>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</si>
  <si>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</si>
  <si>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</si>
  <si>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</si>
  <si>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</si>
  <si>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</si>
  <si>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</si>
  <si>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</si>
  <si>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</si>
  <si>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</si>
  <si>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</si>
  <si>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</si>
  <si>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</si>
  <si>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</si>
  <si>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</si>
  <si>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</si>
  <si>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</si>
  <si>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</si>
  <si>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</si>
  <si>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</si>
  <si>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</si>
  <si>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</si>
  <si>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</si>
  <si>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</si>
  <si>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</si>
  <si>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</si>
  <si>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</si>
  <si>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</si>
  <si>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</si>
  <si>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</si>
  <si>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</si>
  <si>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</si>
  <si>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</si>
  <si>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</si>
  <si>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</si>
  <si>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</si>
  <si>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</si>
  <si>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</si>
  <si>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</si>
  <si>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</si>
  <si>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</si>
  <si>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</si>
  <si>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</si>
  <si>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</si>
  <si>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</si>
  <si>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</si>
  <si>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</si>
  <si>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</si>
  <si>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</si>
  <si>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</si>
  <si>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</si>
  <si>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</si>
  <si>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</si>
  <si>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</si>
  <si>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</si>
  <si>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</si>
  <si>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</si>
  <si>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</si>
  <si>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</si>
  <si>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</si>
  <si>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</si>
  <si>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</si>
  <si>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</si>
  <si>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</si>
  <si>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</si>
  <si>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</si>
  <si>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</si>
  <si>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</si>
  <si>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</si>
  <si>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</si>
  <si>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</si>
  <si>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</si>
  <si>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</si>
  <si>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</si>
  <si>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</si>
  <si>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</si>
  <si>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</si>
  <si>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</si>
  <si>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</si>
  <si>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</si>
  <si>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</si>
  <si>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</si>
  <si>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</si>
  <si>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</si>
  <si>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</si>
  <si>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</si>
  <si>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</si>
  <si>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</si>
  <si>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</si>
  <si>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</si>
  <si>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</si>
  <si>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</si>
  <si>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</si>
  <si>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</si>
  <si>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</si>
  <si>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</si>
  <si>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</si>
  <si>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</si>
  <si>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</si>
  <si>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</si>
  <si>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</si>
  <si>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</si>
  <si>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</si>
  <si>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</si>
  <si>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</si>
  <si>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</si>
  <si>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</si>
  <si>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</si>
  <si>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</si>
  <si>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</si>
  <si>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</si>
  <si>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</si>
  <si>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</si>
  <si>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</si>
  <si>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</si>
  <si>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</si>
  <si>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</si>
  <si>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</si>
  <si>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</si>
  <si>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</si>
  <si>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</si>
  <si>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</si>
  <si>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</si>
  <si>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</si>
  <si>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</si>
  <si>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</si>
  <si>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</si>
  <si>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</si>
  <si>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</si>
  <si>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</si>
  <si>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</si>
  <si>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</si>
  <si>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</si>
  <si>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</si>
  <si>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</si>
  <si>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</si>
  <si>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</si>
  <si>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</si>
  <si>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</si>
  <si>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</si>
  <si>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</si>
  <si>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</si>
  <si>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</si>
  <si>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</si>
  <si>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</si>
  <si>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</si>
  <si>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</si>
  <si>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</si>
  <si>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</si>
  <si>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</si>
  <si>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</si>
  <si>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</si>
  <si>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</si>
  <si>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</si>
  <si>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</si>
  <si>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</si>
  <si>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</si>
  <si>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</si>
  <si>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</si>
  <si>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</si>
  <si>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</si>
  <si>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</si>
  <si>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</si>
  <si>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</si>
  <si>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</si>
  <si>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</si>
  <si>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</si>
  <si>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</si>
  <si>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</si>
  <si>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</si>
  <si>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</si>
  <si>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</si>
  <si>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</si>
  <si>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</si>
  <si>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</si>
  <si>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</si>
  <si>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</si>
  <si>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</si>
  <si>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</si>
  <si>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</si>
  <si>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</si>
  <si>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</si>
  <si>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</si>
  <si>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</si>
  <si>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</si>
  <si>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</si>
  <si>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</si>
  <si>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</si>
  <si>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</si>
  <si>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</si>
  <si>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</si>
  <si>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</si>
  <si>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</si>
  <si>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</si>
  <si>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</si>
  <si>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</si>
  <si>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</si>
  <si>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</si>
  <si>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</si>
  <si>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</si>
  <si>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</si>
  <si>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</si>
  <si>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</si>
  <si>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</si>
  <si>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</si>
  <si>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</si>
  <si>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</si>
  <si>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</si>
  <si>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</si>
  <si>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</si>
  <si>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</si>
  <si>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</si>
  <si>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</si>
  <si>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</si>
  <si>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</si>
  <si>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</si>
  <si>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</si>
  <si>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</si>
  <si>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</si>
  <si>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</si>
  <si>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</si>
  <si>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</si>
  <si>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</si>
  <si>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</si>
  <si>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</si>
  <si>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</si>
  <si>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</si>
  <si>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</si>
  <si>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</si>
  <si>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</si>
  <si>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</si>
  <si>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</si>
  <si>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</si>
  <si>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</si>
  <si>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</si>
  <si>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</si>
  <si>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</si>
  <si>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</si>
  <si>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</si>
  <si>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</si>
  <si>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</si>
  <si>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</si>
  <si>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</si>
  <si>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</si>
  <si>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</si>
  <si>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</si>
  <si>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</si>
  <si>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</si>
  <si>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</si>
  <si>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</si>
  <si>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</si>
  <si>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</si>
  <si>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</si>
  <si>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</si>
  <si>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</si>
  <si>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</si>
  <si>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</si>
  <si>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</si>
  <si>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</si>
  <si>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</si>
  <si>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</si>
  <si>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</si>
  <si>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</si>
  <si>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</si>
  <si>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</si>
  <si>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</si>
  <si>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</si>
  <si>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</si>
  <si>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</si>
  <si>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</si>
  <si>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</si>
  <si>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</si>
  <si>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</si>
  <si>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</si>
  <si>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</si>
  <si>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</si>
  <si>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</si>
  <si>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</si>
  <si>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</si>
  <si>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</si>
  <si>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</si>
  <si>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</si>
  <si>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</si>
  <si>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</si>
  <si>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</si>
  <si>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</si>
  <si>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</si>
  <si>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</si>
  <si>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</si>
  <si>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</si>
  <si>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</si>
  <si>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</si>
  <si>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</si>
  <si>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</si>
  <si>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</si>
  <si>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</si>
  <si>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</si>
  <si>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</si>
  <si>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</si>
  <si>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</si>
  <si>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</si>
  <si>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</si>
  <si>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</si>
  <si>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</si>
  <si>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</si>
  <si>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</si>
  <si>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</si>
  <si>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</si>
  <si>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</si>
  <si>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</si>
  <si>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</si>
  <si>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</si>
  <si>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</si>
  <si>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</si>
  <si>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</si>
  <si>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</si>
  <si>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</si>
  <si>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</si>
  <si>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</si>
  <si>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</si>
  <si>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</si>
  <si>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</si>
  <si>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</si>
  <si>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</si>
  <si>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</si>
  <si>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</si>
  <si>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</si>
  <si>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</si>
  <si>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</si>
  <si>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</si>
  <si>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</si>
  <si>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</si>
  <si>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</si>
  <si>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</si>
  <si>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</si>
  <si>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</si>
  <si>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</si>
  <si>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</si>
  <si>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</si>
  <si>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</si>
  <si>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</si>
  <si>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</si>
  <si>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</si>
  <si>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</si>
  <si>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</si>
  <si>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</si>
  <si>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</si>
  <si>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</si>
  <si>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</si>
  <si>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</si>
  <si>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</si>
  <si>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</si>
  <si>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</si>
  <si>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</si>
  <si>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</si>
  <si>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</si>
  <si>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</si>
  <si>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</si>
  <si>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</si>
  <si>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</si>
  <si>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</si>
  <si>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</si>
  <si>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</si>
  <si>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</si>
  <si>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</si>
  <si>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</si>
  <si>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</si>
  <si>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</si>
  <si>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</si>
  <si>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</si>
  <si>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</si>
  <si>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</si>
  <si>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</si>
  <si>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</si>
  <si>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</si>
  <si>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</si>
  <si>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</si>
  <si>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</si>
  <si>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</si>
  <si>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</si>
  <si>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</si>
  <si>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</si>
  <si>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</si>
  <si>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</si>
  <si>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</si>
  <si>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</si>
  <si>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</si>
  <si>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</si>
  <si>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</si>
  <si>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</si>
  <si>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</si>
  <si>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</si>
  <si>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</si>
  <si>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</si>
  <si>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</si>
  <si>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</si>
  <si>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</si>
  <si>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</si>
  <si>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</si>
  <si>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</si>
  <si>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</si>
  <si>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</si>
  <si>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</si>
  <si>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</si>
  <si>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</si>
  <si>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</si>
  <si>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</si>
  <si>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</si>
  <si>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</si>
  <si>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</si>
  <si>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</si>
  <si>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</si>
  <si>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</si>
  <si>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</si>
  <si>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</si>
  <si>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</si>
  <si>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</si>
  <si>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</si>
  <si>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</si>
  <si>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</si>
  <si>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</si>
  <si>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</si>
  <si>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</si>
  <si>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</si>
  <si>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</si>
  <si>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</si>
  <si>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</si>
  <si>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</si>
  <si>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</si>
  <si>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</si>
  <si>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</si>
  <si>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</si>
  <si>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</si>
  <si>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</si>
  <si>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</si>
  <si>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</si>
  <si>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</si>
  <si>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</si>
  <si>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</si>
  <si>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</si>
  <si>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</si>
  <si>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</si>
  <si>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</si>
  <si>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</si>
  <si>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</si>
  <si>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</si>
  <si>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</si>
  <si>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</si>
  <si>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</si>
  <si>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</si>
  <si>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</si>
  <si>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</si>
  <si>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</si>
  <si>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</si>
  <si>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</si>
  <si>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</si>
  <si>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</si>
  <si>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</si>
  <si>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</si>
  <si>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</si>
  <si>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</si>
  <si>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</si>
  <si>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</si>
  <si>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</si>
  <si>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</si>
  <si>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</si>
  <si>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</si>
  <si>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</si>
  <si>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</si>
  <si>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</si>
  <si>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</si>
  <si>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</si>
  <si>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</si>
  <si>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</si>
  <si>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</si>
  <si>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</si>
  <si>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</si>
  <si>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</si>
  <si>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</si>
  <si>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</si>
  <si>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</si>
  <si>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</si>
  <si>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</si>
  <si>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</si>
  <si>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</si>
  <si>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</si>
  <si>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</si>
  <si>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</si>
  <si>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</si>
  <si>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</si>
  <si>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</si>
  <si>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</si>
  <si>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</si>
  <si>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</si>
  <si>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</si>
  <si>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</si>
  <si>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</si>
  <si>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</si>
  <si>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</si>
  <si>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</si>
  <si>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</si>
  <si>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</si>
  <si>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</si>
  <si>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</si>
  <si>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</si>
  <si>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</si>
  <si>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</si>
  <si>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</si>
  <si>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</si>
  <si>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</si>
  <si>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</si>
  <si>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</si>
  <si>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</si>
  <si>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</si>
  <si>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</si>
  <si>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</si>
  <si>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</si>
  <si>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</si>
  <si>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</si>
  <si>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</si>
  <si>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</si>
  <si>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</si>
  <si>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</si>
  <si>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</si>
  <si>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</si>
  <si>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</si>
  <si>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</si>
  <si>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</si>
  <si>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</si>
  <si>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</si>
  <si>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</si>
  <si>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</si>
  <si>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</si>
  <si>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</si>
  <si>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</si>
  <si>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</si>
  <si>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</si>
  <si>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</si>
  <si>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</si>
  <si>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</si>
  <si>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</si>
  <si>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</si>
  <si>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</si>
  <si>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</si>
  <si>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</si>
  <si>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</si>
  <si>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</si>
  <si>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</si>
  <si>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</si>
  <si>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</si>
  <si>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</si>
  <si>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</si>
  <si>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</si>
  <si>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</si>
  <si>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</si>
  <si>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</si>
  <si>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</si>
  <si>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</si>
  <si>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</si>
  <si>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</si>
  <si>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</si>
  <si>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</si>
  <si>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</si>
  <si>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</si>
  <si>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</si>
  <si>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</si>
  <si>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</si>
  <si>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</si>
  <si>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</si>
  <si>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</si>
  <si>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</si>
  <si>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</si>
  <si>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</si>
  <si>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</si>
  <si>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</si>
  <si>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</si>
  <si>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</si>
  <si>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</si>
  <si>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</si>
  <si>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</si>
  <si>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</si>
  <si>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</si>
  <si>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</si>
  <si>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</si>
  <si>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</si>
  <si>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</si>
  <si>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</si>
  <si>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</si>
  <si>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</si>
  <si>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</si>
  <si>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</si>
  <si>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</si>
  <si>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</si>
  <si>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</si>
  <si>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</si>
  <si>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</si>
  <si>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</si>
  <si>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</si>
  <si>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</si>
  <si>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</si>
  <si>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</si>
  <si>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</si>
  <si>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</si>
  <si>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</si>
  <si>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</si>
  <si>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</si>
  <si>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</si>
  <si>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</si>
  <si>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</si>
  <si>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</si>
  <si>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</si>
  <si>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</si>
  <si>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</si>
  <si>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</si>
  <si>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</si>
  <si>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</si>
  <si>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</si>
  <si>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</si>
  <si>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</si>
  <si>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</si>
  <si>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</si>
  <si>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</si>
  <si>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</si>
  <si>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</si>
  <si>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</si>
  <si>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</si>
  <si>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</si>
  <si>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</si>
  <si>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</si>
  <si>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</si>
  <si>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</si>
  <si>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</si>
  <si>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</si>
  <si>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</si>
  <si>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</si>
  <si>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</si>
  <si>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</si>
  <si>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</si>
  <si>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</si>
  <si>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</si>
  <si>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</si>
  <si>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</si>
  <si>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</si>
  <si>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</si>
  <si>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</si>
  <si>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</si>
  <si>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</si>
  <si>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</si>
  <si>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</si>
  <si>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</si>
  <si>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</si>
  <si>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</si>
  <si>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</si>
  <si>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</si>
  <si>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</si>
  <si>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</si>
  <si>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</si>
  <si>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</si>
  <si>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</si>
  <si>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</si>
  <si>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</si>
  <si>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</si>
  <si>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</si>
  <si>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</si>
  <si>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</si>
  <si>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</si>
  <si>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</si>
  <si>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</si>
  <si>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</si>
  <si>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</si>
  <si>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</si>
  <si>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</si>
  <si>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</si>
  <si>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</si>
  <si>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</si>
  <si>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</si>
  <si>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</si>
  <si>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</si>
  <si>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</si>
  <si>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</si>
  <si>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</si>
  <si>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</si>
  <si>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</si>
  <si>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</si>
  <si>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</si>
  <si>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</si>
  <si>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</si>
  <si>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</si>
  <si>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</si>
  <si>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</si>
  <si>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</si>
  <si>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</si>
  <si>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</si>
  <si>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</si>
  <si>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</si>
  <si>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</si>
  <si>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</si>
  <si>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</si>
  <si>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</si>
  <si>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</si>
  <si>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</si>
  <si>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</si>
  <si>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</si>
  <si>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</si>
  <si>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</si>
  <si>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</si>
  <si>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</si>
  <si>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</si>
  <si>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</si>
  <si>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</si>
  <si>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</si>
  <si>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</si>
  <si>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</si>
  <si>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</si>
  <si>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</si>
  <si>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</si>
  <si>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</si>
  <si>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</si>
  <si>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</si>
  <si>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</si>
  <si>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</si>
  <si>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</si>
  <si>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</si>
  <si>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</si>
  <si>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</si>
  <si>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</si>
  <si>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</si>
  <si>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</si>
  <si>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</si>
  <si>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</si>
  <si>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</si>
  <si>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</si>
  <si>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</si>
  <si>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</si>
  <si>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</si>
  <si>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</si>
  <si>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</si>
  <si>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</si>
  <si>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</si>
  <si>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</si>
  <si>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</si>
  <si>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</si>
  <si>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</si>
  <si>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</si>
  <si>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</si>
  <si>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</si>
  <si>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</si>
  <si>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</si>
  <si>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</si>
  <si>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</si>
  <si>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</si>
  <si>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</si>
  <si>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</si>
  <si>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</si>
  <si>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</si>
  <si>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</si>
  <si>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</si>
  <si>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</si>
  <si>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</si>
  <si>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</si>
  <si>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</si>
  <si>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</si>
  <si>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</si>
  <si>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</si>
  <si>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</si>
  <si>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</si>
  <si>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</si>
  <si>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</si>
  <si>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</si>
  <si>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</si>
  <si>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</si>
  <si>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</si>
  <si>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</si>
  <si>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</si>
  <si>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</si>
  <si>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</si>
  <si>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</si>
  <si>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</si>
  <si>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</si>
  <si>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</si>
  <si>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</si>
  <si>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</si>
  <si>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</si>
  <si>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</si>
  <si>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</si>
  <si>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</si>
  <si>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</si>
  <si>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</si>
  <si>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</si>
  <si>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</si>
  <si>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</si>
  <si>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</si>
  <si>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</si>
  <si>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</si>
  <si>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</si>
  <si>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</si>
  <si>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</si>
  <si>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</si>
  <si>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</si>
  <si>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</si>
  <si>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</si>
  <si>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</si>
  <si>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</si>
  <si>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</si>
  <si>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</si>
  <si>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</si>
  <si>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</si>
  <si>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</si>
  <si>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</si>
  <si>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</si>
  <si>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</si>
  <si>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</si>
  <si>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</si>
  <si>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</si>
  <si>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</si>
  <si>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</si>
  <si>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</si>
  <si>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</si>
  <si>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</si>
  <si>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</si>
  <si>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</si>
  <si>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</si>
  <si>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</si>
  <si>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</si>
  <si>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</si>
  <si>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</si>
  <si>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</si>
  <si>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</si>
  <si>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</si>
  <si>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</si>
  <si>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</si>
  <si>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</si>
  <si>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</si>
  <si>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</si>
  <si>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</si>
  <si>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</si>
  <si>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</si>
  <si>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</si>
  <si>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</si>
  <si>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</si>
  <si>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</si>
  <si>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</si>
  <si>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</si>
  <si>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</si>
  <si>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</si>
  <si>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</si>
  <si>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</si>
  <si>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</si>
  <si>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</si>
  <si>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</si>
  <si>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</si>
  <si>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</si>
  <si>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</si>
  <si>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</si>
  <si>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</si>
  <si>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</si>
  <si>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</si>
  <si>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</si>
  <si>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</si>
  <si>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</si>
  <si>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</si>
  <si>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</si>
  <si>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</si>
  <si>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</si>
  <si>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</si>
  <si>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</si>
  <si>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</si>
  <si>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</si>
  <si>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</si>
  <si>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</si>
  <si>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</si>
  <si>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</si>
  <si>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</si>
  <si>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</si>
  <si>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</si>
  <si>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</si>
  <si>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</si>
  <si>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</si>
  <si>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</si>
  <si>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</si>
  <si>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</si>
  <si>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</si>
  <si>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</si>
  <si>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</si>
  <si>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</si>
  <si>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</si>
  <si>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</si>
  <si>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</si>
  <si>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</si>
  <si>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</si>
  <si>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</si>
  <si>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</si>
  <si>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</si>
  <si>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</si>
  <si>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</si>
  <si>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</si>
  <si>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</si>
  <si>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</si>
  <si>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</si>
  <si>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</si>
  <si>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</si>
  <si>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</si>
  <si>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</si>
  <si>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</si>
  <si>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</si>
  <si>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</si>
  <si>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</si>
  <si>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</si>
  <si>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</si>
  <si>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</si>
  <si>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</si>
  <si>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</si>
  <si>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</si>
  <si>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</si>
  <si>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</si>
  <si>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</si>
  <si>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</si>
  <si>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</si>
  <si>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</si>
  <si>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</si>
  <si>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</si>
  <si>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</si>
  <si>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</si>
  <si>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</si>
  <si>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</si>
  <si>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</si>
  <si>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</si>
  <si>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</si>
  <si>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</si>
  <si>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</si>
  <si>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</si>
  <si>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</si>
  <si>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</si>
  <si>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</si>
  <si>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</si>
  <si>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</si>
  <si>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</si>
  <si>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</si>
  <si>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</si>
  <si>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</si>
  <si>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</si>
  <si>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</si>
  <si>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</si>
  <si>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</si>
  <si>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</si>
  <si>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</si>
  <si>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</si>
  <si>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</si>
  <si>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</si>
  <si>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</si>
  <si>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</si>
  <si>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</si>
  <si>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</si>
  <si>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</si>
  <si>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</si>
  <si>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</si>
  <si>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</si>
  <si>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</si>
  <si>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</si>
  <si>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</si>
  <si>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</si>
  <si>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</si>
  <si>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</si>
  <si>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</si>
  <si>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</si>
  <si>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</si>
  <si>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</si>
  <si>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</si>
  <si>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</si>
  <si>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</si>
  <si>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</si>
  <si>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</si>
  <si>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</si>
  <si>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</si>
  <si>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</si>
  <si>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</si>
  <si>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</si>
  <si>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</si>
  <si>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</si>
  <si>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</si>
  <si>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</si>
  <si>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</si>
  <si>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</si>
  <si>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</si>
  <si>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</si>
  <si>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</si>
  <si>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</si>
  <si>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</si>
  <si>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</si>
  <si>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</si>
  <si>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</si>
  <si>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</si>
  <si>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</si>
  <si>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</si>
  <si>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</si>
  <si>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</si>
  <si>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</si>
  <si>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</si>
  <si>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</si>
  <si>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</si>
  <si>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</si>
  <si>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</si>
  <si>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</si>
  <si>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</si>
  <si>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</si>
  <si>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</si>
  <si>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</si>
  <si>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</si>
  <si>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</si>
  <si>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</si>
  <si>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</si>
  <si>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</si>
  <si>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</si>
  <si>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</si>
  <si>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</si>
  <si>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</si>
  <si>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</si>
  <si>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</si>
  <si>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</si>
  <si>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</si>
  <si>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</si>
  <si>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</si>
  <si>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</si>
  <si>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</si>
  <si>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</si>
  <si>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</si>
  <si>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</si>
  <si>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</si>
  <si>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</si>
  <si>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</si>
  <si>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</si>
  <si>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</si>
  <si>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</si>
  <si>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</si>
  <si>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</si>
  <si>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</si>
  <si>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</si>
  <si>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</si>
  <si>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</si>
  <si>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</si>
  <si>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</si>
  <si>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</si>
  <si>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</si>
  <si>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</si>
  <si>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</si>
  <si>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</si>
  <si>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</si>
  <si>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</si>
  <si>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</si>
  <si>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</si>
  <si>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</si>
  <si>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</si>
  <si>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</si>
  <si>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</si>
  <si>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</si>
  <si>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</si>
  <si>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</si>
  <si>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</si>
  <si>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</si>
  <si>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</si>
  <si>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</si>
  <si>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</si>
  <si>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</si>
  <si>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</si>
  <si>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</si>
  <si>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</si>
  <si>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</si>
  <si>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</si>
  <si>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</si>
  <si>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</si>
  <si>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</si>
  <si>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</si>
  <si>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</si>
  <si>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</si>
  <si>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</si>
  <si>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</si>
  <si>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</si>
  <si>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</si>
  <si>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</si>
  <si>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</si>
  <si>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</si>
  <si>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</si>
  <si>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</si>
  <si>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</si>
  <si>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</si>
  <si>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</si>
  <si>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</si>
  <si>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</si>
  <si>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</si>
  <si>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</si>
  <si>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</si>
  <si>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</si>
  <si>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</si>
  <si>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</si>
  <si>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</si>
  <si>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</si>
  <si>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</si>
  <si>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</si>
  <si>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</si>
  <si>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</si>
  <si>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</si>
  <si>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</si>
  <si>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</si>
  <si>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</si>
  <si>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</si>
  <si>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</si>
  <si>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</si>
  <si>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</si>
  <si>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</si>
  <si>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</si>
  <si>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</si>
  <si>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</si>
  <si>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</si>
  <si>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</si>
  <si>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</si>
  <si>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</si>
  <si>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</si>
  <si>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</si>
  <si>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</si>
  <si>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</si>
  <si>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</si>
  <si>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</si>
  <si>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</si>
  <si>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</si>
  <si>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</si>
  <si>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</si>
  <si>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</si>
  <si>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</si>
  <si>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</si>
  <si>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</si>
  <si>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</si>
  <si>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</si>
  <si>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</si>
  <si>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</si>
  <si>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</si>
  <si>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</si>
  <si>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</si>
  <si>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</si>
  <si>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</si>
  <si>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</si>
  <si>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</si>
  <si>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</si>
  <si>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</si>
  <si>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</si>
  <si>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</si>
  <si>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</si>
  <si>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</si>
  <si>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</si>
  <si>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</si>
  <si>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</si>
  <si>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</si>
  <si>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</si>
  <si>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</si>
  <si>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</si>
  <si>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</si>
  <si>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</si>
  <si>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</si>
  <si>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</si>
  <si>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</si>
  <si>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</si>
  <si>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</si>
  <si>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</si>
  <si>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</si>
  <si>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</si>
  <si>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</si>
  <si>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</si>
  <si>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</si>
  <si>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</si>
  <si>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</si>
  <si>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</si>
  <si>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</si>
  <si>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</si>
  <si>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</si>
  <si>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</si>
  <si>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</si>
  <si>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</si>
  <si>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</si>
  <si>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</si>
  <si>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</si>
  <si>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</si>
  <si>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</si>
  <si>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</si>
  <si>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</si>
  <si>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</si>
  <si>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</si>
  <si>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</si>
  <si>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</si>
  <si>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</si>
  <si>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</si>
  <si>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</si>
  <si>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</si>
  <si>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</si>
  <si>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</si>
  <si>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</si>
  <si>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</si>
  <si>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</si>
  <si>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</si>
  <si>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</si>
  <si>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</si>
  <si>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</si>
  <si>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</si>
  <si>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</si>
  <si>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</si>
  <si>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</si>
  <si>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</si>
  <si>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</si>
  <si>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</si>
  <si>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</si>
  <si>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</si>
  <si>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</si>
  <si>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</si>
  <si>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</si>
  <si>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</si>
  <si>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</si>
  <si>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</si>
  <si>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</si>
  <si>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</si>
  <si>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</si>
  <si>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</si>
  <si>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</si>
  <si>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</si>
  <si>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</si>
  <si>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</si>
  <si>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</si>
  <si>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</si>
  <si>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</si>
  <si>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</si>
  <si>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</si>
  <si>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</si>
  <si>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</si>
  <si>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</si>
  <si>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</si>
  <si>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</si>
  <si>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</si>
  <si>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</si>
  <si>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</si>
  <si>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</si>
  <si>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</si>
  <si>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</si>
  <si>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</si>
  <si>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</si>
  <si>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</si>
  <si>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</si>
  <si>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</si>
  <si>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</si>
  <si>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</si>
  <si>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</si>
  <si>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</si>
  <si>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</si>
  <si>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</si>
  <si>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</si>
  <si>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</si>
  <si>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</si>
  <si>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</si>
  <si>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</si>
  <si>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</si>
  <si>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</si>
  <si>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</si>
  <si>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</si>
  <si>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</si>
  <si>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</si>
  <si>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</si>
  <si>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</si>
  <si>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</si>
  <si>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</si>
  <si>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</si>
  <si>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</si>
  <si>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</si>
  <si>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</si>
  <si>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</si>
  <si>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</si>
  <si>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</si>
  <si>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</si>
  <si>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</si>
  <si>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</si>
  <si>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</si>
  <si>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</si>
  <si>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</si>
  <si>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</si>
  <si>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</si>
  <si>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</si>
  <si>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</si>
  <si>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</si>
  <si>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</si>
  <si>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</si>
  <si>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</si>
  <si>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</si>
  <si>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</si>
  <si>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</si>
  <si>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</si>
  <si>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</si>
  <si>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</si>
  <si>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</si>
  <si>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</si>
  <si>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</si>
  <si>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</si>
  <si>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</si>
  <si>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</si>
  <si>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</si>
  <si>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</si>
  <si>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</si>
  <si>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</si>
  <si>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</si>
  <si>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</si>
  <si>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</si>
  <si>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</si>
  <si>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</si>
  <si>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</si>
  <si>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</si>
  <si>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</si>
  <si>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</si>
  <si>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</si>
  <si>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</si>
  <si>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</si>
  <si>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</si>
  <si>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</si>
  <si>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</si>
  <si>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</si>
  <si>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</si>
  <si>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</si>
  <si>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</si>
  <si>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</si>
  <si>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</si>
  <si>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</si>
  <si>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</si>
  <si>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</si>
  <si>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</si>
  <si>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</si>
  <si>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</si>
  <si>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</si>
  <si>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</si>
  <si>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</si>
  <si>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</si>
  <si>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</si>
  <si>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</si>
  <si>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</si>
  <si>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</si>
  <si>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</si>
  <si>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</si>
  <si>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</si>
  <si>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</si>
  <si>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</si>
  <si>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</si>
  <si>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</si>
  <si>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</si>
  <si>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</si>
  <si>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</si>
  <si>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</si>
  <si>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</si>
  <si>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</si>
  <si>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</si>
  <si>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</si>
  <si>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</si>
  <si>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</si>
  <si>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</si>
  <si>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</si>
  <si>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</si>
  <si>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</si>
  <si>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</si>
  <si>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</si>
  <si>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</si>
  <si>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</si>
  <si>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</si>
  <si>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</si>
  <si>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</si>
  <si>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</si>
  <si>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</si>
  <si>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</si>
  <si>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</si>
  <si>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</si>
  <si>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</si>
  <si>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</si>
  <si>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</si>
  <si>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</si>
  <si>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</si>
  <si>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</si>
  <si>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</si>
  <si>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</si>
  <si>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</si>
  <si>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</si>
  <si>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</si>
  <si>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</si>
  <si>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</si>
  <si>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</si>
  <si>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</si>
  <si>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</si>
  <si>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</si>
  <si>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</si>
  <si>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</si>
  <si>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</si>
  <si>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</si>
  <si>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</si>
  <si>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</si>
  <si>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</si>
  <si>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</si>
  <si>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</si>
  <si>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</si>
  <si>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</si>
  <si>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</si>
  <si>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</si>
  <si>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</si>
  <si>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</si>
  <si>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</si>
  <si>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</si>
  <si>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</si>
  <si>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</si>
  <si>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</si>
  <si>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</si>
  <si>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</si>
  <si>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</si>
  <si>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</si>
  <si>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</si>
  <si>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</si>
  <si>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</si>
  <si>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</si>
  <si>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</si>
  <si>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</si>
  <si>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</si>
  <si>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</si>
  <si>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</si>
  <si>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</si>
  <si>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</si>
  <si>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</si>
  <si>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</si>
  <si>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</si>
  <si>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</si>
  <si>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</si>
  <si>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</si>
  <si>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</si>
  <si>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</si>
  <si>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</si>
  <si>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</si>
  <si>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</si>
  <si>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</si>
  <si>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</si>
  <si>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</si>
  <si>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</si>
  <si>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</si>
  <si>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</si>
  <si>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</si>
  <si>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</si>
  <si>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</si>
  <si>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</si>
  <si>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</si>
  <si>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</si>
  <si>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</si>
  <si>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</si>
  <si>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</si>
  <si>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</si>
  <si>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</si>
  <si>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</si>
  <si>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</si>
  <si>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</si>
  <si>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</si>
  <si>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</si>
  <si>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</si>
  <si>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</si>
  <si>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</si>
  <si>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</si>
  <si>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</si>
  <si>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</si>
  <si>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</si>
  <si>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</si>
  <si>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</si>
  <si>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</si>
  <si>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</si>
  <si>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</si>
  <si>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</si>
  <si>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</si>
  <si>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</si>
  <si>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</si>
  <si>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</si>
  <si>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</si>
  <si>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</si>
  <si>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</si>
  <si>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</si>
  <si>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</si>
  <si>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</si>
  <si>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</si>
  <si>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</si>
  <si>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</si>
  <si>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</si>
  <si>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</si>
  <si>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</si>
  <si>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</si>
  <si>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</si>
  <si>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</si>
  <si>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</si>
  <si>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</si>
  <si>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</si>
  <si>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</si>
  <si>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</si>
  <si>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</si>
  <si>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</si>
  <si>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</si>
  <si>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</si>
  <si>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</si>
  <si>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</si>
  <si>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</si>
  <si>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</si>
  <si>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</si>
  <si>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</si>
  <si>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</si>
  <si>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</si>
  <si>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</si>
  <si>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</si>
  <si>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</si>
  <si>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</si>
  <si>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</si>
  <si>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</si>
  <si>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</si>
  <si>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</si>
  <si>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</si>
  <si>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</si>
  <si>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</si>
  <si>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</si>
  <si>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</si>
  <si>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</si>
  <si>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</si>
  <si>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</si>
  <si>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</si>
  <si>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</si>
  <si>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</si>
  <si>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</si>
  <si>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</si>
  <si>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</si>
  <si>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</si>
  <si>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</si>
  <si>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</si>
  <si>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</si>
  <si>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</si>
  <si>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</si>
  <si>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</si>
  <si>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</si>
  <si>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</si>
  <si>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</si>
  <si>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</si>
  <si>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</si>
  <si>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</si>
  <si>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</si>
  <si>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</si>
  <si>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</si>
  <si>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</si>
  <si>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</si>
  <si>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</si>
  <si>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</si>
  <si>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</si>
  <si>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</si>
  <si>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</si>
  <si>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</si>
  <si>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</si>
  <si>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</si>
  <si>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</si>
  <si>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</si>
  <si>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</si>
  <si>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</si>
  <si>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</si>
  <si>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</si>
  <si>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</si>
  <si>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</si>
  <si>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</si>
  <si>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</si>
  <si>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</si>
  <si>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</si>
  <si>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</si>
  <si>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</si>
  <si>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</si>
  <si>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</si>
  <si>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</si>
  <si>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</si>
  <si>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</si>
  <si>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</si>
  <si>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</si>
  <si>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</si>
  <si>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</si>
  <si>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</si>
  <si>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</si>
  <si>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</si>
  <si>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</si>
  <si>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</si>
  <si>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</si>
  <si>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</si>
  <si>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</si>
  <si>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</si>
  <si>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</si>
  <si>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</si>
  <si>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</si>
  <si>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</si>
  <si>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</si>
  <si>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</si>
  <si>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</si>
  <si>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</si>
  <si>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</si>
  <si>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</si>
  <si>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</si>
  <si>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</si>
  <si>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</si>
  <si>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</si>
  <si>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</si>
  <si>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</si>
  <si>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</si>
  <si>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</si>
  <si>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</si>
  <si>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</si>
  <si>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</si>
  <si>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</si>
  <si>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</si>
  <si>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</si>
  <si>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</si>
  <si>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</si>
  <si>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</si>
  <si>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</si>
  <si>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</si>
  <si>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</si>
  <si>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</si>
  <si>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</si>
  <si>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</si>
  <si>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</si>
  <si>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</si>
  <si>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</si>
  <si>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</si>
  <si>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</si>
  <si>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</si>
  <si>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</si>
  <si>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</si>
  <si>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</si>
  <si>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</si>
  <si>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</si>
  <si>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</si>
  <si>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</si>
  <si>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</si>
  <si>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</si>
  <si>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</si>
  <si>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</si>
  <si>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</si>
  <si>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</si>
  <si>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</si>
  <si>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</si>
  <si>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</si>
  <si>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</si>
  <si>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</si>
  <si>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</si>
  <si>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</si>
  <si>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</si>
  <si>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</si>
  <si>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</si>
  <si>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</si>
  <si>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</si>
  <si>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</si>
  <si>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</si>
  <si>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</si>
  <si>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</si>
  <si>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</si>
  <si>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</si>
  <si>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</si>
  <si>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</si>
  <si>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</si>
  <si>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</si>
  <si>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</si>
  <si>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</si>
  <si>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</si>
  <si>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</si>
  <si>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</si>
  <si>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</si>
  <si>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</si>
  <si>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</si>
  <si>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</si>
  <si>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</si>
  <si>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</si>
  <si>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</si>
  <si>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</si>
  <si>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</si>
  <si>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</si>
  <si>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</si>
  <si>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</si>
  <si>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</si>
  <si>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</si>
  <si>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</si>
  <si>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</si>
  <si>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</si>
  <si>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</si>
  <si>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</si>
  <si>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</si>
  <si>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</si>
  <si>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</si>
  <si>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</si>
  <si>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</si>
  <si>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</si>
  <si>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</si>
  <si>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</si>
  <si>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</si>
  <si>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</si>
  <si>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</si>
  <si>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</si>
  <si>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</si>
  <si>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</si>
  <si>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</si>
  <si>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</si>
  <si>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</si>
  <si>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</si>
  <si>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</si>
  <si>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</si>
  <si>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</si>
  <si>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</si>
  <si>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</si>
  <si>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</si>
  <si>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</si>
  <si>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</si>
  <si>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</si>
  <si>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</si>
  <si>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</si>
  <si>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</si>
  <si>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</si>
  <si>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</si>
  <si>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</si>
  <si>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</si>
  <si>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</si>
  <si>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</si>
  <si>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</si>
  <si>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</si>
  <si>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</si>
  <si>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</si>
  <si>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</si>
  <si>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</si>
  <si>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</si>
  <si>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</si>
  <si>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</si>
  <si>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</si>
  <si>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</si>
  <si>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</si>
  <si>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</si>
  <si>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</si>
  <si>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</si>
  <si>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</si>
  <si>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</si>
  <si>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</si>
  <si>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</si>
  <si>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</si>
  <si>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</si>
  <si>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</si>
  <si>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</si>
  <si>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</si>
  <si>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</si>
  <si>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</si>
  <si>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</si>
  <si>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</si>
  <si>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</si>
  <si>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</si>
  <si>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</si>
  <si>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</si>
  <si>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</si>
  <si>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</si>
  <si>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</si>
  <si>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</si>
  <si>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</si>
  <si>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</si>
  <si>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</si>
  <si>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</si>
  <si>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</si>
  <si>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</si>
  <si>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</si>
  <si>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</si>
  <si>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</si>
  <si>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</si>
  <si>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</si>
  <si>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</si>
  <si>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</si>
  <si>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</si>
  <si>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</si>
  <si>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</si>
  <si>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</si>
  <si>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</si>
  <si>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</si>
  <si>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</si>
  <si>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</si>
  <si>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</si>
  <si>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</si>
  <si>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</si>
  <si>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</si>
  <si>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</si>
  <si>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</si>
  <si>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</si>
  <si>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</si>
  <si>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</si>
  <si>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</si>
  <si>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</si>
  <si>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</si>
  <si>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</si>
  <si>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</si>
  <si>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</si>
  <si>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</si>
  <si>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</si>
  <si>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</si>
  <si>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</si>
  <si>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</si>
  <si>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</si>
  <si>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</si>
  <si>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</si>
  <si>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</si>
  <si>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</si>
  <si>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</si>
  <si>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</si>
  <si>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</si>
  <si>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</si>
  <si>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</si>
  <si>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</si>
  <si>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</si>
  <si>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</si>
  <si>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</si>
  <si>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</si>
  <si>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</si>
  <si>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</si>
  <si>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</si>
  <si>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</si>
  <si>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</si>
  <si>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</si>
  <si>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</si>
  <si>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</si>
  <si>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</si>
  <si>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</si>
  <si>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</si>
  <si>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</si>
  <si>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</si>
  <si>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</si>
  <si>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</si>
  <si>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</si>
  <si>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</si>
  <si>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</si>
  <si>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</si>
  <si>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</si>
  <si>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</si>
  <si>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</si>
  <si>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</si>
  <si>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</si>
  <si>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</si>
  <si>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</si>
  <si>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</si>
  <si>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</si>
  <si>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</si>
  <si>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</si>
  <si>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</si>
  <si>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</si>
  <si>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</si>
  <si>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</si>
  <si>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</si>
  <si>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</si>
  <si>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</si>
  <si>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</si>
  <si>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</si>
  <si>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</si>
  <si>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</si>
  <si>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</si>
  <si>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</si>
  <si>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</si>
  <si>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</si>
  <si>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</si>
  <si>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</si>
  <si>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</si>
  <si>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</si>
  <si>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</si>
  <si>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</si>
  <si>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</si>
  <si>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</si>
  <si>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</si>
  <si>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</si>
  <si>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</si>
  <si>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</si>
  <si>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</si>
  <si>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</si>
  <si>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</si>
  <si>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</si>
  <si>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</si>
  <si>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</si>
  <si>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</si>
  <si>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</si>
  <si>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</si>
  <si>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</si>
  <si>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</si>
  <si>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</si>
  <si>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</si>
  <si>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</si>
  <si>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</si>
  <si>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</si>
  <si>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</si>
  <si>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</si>
  <si>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</si>
  <si>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</si>
  <si>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</si>
  <si>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</si>
  <si>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</si>
  <si>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</si>
  <si>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</si>
  <si>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</si>
  <si>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</si>
  <si>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</si>
  <si>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</si>
  <si>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</si>
  <si>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</si>
  <si>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</si>
  <si>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</si>
  <si>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</si>
  <si>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</si>
  <si>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</si>
  <si>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</si>
  <si>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</si>
  <si>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</si>
  <si>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</si>
  <si>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</si>
  <si>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</si>
  <si>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</si>
  <si>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</si>
  <si>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</si>
  <si>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</si>
  <si>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</si>
  <si>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</si>
  <si>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</si>
  <si>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</si>
  <si>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</si>
  <si>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</si>
  <si>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</si>
  <si>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</si>
  <si>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</si>
  <si>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</si>
  <si>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</si>
  <si>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</si>
  <si>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</si>
  <si>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</si>
  <si>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</si>
  <si>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</si>
  <si>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</si>
  <si>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</si>
  <si>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</si>
  <si>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</si>
  <si>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</si>
  <si>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</si>
  <si>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</si>
  <si>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</si>
  <si>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</si>
  <si>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</si>
  <si>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</si>
  <si>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</si>
  <si>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</si>
  <si>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</si>
  <si>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</si>
  <si>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</si>
  <si>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</si>
  <si>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</si>
  <si>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</si>
  <si>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</si>
  <si>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</si>
  <si>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</si>
  <si>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</si>
  <si>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</si>
  <si>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</si>
  <si>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</si>
  <si>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</si>
  <si>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</si>
  <si>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</si>
  <si>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</si>
  <si>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</si>
  <si>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</si>
  <si>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</si>
  <si>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</si>
  <si>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</si>
  <si>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</si>
  <si>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</si>
  <si>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</si>
  <si>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</si>
  <si>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</si>
  <si>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</si>
  <si>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</si>
  <si>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</si>
  <si>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</si>
  <si>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</si>
  <si>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</si>
  <si>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</si>
  <si>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</si>
  <si>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</si>
  <si>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</si>
  <si>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</si>
  <si>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</si>
  <si>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</si>
  <si>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</si>
  <si>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</si>
  <si>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</si>
  <si>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</si>
  <si>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</si>
  <si>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</si>
  <si>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</si>
  <si>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</si>
  <si>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</si>
  <si>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</si>
  <si>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</si>
  <si>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</si>
  <si>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</si>
  <si>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</si>
  <si>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</si>
  <si>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</si>
  <si>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</si>
  <si>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</si>
  <si>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</si>
  <si>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</si>
  <si>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</si>
  <si>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</si>
  <si>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</si>
  <si>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</si>
  <si>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</si>
  <si>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</si>
  <si>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</si>
  <si>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</si>
  <si>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</si>
  <si>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</si>
  <si>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</si>
  <si>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</si>
  <si>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</si>
  <si>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</si>
  <si>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</si>
  <si>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</si>
  <si>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</si>
  <si>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</si>
  <si>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</si>
  <si>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</si>
  <si>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</si>
  <si>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</si>
  <si>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</si>
  <si>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</si>
  <si>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</si>
  <si>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</si>
  <si>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</si>
  <si>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</si>
  <si>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</si>
  <si>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</si>
  <si>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</si>
  <si>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</si>
  <si>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</si>
  <si>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</si>
  <si>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</si>
  <si>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</si>
  <si>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</si>
  <si>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</si>
  <si>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</si>
  <si>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</si>
  <si>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</si>
  <si>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</si>
  <si>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</si>
  <si>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</si>
  <si>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</si>
  <si>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</si>
  <si>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</si>
  <si>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</si>
  <si>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</si>
  <si>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</si>
  <si>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</si>
  <si>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</si>
  <si>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</si>
  <si>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</si>
  <si>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</si>
  <si>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</si>
  <si>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</si>
  <si>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</si>
  <si>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</si>
  <si>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</si>
  <si>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</si>
  <si>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</si>
  <si>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</si>
  <si>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</si>
  <si>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</si>
  <si>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</si>
  <si>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</si>
  <si>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</si>
  <si>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</si>
  <si>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</si>
  <si>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</si>
  <si>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</si>
  <si>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</si>
  <si>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</si>
  <si>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</si>
  <si>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</si>
  <si>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</si>
  <si>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</si>
  <si>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</si>
  <si>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</si>
  <si>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</si>
  <si>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</si>
  <si>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</si>
  <si>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</si>
  <si>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</si>
  <si>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</si>
  <si>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</si>
  <si>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</si>
  <si>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</si>
  <si>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</si>
  <si>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</si>
  <si>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</si>
  <si>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</si>
  <si>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</si>
  <si>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</si>
  <si>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</si>
  <si>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</si>
  <si>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</si>
  <si>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</si>
  <si>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</si>
  <si>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</si>
  <si>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</si>
  <si>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</si>
  <si>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</si>
  <si>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</si>
  <si>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</si>
  <si>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</si>
  <si>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</si>
  <si>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</si>
  <si>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</si>
  <si>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</si>
  <si>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</si>
  <si>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</si>
  <si>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</si>
  <si>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</si>
  <si>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</si>
  <si>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</si>
  <si>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</si>
  <si>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</si>
  <si>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</si>
  <si>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</si>
  <si>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</si>
  <si>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</si>
  <si>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</si>
  <si>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</si>
  <si>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</si>
  <si>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</si>
  <si>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</si>
  <si>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</si>
  <si>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</si>
  <si>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</si>
  <si>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</si>
  <si>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</si>
  <si>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</si>
  <si>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</si>
  <si>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</si>
  <si>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</si>
  <si>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</si>
  <si>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</si>
  <si>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</si>
  <si>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</si>
  <si>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</si>
  <si>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</si>
  <si>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</si>
  <si>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</si>
  <si>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</si>
  <si>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</si>
  <si>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</si>
  <si>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</si>
  <si>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</si>
  <si>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</si>
  <si>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</si>
  <si>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</si>
  <si>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</si>
  <si>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</si>
  <si>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</si>
  <si>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</si>
  <si>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</si>
  <si>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</si>
  <si>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</si>
  <si>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</si>
  <si>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</si>
  <si>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</si>
  <si>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</si>
  <si>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</si>
  <si>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</si>
  <si>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</si>
  <si>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</si>
  <si>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</si>
  <si>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</si>
  <si>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</si>
  <si>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</si>
  <si>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</si>
  <si>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</si>
  <si>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</si>
  <si>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</si>
  <si>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</si>
  <si>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</si>
  <si>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</si>
  <si>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</si>
  <si>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</si>
  <si>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</si>
  <si>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</si>
  <si>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</si>
  <si>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</si>
  <si>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</si>
  <si>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</si>
  <si>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</si>
  <si>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</si>
  <si>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</si>
  <si>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</si>
  <si>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</si>
  <si>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</si>
  <si>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</si>
  <si>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</si>
  <si>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</si>
  <si>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</si>
  <si>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</si>
  <si>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</si>
  <si>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</si>
  <si>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</si>
  <si>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</si>
  <si>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</si>
  <si>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</si>
  <si>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</si>
  <si>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</si>
  <si>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</si>
  <si>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</si>
  <si>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</si>
  <si>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</si>
  <si>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</si>
  <si>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</si>
  <si>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</si>
  <si>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</si>
  <si>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</si>
  <si>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</si>
  <si>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</si>
  <si>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</si>
  <si>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</si>
  <si>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</si>
  <si>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</si>
  <si>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</si>
  <si>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</si>
  <si>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</si>
  <si>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</si>
  <si>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</si>
  <si>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</si>
  <si>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</si>
  <si>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</si>
  <si>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</si>
  <si>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</si>
  <si>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</si>
  <si>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</si>
  <si>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</si>
  <si>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</si>
  <si>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</si>
  <si>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</si>
  <si>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</si>
  <si>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</si>
  <si>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</si>
  <si>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</si>
  <si>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</si>
  <si>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</si>
  <si>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</si>
  <si>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</si>
  <si>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</si>
  <si>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</si>
  <si>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</si>
  <si>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</si>
  <si>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</si>
  <si>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</si>
  <si>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</si>
  <si>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</si>
  <si>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</si>
  <si>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</si>
  <si>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</si>
  <si>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</si>
  <si>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</si>
  <si>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</si>
  <si>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</si>
  <si>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</si>
  <si>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</si>
  <si>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</si>
  <si>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</si>
  <si>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</si>
  <si>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</si>
  <si>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</si>
  <si>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</si>
  <si>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</si>
  <si>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</si>
  <si>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</si>
  <si>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</si>
  <si>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</si>
  <si>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</si>
  <si>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</si>
  <si>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</si>
  <si>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</si>
  <si>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</si>
  <si>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</si>
  <si>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</si>
  <si>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</si>
  <si>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</si>
  <si>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</si>
  <si>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</si>
  <si>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</si>
  <si>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</si>
  <si>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</si>
  <si>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</si>
  <si>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</si>
  <si>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</si>
  <si>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</si>
  <si>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</si>
  <si>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</si>
  <si>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</si>
  <si>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</si>
  <si>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</si>
  <si>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</si>
  <si>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</si>
  <si>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</si>
  <si>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</si>
  <si>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</si>
  <si>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</si>
  <si>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</si>
  <si>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</si>
  <si>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</si>
  <si>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</si>
  <si>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</si>
  <si>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</si>
  <si>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</si>
  <si>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</si>
  <si>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</si>
  <si>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</si>
  <si>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</si>
  <si>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</si>
  <si>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</si>
  <si>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</si>
  <si>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</si>
  <si>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</si>
  <si>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</si>
  <si>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</si>
  <si>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</si>
  <si>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</si>
  <si>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</si>
  <si>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</si>
  <si>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</si>
  <si>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</si>
  <si>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</si>
  <si>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</si>
  <si>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</si>
  <si>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</si>
  <si>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</si>
  <si>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</si>
  <si>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</si>
  <si>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</si>
  <si>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</si>
  <si>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</si>
  <si>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</si>
  <si>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</si>
  <si>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</si>
  <si>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</si>
  <si>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</si>
  <si>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</si>
  <si>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</si>
  <si>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</si>
  <si>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</si>
  <si>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</si>
  <si>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</si>
  <si>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</si>
  <si>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</si>
  <si>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</si>
  <si>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</si>
  <si>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</si>
  <si>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</si>
  <si>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</si>
  <si>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</si>
  <si>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</si>
  <si>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</si>
  <si>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</si>
  <si>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</si>
  <si>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</si>
  <si>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</si>
  <si>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</si>
  <si>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</si>
  <si>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</si>
  <si>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</si>
  <si>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</si>
  <si>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</si>
  <si>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</si>
  <si>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</si>
  <si>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</si>
  <si>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</si>
  <si>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</si>
  <si>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</si>
  <si>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</si>
  <si>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</si>
  <si>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</si>
  <si>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</si>
  <si>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</si>
  <si>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</si>
  <si>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</si>
  <si>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</si>
  <si>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</si>
  <si>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</si>
  <si>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</si>
  <si>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</si>
  <si>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</si>
  <si>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</si>
  <si>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</si>
  <si>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</si>
  <si>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</si>
  <si>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</si>
  <si>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</si>
  <si>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</si>
  <si>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</si>
  <si>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</si>
  <si>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</si>
  <si>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</si>
  <si>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</si>
  <si>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</si>
  <si>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</si>
  <si>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</si>
  <si>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</si>
  <si>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</si>
  <si>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</si>
  <si>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</si>
  <si>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</si>
  <si>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</si>
  <si>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</si>
  <si>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</si>
  <si>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</si>
  <si>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</si>
  <si>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</si>
  <si>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</si>
  <si>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</si>
  <si>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</si>
  <si>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</si>
  <si>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</si>
  <si>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</si>
  <si>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</si>
  <si>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</si>
  <si>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</si>
  <si>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</si>
  <si>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</si>
  <si>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</si>
  <si>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</si>
  <si>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</si>
  <si>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</si>
  <si>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</si>
  <si>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</si>
  <si>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</si>
  <si>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</si>
  <si>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</si>
  <si>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</si>
  <si>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</si>
  <si>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</si>
  <si>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</si>
  <si>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</si>
  <si>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</si>
  <si>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</si>
  <si>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</si>
  <si>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</si>
  <si>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</si>
  <si>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</si>
  <si>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</si>
  <si>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</si>
  <si>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</si>
  <si>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</si>
  <si>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</si>
  <si>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</si>
  <si>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</si>
  <si>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</si>
  <si>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</si>
  <si>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</si>
  <si>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</si>
  <si>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</si>
  <si>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</si>
  <si>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</si>
  <si>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</si>
  <si>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</si>
  <si>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</si>
  <si>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</si>
  <si>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</si>
  <si>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</si>
  <si>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</si>
  <si>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</si>
  <si>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</si>
  <si>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</si>
  <si>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</si>
  <si>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</si>
  <si>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</si>
  <si>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</si>
  <si>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</si>
  <si>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</si>
  <si>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</si>
  <si>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</si>
  <si>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</si>
  <si>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</si>
  <si>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</si>
  <si>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</si>
  <si>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</si>
  <si>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</si>
  <si>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</si>
  <si>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</si>
  <si>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</si>
  <si>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</si>
  <si>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</si>
  <si>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</si>
  <si>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</si>
  <si>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</si>
  <si>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</si>
  <si>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</si>
  <si>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</si>
  <si>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</si>
  <si>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</si>
  <si>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</si>
  <si>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</si>
  <si>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</si>
  <si>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</si>
  <si>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</si>
  <si>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</si>
  <si>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</si>
  <si>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</si>
  <si>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</si>
  <si>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</si>
  <si>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</si>
  <si>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</si>
  <si>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</si>
  <si>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</si>
  <si>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</si>
  <si>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</si>
  <si>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</si>
  <si>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</si>
  <si>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</si>
  <si>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</si>
  <si>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</si>
  <si>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</si>
  <si>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</si>
  <si>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</si>
  <si>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</si>
  <si>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</si>
  <si>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</si>
  <si>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</si>
  <si>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</si>
  <si>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</si>
  <si>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</si>
  <si>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</si>
  <si>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</si>
  <si>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</si>
  <si>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</si>
  <si>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</si>
  <si>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</si>
  <si>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</si>
  <si>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</si>
  <si>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</si>
  <si>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</si>
  <si>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</si>
  <si>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</si>
  <si>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</si>
  <si>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</si>
  <si>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</si>
  <si>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</si>
  <si>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</si>
  <si>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</si>
  <si>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</si>
  <si>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</si>
  <si>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</si>
  <si>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</si>
  <si>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</si>
  <si>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</si>
  <si>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</si>
  <si>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</si>
  <si>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</si>
  <si>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</si>
  <si>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</si>
  <si>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</si>
  <si>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</si>
  <si>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</si>
  <si>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</si>
  <si>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</si>
  <si>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</si>
  <si>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</si>
  <si>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</si>
  <si>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</si>
  <si>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</si>
  <si>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</si>
  <si>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</si>
  <si>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</si>
  <si>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</si>
  <si>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</si>
  <si>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</si>
  <si>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</si>
  <si>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</si>
  <si>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</si>
  <si>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</si>
  <si>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</si>
  <si>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</si>
  <si>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</si>
  <si>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</si>
  <si>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</si>
  <si>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</si>
  <si>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</si>
  <si>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</si>
  <si>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</si>
  <si>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</si>
  <si>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</si>
  <si>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</si>
  <si>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</si>
  <si>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</si>
  <si>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</si>
  <si>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</si>
  <si>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</si>
  <si>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</si>
  <si>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</si>
  <si>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</si>
  <si>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</si>
  <si>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</si>
  <si>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</si>
  <si>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</si>
  <si>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</si>
  <si>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</si>
  <si>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</si>
  <si>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</si>
  <si>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</si>
  <si>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</si>
  <si>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</si>
  <si>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</si>
  <si>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</si>
  <si>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</si>
  <si>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</si>
  <si>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</si>
  <si>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</si>
  <si>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</si>
  <si>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</si>
  <si>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</si>
  <si>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</si>
  <si>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</si>
  <si>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</si>
  <si>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</si>
  <si>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</si>
  <si>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</si>
  <si>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</si>
  <si>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</si>
  <si>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</si>
  <si>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</si>
  <si>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</si>
  <si>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</si>
  <si>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</si>
  <si>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</si>
  <si>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</si>
  <si>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</si>
  <si>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</si>
  <si>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</si>
  <si>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</si>
  <si>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</si>
  <si>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</si>
  <si>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</si>
  <si>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</si>
  <si>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</si>
  <si>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</si>
  <si>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</si>
  <si>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</si>
  <si>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</si>
  <si>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</si>
  <si>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</si>
  <si>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</si>
  <si>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</si>
  <si>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</si>
  <si>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</si>
  <si>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</si>
  <si>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</si>
  <si>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</si>
  <si>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</si>
  <si>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</si>
  <si>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</si>
  <si>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</si>
  <si>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</si>
  <si>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</si>
  <si>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</si>
  <si>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</si>
  <si>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</si>
  <si>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</si>
  <si>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</si>
  <si>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</si>
  <si>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</si>
  <si>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</si>
  <si>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</si>
  <si>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</si>
  <si>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</si>
  <si>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</si>
  <si>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</si>
  <si>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</si>
  <si>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</si>
  <si>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</si>
  <si>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</si>
  <si>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</si>
  <si>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</si>
  <si>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</si>
  <si>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</si>
  <si>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</si>
  <si>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</si>
  <si>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</si>
  <si>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</si>
  <si>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</si>
  <si>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</si>
  <si>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</si>
  <si>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</si>
  <si>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</si>
  <si>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</si>
  <si>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</si>
  <si>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</si>
  <si>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</si>
  <si>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</si>
  <si>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</si>
  <si>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</si>
  <si>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</si>
  <si>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</si>
  <si>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</si>
  <si>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</si>
  <si>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</si>
  <si>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</si>
  <si>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</si>
  <si>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</si>
  <si>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</si>
  <si>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</si>
  <si>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</si>
  <si>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</si>
  <si>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</si>
  <si>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</si>
  <si>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</si>
  <si>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</si>
  <si>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</si>
  <si>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</si>
  <si>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</si>
  <si>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</si>
  <si>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</si>
  <si>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</si>
  <si>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</si>
  <si>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</si>
  <si>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</si>
  <si>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</si>
  <si>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</si>
  <si>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</si>
  <si>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</si>
  <si>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</si>
  <si>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</si>
  <si>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</si>
  <si>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</si>
  <si>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</si>
  <si>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</si>
  <si>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</si>
  <si>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</si>
  <si>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</si>
  <si>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</si>
  <si>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</si>
  <si>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</si>
  <si>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</si>
  <si>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</si>
  <si>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</si>
  <si>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</si>
  <si>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</si>
  <si>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</si>
  <si>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</si>
  <si>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</si>
  <si>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</si>
  <si>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</si>
  <si>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</si>
  <si>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</si>
  <si>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</si>
  <si>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</si>
  <si>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</si>
  <si>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</si>
  <si>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</si>
  <si>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</si>
  <si>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</si>
  <si>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</si>
  <si>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</si>
  <si>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</si>
  <si>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</si>
  <si>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</si>
  <si>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</si>
  <si>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</si>
  <si>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</si>
  <si>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</si>
  <si>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</si>
  <si>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</si>
  <si>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</si>
  <si>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</si>
  <si>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</si>
  <si>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</si>
  <si>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</si>
  <si>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</si>
  <si>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</si>
  <si>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</si>
  <si>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</si>
  <si>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</si>
  <si>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</si>
  <si>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</si>
  <si>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</si>
  <si>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</si>
  <si>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</si>
  <si>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</si>
  <si>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</si>
  <si>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</si>
  <si>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</si>
  <si>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</si>
  <si>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</si>
  <si>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</si>
  <si>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</si>
  <si>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</si>
  <si>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</si>
  <si>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</si>
  <si>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</si>
  <si>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</si>
  <si>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</si>
  <si>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</si>
  <si>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</si>
  <si>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</si>
  <si>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</si>
  <si>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</si>
  <si>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</si>
  <si>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</si>
  <si>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</si>
  <si>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</si>
  <si>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</si>
  <si>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</si>
  <si>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</si>
  <si>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</si>
  <si>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</si>
  <si>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</si>
  <si>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</si>
  <si>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</si>
  <si>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</si>
  <si>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</si>
  <si>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</si>
  <si>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</si>
  <si>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</si>
  <si>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</si>
  <si>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</si>
  <si>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</si>
  <si>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</si>
  <si>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</si>
  <si>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</si>
  <si>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</si>
  <si>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</si>
  <si>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</si>
  <si>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</si>
  <si>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</si>
  <si>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</si>
  <si>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</si>
  <si>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</si>
  <si>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</si>
  <si>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</si>
  <si>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</si>
  <si>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</si>
  <si>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</si>
  <si>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</si>
  <si>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</si>
  <si>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</si>
  <si>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</si>
  <si>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</si>
  <si>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</si>
  <si>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</si>
  <si>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</si>
  <si>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</si>
  <si>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</si>
  <si>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</si>
  <si>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</si>
  <si>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</si>
  <si>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</si>
  <si>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</si>
  <si>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</si>
  <si>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</si>
  <si>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</si>
  <si>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</si>
  <si>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</si>
  <si>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</si>
  <si>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</si>
  <si>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</si>
  <si>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</si>
  <si>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</si>
  <si>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</si>
  <si>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</si>
  <si>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</si>
  <si>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</si>
  <si>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</si>
  <si>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</si>
  <si>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</si>
  <si>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</si>
  <si>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</si>
  <si>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</si>
  <si>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</si>
  <si>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</si>
  <si>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</si>
  <si>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</si>
  <si>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</si>
  <si>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</si>
  <si>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</si>
  <si>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</si>
  <si>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</si>
  <si>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</si>
  <si>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</si>
  <si>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</si>
  <si>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</si>
  <si>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</si>
  <si>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</si>
  <si>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</si>
  <si>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</si>
  <si>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</si>
  <si>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</si>
  <si>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</si>
  <si>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</si>
  <si>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</si>
  <si>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</si>
  <si>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</si>
  <si>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</si>
  <si>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</si>
  <si>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</si>
  <si>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</si>
  <si>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</si>
  <si>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</si>
  <si>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</si>
  <si>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</si>
  <si>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</si>
  <si>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</si>
  <si>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</si>
  <si>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</si>
  <si>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</si>
  <si>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</si>
  <si>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</si>
  <si>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</si>
  <si>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</si>
  <si>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</si>
  <si>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</si>
  <si>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</si>
  <si>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</si>
  <si>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</si>
  <si>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</si>
  <si>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</si>
  <si>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</si>
  <si>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</si>
  <si>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</si>
  <si>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</si>
  <si>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</si>
  <si>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</si>
  <si>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</si>
  <si>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</si>
  <si>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</si>
  <si>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</si>
  <si>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</si>
  <si>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</si>
  <si>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</si>
  <si>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</si>
  <si>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</si>
  <si>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</si>
  <si>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</si>
  <si>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</si>
  <si>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</si>
  <si>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</si>
  <si>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</si>
  <si>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</si>
  <si>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</si>
  <si>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</si>
  <si>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</si>
  <si>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</si>
  <si>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</si>
  <si>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</si>
  <si>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</si>
  <si>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</si>
  <si>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</si>
  <si>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</si>
  <si>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</si>
  <si>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</si>
  <si>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</si>
  <si>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</si>
  <si>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</si>
  <si>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</si>
  <si>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</si>
  <si>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</si>
  <si>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</si>
  <si>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</si>
  <si>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</si>
  <si>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</si>
  <si>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</si>
  <si>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</si>
  <si>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</si>
  <si>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</si>
  <si>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</si>
  <si>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</si>
  <si>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</si>
  <si>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</si>
  <si>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</si>
  <si>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</si>
  <si>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</si>
  <si>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</si>
  <si>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</si>
  <si>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</si>
  <si>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</si>
  <si>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</si>
  <si>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</si>
  <si>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</si>
  <si>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</si>
  <si>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</si>
  <si>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</si>
  <si>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</si>
  <si>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</si>
  <si>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</si>
  <si>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</si>
  <si>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</si>
  <si>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</si>
  <si>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</si>
  <si>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</si>
  <si>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</si>
  <si>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</si>
  <si>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</si>
  <si>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</si>
  <si>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</si>
  <si>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</si>
  <si>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</si>
  <si>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</si>
  <si>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</si>
  <si>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</si>
  <si>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</si>
  <si>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</si>
  <si>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</si>
  <si>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</si>
  <si>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</si>
  <si>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</si>
  <si>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</si>
  <si>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</si>
  <si>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</si>
  <si>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</si>
  <si>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</si>
  <si>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</si>
  <si>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</si>
  <si>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</si>
  <si>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</si>
  <si>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</si>
  <si>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</si>
  <si>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</si>
  <si>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</si>
  <si>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</si>
  <si>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</si>
  <si>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</si>
  <si>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</si>
  <si>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</si>
  <si>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</si>
  <si>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</si>
  <si>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</si>
  <si>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</si>
  <si>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</si>
  <si>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</si>
  <si>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</si>
  <si>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</si>
  <si>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</si>
  <si>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</si>
  <si>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</si>
  <si>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</si>
  <si>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</si>
  <si>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</si>
  <si>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</si>
  <si>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</si>
  <si>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</si>
  <si>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</si>
  <si>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</si>
  <si>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</si>
  <si>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</si>
  <si>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</si>
  <si>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</si>
  <si>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</si>
  <si>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</si>
  <si>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</si>
  <si>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</si>
  <si>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</si>
  <si>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</si>
  <si>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</si>
  <si>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</si>
  <si>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</si>
  <si>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</si>
  <si>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</si>
  <si>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</si>
  <si>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</si>
  <si>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</si>
  <si>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</si>
  <si>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</si>
  <si>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</si>
  <si>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</si>
  <si>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</si>
  <si>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</si>
  <si>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</si>
  <si>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</si>
  <si>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</si>
  <si>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</si>
  <si>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</si>
  <si>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</si>
  <si>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</si>
  <si>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</si>
  <si>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</si>
  <si>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</si>
  <si>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</si>
  <si>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</si>
  <si>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</si>
  <si>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</si>
  <si>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</si>
  <si>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</si>
  <si>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</si>
  <si>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</si>
  <si>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</si>
  <si>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</si>
  <si>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</si>
  <si>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</si>
  <si>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</si>
  <si>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</si>
  <si>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</si>
  <si>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</si>
  <si>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</si>
  <si>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</si>
  <si>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</si>
  <si>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</si>
  <si>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</si>
  <si>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</si>
  <si>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</si>
  <si>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</si>
  <si>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</si>
  <si>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</si>
  <si>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</si>
  <si>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</si>
  <si>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</si>
  <si>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</si>
  <si>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</si>
  <si>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</si>
  <si>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</si>
  <si>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</si>
  <si>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</si>
  <si>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</si>
  <si>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</si>
  <si>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</si>
  <si>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</si>
  <si>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</si>
  <si>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</si>
  <si>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</si>
  <si>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</si>
  <si>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</si>
  <si>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</si>
  <si>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</si>
  <si>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</si>
  <si>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</si>
  <si>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</si>
  <si>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</si>
  <si>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</si>
  <si>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</si>
  <si>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</si>
  <si>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</si>
  <si>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</si>
  <si>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</si>
  <si>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</si>
  <si>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</si>
  <si>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</si>
  <si>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</si>
  <si>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</si>
  <si>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</si>
  <si>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</si>
  <si>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</si>
  <si>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</si>
  <si>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</si>
  <si>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</si>
  <si>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</si>
  <si>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</si>
  <si>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</si>
  <si>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</si>
  <si>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</si>
  <si>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</si>
  <si>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</si>
  <si>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</si>
  <si>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</si>
  <si>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</si>
  <si>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</si>
  <si>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</si>
  <si>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</si>
  <si>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</si>
  <si>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</si>
  <si>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</si>
  <si>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</si>
  <si>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</si>
  <si>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</si>
  <si>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</si>
  <si>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</si>
  <si>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</si>
  <si>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</si>
  <si>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</si>
  <si>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</si>
  <si>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</si>
  <si>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</si>
  <si>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</si>
  <si>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</si>
  <si>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</si>
  <si>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</si>
  <si>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</si>
  <si>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</si>
  <si>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</si>
  <si>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</si>
  <si>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</si>
  <si>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</si>
  <si>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</si>
  <si>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</si>
  <si>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</si>
  <si>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</si>
  <si>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</si>
  <si>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</si>
  <si>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</si>
  <si>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</si>
  <si>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</si>
  <si>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</si>
  <si>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</si>
  <si>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</si>
  <si>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</si>
  <si>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</si>
  <si>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</si>
  <si>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</si>
  <si>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</si>
  <si>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</si>
  <si>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</si>
  <si>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</si>
  <si>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</si>
  <si>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</si>
  <si>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</si>
  <si>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</si>
  <si>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</si>
  <si>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</si>
  <si>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</si>
  <si>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</si>
  <si>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</si>
  <si>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</si>
  <si>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</si>
  <si>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</si>
  <si>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</si>
  <si>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</si>
  <si>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</si>
  <si>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</si>
  <si>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</si>
  <si>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</si>
  <si>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</si>
  <si>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</si>
  <si>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</si>
  <si>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</si>
  <si>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</si>
  <si>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</si>
  <si>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</si>
  <si>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</si>
  <si>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</si>
  <si>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</si>
  <si>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</si>
  <si>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</si>
  <si>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</si>
  <si>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</si>
  <si>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</si>
  <si>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</si>
  <si>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</si>
  <si>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</si>
  <si>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</si>
  <si>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</si>
  <si>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</si>
  <si>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</si>
  <si>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</si>
  <si>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</si>
  <si>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</si>
  <si>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</si>
  <si>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</si>
  <si>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</si>
  <si>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</si>
  <si>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</si>
  <si>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</si>
  <si>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</si>
  <si>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</si>
  <si>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</si>
  <si>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</si>
  <si>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</si>
  <si>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</si>
  <si>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</si>
  <si>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</si>
  <si>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</si>
  <si>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</si>
  <si>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</si>
  <si>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</si>
  <si>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</si>
  <si>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</si>
  <si>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</si>
  <si>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</si>
  <si>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</si>
  <si>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</si>
  <si>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</si>
  <si>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</si>
  <si>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</si>
  <si>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</si>
  <si>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</si>
  <si>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</si>
  <si>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</si>
  <si>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</si>
  <si>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</si>
  <si>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</si>
  <si>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</si>
  <si>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</si>
  <si>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</si>
  <si>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</si>
  <si>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</si>
  <si>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</si>
  <si>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</si>
  <si>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</si>
  <si>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</si>
  <si>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</si>
  <si>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</si>
  <si>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</si>
  <si>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</si>
  <si>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</si>
  <si>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</si>
  <si>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</si>
  <si>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</si>
  <si>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</si>
  <si>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</si>
  <si>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</si>
  <si>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</si>
  <si>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</si>
  <si>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</si>
  <si>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</si>
  <si>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</si>
  <si>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</si>
  <si>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</si>
  <si>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</si>
  <si>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</si>
  <si>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</si>
  <si>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</si>
  <si>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</si>
  <si>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</si>
  <si>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</si>
  <si>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</si>
  <si>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</si>
  <si>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</si>
  <si>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</si>
  <si>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</si>
  <si>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</si>
  <si>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</si>
  <si>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</si>
  <si>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</si>
  <si>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</si>
  <si>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</si>
  <si>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</si>
  <si>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</si>
  <si>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</si>
  <si>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</si>
  <si>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</si>
  <si>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</si>
  <si>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</si>
  <si>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</si>
  <si>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</si>
  <si>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</si>
  <si>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</si>
  <si>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</si>
  <si>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</si>
  <si>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</si>
  <si>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</si>
  <si>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</si>
  <si>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</si>
  <si>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</si>
  <si>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</si>
  <si>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</si>
  <si>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</si>
  <si>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</si>
  <si>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</si>
  <si>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</si>
  <si>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</si>
  <si>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</si>
  <si>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</si>
  <si>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</si>
  <si>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</si>
  <si>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</si>
  <si>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</si>
  <si>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</si>
  <si>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</si>
  <si>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</si>
  <si>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</si>
  <si>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</si>
  <si>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</si>
  <si>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</si>
  <si>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</si>
  <si>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</si>
  <si>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</si>
  <si>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</si>
  <si>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</si>
  <si>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</si>
  <si>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</si>
  <si>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</si>
  <si>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</si>
  <si>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</si>
  <si>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</si>
  <si>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</si>
  <si>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</si>
  <si>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</si>
  <si>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</si>
  <si>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</si>
  <si>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</si>
  <si>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</si>
  <si>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</si>
  <si>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</si>
  <si>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</si>
  <si>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</si>
  <si>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</si>
  <si>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</si>
  <si>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</si>
  <si>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</si>
  <si>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</si>
  <si>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</si>
  <si>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</si>
  <si>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</si>
  <si>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</si>
  <si>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</si>
  <si>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</si>
  <si>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</si>
  <si>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</si>
  <si>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</si>
  <si>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</si>
  <si>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</si>
  <si>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</si>
  <si>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</si>
  <si>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</si>
  <si>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</si>
  <si>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</si>
  <si>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</si>
  <si>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</si>
  <si>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</si>
  <si>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</si>
  <si>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</si>
  <si>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</si>
  <si>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</si>
  <si>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</si>
  <si>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</si>
  <si>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</si>
  <si>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</si>
  <si>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</si>
  <si>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</si>
  <si>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</si>
  <si>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</si>
  <si>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</si>
  <si>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</si>
  <si>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</si>
  <si>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</si>
  <si>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</si>
  <si>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</si>
  <si>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</si>
  <si>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</si>
  <si>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</si>
  <si>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</si>
  <si>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</si>
  <si>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</si>
  <si>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</si>
  <si>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</si>
  <si>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</si>
  <si>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</si>
  <si>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</si>
  <si>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</si>
  <si>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</si>
  <si>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</si>
  <si>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</si>
  <si>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</si>
  <si>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</si>
  <si>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</si>
  <si>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</si>
  <si>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</si>
  <si>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</si>
  <si>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</si>
  <si>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</si>
  <si>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</si>
  <si>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</si>
  <si>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</si>
  <si>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</si>
  <si>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</si>
  <si>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</si>
  <si>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</si>
  <si>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</si>
  <si>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</si>
  <si>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</si>
  <si>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</si>
  <si>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</si>
  <si>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</si>
  <si>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</si>
  <si>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</si>
  <si>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</si>
  <si>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</si>
  <si>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</si>
  <si>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</si>
  <si>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</si>
  <si>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</si>
  <si>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</si>
  <si>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</si>
  <si>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</si>
  <si>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</si>
  <si>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</si>
  <si>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</si>
  <si>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</si>
  <si>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</si>
  <si>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</si>
  <si>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</si>
  <si>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</si>
  <si>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</si>
  <si>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</si>
  <si>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</si>
  <si>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</si>
  <si>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</si>
  <si>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</si>
  <si>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</si>
  <si>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</si>
  <si>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</si>
  <si>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</si>
  <si>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</si>
  <si>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</si>
  <si>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</si>
  <si>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</si>
  <si>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</si>
  <si>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</si>
  <si>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</si>
  <si>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</si>
  <si>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</si>
  <si>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</si>
  <si>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</si>
  <si>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外用剤</t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</si>
  <si>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</si>
  <si>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</si>
  <si>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</si>
  <si>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</si>
  <si>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</si>
  <si>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</si>
  <si>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</si>
  <si>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</si>
  <si>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</si>
  <si>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</si>
  <si>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</si>
  <si>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</si>
  <si>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</si>
  <si>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</si>
  <si>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</si>
  <si>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</si>
  <si>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</si>
  <si>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</si>
  <si>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</si>
  <si>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</si>
  <si>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</si>
  <si>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</si>
  <si>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</si>
  <si>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</si>
  <si>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</si>
  <si>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</si>
  <si>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</si>
  <si>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</si>
  <si>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</si>
  <si>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</si>
  <si>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</si>
  <si>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</si>
  <si>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</si>
  <si>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</si>
  <si>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</si>
  <si>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</si>
  <si>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</si>
  <si>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</si>
  <si>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</si>
  <si>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</si>
  <si>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</si>
  <si>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</si>
  <si>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</si>
  <si>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</si>
  <si>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</si>
  <si>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</si>
  <si>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</si>
  <si>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</si>
  <si>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</si>
  <si>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</si>
  <si>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</si>
  <si>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</si>
  <si>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</si>
  <si>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</si>
  <si>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</si>
  <si>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</si>
  <si>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</si>
  <si>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</si>
  <si>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</si>
  <si>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</si>
  <si>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</si>
  <si>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</si>
  <si>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</si>
  <si>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</si>
  <si>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</si>
  <si>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</si>
  <si>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</si>
  <si>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</si>
  <si>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</si>
  <si>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</si>
  <si>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</si>
  <si>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</si>
  <si>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</si>
  <si>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</si>
  <si>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</si>
  <si>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</si>
  <si>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</si>
  <si>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</si>
  <si>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</si>
  <si>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</si>
  <si>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</si>
  <si>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</si>
  <si>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</si>
  <si>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</si>
  <si>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</si>
  <si>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</si>
  <si>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</si>
  <si>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</si>
  <si>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</si>
  <si>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</si>
  <si>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</si>
  <si>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</si>
  <si>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</si>
  <si>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</si>
  <si>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</si>
  <si>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</si>
  <si>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</si>
  <si>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</si>
  <si>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</si>
  <si>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</si>
  <si>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</si>
  <si>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</si>
  <si>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</si>
  <si>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</si>
  <si>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</si>
  <si>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</si>
  <si>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</si>
  <si>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</si>
  <si>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</si>
  <si>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</si>
  <si>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</si>
  <si>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</si>
  <si>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</si>
  <si>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</si>
  <si>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</si>
  <si>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</si>
  <si>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</si>
  <si>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</si>
  <si>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</si>
  <si>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</si>
  <si>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</si>
  <si>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</si>
  <si>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</si>
  <si>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</si>
  <si>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</si>
  <si>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</si>
  <si>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</si>
  <si>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</si>
  <si>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</si>
  <si>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</si>
  <si>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</si>
  <si>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</si>
  <si>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</si>
  <si>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</si>
  <si>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</si>
  <si>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</si>
  <si>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</si>
  <si>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</si>
  <si>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</si>
  <si>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</si>
  <si>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</si>
  <si>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</si>
  <si>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</si>
  <si>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</si>
  <si>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</si>
  <si>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</si>
  <si>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</si>
  <si>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</si>
  <si>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</si>
  <si>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</si>
  <si>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</si>
  <si>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</si>
  <si>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</si>
  <si>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</si>
  <si>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</si>
  <si>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</si>
  <si>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</si>
  <si>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</si>
  <si>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</si>
  <si>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</si>
  <si>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</si>
  <si>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</si>
  <si>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</si>
  <si>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</si>
  <si>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</si>
  <si>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</si>
  <si>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</si>
  <si>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大塚糖液５％１００ｍｌ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</si>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</sst>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9" borderId="1" xfId="0" applyFill="1" applyBorder="1" applyProtection="1">
      <alignment vertical="center"/>
      <protection locked="0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CCFF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C83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E11" sqref="AE11"/>
    </sheetView>
  </sheetViews>
  <sheetFormatPr defaultRowHeight="13.2"/>
  <cols>
    <col min="1" max="1" width="3.77734375" customWidth="1"/>
    <col min="2" max="2" width="4.77734375" customWidth="1"/>
    <col min="3" max="3" width="41.664062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5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</cols>
  <sheetData>
    <row r="1" spans="1:29">
      <c r="C1" s="16"/>
    </row>
    <row r="3" spans="1:29">
      <c r="C3" s="65" t="s">
        <v>4059</v>
      </c>
      <c r="D3" s="66"/>
      <c r="E3" s="66"/>
      <c r="F3" s="66"/>
      <c r="G3" s="66"/>
      <c r="H3" s="66"/>
      <c r="I3" s="66"/>
      <c r="J3" s="66"/>
      <c r="K3" s="66"/>
      <c r="L3" s="66"/>
      <c r="M3" s="67"/>
      <c r="N3" s="68" t="s">
        <v>4060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9" s="17" customFormat="1" ht="118.8">
      <c r="B4" s="39" t="s">
        <v>4054</v>
      </c>
      <c r="C4" s="39" t="s">
        <v>1886</v>
      </c>
      <c r="D4" s="52" t="s">
        <v>4055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4056</v>
      </c>
      <c r="J4" s="39" t="s">
        <v>4</v>
      </c>
      <c r="K4" s="39" t="s">
        <v>5</v>
      </c>
      <c r="L4" s="39" t="s">
        <v>4057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4223</v>
      </c>
      <c r="AA4" s="39" t="s">
        <v>4062</v>
      </c>
      <c r="AB4" s="39" t="s">
        <v>4220</v>
      </c>
      <c r="AC4" s="39" t="s">
        <v>4227</v>
      </c>
    </row>
    <row r="5" spans="1:29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IF(AA5="非採用",0,IF(OFFSET(マスタ非採用削除!E$4,統合マスタ!$A5,0)="","",OFFSET(マスタ非採用削除!E$4,統合マスタ!$A5,0)))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  <c r="AB5" s="27" t="str">
        <f ca="1">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</f>
        <v>臨時</v>
      </c>
      <c r="AC5" s="27" cm="1">
        <f t="array" aca="1" ref="AC5" ca="1">OFFSET(
   INDIRECT("'" &amp; AB5 &amp; "'!A4"),
   MATCH(B5, INDIRECT("'" &amp; AB5 &amp; "'!C5:C1000"), 0),
   MATCH("合計", INDIRECT("'" &amp; AB5 &amp; "'!4:4"), 0) - 1
)</f>
        <v>0</v>
      </c>
    </row>
    <row r="6" spans="1:29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IF(AA6="非採用",0,IF(OFFSET(マスタ非採用削除!E$4,統合マスタ!$A6,0)="","",OFFSET(マスタ非採用削除!E$4,統合マスタ!$A6,0)))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  <c r="AB6" s="27" t="str">
        <f ca="1">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</f>
        <v>臨時</v>
      </c>
      <c r="AC6" s="27" cm="1">
        <f t="array" aca="1" ref="AC6" ca="1">OFFSET(
   INDIRECT("'" &amp; AB6 &amp; "'!A4"),
   MATCH(B6, INDIRECT("'" &amp; AB6 &amp; "'!C5:C1000"), 0),
   MATCH("合計", INDIRECT("'" &amp; AB6 &amp; "'!4:4"), 0) - 1
)</f>
        <v>0</v>
      </c>
    </row>
    <row r="7" spans="1:29">
      <c r="A7" s="40">
        <f>元データ!P4</f>
        <v>296</v>
      </c>
      <c r="B7" s="27">
        <f t="shared" ref="B7:B70" si="0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IF(AA7="非採用",0,IF(OFFSET(マスタ非採用削除!E$4,統合マスタ!$A7,0)="","",OFFSET(マスタ非採用削除!E$4,統合マスタ!$A7,0)))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  <c r="AB7" s="27" t="str">
        <f ca="1">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</f>
        <v>臨時</v>
      </c>
      <c r="AC7" s="27" cm="1">
        <f t="array" aca="1" ref="AC7" ca="1">OFFSET(
   INDIRECT("'" &amp; AB7 &amp; "'!A4"),
   MATCH(B7, INDIRECT("'" &amp; AB7 &amp; "'!C5:C1000"), 0),
   MATCH("合計", INDIRECT("'" &amp; AB7 &amp; "'!4:4"), 0) - 1
)</f>
        <v>0</v>
      </c>
    </row>
    <row r="8" spans="1:29">
      <c r="A8" s="40">
        <f>元データ!P5</f>
        <v>297</v>
      </c>
      <c r="B8" s="27">
        <f t="shared" si="0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IF(AA8="非採用",0,IF(OFFSET(マスタ非採用削除!E$4,統合マスタ!$A8,0)="","",OFFSET(マスタ非採用削除!E$4,統合マスタ!$A8,0)))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  <c r="AB8" s="27" t="str">
        <f ca="1">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</f>
        <v>臨時</v>
      </c>
      <c r="AC8" s="27" cm="1">
        <f t="array" aca="1" ref="AC8" ca="1">OFFSET(
   INDIRECT("'" &amp; AB8 &amp; "'!A4"),
   MATCH(B8, INDIRECT("'" &amp; AB8 &amp; "'!C5:C1000"), 0),
   MATCH("合計", INDIRECT("'" &amp; AB8 &amp; "'!4:4"), 0) - 1
)</f>
        <v>0</v>
      </c>
    </row>
    <row r="9" spans="1:29">
      <c r="A9" s="40">
        <f>元データ!P6</f>
        <v>298</v>
      </c>
      <c r="B9" s="27">
        <f t="shared" si="0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IF(AA9="非採用",0,IF(OFFSET(マスタ非採用削除!E$4,統合マスタ!$A9,0)="","",OFFSET(マスタ非採用削除!E$4,統合マスタ!$A9,0)))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  <c r="AB9" s="27" t="str">
        <f ca="1">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</f>
        <v>散剤</v>
      </c>
      <c r="AC9" s="27" cm="1">
        <f t="array" aca="1" ref="AC9" ca="1">OFFSET(
   INDIRECT("'" &amp; AB9 &amp; "'!A4"),
   MATCH(B9, INDIRECT("'" &amp; AB9 &amp; "'!C5:C1000"), 0),
   MATCH("合計", INDIRECT("'" &amp; AB9 &amp; "'!4:4"), 0) - 1
)</f>
        <v>0</v>
      </c>
    </row>
    <row r="10" spans="1:29">
      <c r="A10" s="40">
        <f>元データ!P7</f>
        <v>299</v>
      </c>
      <c r="B10" s="27">
        <f t="shared" si="0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IF(AA10="非採用",0,IF(OFFSET(マスタ非採用削除!E$4,統合マスタ!$A10,0)="","",OFFSET(マスタ非採用削除!E$4,統合マスタ!$A10,0)))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  <c r="AB10" s="27" t="str">
        <f ca="1">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</f>
        <v>臨時</v>
      </c>
      <c r="AC10" s="27" cm="1">
        <f t="array" aca="1" ref="AC10" ca="1">OFFSET(
   INDIRECT("'" &amp; AB10 &amp; "'!A4"),
   MATCH(B10, INDIRECT("'" &amp; AB10 &amp; "'!C5:C1000"), 0),
   MATCH("合計", INDIRECT("'" &amp; AB10 &amp; "'!4:4"), 0) - 1
)</f>
        <v>0</v>
      </c>
    </row>
    <row r="11" spans="1:29">
      <c r="A11" s="40">
        <f>元データ!P8</f>
        <v>301</v>
      </c>
      <c r="B11" s="27">
        <f t="shared" si="0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IF(AA11="非採用",0,IF(OFFSET(マスタ非採用削除!E$4,統合マスタ!$A11,0)="","",OFFSET(マスタ非採用削除!E$4,統合マスタ!$A11,0)))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  <c r="AB11" s="27" t="str">
        <f ca="1">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</f>
        <v>臨時</v>
      </c>
      <c r="AC11" s="27" cm="1">
        <f t="array" aca="1" ref="AC11" ca="1">OFFSET(
   INDIRECT("'" &amp; AB11 &amp; "'!A4"),
   MATCH(B11, INDIRECT("'" &amp; AB11 &amp; "'!C5:C1000"), 0),
   MATCH("合計", INDIRECT("'" &amp; AB11 &amp; "'!4:4"), 0) - 1
)</f>
        <v>0</v>
      </c>
    </row>
    <row r="12" spans="1:29">
      <c r="A12" s="40" t="str">
        <f>元データ!P9</f>
        <v>非採用</v>
      </c>
      <c r="B12" s="27">
        <f t="shared" si="0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IF(AA12="非採用",0,IF(OFFSET(マスタ非採用削除!E$4,統合マスタ!$A12,0)="","",OFFSET(マスタ非採用削除!E$4,統合マスタ!$A12,0)))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">
        <v>4062</v>
      </c>
      <c r="AB12" s="27" t="str">
        <f ca="1">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</f>
        <v>無し</v>
      </c>
      <c r="AC12" s="27" t="e" cm="1">
        <f t="array" aca="1" ref="AC12" ca="1">OFFSET(
   INDIRECT("'" &amp; AB12 &amp; "'!A4"),
   MATCH(B12, INDIRECT("'" &amp; AB12 &amp; "'!C5:C1000"), 0),
   MATCH("合計", INDIRECT("'" &amp; AB12 &amp; "'!4:4"), 0) - 1
)</f>
        <v>#REF!</v>
      </c>
    </row>
    <row r="13" spans="1:29">
      <c r="A13" s="40">
        <f>元データ!P10</f>
        <v>302</v>
      </c>
      <c r="B13" s="27">
        <f t="shared" si="0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IF(AA13="非採用",0,IF(OFFSET(マスタ非採用削除!E$4,統合マスタ!$A13,0)="","",OFFSET(マスタ非採用削除!E$4,統合マスタ!$A13,0)))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  <c r="AB13" s="27" t="str">
        <f ca="1">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</f>
        <v>散剤</v>
      </c>
      <c r="AC13" s="27" cm="1">
        <f t="array" aca="1" ref="AC13" ca="1">OFFSET(
   INDIRECT("'" &amp; AB13 &amp; "'!A4"),
   MATCH(B13, INDIRECT("'" &amp; AB13 &amp; "'!C5:C1000"), 0),
   MATCH("合計", INDIRECT("'" &amp; AB13 &amp; "'!4:4"), 0) - 1
)</f>
        <v>2.5</v>
      </c>
    </row>
    <row r="14" spans="1:29">
      <c r="A14" s="40">
        <f>元データ!P11</f>
        <v>303</v>
      </c>
      <c r="B14" s="27">
        <f t="shared" si="0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IF(AA14="非採用",0,IF(OFFSET(マスタ非採用削除!E$4,統合マスタ!$A14,0)="","",OFFSET(マスタ非採用削除!E$4,統合マスタ!$A14,0)))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  <c r="AB14" s="27" t="str">
        <f ca="1">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</f>
        <v>散剤</v>
      </c>
      <c r="AC14" s="27" cm="1">
        <f t="array" aca="1" ref="AC14" ca="1">OFFSET(
   INDIRECT("'" &amp; AB14 &amp; "'!A4"),
   MATCH(B14, INDIRECT("'" &amp; AB14 &amp; "'!C5:C1000"), 0),
   MATCH("合計", INDIRECT("'" &amp; AB14 &amp; "'!4:4"), 0) - 1
)</f>
        <v>5</v>
      </c>
    </row>
    <row r="15" spans="1:29">
      <c r="A15" s="40">
        <f>元データ!P12</f>
        <v>304</v>
      </c>
      <c r="B15" s="27">
        <f t="shared" si="0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IF(AA15="非採用",0,IF(OFFSET(マスタ非採用削除!E$4,統合マスタ!$A15,0)="","",OFFSET(マスタ非採用削除!E$4,統合マスタ!$A15,0)))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  <c r="AB15" s="27" t="str">
        <f ca="1">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</f>
        <v>散剤</v>
      </c>
      <c r="AC15" s="27" cm="1">
        <f t="array" aca="1" ref="AC15" ca="1">OFFSET(
   INDIRECT("'" &amp; AB15 &amp; "'!A4"),
   MATCH(B15, INDIRECT("'" &amp; AB15 &amp; "'!C5:C1000"), 0),
   MATCH("合計", INDIRECT("'" &amp; AB15 &amp; "'!4:4"), 0) - 1
)</f>
        <v>7.5</v>
      </c>
    </row>
    <row r="16" spans="1:29">
      <c r="A16" s="40">
        <f>元データ!P13</f>
        <v>305</v>
      </c>
      <c r="B16" s="27">
        <f t="shared" si="0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IF(AA16="非採用",0,IF(OFFSET(マスタ非採用削除!E$4,統合マスタ!$A16,0)="","",OFFSET(マスタ非採用削除!E$4,統合マスタ!$A16,0)))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  <c r="AB16" s="27" t="str">
        <f ca="1">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</f>
        <v>散剤</v>
      </c>
      <c r="AC16" s="27" cm="1">
        <f t="array" aca="1" ref="AC16" ca="1">OFFSET(
   INDIRECT("'" &amp; AB16 &amp; "'!A4"),
   MATCH(B16, INDIRECT("'" &amp; AB16 &amp; "'!C5:C1000"), 0),
   MATCH("合計", INDIRECT("'" &amp; AB16 &amp; "'!4:4"), 0) - 1
)</f>
        <v>10</v>
      </c>
    </row>
    <row r="17" spans="1:29">
      <c r="A17" s="40">
        <f>元データ!P14</f>
        <v>306</v>
      </c>
      <c r="B17" s="27">
        <f t="shared" si="0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IF(AA17="非採用",0,IF(OFFSET(マスタ非採用削除!E$4,統合マスタ!$A17,0)="","",OFFSET(マスタ非採用削除!E$4,統合マスタ!$A17,0)))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  <c r="AB17" s="27" t="str">
        <f ca="1">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</f>
        <v>散剤</v>
      </c>
      <c r="AC17" s="27" cm="1">
        <f t="array" aca="1" ref="AC17" ca="1">OFFSET(
   INDIRECT("'" &amp; AB17 &amp; "'!A4"),
   MATCH(B17, INDIRECT("'" &amp; AB17 &amp; "'!C5:C1000"), 0),
   MATCH("合計", INDIRECT("'" &amp; AB17 &amp; "'!4:4"), 0) - 1
)</f>
        <v>12.5</v>
      </c>
    </row>
    <row r="18" spans="1:29">
      <c r="A18" s="40">
        <f>元データ!P15</f>
        <v>307</v>
      </c>
      <c r="B18" s="27">
        <f t="shared" si="0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IF(AA18="非採用",0,IF(OFFSET(マスタ非採用削除!E$4,統合マスタ!$A18,0)="","",OFFSET(マスタ非採用削除!E$4,統合マスタ!$A18,0)))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  <c r="AB18" s="27" t="str">
        <f ca="1">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</f>
        <v>臨時</v>
      </c>
      <c r="AC18" s="27" cm="1">
        <f t="array" aca="1" ref="AC18" ca="1">OFFSET(
   INDIRECT("'" &amp; AB18 &amp; "'!A4"),
   MATCH(B18, INDIRECT("'" &amp; AB18 &amp; "'!C5:C1000"), 0),
   MATCH("合計", INDIRECT("'" &amp; AB18 &amp; "'!4:4"), 0) - 1
)</f>
        <v>0</v>
      </c>
    </row>
    <row r="19" spans="1:29">
      <c r="A19" s="40">
        <f>元データ!P16</f>
        <v>308</v>
      </c>
      <c r="B19" s="27">
        <f t="shared" si="0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IF(AA19="非採用",0,IF(OFFSET(マスタ非採用削除!E$4,統合マスタ!$A19,0)="","",OFFSET(マスタ非採用削除!E$4,統合マスタ!$A19,0)))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  <c r="AB19" s="27" t="str">
        <f ca="1">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</f>
        <v>臨時</v>
      </c>
      <c r="AC19" s="27" cm="1">
        <f t="array" aca="1" ref="AC19" ca="1">OFFSET(
   INDIRECT("'" &amp; AB19 &amp; "'!A4"),
   MATCH(B19, INDIRECT("'" &amp; AB19 &amp; "'!C5:C1000"), 0),
   MATCH("合計", INDIRECT("'" &amp; AB19 &amp; "'!4:4"), 0) - 1
)</f>
        <v>0</v>
      </c>
    </row>
    <row r="20" spans="1:29">
      <c r="A20" s="40">
        <f>元データ!P17</f>
        <v>43</v>
      </c>
      <c r="B20" s="27">
        <f t="shared" si="0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IF(AA20="非採用",0,IF(OFFSET(マスタ非採用削除!E$4,統合マスタ!$A20,0)="","",OFFSET(マスタ非採用削除!E$4,統合マスタ!$A20,0)))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/>
      <c r="AB20" s="27" t="str">
        <f ca="1">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</f>
        <v>錠剤</v>
      </c>
      <c r="AC20" s="27" cm="1">
        <f t="array" aca="1" ref="AC20" ca="1">OFFSET(
   INDIRECT("'" &amp; AB20 &amp; "'!A4"),
   MATCH(B20, INDIRECT("'" &amp; AB20 &amp; "'!C5:C1000"), 0),
   MATCH("合計", INDIRECT("'" &amp; AB20 &amp; "'!4:4"), 0) - 1
)</f>
        <v>1</v>
      </c>
    </row>
    <row r="21" spans="1:29">
      <c r="A21" s="40">
        <f>元データ!P18</f>
        <v>139</v>
      </c>
      <c r="B21" s="27">
        <f t="shared" si="0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IF(AA21="非採用",0,IF(OFFSET(マスタ非採用削除!E$4,統合マスタ!$A21,0)="","",OFFSET(マスタ非採用削除!E$4,統合マスタ!$A21,0)))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  <c r="AB21" s="27" t="str">
        <f ca="1">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</f>
        <v>散剤</v>
      </c>
      <c r="AC21" s="27" cm="1">
        <f t="array" aca="1" ref="AC21" ca="1">OFFSET(
   INDIRECT("'" &amp; AB21 &amp; "'!A4"),
   MATCH(B21, INDIRECT("'" &amp; AB21 &amp; "'!C5:C1000"), 0),
   MATCH("合計", INDIRECT("'" &amp; AB21 &amp; "'!4:4"), 0) - 1
)</f>
        <v>15</v>
      </c>
    </row>
    <row r="22" spans="1:29">
      <c r="A22" s="40">
        <f>元データ!P19</f>
        <v>144</v>
      </c>
      <c r="B22" s="27">
        <f t="shared" si="0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IF(AA22="非採用",0,IF(OFFSET(マスタ非採用削除!E$4,統合マスタ!$A22,0)="","",OFFSET(マスタ非採用削除!E$4,統合マスタ!$A22,0)))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  <c r="AB22" s="27" t="str">
        <f ca="1">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</f>
        <v>臨時</v>
      </c>
      <c r="AC22" s="27" cm="1">
        <f t="array" aca="1" ref="AC22" ca="1">OFFSET(
   INDIRECT("'" &amp; AB22 &amp; "'!A4"),
   MATCH(B22, INDIRECT("'" &amp; AB22 &amp; "'!C5:C1000"), 0),
   MATCH("合計", INDIRECT("'" &amp; AB22 &amp; "'!4:4"), 0) - 1
)</f>
        <v>0</v>
      </c>
    </row>
    <row r="23" spans="1:29">
      <c r="A23" s="40">
        <f>元データ!P20</f>
        <v>140</v>
      </c>
      <c r="B23" s="27">
        <f t="shared" si="0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IF(AA23="非採用",0,IF(OFFSET(マスタ非採用削除!E$4,統合マスタ!$A23,0)="","",OFFSET(マスタ非採用削除!E$4,統合マスタ!$A23,0)))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  <c r="AB23" s="27" t="str">
        <f ca="1">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</f>
        <v>臨時</v>
      </c>
      <c r="AC23" s="27" cm="1">
        <f t="array" aca="1" ref="AC23" ca="1">OFFSET(
   INDIRECT("'" &amp; AB23 &amp; "'!A4"),
   MATCH(B23, INDIRECT("'" &amp; AB23 &amp; "'!C5:C1000"), 0),
   MATCH("合計", INDIRECT("'" &amp; AB23 &amp; "'!4:4"), 0) - 1
)</f>
        <v>0</v>
      </c>
    </row>
    <row r="24" spans="1:29">
      <c r="A24" s="40" t="str">
        <f>元データ!P21</f>
        <v>非採用</v>
      </c>
      <c r="B24" s="27">
        <f t="shared" si="0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IF(AA24="非採用",0,IF(OFFSET(マスタ非採用削除!E$4,統合マスタ!$A24,0)="","",OFFSET(マスタ非採用削除!E$4,統合マスタ!$A24,0)))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4068</v>
      </c>
      <c r="AB24" s="27" t="str">
        <f ca="1">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</f>
        <v>無し</v>
      </c>
      <c r="AC24" s="27" t="e" cm="1">
        <f t="array" aca="1" ref="AC24" ca="1">OFFSET(
   INDIRECT("'" &amp; AB24 &amp; "'!A4"),
   MATCH(B24, INDIRECT("'" &amp; AB24 &amp; "'!C5:C1000"), 0),
   MATCH("合計", INDIRECT("'" &amp; AB24 &amp; "'!4:4"), 0) - 1
)</f>
        <v>#REF!</v>
      </c>
    </row>
    <row r="25" spans="1:29">
      <c r="A25" s="40">
        <f>元データ!P22</f>
        <v>141</v>
      </c>
      <c r="B25" s="27">
        <f t="shared" si="0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IF(AA25="非採用",0,IF(OFFSET(マスタ非採用削除!E$4,統合マスタ!$A25,0)="","",OFFSET(マスタ非採用削除!E$4,統合マスタ!$A25,0)))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  <c r="AB25" s="27" t="str">
        <f ca="1">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</f>
        <v>散剤</v>
      </c>
      <c r="AC25" s="27" cm="1">
        <f t="array" aca="1" ref="AC25" ca="1">OFFSET(
   INDIRECT("'" &amp; AB25 &amp; "'!A4"),
   MATCH(B25, INDIRECT("'" &amp; AB25 &amp; "'!C5:C1000"), 0),
   MATCH("合計", INDIRECT("'" &amp; AB25 &amp; "'!4:4"), 0) - 1
)</f>
        <v>14</v>
      </c>
    </row>
    <row r="26" spans="1:29">
      <c r="A26" s="40">
        <f>元データ!P23</f>
        <v>142</v>
      </c>
      <c r="B26" s="27">
        <f t="shared" si="0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IF(AA26="非採用",0,IF(OFFSET(マスタ非採用削除!E$4,統合マスタ!$A26,0)="","",OFFSET(マスタ非採用削除!E$4,統合マスタ!$A26,0)))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  <c r="AB26" s="27" t="str">
        <f ca="1">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</f>
        <v>臨時</v>
      </c>
      <c r="AC26" s="27" cm="1">
        <f t="array" aca="1" ref="AC26" ca="1">OFFSET(
   INDIRECT("'" &amp; AB26 &amp; "'!A4"),
   MATCH(B26, INDIRECT("'" &amp; AB26 &amp; "'!C5:C1000"), 0),
   MATCH("合計", INDIRECT("'" &amp; AB26 &amp; "'!4:4"), 0) - 1
)</f>
        <v>0</v>
      </c>
    </row>
    <row r="27" spans="1:29">
      <c r="A27" s="40">
        <f>元データ!P24</f>
        <v>143</v>
      </c>
      <c r="B27" s="27">
        <f t="shared" si="0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IF(AA27="非採用",0,IF(OFFSET(マスタ非採用削除!E$4,統合マスタ!$A27,0)="","",OFFSET(マスタ非採用削除!E$4,統合マスタ!$A27,0)))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  <c r="AB27" s="27" t="str">
        <f ca="1">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</f>
        <v>散剤</v>
      </c>
      <c r="AC27" s="27" cm="1">
        <f t="array" aca="1" ref="AC27" ca="1">OFFSET(
   INDIRECT("'" &amp; AB27 &amp; "'!A4"),
   MATCH(B27, INDIRECT("'" &amp; AB27 &amp; "'!C5:C1000"), 0),
   MATCH("合計", INDIRECT("'" &amp; AB27 &amp; "'!4:4"), 0) - 1
)</f>
        <v>20</v>
      </c>
    </row>
    <row r="28" spans="1:29">
      <c r="A28" s="40">
        <f>元データ!P25</f>
        <v>59</v>
      </c>
      <c r="B28" s="27">
        <f t="shared" si="0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IF(AA28="非採用",0,IF(OFFSET(マスタ非採用削除!E$4,統合マスタ!$A28,0)="","",OFFSET(マスタ非採用削除!E$4,統合マスタ!$A28,0)))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  <c r="AB28" s="27" t="str">
        <f ca="1">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</f>
        <v>無し</v>
      </c>
      <c r="AC28" s="27" t="e" cm="1">
        <f t="array" aca="1" ref="AC28" ca="1">OFFSET(
   INDIRECT("'" &amp; AB28 &amp; "'!A4"),
   MATCH(B28, INDIRECT("'" &amp; AB28 &amp; "'!C5:C1000"), 0),
   MATCH("合計", INDIRECT("'" &amp; AB28 &amp; "'!4:4"), 0) - 1
)</f>
        <v>#REF!</v>
      </c>
    </row>
    <row r="29" spans="1:29">
      <c r="A29" s="40">
        <f>元データ!P26</f>
        <v>76</v>
      </c>
      <c r="B29" s="27">
        <f t="shared" si="0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IF(AA29="非採用",0,IF(OFFSET(マスタ非採用削除!E$4,統合マスタ!$A29,0)="","",OFFSET(マスタ非採用削除!E$4,統合マスタ!$A29,0)))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  <c r="AB29" s="27" t="str">
        <f ca="1">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</f>
        <v>外用剤</v>
      </c>
      <c r="AC29" s="27" t="e" cm="1">
        <f t="array" aca="1" ref="AC29" ca="1">OFFSET(
   INDIRECT("'" &amp; AB29 &amp; "'!A4"),
   MATCH(B29, INDIRECT("'" &amp; AB29 &amp; "'!C5:C1000"), 0),
   MATCH("合計", INDIRECT("'" &amp; AB29 &amp; "'!4:4"), 0) - 1
)</f>
        <v>#REF!</v>
      </c>
    </row>
    <row r="30" spans="1:29">
      <c r="A30" s="40">
        <f>元データ!P27</f>
        <v>581</v>
      </c>
      <c r="B30" s="27">
        <f t="shared" si="0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IF(AA30="非採用",0,IF(OFFSET(マスタ非採用削除!E$4,統合マスタ!$A30,0)="","",OFFSET(マスタ非採用削除!E$4,統合マスタ!$A30,0)))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  <c r="AB30" s="27" t="str">
        <f ca="1">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</f>
        <v>臨時</v>
      </c>
      <c r="AC30" s="27" cm="1">
        <f t="array" aca="1" ref="AC30" ca="1">OFFSET(
   INDIRECT("'" &amp; AB30 &amp; "'!A4"),
   MATCH(B30, INDIRECT("'" &amp; AB30 &amp; "'!C5:C1000"), 0),
   MATCH("合計", INDIRECT("'" &amp; AB30 &amp; "'!4:4"), 0) - 1
)</f>
        <v>0</v>
      </c>
    </row>
    <row r="31" spans="1:29">
      <c r="A31" s="40">
        <f>元データ!P28</f>
        <v>22</v>
      </c>
      <c r="B31" s="27">
        <f t="shared" si="0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IF(AA31="非採用",0,IF(OFFSET(マスタ非採用削除!E$4,統合マスタ!$A31,0)="","",OFFSET(マスタ非採用削除!E$4,統合マスタ!$A31,0)))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  <c r="AB31" s="27" t="str">
        <f ca="1">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</f>
        <v>錠剤</v>
      </c>
      <c r="AC31" s="27" cm="1">
        <f t="array" aca="1" ref="AC31" ca="1">OFFSET(
   INDIRECT("'" &amp; AB31 &amp; "'!A4"),
   MATCH(B31, INDIRECT("'" &amp; AB31 &amp; "'!C5:C1000"), 0),
   MATCH("合計", INDIRECT("'" &amp; AB31 &amp; "'!4:4"), 0) - 1
)</f>
        <v>2</v>
      </c>
    </row>
    <row r="32" spans="1:29">
      <c r="A32" s="40" t="str">
        <f>元データ!P29</f>
        <v>非採用</v>
      </c>
      <c r="B32" s="27">
        <f t="shared" si="0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IF(AA32="非採用",0,IF(OFFSET(マスタ非採用削除!E$4,統合マスタ!$A32,0)="","",OFFSET(マスタ非採用削除!E$4,統合マスタ!$A32,0)))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4062</v>
      </c>
      <c r="AB32" s="27" t="str">
        <f ca="1">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</f>
        <v>無し</v>
      </c>
      <c r="AC32" s="27" t="e" cm="1">
        <f t="array" aca="1" ref="AC32" ca="1">OFFSET(
   INDIRECT("'" &amp; AB32 &amp; "'!A4"),
   MATCH(B32, INDIRECT("'" &amp; AB32 &amp; "'!C5:C1000"), 0),
   MATCH("合計", INDIRECT("'" &amp; AB32 &amp; "'!4:4"), 0) - 1
)</f>
        <v>#REF!</v>
      </c>
    </row>
    <row r="33" spans="1:29">
      <c r="A33" s="40" t="str">
        <f>元データ!P30</f>
        <v>非採用</v>
      </c>
      <c r="B33" s="27">
        <f t="shared" si="0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IF(AA33="非採用",0,IF(OFFSET(マスタ非採用削除!E$4,統合マスタ!$A33,0)="","",OFFSET(マスタ非採用削除!E$4,統合マスタ!$A33,0)))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4062</v>
      </c>
      <c r="AB33" s="27" t="str">
        <f ca="1">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</f>
        <v>無し</v>
      </c>
      <c r="AC33" s="27" t="e" cm="1">
        <f t="array" aca="1" ref="AC33" ca="1">OFFSET(
   INDIRECT("'" &amp; AB33 &amp; "'!A4"),
   MATCH(B33, INDIRECT("'" &amp; AB33 &amp; "'!C5:C1000"), 0),
   MATCH("合計", INDIRECT("'" &amp; AB33 &amp; "'!4:4"), 0) - 1
)</f>
        <v>#REF!</v>
      </c>
    </row>
    <row r="34" spans="1:29">
      <c r="A34" s="40" t="str">
        <f>元データ!P31</f>
        <v>非採用</v>
      </c>
      <c r="B34" s="27">
        <f t="shared" si="0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IF(AA34="非採用",0,IF(OFFSET(マスタ非採用削除!E$4,統合マスタ!$A34,0)="","",OFFSET(マスタ非採用削除!E$4,統合マスタ!$A34,0)))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4062</v>
      </c>
      <c r="AB34" s="27" t="str">
        <f ca="1">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</f>
        <v>無し</v>
      </c>
      <c r="AC34" s="27" t="e" cm="1">
        <f t="array" aca="1" ref="AC34" ca="1">OFFSET(
   INDIRECT("'" &amp; AB34 &amp; "'!A4"),
   MATCH(B34, INDIRECT("'" &amp; AB34 &amp; "'!C5:C1000"), 0),
   MATCH("合計", INDIRECT("'" &amp; AB34 &amp; "'!4:4"), 0) - 1
)</f>
        <v>#REF!</v>
      </c>
    </row>
    <row r="35" spans="1:29">
      <c r="A35" s="40">
        <f>元データ!P32</f>
        <v>2</v>
      </c>
      <c r="B35" s="27">
        <f t="shared" si="0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IF(AA35="非採用",0,IF(OFFSET(マスタ非採用削除!E$4,統合マスタ!$A35,0)="","",OFFSET(マスタ非採用削除!E$4,統合マスタ!$A35,0)))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  <c r="AB35" s="27" t="str">
        <f ca="1">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</f>
        <v>注射</v>
      </c>
      <c r="AC35" s="27" cm="1">
        <f t="array" aca="1" ref="AC35" ca="1">OFFSET(
   INDIRECT("'" &amp; AB35 &amp; "'!A4"),
   MATCH(B35, INDIRECT("'" &amp; AB35 &amp; "'!C5:C1000"), 0),
   MATCH("合計", INDIRECT("'" &amp; AB35 &amp; "'!4:4"), 0) - 1
)</f>
        <v>0</v>
      </c>
    </row>
    <row r="36" spans="1:29">
      <c r="A36" s="40">
        <f>元データ!P33</f>
        <v>3</v>
      </c>
      <c r="B36" s="27">
        <f t="shared" si="0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IF(AA36="非採用",0,IF(OFFSET(マスタ非採用削除!E$4,統合マスタ!$A36,0)="","",OFFSET(マスタ非採用削除!E$4,統合マスタ!$A36,0)))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  <c r="AB36" s="27" t="str">
        <f ca="1">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</f>
        <v>外用剤</v>
      </c>
      <c r="AC36" s="27" t="e" cm="1">
        <f t="array" aca="1" ref="AC36" ca="1">OFFSET(
   INDIRECT("'" &amp; AB36 &amp; "'!A4"),
   MATCH(B36, INDIRECT("'" &amp; AB36 &amp; "'!C5:C1000"), 0),
   MATCH("合計", INDIRECT("'" &amp; AB36 &amp; "'!4:4"), 0) - 1
)</f>
        <v>#REF!</v>
      </c>
    </row>
    <row r="37" spans="1:29">
      <c r="A37" s="40">
        <f>元データ!P34</f>
        <v>4</v>
      </c>
      <c r="B37" s="27">
        <f t="shared" si="0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IF(AA37="非採用",0,IF(OFFSET(マスタ非採用削除!E$4,統合マスタ!$A37,0)="","",OFFSET(マスタ非採用削除!E$4,統合マスタ!$A37,0)))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  <c r="AB37" s="27" t="str">
        <f ca="1">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</f>
        <v>注射</v>
      </c>
      <c r="AC37" s="27" cm="1">
        <f t="array" aca="1" ref="AC37" ca="1">OFFSET(
   INDIRECT("'" &amp; AB37 &amp; "'!A4"),
   MATCH(B37, INDIRECT("'" &amp; AB37 &amp; "'!C5:C1000"), 0),
   MATCH("合計", INDIRECT("'" &amp; AB37 &amp; "'!4:4"), 0) - 1
)</f>
        <v>0</v>
      </c>
    </row>
    <row r="38" spans="1:29">
      <c r="A38" s="40">
        <f>元データ!P35</f>
        <v>5</v>
      </c>
      <c r="B38" s="27">
        <f t="shared" si="0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IF(AA38="非採用",0,IF(OFFSET(マスタ非採用削除!E$4,統合マスタ!$A38,0)="","",OFFSET(マスタ非採用削除!E$4,統合マスタ!$A38,0)))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  <c r="AB38" s="27" t="str">
        <f ca="1">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</f>
        <v>外用剤</v>
      </c>
      <c r="AC38" s="27" t="e" cm="1">
        <f t="array" aca="1" ref="AC38" ca="1">OFFSET(
   INDIRECT("'" &amp; AB38 &amp; "'!A4"),
   MATCH(B38, INDIRECT("'" &amp; AB38 &amp; "'!C5:C1000"), 0),
   MATCH("合計", INDIRECT("'" &amp; AB38 &amp; "'!4:4"), 0) - 1
)</f>
        <v>#REF!</v>
      </c>
    </row>
    <row r="39" spans="1:29">
      <c r="A39" s="40">
        <f>元データ!P36</f>
        <v>6</v>
      </c>
      <c r="B39" s="27">
        <f t="shared" si="0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IF(AA39="非採用",0,IF(OFFSET(マスタ非採用削除!E$4,統合マスタ!$A39,0)="","",OFFSET(マスタ非採用削除!E$4,統合マスタ!$A39,0)))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  <c r="AB39" s="27" t="str">
        <f ca="1">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</f>
        <v>臨時</v>
      </c>
      <c r="AC39" s="27" cm="1">
        <f t="array" aca="1" ref="AC39" ca="1">OFFSET(
   INDIRECT("'" &amp; AB39 &amp; "'!A4"),
   MATCH(B39, INDIRECT("'" &amp; AB39 &amp; "'!C5:C1000"), 0),
   MATCH("合計", INDIRECT("'" &amp; AB39 &amp; "'!4:4"), 0) - 1
)</f>
        <v>0</v>
      </c>
    </row>
    <row r="40" spans="1:29">
      <c r="A40" s="40">
        <f>元データ!P37</f>
        <v>7</v>
      </c>
      <c r="B40" s="27">
        <f t="shared" si="0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IF(AA40="非採用",0,IF(OFFSET(マスタ非採用削除!E$4,統合マスタ!$A40,0)="","",OFFSET(マスタ非採用削除!E$4,統合マスタ!$A40,0)))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  <c r="AB40" s="27" t="str">
        <f ca="1">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</f>
        <v>臨時</v>
      </c>
      <c r="AC40" s="27" cm="1">
        <f t="array" aca="1" ref="AC40" ca="1">OFFSET(
   INDIRECT("'" &amp; AB40 &amp; "'!A4"),
   MATCH(B40, INDIRECT("'" &amp; AB40 &amp; "'!C5:C1000"), 0),
   MATCH("合計", INDIRECT("'" &amp; AB40 &amp; "'!4:4"), 0) - 1
)</f>
        <v>0</v>
      </c>
    </row>
    <row r="41" spans="1:29">
      <c r="A41" s="40">
        <f>元データ!P38</f>
        <v>8</v>
      </c>
      <c r="B41" s="27">
        <f t="shared" si="0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IF(AA41="非採用",0,IF(OFFSET(マスタ非採用削除!E$4,統合マスタ!$A41,0)="","",OFFSET(マスタ非採用削除!E$4,統合マスタ!$A41,0)))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  <c r="AB41" s="27" t="str">
        <f ca="1">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</f>
        <v>錠剤</v>
      </c>
      <c r="AC41" s="27" cm="1">
        <f t="array" aca="1" ref="AC41" ca="1">OFFSET(
   INDIRECT("'" &amp; AB41 &amp; "'!A4"),
   MATCH(B41, INDIRECT("'" &amp; AB41 &amp; "'!C5:C1000"), 0),
   MATCH("合計", INDIRECT("'" &amp; AB41 &amp; "'!4:4"), 0) - 1
)</f>
        <v>3</v>
      </c>
    </row>
    <row r="42" spans="1:29">
      <c r="A42" s="40">
        <f>元データ!P39</f>
        <v>9</v>
      </c>
      <c r="B42" s="27">
        <f t="shared" si="0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IF(AA42="非採用",0,IF(OFFSET(マスタ非採用削除!E$4,統合マスタ!$A42,0)="","",OFFSET(マスタ非採用削除!E$4,統合マスタ!$A42,0)))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/>
      <c r="AB42" s="27" t="str">
        <f ca="1">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</f>
        <v>錠剤</v>
      </c>
      <c r="AC42" s="27" cm="1">
        <f t="array" aca="1" ref="AC42" ca="1">OFFSET(
   INDIRECT("'" &amp; AB42 &amp; "'!A4"),
   MATCH(B42, INDIRECT("'" &amp; AB42 &amp; "'!C5:C1000"), 0),
   MATCH("合計", INDIRECT("'" &amp; AB42 &amp; "'!4:4"), 0) - 1
)</f>
        <v>4</v>
      </c>
    </row>
    <row r="43" spans="1:29">
      <c r="A43" s="40">
        <f>元データ!P40</f>
        <v>9</v>
      </c>
      <c r="B43" s="27">
        <f t="shared" si="0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IF(AA43="非採用",0,IF(OFFSET(マスタ非採用削除!E$4,統合マスタ!$A43,0)="","",OFFSET(マスタ非採用削除!E$4,統合マスタ!$A43,0)))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/>
      <c r="AB43" s="27" t="str">
        <f ca="1">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</f>
        <v>錠剤</v>
      </c>
      <c r="AC43" s="27" cm="1">
        <f t="array" aca="1" ref="AC43" ca="1">OFFSET(
   INDIRECT("'" &amp; AB43 &amp; "'!A4"),
   MATCH(B43, INDIRECT("'" &amp; AB43 &amp; "'!C5:C1000"), 0),
   MATCH("合計", INDIRECT("'" &amp; AB43 &amp; "'!4:4"), 0) - 1
)</f>
        <v>5</v>
      </c>
    </row>
    <row r="44" spans="1:29">
      <c r="A44" s="40">
        <f>元データ!P41</f>
        <v>10</v>
      </c>
      <c r="B44" s="27">
        <f t="shared" si="0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IF(AA44="非採用",0,IF(OFFSET(マスタ非採用削除!E$4,統合マスタ!$A44,0)="","",OFFSET(マスタ非採用削除!E$4,統合マスタ!$A44,0)))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  <c r="AB44" s="27" t="str">
        <f ca="1">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</f>
        <v>注射</v>
      </c>
      <c r="AC44" s="27" cm="1">
        <f t="array" aca="1" ref="AC44" ca="1">OFFSET(
   INDIRECT("'" &amp; AB44 &amp; "'!A4"),
   MATCH(B44, INDIRECT("'" &amp; AB44 &amp; "'!C5:C1000"), 0),
   MATCH("合計", INDIRECT("'" &amp; AB44 &amp; "'!4:4"), 0) - 1
)</f>
        <v>0</v>
      </c>
    </row>
    <row r="45" spans="1:29">
      <c r="A45" s="40" t="str">
        <f>元データ!P42</f>
        <v>非採用</v>
      </c>
      <c r="B45" s="27">
        <f t="shared" si="0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IF(AA45="非採用",0,IF(OFFSET(マスタ非採用削除!E$4,統合マスタ!$A45,0)="","",OFFSET(マスタ非採用削除!E$4,統合マスタ!$A45,0)))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">
        <v>4062</v>
      </c>
      <c r="AB45" s="27" t="str">
        <f ca="1">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</f>
        <v>無し</v>
      </c>
      <c r="AC45" s="27" t="e" cm="1">
        <f t="array" aca="1" ref="AC45" ca="1">OFFSET(
   INDIRECT("'" &amp; AB45 &amp; "'!A4"),
   MATCH(B45, INDIRECT("'" &amp; AB45 &amp; "'!C5:C1000"), 0),
   MATCH("合計", INDIRECT("'" &amp; AB45 &amp; "'!4:4"), 0) - 1
)</f>
        <v>#REF!</v>
      </c>
    </row>
    <row r="46" spans="1:29">
      <c r="A46" s="40" t="str">
        <f>元データ!P43</f>
        <v>非採用</v>
      </c>
      <c r="B46" s="27">
        <f t="shared" si="0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IF(AA46="非採用",0,IF(OFFSET(マスタ非採用削除!E$4,統合マスタ!$A46,0)="","",OFFSET(マスタ非採用削除!E$4,統合マスタ!$A46,0)))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4062</v>
      </c>
      <c r="AB46" s="27" t="str">
        <f ca="1">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</f>
        <v>無し</v>
      </c>
      <c r="AC46" s="27" t="e" cm="1">
        <f t="array" aca="1" ref="AC46" ca="1">OFFSET(
   INDIRECT("'" &amp; AB46 &amp; "'!A4"),
   MATCH(B46, INDIRECT("'" &amp; AB46 &amp; "'!C5:C1000"), 0),
   MATCH("合計", INDIRECT("'" &amp; AB46 &amp; "'!4:4"), 0) - 1
)</f>
        <v>#REF!</v>
      </c>
    </row>
    <row r="47" spans="1:29">
      <c r="A47" s="40">
        <f>元データ!P44</f>
        <v>12</v>
      </c>
      <c r="B47" s="27">
        <f t="shared" si="0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IF(AA47="非採用",0,IF(OFFSET(マスタ非採用削除!E$4,統合マスタ!$A47,0)="","",OFFSET(マスタ非採用削除!E$4,統合マスタ!$A47,0)))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/>
      <c r="AB47" s="27" t="str">
        <f ca="1">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</f>
        <v>錠剤</v>
      </c>
      <c r="AC47" s="27" cm="1">
        <f t="array" aca="1" ref="AC47" ca="1">OFFSET(
   INDIRECT("'" &amp; AB47 &amp; "'!A4"),
   MATCH(B47, INDIRECT("'" &amp; AB47 &amp; "'!C5:C1000"), 0),
   MATCH("合計", INDIRECT("'" &amp; AB47 &amp; "'!4:4"), 0) - 1
)</f>
        <v>6</v>
      </c>
    </row>
    <row r="48" spans="1:29">
      <c r="A48" s="40">
        <f>元データ!P45</f>
        <v>12</v>
      </c>
      <c r="B48" s="27">
        <f t="shared" si="0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IF(AA48="非採用",0,IF(OFFSET(マスタ非採用削除!E$4,統合マスタ!$A48,0)="","",OFFSET(マスタ非採用削除!E$4,統合マスタ!$A48,0)))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/>
      <c r="AB48" s="27" t="str">
        <f ca="1">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</f>
        <v>錠剤</v>
      </c>
      <c r="AC48" s="27" cm="1">
        <f t="array" aca="1" ref="AC48" ca="1">OFFSET(
   INDIRECT("'" &amp; AB48 &amp; "'!A4"),
   MATCH(B48, INDIRECT("'" &amp; AB48 &amp; "'!C5:C1000"), 0),
   MATCH("合計", INDIRECT("'" &amp; AB48 &amp; "'!4:4"), 0) - 1
)</f>
        <v>7</v>
      </c>
    </row>
    <row r="49" spans="1:29">
      <c r="A49" s="40">
        <f>元データ!P46</f>
        <v>14</v>
      </c>
      <c r="B49" s="27">
        <f t="shared" si="0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IF(AA49="非採用",0,IF(OFFSET(マスタ非採用削除!E$4,統合マスタ!$A49,0)="","",OFFSET(マスタ非採用削除!E$4,統合マスタ!$A49,0)))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  <c r="AB49" s="27" t="str">
        <f ca="1">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</f>
        <v>散剤</v>
      </c>
      <c r="AC49" s="27" cm="1">
        <f t="array" aca="1" ref="AC49" ca="1">OFFSET(
   INDIRECT("'" &amp; AB49 &amp; "'!A4"),
   MATCH(B49, INDIRECT("'" &amp; AB49 &amp; "'!C5:C1000"), 0),
   MATCH("合計", INDIRECT("'" &amp; AB49 &amp; "'!4:4"), 0) - 1
)</f>
        <v>4500</v>
      </c>
    </row>
    <row r="50" spans="1:29">
      <c r="A50" s="40">
        <f>元データ!P47</f>
        <v>13</v>
      </c>
      <c r="B50" s="27">
        <f t="shared" si="0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IF(AA50="非採用",0,IF(OFFSET(マスタ非採用削除!E$4,統合マスタ!$A50,0)="","",OFFSET(マスタ非採用削除!E$4,統合マスタ!$A50,0)))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  <c r="AB50" s="27" t="str">
        <f ca="1">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</f>
        <v>錠剤</v>
      </c>
      <c r="AC50" s="27" cm="1">
        <f t="array" aca="1" ref="AC50" ca="1">OFFSET(
   INDIRECT("'" &amp; AB50 &amp; "'!A4"),
   MATCH(B50, INDIRECT("'" &amp; AB50 &amp; "'!C5:C1000"), 0),
   MATCH("合計", INDIRECT("'" &amp; AB50 &amp; "'!4:4"), 0) - 1
)</f>
        <v>8</v>
      </c>
    </row>
    <row r="51" spans="1:29">
      <c r="A51" s="40">
        <f>元データ!P48</f>
        <v>13</v>
      </c>
      <c r="B51" s="27">
        <f t="shared" si="0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IF(AA51="非採用",0,IF(OFFSET(マスタ非採用削除!E$4,統合マスタ!$A51,0)="","",OFFSET(マスタ非採用削除!E$4,統合マスタ!$A51,0)))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  <c r="AB51" s="27" t="str">
        <f ca="1">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</f>
        <v>錠剤</v>
      </c>
      <c r="AC51" s="27" cm="1">
        <f t="array" aca="1" ref="AC51" ca="1">OFFSET(
   INDIRECT("'" &amp; AB51 &amp; "'!A4"),
   MATCH(B51, INDIRECT("'" &amp; AB51 &amp; "'!C5:C1000"), 0),
   MATCH("合計", INDIRECT("'" &amp; AB51 &amp; "'!4:4"), 0) - 1
)</f>
        <v>9</v>
      </c>
    </row>
    <row r="52" spans="1:29">
      <c r="A52" s="40">
        <f>元データ!P49</f>
        <v>15</v>
      </c>
      <c r="B52" s="27">
        <f t="shared" si="0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IF(AA52="非採用",0,IF(OFFSET(マスタ非採用削除!E$4,統合マスタ!$A52,0)="","",OFFSET(マスタ非採用削除!E$4,統合マスタ!$A52,0)))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  <c r="AB52" s="27" t="str">
        <f ca="1">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</f>
        <v>注射</v>
      </c>
      <c r="AC52" s="27" cm="1">
        <f t="array" aca="1" ref="AC52" ca="1">OFFSET(
   INDIRECT("'" &amp; AB52 &amp; "'!A4"),
   MATCH(B52, INDIRECT("'" &amp; AB52 &amp; "'!C5:C1000"), 0),
   MATCH("合計", INDIRECT("'" &amp; AB52 &amp; "'!4:4"), 0) - 1
)</f>
        <v>0</v>
      </c>
    </row>
    <row r="53" spans="1:29">
      <c r="A53" s="40">
        <f>元データ!P50</f>
        <v>16</v>
      </c>
      <c r="B53" s="27">
        <f t="shared" si="0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IF(AA53="非採用",0,IF(OFFSET(マスタ非採用削除!E$4,統合マスタ!$A53,0)="","",OFFSET(マスタ非採用削除!E$4,統合マスタ!$A53,0)))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  <c r="AB53" s="27" t="str">
        <f ca="1">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</f>
        <v>外用剤</v>
      </c>
      <c r="AC53" s="27" t="e" cm="1">
        <f t="array" aca="1" ref="AC53" ca="1">OFFSET(
   INDIRECT("'" &amp; AB53 &amp; "'!A4"),
   MATCH(B53, INDIRECT("'" &amp; AB53 &amp; "'!C5:C1000"), 0),
   MATCH("合計", INDIRECT("'" &amp; AB53 &amp; "'!4:4"), 0) - 1
)</f>
        <v>#REF!</v>
      </c>
    </row>
    <row r="54" spans="1:29">
      <c r="A54" s="40">
        <f>元データ!P51</f>
        <v>0</v>
      </c>
      <c r="B54" s="27">
        <f t="shared" si="0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str">
        <f ca="1">IF(OFFSET(マスタ非採用削除!A$4,統合マスタ!$A54,0)="","",OFFSET(マスタ非採用削除!A$4,統合マスタ!$A54,0))</f>
        <v>コード(区分値)</v>
      </c>
      <c r="O54" s="53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3" t="str">
        <f ca="1">IF(OFFSET(マスタ非採用削除!D$4,統合マスタ!$A54,0)="","",OFFSET(マスタ非採用削除!D$4,統合マスタ!$A54,0))</f>
        <v>ホストコード</v>
      </c>
      <c r="R54" s="27" t="str">
        <f ca="1">IF(AA54="非採用",0,IF(OFFSET(マスタ非採用削除!E$4,統合マスタ!$A54,0)="","",OFFSET(マスタ非採用削除!E$4,統合マスタ!$A54,0)))</f>
        <v>採用区分（区分値）(区分値)</v>
      </c>
      <c r="S54" s="53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3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3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場所</v>
      </c>
      <c r="AA54" s="27"/>
      <c r="AB54" s="27" t="str">
        <f ca="1">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</f>
        <v>無し</v>
      </c>
      <c r="AC54" s="27" t="e" cm="1">
        <f t="array" aca="1" ref="AC54" ca="1">OFFSET(
   INDIRECT("'" &amp; AB54 &amp; "'!A4"),
   MATCH(B54, INDIRECT("'" &amp; AB54 &amp; "'!C5:C1000"), 0),
   MATCH("合計", INDIRECT("'" &amp; AB54 &amp; "'!4:4"), 0) - 1
)</f>
        <v>#REF!</v>
      </c>
    </row>
    <row r="55" spans="1:29">
      <c r="A55" s="40">
        <f>元データ!P52</f>
        <v>17</v>
      </c>
      <c r="B55" s="27">
        <f t="shared" si="0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IF(AA55="非採用",0,IF(OFFSET(マスタ非採用削除!E$4,統合マスタ!$A55,0)="","",OFFSET(マスタ非採用削除!E$4,統合マスタ!$A55,0)))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  <c r="AB55" s="27" t="str">
        <f ca="1">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</f>
        <v>臨時</v>
      </c>
      <c r="AC55" s="27" cm="1">
        <f t="array" aca="1" ref="AC55" ca="1">OFFSET(
   INDIRECT("'" &amp; AB55 &amp; "'!A4"),
   MATCH(B55, INDIRECT("'" &amp; AB55 &amp; "'!C5:C1000"), 0),
   MATCH("合計", INDIRECT("'" &amp; AB55 &amp; "'!4:4"), 0) - 1
)</f>
        <v>0</v>
      </c>
    </row>
    <row r="56" spans="1:29">
      <c r="A56" s="40">
        <f>元データ!P53</f>
        <v>18</v>
      </c>
      <c r="B56" s="27">
        <f t="shared" si="0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IF(AA56="非採用",0,IF(OFFSET(マスタ非採用削除!E$4,統合マスタ!$A56,0)="","",OFFSET(マスタ非採用削除!E$4,統合マスタ!$A56,0)))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  <c r="AB56" s="27" t="str">
        <f ca="1">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</f>
        <v>臨時</v>
      </c>
      <c r="AC56" s="27" cm="1">
        <f t="array" aca="1" ref="AC56" ca="1">OFFSET(
   INDIRECT("'" &amp; AB56 &amp; "'!A4"),
   MATCH(B56, INDIRECT("'" &amp; AB56 &amp; "'!C5:C1000"), 0),
   MATCH("合計", INDIRECT("'" &amp; AB56 &amp; "'!4:4"), 0) - 1
)</f>
        <v>0</v>
      </c>
    </row>
    <row r="57" spans="1:29">
      <c r="A57" s="40">
        <f>元データ!P54</f>
        <v>19</v>
      </c>
      <c r="B57" s="27">
        <f t="shared" si="0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IF(AA57="非採用",0,IF(OFFSET(マスタ非採用削除!E$4,統合マスタ!$A57,0)="","",OFFSET(マスタ非採用削除!E$4,統合マスタ!$A57,0)))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  <c r="AB57" s="27" t="str">
        <f ca="1">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</f>
        <v>臨時</v>
      </c>
      <c r="AC57" s="27" cm="1">
        <f t="array" aca="1" ref="AC57" ca="1">OFFSET(
   INDIRECT("'" &amp; AB57 &amp; "'!A4"),
   MATCH(B57, INDIRECT("'" &amp; AB57 &amp; "'!C5:C1000"), 0),
   MATCH("合計", INDIRECT("'" &amp; AB57 &amp; "'!4:4"), 0) - 1
)</f>
        <v>0</v>
      </c>
    </row>
    <row r="58" spans="1:29">
      <c r="A58" s="40" t="str">
        <f>元データ!P55</f>
        <v>非採用</v>
      </c>
      <c r="B58" s="27">
        <f t="shared" si="0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IF(AA58="非採用",0,IF(OFFSET(マスタ非採用削除!E$4,統合マスタ!$A58,0)="","",OFFSET(マスタ非採用削除!E$4,統合マスタ!$A58,0)))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">
        <v>4214</v>
      </c>
      <c r="AB58" s="27" t="str">
        <f ca="1">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</f>
        <v>無し</v>
      </c>
      <c r="AC58" s="27" t="e" cm="1">
        <f t="array" aca="1" ref="AC58" ca="1">OFFSET(
   INDIRECT("'" &amp; AB58 &amp; "'!A4"),
   MATCH(B58, INDIRECT("'" &amp; AB58 &amp; "'!C5:C1000"), 0),
   MATCH("合計", INDIRECT("'" &amp; AB58 &amp; "'!4:4"), 0) - 1
)</f>
        <v>#REF!</v>
      </c>
    </row>
    <row r="59" spans="1:29">
      <c r="A59" s="40">
        <f>元データ!P56</f>
        <v>21</v>
      </c>
      <c r="B59" s="27">
        <f t="shared" si="0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IF(AA59="非採用",0,IF(OFFSET(マスタ非採用削除!E$4,統合マスタ!$A59,0)="","",OFFSET(マスタ非採用削除!E$4,統合マスタ!$A59,0)))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  <c r="AB59" s="27" t="str">
        <f ca="1">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</f>
        <v>錠剤</v>
      </c>
      <c r="AC59" s="27" cm="1">
        <f t="array" aca="1" ref="AC59" ca="1">OFFSET(
   INDIRECT("'" &amp; AB59 &amp; "'!A4"),
   MATCH(B59, INDIRECT("'" &amp; AB59 &amp; "'!C5:C1000"), 0),
   MATCH("合計", INDIRECT("'" &amp; AB59 &amp; "'!4:4"), 0) - 1
)</f>
        <v>10</v>
      </c>
    </row>
    <row r="60" spans="1:29">
      <c r="A60" s="40">
        <f>元データ!P57</f>
        <v>20</v>
      </c>
      <c r="B60" s="27">
        <f t="shared" si="0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IF(AA60="非採用",0,IF(OFFSET(マスタ非採用削除!E$4,統合マスタ!$A60,0)="","",OFFSET(マスタ非採用削除!E$4,統合マスタ!$A60,0)))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/>
      <c r="AB60" s="27" t="str">
        <f ca="1">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</f>
        <v>錠剤</v>
      </c>
      <c r="AC60" s="27" cm="1">
        <f t="array" aca="1" ref="AC60" ca="1">OFFSET(
   INDIRECT("'" &amp; AB60 &amp; "'!A4"),
   MATCH(B60, INDIRECT("'" &amp; AB60 &amp; "'!C5:C1000"), 0),
   MATCH("合計", INDIRECT("'" &amp; AB60 &amp; "'!4:4"), 0) - 1
)</f>
        <v>11</v>
      </c>
    </row>
    <row r="61" spans="1:29">
      <c r="A61" s="40">
        <f>元データ!P58</f>
        <v>23</v>
      </c>
      <c r="B61" s="27">
        <f t="shared" si="0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IF(AA61="非採用",0,IF(OFFSET(マスタ非採用削除!E$4,統合マスタ!$A61,0)="","",OFFSET(マスタ非採用削除!E$4,統合マスタ!$A61,0)))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  <c r="AB61" s="27" t="str">
        <f ca="1">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</f>
        <v>臨時</v>
      </c>
      <c r="AC61" s="27" cm="1">
        <f t="array" aca="1" ref="AC61" ca="1">OFFSET(
   INDIRECT("'" &amp; AB61 &amp; "'!A4"),
   MATCH(B61, INDIRECT("'" &amp; AB61 &amp; "'!C5:C1000"), 0),
   MATCH("合計", INDIRECT("'" &amp; AB61 &amp; "'!4:4"), 0) - 1
)</f>
        <v>0</v>
      </c>
    </row>
    <row r="62" spans="1:29">
      <c r="A62" s="40">
        <f>元データ!P59</f>
        <v>26</v>
      </c>
      <c r="B62" s="27">
        <f t="shared" si="0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IF(AA62="非採用",0,IF(OFFSET(マスタ非採用削除!E$4,統合マスタ!$A62,0)="","",OFFSET(マスタ非採用削除!E$4,統合マスタ!$A62,0)))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  <c r="AB62" s="27" t="str">
        <f ca="1">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</f>
        <v>散剤</v>
      </c>
      <c r="AC62" s="27" cm="1">
        <f t="array" aca="1" ref="AC62" ca="1">OFFSET(
   INDIRECT("'" &amp; AB62 &amp; "'!A4"),
   MATCH(B62, INDIRECT("'" &amp; AB62 &amp; "'!C5:C1000"), 0),
   MATCH("合計", INDIRECT("'" &amp; AB62 &amp; "'!4:4"), 0) - 1
)</f>
        <v>1000</v>
      </c>
    </row>
    <row r="63" spans="1:29">
      <c r="A63" s="40">
        <f>元データ!P60</f>
        <v>24</v>
      </c>
      <c r="B63" s="27">
        <f t="shared" si="0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IF(AA63="非採用",0,IF(OFFSET(マスタ非採用削除!E$4,統合マスタ!$A63,0)="","",OFFSET(マスタ非採用削除!E$4,統合マスタ!$A63,0)))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/>
      <c r="AB63" s="27" t="str">
        <f ca="1">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</f>
        <v>錠剤</v>
      </c>
      <c r="AC63" s="27" cm="1">
        <f t="array" aca="1" ref="AC63" ca="1">OFFSET(
   INDIRECT("'" &amp; AB63 &amp; "'!A4"),
   MATCH(B63, INDIRECT("'" &amp; AB63 &amp; "'!C5:C1000"), 0),
   MATCH("合計", INDIRECT("'" &amp; AB63 &amp; "'!4:4"), 0) - 1
)</f>
        <v>12</v>
      </c>
    </row>
    <row r="64" spans="1:29">
      <c r="A64" s="40">
        <f>元データ!P61</f>
        <v>25</v>
      </c>
      <c r="B64" s="27">
        <f t="shared" si="0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IF(AA64="非採用",0,IF(OFFSET(マスタ非採用削除!E$4,統合マスタ!$A64,0)="","",OFFSET(マスタ非採用削除!E$4,統合マスタ!$A64,0)))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  <c r="AB64" s="27" t="str">
        <f ca="1">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</f>
        <v>注射</v>
      </c>
      <c r="AC64" s="27" cm="1">
        <f t="array" aca="1" ref="AC64" ca="1">OFFSET(
   INDIRECT("'" &amp; AB64 &amp; "'!A4"),
   MATCH(B64, INDIRECT("'" &amp; AB64 &amp; "'!C5:C1000"), 0),
   MATCH("合計", INDIRECT("'" &amp; AB64 &amp; "'!4:4"), 0) - 1
)</f>
        <v>0</v>
      </c>
    </row>
    <row r="65" spans="1:29">
      <c r="A65" s="40">
        <f>元データ!P62</f>
        <v>25</v>
      </c>
      <c r="B65" s="27">
        <f t="shared" si="0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IF(AA65="非採用",0,IF(OFFSET(マスタ非採用削除!E$4,統合マスタ!$A65,0)="","",OFFSET(マスタ非採用削除!E$4,統合マスタ!$A65,0)))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  <c r="AB65" s="27" t="str">
        <f ca="1">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</f>
        <v>注射</v>
      </c>
      <c r="AC65" s="27" cm="1">
        <f t="array" aca="1" ref="AC65" ca="1">OFFSET(
   INDIRECT("'" &amp; AB65 &amp; "'!A4"),
   MATCH(B65, INDIRECT("'" &amp; AB65 &amp; "'!C5:C1000"), 0),
   MATCH("合計", INDIRECT("'" &amp; AB65 &amp; "'!4:4"), 0) - 1
)</f>
        <v>0</v>
      </c>
    </row>
    <row r="66" spans="1:29">
      <c r="A66" s="40">
        <f>元データ!P63</f>
        <v>27</v>
      </c>
      <c r="B66" s="27">
        <f t="shared" si="0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IF(AA66="非採用",0,IF(OFFSET(マスタ非採用削除!E$4,統合マスタ!$A66,0)="","",OFFSET(マスタ非採用削除!E$4,統合マスタ!$A66,0)))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  <c r="AB66" s="27" t="str">
        <f ca="1">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</f>
        <v>外用剤</v>
      </c>
      <c r="AC66" s="27" t="e" cm="1">
        <f t="array" aca="1" ref="AC66" ca="1">OFFSET(
   INDIRECT("'" &amp; AB66 &amp; "'!A4"),
   MATCH(B66, INDIRECT("'" &amp; AB66 &amp; "'!C5:C1000"), 0),
   MATCH("合計", INDIRECT("'" &amp; AB66 &amp; "'!4:4"), 0) - 1
)</f>
        <v>#REF!</v>
      </c>
    </row>
    <row r="67" spans="1:29">
      <c r="A67" s="40">
        <f>元データ!P64</f>
        <v>0</v>
      </c>
      <c r="B67" s="27">
        <f t="shared" si="0"/>
        <v>63</v>
      </c>
      <c r="C67" s="27" t="str">
        <f>DBCS(元データ!A64)</f>
        <v>アトモキセチンカプセル１０ｍｇ　「ＶＴＲＳ」</v>
      </c>
      <c r="D67" s="53" t="str">
        <f>元データ!B64</f>
        <v>メディセオ</v>
      </c>
      <c r="E67" s="27" t="str">
        <f>DBCS(元データ!C64)</f>
        <v>ＰＴＰ</v>
      </c>
      <c r="F67" s="27" t="str">
        <f>DBCS(元データ!D64)</f>
        <v>１４０Ｐ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3" t="str">
        <f ca="1">IF(OFFSET(マスタ非採用削除!A$4,統合マスタ!$A67,0)="","",OFFSET(マスタ非採用削除!A$4,統合マスタ!$A67,0))</f>
        <v>コード(区分値)</v>
      </c>
      <c r="O67" s="53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3" t="str">
        <f ca="1">IF(OFFSET(マスタ非採用削除!D$4,統合マスタ!$A67,0)="","",OFFSET(マスタ非採用削除!D$4,統合マスタ!$A67,0))</f>
        <v>ホストコード</v>
      </c>
      <c r="R67" s="27" t="str">
        <f ca="1">IF(AA67="非採用",0,IF(OFFSET(マスタ非採用削除!E$4,統合マスタ!$A67,0)="","",OFFSET(マスタ非採用削除!E$4,統合マスタ!$A67,0)))</f>
        <v>採用区分（区分値）(区分値)</v>
      </c>
      <c r="S67" s="53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3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3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場所</v>
      </c>
      <c r="AA67" s="27"/>
      <c r="AB67" s="27" t="str">
        <f ca="1">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</f>
        <v>無し</v>
      </c>
      <c r="AC67" s="27" t="e" cm="1">
        <f t="array" aca="1" ref="AC67" ca="1">OFFSET(
   INDIRECT("'" &amp; AB67 &amp; "'!A4"),
   MATCH(B67, INDIRECT("'" &amp; AB67 &amp; "'!C5:C1000"), 0),
   MATCH("合計", INDIRECT("'" &amp; AB67 &amp; "'!4:4"), 0) - 1
)</f>
        <v>#REF!</v>
      </c>
    </row>
    <row r="68" spans="1:29">
      <c r="A68" s="40">
        <f>元データ!P65</f>
        <v>28</v>
      </c>
      <c r="B68" s="27">
        <f t="shared" si="0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IF(AA68="非採用",0,IF(OFFSET(マスタ非採用削除!E$4,統合マスタ!$A68,0)="","",OFFSET(マスタ非採用削除!E$4,統合マスタ!$A68,0)))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  <c r="AB68" s="27" t="str">
        <f ca="1">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</f>
        <v>無し</v>
      </c>
      <c r="AC68" s="27" t="e" cm="1">
        <f t="array" aca="1" ref="AC68" ca="1">OFFSET(
   INDIRECT("'" &amp; AB68 &amp; "'!A4"),
   MATCH(B68, INDIRECT("'" &amp; AB68 &amp; "'!C5:C1000"), 0),
   MATCH("合計", INDIRECT("'" &amp; AB68 &amp; "'!4:4"), 0) - 1
)</f>
        <v>#REF!</v>
      </c>
    </row>
    <row r="69" spans="1:29">
      <c r="A69" s="40">
        <f>元データ!P66</f>
        <v>29</v>
      </c>
      <c r="B69" s="27">
        <f t="shared" si="0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IF(AA69="非採用",0,IF(OFFSET(マスタ非採用削除!E$4,統合マスタ!$A69,0)="","",OFFSET(マスタ非採用削除!E$4,統合マスタ!$A69,0)))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  <c r="AB69" s="27" t="str">
        <f ca="1">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</f>
        <v>無し</v>
      </c>
      <c r="AC69" s="27" t="e" cm="1">
        <f t="array" aca="1" ref="AC69" ca="1">OFFSET(
   INDIRECT("'" &amp; AB69 &amp; "'!A4"),
   MATCH(B69, INDIRECT("'" &amp; AB69 &amp; "'!C5:C1000"), 0),
   MATCH("合計", INDIRECT("'" &amp; AB69 &amp; "'!4:4"), 0) - 1
)</f>
        <v>#REF!</v>
      </c>
    </row>
    <row r="70" spans="1:29">
      <c r="A70" s="40" t="str">
        <f>元データ!P67</f>
        <v>非採用</v>
      </c>
      <c r="B70" s="27">
        <f t="shared" si="0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IF(AA70="非採用",0,IF(OFFSET(マスタ非採用削除!E$4,統合マスタ!$A70,0)="","",OFFSET(マスタ非採用削除!E$4,統合マスタ!$A70,0)))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">
        <v>4214</v>
      </c>
      <c r="AB70" s="27" t="str">
        <f ca="1">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</f>
        <v>無し</v>
      </c>
      <c r="AC70" s="27" t="e" cm="1">
        <f t="array" aca="1" ref="AC70" ca="1">OFFSET(
   INDIRECT("'" &amp; AB70 &amp; "'!A4"),
   MATCH(B70, INDIRECT("'" &amp; AB70 &amp; "'!C5:C1000"), 0),
   MATCH("合計", INDIRECT("'" &amp; AB70 &amp; "'!4:4"), 0) - 1
)</f>
        <v>#REF!</v>
      </c>
    </row>
    <row r="71" spans="1:29">
      <c r="A71" s="40">
        <f>元データ!P68</f>
        <v>30</v>
      </c>
      <c r="B71" s="27">
        <f t="shared" ref="B71:B134" si="1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IF(AA71="非採用",0,IF(OFFSET(マスタ非採用削除!E$4,統合マスタ!$A71,0)="","",OFFSET(マスタ非採用削除!E$4,統合マスタ!$A71,0)))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/>
      <c r="AB71" s="27" t="str">
        <f ca="1">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</f>
        <v>錠剤</v>
      </c>
      <c r="AC71" s="27" cm="1">
        <f t="array" aca="1" ref="AC71" ca="1">OFFSET(
   INDIRECT("'" &amp; AB71 &amp; "'!A4"),
   MATCH(B71, INDIRECT("'" &amp; AB71 &amp; "'!C5:C1000"), 0),
   MATCH("合計", INDIRECT("'" &amp; AB71 &amp; "'!4:4"), 0) - 1
)</f>
        <v>13</v>
      </c>
    </row>
    <row r="72" spans="1:29">
      <c r="A72" s="40">
        <f>元データ!P69</f>
        <v>30</v>
      </c>
      <c r="B72" s="27">
        <f t="shared" si="1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IF(AA72="非採用",0,IF(OFFSET(マスタ非採用削除!E$4,統合マスタ!$A72,0)="","",OFFSET(マスタ非採用削除!E$4,統合マスタ!$A72,0)))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/>
      <c r="AB72" s="27" t="str">
        <f ca="1">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</f>
        <v>錠剤</v>
      </c>
      <c r="AC72" s="27" cm="1">
        <f t="array" aca="1" ref="AC72" ca="1">OFFSET(
   INDIRECT("'" &amp; AB72 &amp; "'!A4"),
   MATCH(B72, INDIRECT("'" &amp; AB72 &amp; "'!C5:C1000"), 0),
   MATCH("合計", INDIRECT("'" &amp; AB72 &amp; "'!4:4"), 0) - 1
)</f>
        <v>14</v>
      </c>
    </row>
    <row r="73" spans="1:29">
      <c r="A73" s="40">
        <f>元データ!P70</f>
        <v>31</v>
      </c>
      <c r="B73" s="27">
        <f t="shared" si="1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IF(AA73="非採用",0,IF(OFFSET(マスタ非採用削除!E$4,統合マスタ!$A73,0)="","",OFFSET(マスタ非採用削除!E$4,統合マスタ!$A73,0)))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  <c r="AB73" s="27" t="str">
        <f ca="1">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</f>
        <v>注射</v>
      </c>
      <c r="AC73" s="27" cm="1">
        <f t="array" aca="1" ref="AC73" ca="1">OFFSET(
   INDIRECT("'" &amp; AB73 &amp; "'!A4"),
   MATCH(B73, INDIRECT("'" &amp; AB73 &amp; "'!C5:C1000"), 0),
   MATCH("合計", INDIRECT("'" &amp; AB73 &amp; "'!4:4"), 0) - 1
)</f>
        <v>0</v>
      </c>
    </row>
    <row r="74" spans="1:29">
      <c r="A74" s="40">
        <f>元データ!P71</f>
        <v>32</v>
      </c>
      <c r="B74" s="27">
        <f t="shared" si="1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IF(AA74="非採用",0,IF(OFFSET(マスタ非採用削除!E$4,統合マスタ!$A74,0)="","",OFFSET(マスタ非採用削除!E$4,統合マスタ!$A74,0)))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  <c r="AB74" s="27" t="str">
        <f ca="1">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</f>
        <v>臨時</v>
      </c>
      <c r="AC74" s="27" cm="1">
        <f t="array" aca="1" ref="AC74" ca="1">OFFSET(
   INDIRECT("'" &amp; AB74 &amp; "'!A4"),
   MATCH(B74, INDIRECT("'" &amp; AB74 &amp; "'!C5:C1000"), 0),
   MATCH("合計", INDIRECT("'" &amp; AB74 &amp; "'!4:4"), 0) - 1
)</f>
        <v>0</v>
      </c>
    </row>
    <row r="75" spans="1:29">
      <c r="A75" s="40">
        <f>元データ!P72</f>
        <v>0</v>
      </c>
      <c r="B75" s="27">
        <f t="shared" si="1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str">
        <f ca="1">IF(OFFSET(マスタ非採用削除!A$4,統合マスタ!$A75,0)="","",OFFSET(マスタ非採用削除!A$4,統合マスタ!$A75,0))</f>
        <v>コード(区分値)</v>
      </c>
      <c r="O75" s="53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3" t="str">
        <f ca="1">IF(OFFSET(マスタ非採用削除!D$4,統合マスタ!$A75,0)="","",OFFSET(マスタ非採用削除!D$4,統合マスタ!$A75,0))</f>
        <v>ホストコード</v>
      </c>
      <c r="R75" s="27" t="str">
        <f ca="1">IF(AA75="非採用",0,IF(OFFSET(マスタ非採用削除!E$4,統合マスタ!$A75,0)="","",OFFSET(マスタ非採用削除!E$4,統合マスタ!$A75,0)))</f>
        <v>採用区分（区分値）(区分値)</v>
      </c>
      <c r="S75" s="53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3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3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場所</v>
      </c>
      <c r="AA75" s="27"/>
      <c r="AB75" s="27" t="str">
        <f ca="1">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</f>
        <v>無し</v>
      </c>
      <c r="AC75" s="27" t="e" cm="1">
        <f t="array" aca="1" ref="AC75" ca="1">OFFSET(
   INDIRECT("'" &amp; AB75 &amp; "'!A4"),
   MATCH(B75, INDIRECT("'" &amp; AB75 &amp; "'!C5:C1000"), 0),
   MATCH("合計", INDIRECT("'" &amp; AB75 &amp; "'!4:4"), 0) - 1
)</f>
        <v>#REF!</v>
      </c>
    </row>
    <row r="76" spans="1:29">
      <c r="A76" s="40">
        <f>元データ!P73</f>
        <v>34</v>
      </c>
      <c r="B76" s="27">
        <f t="shared" si="1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IF(AA76="非採用",0,IF(OFFSET(マスタ非採用削除!E$4,統合マスタ!$A76,0)="","",OFFSET(マスタ非採用削除!E$4,統合マスタ!$A76,0)))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  <c r="AB76" s="27" t="str">
        <f ca="1">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</f>
        <v>注射</v>
      </c>
      <c r="AC76" s="27" cm="1">
        <f t="array" aca="1" ref="AC76" ca="1">OFFSET(
   INDIRECT("'" &amp; AB76 &amp; "'!A4"),
   MATCH(B76, INDIRECT("'" &amp; AB76 &amp; "'!C5:C1000"), 0),
   MATCH("合計", INDIRECT("'" &amp; AB76 &amp; "'!4:4"), 0) - 1
)</f>
        <v>0</v>
      </c>
    </row>
    <row r="77" spans="1:29">
      <c r="A77" s="40" t="str">
        <f>元データ!P74</f>
        <v>非採用</v>
      </c>
      <c r="B77" s="27">
        <f t="shared" si="1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IF(AA77="非採用",0,IF(OFFSET(マスタ非採用削除!E$4,統合マスタ!$A77,0)="","",OFFSET(マスタ非採用削除!E$4,統合マスタ!$A77,0)))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4062</v>
      </c>
      <c r="AB77" s="27" t="str">
        <f ca="1">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</f>
        <v>無し</v>
      </c>
      <c r="AC77" s="27" t="e" cm="1">
        <f t="array" aca="1" ref="AC77" ca="1">OFFSET(
   INDIRECT("'" &amp; AB77 &amp; "'!A4"),
   MATCH(B77, INDIRECT("'" &amp; AB77 &amp; "'!C5:C1000"), 0),
   MATCH("合計", INDIRECT("'" &amp; AB77 &amp; "'!4:4"), 0) - 1
)</f>
        <v>#REF!</v>
      </c>
    </row>
    <row r="78" spans="1:29">
      <c r="A78" s="40">
        <f>元データ!P75</f>
        <v>35</v>
      </c>
      <c r="B78" s="27">
        <f t="shared" si="1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IF(AA78="非採用",0,IF(OFFSET(マスタ非採用削除!E$4,統合マスタ!$A78,0)="","",OFFSET(マスタ非採用削除!E$4,統合マスタ!$A78,0)))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/>
      <c r="AB78" s="27" t="str">
        <f ca="1">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</f>
        <v>錠剤</v>
      </c>
      <c r="AC78" s="27" cm="1">
        <f t="array" aca="1" ref="AC78" ca="1">OFFSET(
   INDIRECT("'" &amp; AB78 &amp; "'!A4"),
   MATCH(B78, INDIRECT("'" &amp; AB78 &amp; "'!C5:C1000"), 0),
   MATCH("合計", INDIRECT("'" &amp; AB78 &amp; "'!4:4"), 0) - 1
)</f>
        <v>15</v>
      </c>
    </row>
    <row r="79" spans="1:29">
      <c r="A79" s="40">
        <f>元データ!P76</f>
        <v>37</v>
      </c>
      <c r="B79" s="27">
        <f t="shared" si="1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IF(AA79="非採用",0,IF(OFFSET(マスタ非採用削除!E$4,統合マスタ!$A79,0)="","",OFFSET(マスタ非採用削除!E$4,統合マスタ!$A79,0)))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  <c r="AB79" s="27" t="str">
        <f ca="1">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</f>
        <v>無し</v>
      </c>
      <c r="AC79" s="27" t="e" cm="1">
        <f t="array" aca="1" ref="AC79" ca="1">OFFSET(
   INDIRECT("'" &amp; AB79 &amp; "'!A4"),
   MATCH(B79, INDIRECT("'" &amp; AB79 &amp; "'!C5:C1000"), 0),
   MATCH("合計", INDIRECT("'" &amp; AB79 &amp; "'!4:4"), 0) - 1
)</f>
        <v>#REF!</v>
      </c>
    </row>
    <row r="80" spans="1:29">
      <c r="A80" s="40">
        <f>元データ!P77</f>
        <v>38</v>
      </c>
      <c r="B80" s="27">
        <f t="shared" si="1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IF(AA80="非採用",0,IF(OFFSET(マスタ非採用削除!E$4,統合マスタ!$A80,0)="","",OFFSET(マスタ非採用削除!E$4,統合マスタ!$A80,0)))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  <c r="AB80" s="27" t="str">
        <f ca="1">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</f>
        <v>散剤</v>
      </c>
      <c r="AC80" s="27" cm="1">
        <f t="array" aca="1" ref="AC80" ca="1">OFFSET(
   INDIRECT("'" &amp; AB80 &amp; "'!A4"),
   MATCH(B80, INDIRECT("'" &amp; AB80 &amp; "'!C5:C1000"), 0),
   MATCH("合計", INDIRECT("'" &amp; AB80 &amp; "'!4:4"), 0) - 1
)</f>
        <v>550</v>
      </c>
    </row>
    <row r="81" spans="1:29">
      <c r="A81" s="40">
        <f>元データ!P78</f>
        <v>39</v>
      </c>
      <c r="B81" s="27">
        <f t="shared" si="1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IF(AA81="非採用",0,IF(OFFSET(マスタ非採用削除!E$4,統合マスタ!$A81,0)="","",OFFSET(マスタ非採用削除!E$4,統合マスタ!$A81,0)))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  <c r="AB81" s="27" t="str">
        <f ca="1">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</f>
        <v>臨時</v>
      </c>
      <c r="AC81" s="27" cm="1">
        <f t="array" aca="1" ref="AC81" ca="1">OFFSET(
   INDIRECT("'" &amp; AB81 &amp; "'!A4"),
   MATCH(B81, INDIRECT("'" &amp; AB81 &amp; "'!C5:C1000"), 0),
   MATCH("合計", INDIRECT("'" &amp; AB81 &amp; "'!4:4"), 0) - 1
)</f>
        <v>0</v>
      </c>
    </row>
    <row r="82" spans="1:29">
      <c r="A82" s="40">
        <f>元データ!P79</f>
        <v>40</v>
      </c>
      <c r="B82" s="27">
        <f t="shared" si="1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IF(AA82="非採用",0,IF(OFFSET(マスタ非採用削除!E$4,統合マスタ!$A82,0)="","",OFFSET(マスタ非採用削除!E$4,統合マスタ!$A82,0)))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/>
      <c r="AB82" s="27" t="str">
        <f ca="1">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</f>
        <v>錠剤</v>
      </c>
      <c r="AC82" s="27" cm="1">
        <f t="array" aca="1" ref="AC82" ca="1">OFFSET(
   INDIRECT("'" &amp; AB82 &amp; "'!A4"),
   MATCH(B82, INDIRECT("'" &amp; AB82 &amp; "'!C5:C1000"), 0),
   MATCH("合計", INDIRECT("'" &amp; AB82 &amp; "'!4:4"), 0) - 1
)</f>
        <v>16</v>
      </c>
    </row>
    <row r="83" spans="1:29">
      <c r="A83" s="40">
        <f>元データ!P80</f>
        <v>40</v>
      </c>
      <c r="B83" s="27">
        <f t="shared" si="1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IF(AA83="非採用",0,IF(OFFSET(マスタ非採用削除!E$4,統合マスタ!$A83,0)="","",OFFSET(マスタ非採用削除!E$4,統合マスタ!$A83,0)))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/>
      <c r="AB83" s="27" t="str">
        <f ca="1">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</f>
        <v>錠剤</v>
      </c>
      <c r="AC83" s="27" cm="1">
        <f t="array" aca="1" ref="AC83" ca="1">OFFSET(
   INDIRECT("'" &amp; AB83 &amp; "'!A4"),
   MATCH(B83, INDIRECT("'" &amp; AB83 &amp; "'!C5:C1000"), 0),
   MATCH("合計", INDIRECT("'" &amp; AB83 &amp; "'!4:4"), 0) - 1
)</f>
        <v>17</v>
      </c>
    </row>
    <row r="84" spans="1:29">
      <c r="A84" s="40">
        <f>元データ!P81</f>
        <v>41</v>
      </c>
      <c r="B84" s="27">
        <f t="shared" si="1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IF(AA84="非採用",0,IF(OFFSET(マスタ非採用削除!E$4,統合マスタ!$A84,0)="","",OFFSET(マスタ非採用削除!E$4,統合マスタ!$A84,0)))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  <c r="AB84" s="27" t="str">
        <f ca="1">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</f>
        <v>外用剤</v>
      </c>
      <c r="AC84" s="27" t="e" cm="1">
        <f t="array" aca="1" ref="AC84" ca="1">OFFSET(
   INDIRECT("'" &amp; AB84 &amp; "'!A4"),
   MATCH(B84, INDIRECT("'" &amp; AB84 &amp; "'!C5:C1000"), 0),
   MATCH("合計", INDIRECT("'" &amp; AB84 &amp; "'!4:4"), 0) - 1
)</f>
        <v>#REF!</v>
      </c>
    </row>
    <row r="85" spans="1:29">
      <c r="A85" s="40">
        <f>元データ!P82</f>
        <v>42</v>
      </c>
      <c r="B85" s="27">
        <f t="shared" si="1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IF(AA85="非採用",0,IF(OFFSET(マスタ非採用削除!E$4,統合マスタ!$A85,0)="","",OFFSET(マスタ非採用削除!E$4,統合マスタ!$A85,0)))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  <c r="AB85" s="27" t="str">
        <f ca="1">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</f>
        <v>外用剤</v>
      </c>
      <c r="AC85" s="27" t="e" cm="1">
        <f t="array" aca="1" ref="AC85" ca="1">OFFSET(
   INDIRECT("'" &amp; AB85 &amp; "'!A4"),
   MATCH(B85, INDIRECT("'" &amp; AB85 &amp; "'!C5:C1000"), 0),
   MATCH("合計", INDIRECT("'" &amp; AB85 &amp; "'!4:4"), 0) - 1
)</f>
        <v>#REF!</v>
      </c>
    </row>
    <row r="86" spans="1:29">
      <c r="A86" s="40">
        <f>元データ!P83</f>
        <v>45</v>
      </c>
      <c r="B86" s="27">
        <f t="shared" si="1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IF(AA86="非採用",0,IF(OFFSET(マスタ非採用削除!E$4,統合マスタ!$A86,0)="","",OFFSET(マスタ非採用削除!E$4,統合マスタ!$A86,0)))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/>
      <c r="AB86" s="27" t="str">
        <f ca="1">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</f>
        <v>錠剤</v>
      </c>
      <c r="AC86" s="27" cm="1">
        <f t="array" aca="1" ref="AC86" ca="1">OFFSET(
   INDIRECT("'" &amp; AB86 &amp; "'!A4"),
   MATCH(B86, INDIRECT("'" &amp; AB86 &amp; "'!C5:C1000"), 0),
   MATCH("合計", INDIRECT("'" &amp; AB86 &amp; "'!4:4"), 0) - 1
)</f>
        <v>18</v>
      </c>
    </row>
    <row r="87" spans="1:29">
      <c r="A87" s="40">
        <f>元データ!P84</f>
        <v>45</v>
      </c>
      <c r="B87" s="27">
        <f t="shared" si="1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IF(AA87="非採用",0,IF(OFFSET(マスタ非採用削除!E$4,統合マスタ!$A87,0)="","",OFFSET(マスタ非採用削除!E$4,統合マスタ!$A87,0)))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/>
      <c r="AB87" s="27" t="str">
        <f ca="1">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</f>
        <v>錠剤</v>
      </c>
      <c r="AC87" s="27" cm="1">
        <f t="array" aca="1" ref="AC87" ca="1">OFFSET(
   INDIRECT("'" &amp; AB87 &amp; "'!A4"),
   MATCH(B87, INDIRECT("'" &amp; AB87 &amp; "'!C5:C1000"), 0),
   MATCH("合計", INDIRECT("'" &amp; AB87 &amp; "'!4:4"), 0) - 1
)</f>
        <v>19</v>
      </c>
    </row>
    <row r="88" spans="1:29">
      <c r="A88" s="40">
        <f>元データ!P85</f>
        <v>44</v>
      </c>
      <c r="B88" s="27">
        <f t="shared" si="1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IF(AA88="非採用",0,IF(OFFSET(マスタ非採用削除!E$4,統合マスタ!$A88,0)="","",OFFSET(マスタ非採用削除!E$4,統合マスタ!$A88,0)))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/>
      <c r="AB88" s="27" t="str">
        <f ca="1">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</f>
        <v>錠剤</v>
      </c>
      <c r="AC88" s="27" cm="1">
        <f t="array" aca="1" ref="AC88" ca="1">OFFSET(
   INDIRECT("'" &amp; AB88 &amp; "'!A4"),
   MATCH(B88, INDIRECT("'" &amp; AB88 &amp; "'!C5:C1000"), 0),
   MATCH("合計", INDIRECT("'" &amp; AB88 &amp; "'!4:4"), 0) - 1
)</f>
        <v>20</v>
      </c>
    </row>
    <row r="89" spans="1:29">
      <c r="A89" s="40">
        <f>元データ!P86</f>
        <v>44</v>
      </c>
      <c r="B89" s="27">
        <f t="shared" si="1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IF(AA89="非採用",0,IF(OFFSET(マスタ非採用削除!E$4,統合マスタ!$A89,0)="","",OFFSET(マスタ非採用削除!E$4,統合マスタ!$A89,0)))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/>
      <c r="AB89" s="27" t="str">
        <f ca="1">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</f>
        <v>錠剤</v>
      </c>
      <c r="AC89" s="27" cm="1">
        <f t="array" aca="1" ref="AC89" ca="1">OFFSET(
   INDIRECT("'" &amp; AB89 &amp; "'!A4"),
   MATCH(B89, INDIRECT("'" &amp; AB89 &amp; "'!C5:C1000"), 0),
   MATCH("合計", INDIRECT("'" &amp; AB89 &amp; "'!4:4"), 0) - 1
)</f>
        <v>21</v>
      </c>
    </row>
    <row r="90" spans="1:29">
      <c r="A90" s="40">
        <f>元データ!P87</f>
        <v>46</v>
      </c>
      <c r="B90" s="27">
        <f t="shared" si="1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IF(AA90="非採用",0,IF(OFFSET(マスタ非採用削除!E$4,統合マスタ!$A90,0)="","",OFFSET(マスタ非採用削除!E$4,統合マスタ!$A90,0)))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/>
      <c r="AB90" s="27" t="str">
        <f ca="1">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</f>
        <v>錠剤</v>
      </c>
      <c r="AC90" s="27" cm="1">
        <f t="array" aca="1" ref="AC90" ca="1">OFFSET(
   INDIRECT("'" &amp; AB90 &amp; "'!A4"),
   MATCH(B90, INDIRECT("'" &amp; AB90 &amp; "'!C5:C1000"), 0),
   MATCH("合計", INDIRECT("'" &amp; AB90 &amp; "'!4:4"), 0) - 1
)</f>
        <v>22</v>
      </c>
    </row>
    <row r="91" spans="1:29">
      <c r="A91" s="40">
        <f>元データ!P88</f>
        <v>46</v>
      </c>
      <c r="B91" s="27">
        <f t="shared" si="1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IF(AA91="非採用",0,IF(OFFSET(マスタ非採用削除!E$4,統合マスタ!$A91,0)="","",OFFSET(マスタ非採用削除!E$4,統合マスタ!$A91,0)))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/>
      <c r="AB91" s="27" t="str">
        <f ca="1">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</f>
        <v>錠剤</v>
      </c>
      <c r="AC91" s="27" cm="1">
        <f t="array" aca="1" ref="AC91" ca="1">OFFSET(
   INDIRECT("'" &amp; AB91 &amp; "'!A4"),
   MATCH(B91, INDIRECT("'" &amp; AB91 &amp; "'!C5:C1000"), 0),
   MATCH("合計", INDIRECT("'" &amp; AB91 &amp; "'!4:4"), 0) - 1
)</f>
        <v>23</v>
      </c>
    </row>
    <row r="92" spans="1:29">
      <c r="A92" s="40">
        <f>元データ!P89</f>
        <v>47</v>
      </c>
      <c r="B92" s="27">
        <f t="shared" si="1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IF(AA92="非採用",0,IF(OFFSET(マスタ非採用削除!E$4,統合マスタ!$A92,0)="","",OFFSET(マスタ非採用削除!E$4,統合マスタ!$A92,0)))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  <c r="AB92" s="27" t="str">
        <f ca="1">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</f>
        <v>散剤</v>
      </c>
      <c r="AC92" s="27" cm="1">
        <f t="array" aca="1" ref="AC92" ca="1">OFFSET(
   INDIRECT("'" &amp; AB92 &amp; "'!A4"),
   MATCH(B92, INDIRECT("'" &amp; AB92 &amp; "'!C5:C1000"), 0),
   MATCH("合計", INDIRECT("'" &amp; AB92 &amp; "'!4:4"), 0) - 1
)</f>
        <v>1200</v>
      </c>
    </row>
    <row r="93" spans="1:29">
      <c r="A93" s="40">
        <f>元データ!P90</f>
        <v>48</v>
      </c>
      <c r="B93" s="27">
        <f t="shared" si="1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IF(AA93="非採用",0,IF(OFFSET(マスタ非採用削除!E$4,統合マスタ!$A93,0)="","",OFFSET(マスタ非採用削除!E$4,統合マスタ!$A93,0)))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/>
      <c r="AB93" s="27" t="str">
        <f ca="1">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</f>
        <v>錠剤</v>
      </c>
      <c r="AC93" s="27" cm="1">
        <f t="array" aca="1" ref="AC93" ca="1">OFFSET(
   INDIRECT("'" &amp; AB93 &amp; "'!A4"),
   MATCH(B93, INDIRECT("'" &amp; AB93 &amp; "'!C5:C1000"), 0),
   MATCH("合計", INDIRECT("'" &amp; AB93 &amp; "'!4:4"), 0) - 1
)</f>
        <v>24</v>
      </c>
    </row>
    <row r="94" spans="1:29">
      <c r="A94" s="40">
        <f>元データ!P91</f>
        <v>49</v>
      </c>
      <c r="B94" s="27">
        <f t="shared" si="1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IF(AA94="非採用",0,IF(OFFSET(マスタ非採用削除!E$4,統合マスタ!$A94,0)="","",OFFSET(マスタ非採用削除!E$4,統合マスタ!$A94,0)))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/>
      <c r="AB94" s="27" t="str">
        <f ca="1">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</f>
        <v>錠剤</v>
      </c>
      <c r="AC94" s="27" cm="1">
        <f t="array" aca="1" ref="AC94" ca="1">OFFSET(
   INDIRECT("'" &amp; AB94 &amp; "'!A4"),
   MATCH(B94, INDIRECT("'" &amp; AB94 &amp; "'!C5:C1000"), 0),
   MATCH("合計", INDIRECT("'" &amp; AB94 &amp; "'!4:4"), 0) - 1
)</f>
        <v>25</v>
      </c>
    </row>
    <row r="95" spans="1:29">
      <c r="A95" s="40">
        <f>元データ!P92</f>
        <v>51</v>
      </c>
      <c r="B95" s="27">
        <f t="shared" si="1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IF(AA95="非採用",0,IF(OFFSET(マスタ非採用削除!E$4,統合マスタ!$A95,0)="","",OFFSET(マスタ非採用削除!E$4,統合マスタ!$A95,0)))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  <c r="AB95" s="27" t="str">
        <f ca="1">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</f>
        <v>無し</v>
      </c>
      <c r="AC95" s="27" t="e" cm="1">
        <f t="array" aca="1" ref="AC95" ca="1">OFFSET(
   INDIRECT("'" &amp; AB95 &amp; "'!A4"),
   MATCH(B95, INDIRECT("'" &amp; AB95 &amp; "'!C5:C1000"), 0),
   MATCH("合計", INDIRECT("'" &amp; AB95 &amp; "'!4:4"), 0) - 1
)</f>
        <v>#REF!</v>
      </c>
    </row>
    <row r="96" spans="1:29">
      <c r="A96" s="40">
        <f>元データ!P93</f>
        <v>50</v>
      </c>
      <c r="B96" s="27">
        <f t="shared" si="1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IF(AA96="非採用",0,IF(OFFSET(マスタ非採用削除!E$4,統合マスタ!$A96,0)="","",OFFSET(マスタ非採用削除!E$4,統合マスタ!$A96,0)))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  <c r="AB96" s="27" t="str">
        <f ca="1">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</f>
        <v>注射</v>
      </c>
      <c r="AC96" s="27" cm="1">
        <f t="array" aca="1" ref="AC96" ca="1">OFFSET(
   INDIRECT("'" &amp; AB96 &amp; "'!A4"),
   MATCH(B96, INDIRECT("'" &amp; AB96 &amp; "'!C5:C1000"), 0),
   MATCH("合計", INDIRECT("'" &amp; AB96 &amp; "'!4:4"), 0) - 1
)</f>
        <v>0</v>
      </c>
    </row>
    <row r="97" spans="1:29">
      <c r="A97" s="40" t="str">
        <f>元データ!P94</f>
        <v>非採用</v>
      </c>
      <c r="B97" s="27">
        <f t="shared" si="1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IF(AA97="非採用",0,IF(OFFSET(マスタ非採用削除!E$4,統合マスタ!$A97,0)="","",OFFSET(マスタ非採用削除!E$4,統合マスタ!$A97,0)))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4068</v>
      </c>
      <c r="AB97" s="27" t="str">
        <f ca="1">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</f>
        <v>無し</v>
      </c>
      <c r="AC97" s="27" t="e" cm="1">
        <f t="array" aca="1" ref="AC97" ca="1">OFFSET(
   INDIRECT("'" &amp; AB97 &amp; "'!A4"),
   MATCH(B97, INDIRECT("'" &amp; AB97 &amp; "'!C5:C1000"), 0),
   MATCH("合計", INDIRECT("'" &amp; AB97 &amp; "'!4:4"), 0) - 1
)</f>
        <v>#REF!</v>
      </c>
    </row>
    <row r="98" spans="1:29">
      <c r="A98" s="40" t="str">
        <f>元データ!P95</f>
        <v>非採用</v>
      </c>
      <c r="B98" s="27">
        <f t="shared" si="1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IF(AA98="非採用",0,IF(OFFSET(マスタ非採用削除!E$4,統合マスタ!$A98,0)="","",OFFSET(マスタ非採用削除!E$4,統合マスタ!$A98,0)))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4062</v>
      </c>
      <c r="AB98" s="27" t="str">
        <f ca="1">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</f>
        <v>無し</v>
      </c>
      <c r="AC98" s="27" t="e" cm="1">
        <f t="array" aca="1" ref="AC98" ca="1">OFFSET(
   INDIRECT("'" &amp; AB98 &amp; "'!A4"),
   MATCH(B98, INDIRECT("'" &amp; AB98 &amp; "'!C5:C1000"), 0),
   MATCH("合計", INDIRECT("'" &amp; AB98 &amp; "'!4:4"), 0) - 1
)</f>
        <v>#REF!</v>
      </c>
    </row>
    <row r="99" spans="1:29">
      <c r="A99" s="40">
        <f>元データ!P96</f>
        <v>52</v>
      </c>
      <c r="B99" s="27">
        <f t="shared" si="1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IF(AA99="非採用",0,IF(OFFSET(マスタ非採用削除!E$4,統合マスタ!$A99,0)="","",OFFSET(マスタ非採用削除!E$4,統合マスタ!$A99,0)))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  <c r="AB99" s="27" t="str">
        <f ca="1">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</f>
        <v>散剤</v>
      </c>
      <c r="AC99" s="27" cm="1">
        <f t="array" aca="1" ref="AC99" ca="1">OFFSET(
   INDIRECT("'" &amp; AB99 &amp; "'!A4"),
   MATCH(B99, INDIRECT("'" &amp; AB99 &amp; "'!C5:C1000"), 0),
   MATCH("合計", INDIRECT("'" &amp; AB99 &amp; "'!4:4"), 0) - 1
)</f>
        <v>6500</v>
      </c>
    </row>
    <row r="100" spans="1:29">
      <c r="A100" s="40">
        <f>元データ!P97</f>
        <v>0</v>
      </c>
      <c r="B100" s="27">
        <f t="shared" si="1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str">
        <f ca="1">IF(OFFSET(マスタ非採用削除!A$4,統合マスタ!$A100,0)="","",OFFSET(マスタ非採用削除!A$4,統合マスタ!$A100,0))</f>
        <v>コード(区分値)</v>
      </c>
      <c r="O100" s="53" t="str">
        <f ca="1">IF(OFFSET(マスタ非採用削除!B$4,統合マスタ!$A100,0)="","",OFFSET(マスタ非採用削除!B$4,統合マスタ!$A100,0))</f>
        <v>コード</v>
      </c>
      <c r="P100" s="27" t="str">
        <f ca="1">IF(OFFSET(マスタ非採用削除!C$4,統合マスタ!$A100,0)="","",OFFSET(マスタ非採用削除!C$4,統合マスタ!$A100,0))</f>
        <v>名称</v>
      </c>
      <c r="Q100" s="53" t="str">
        <f ca="1">IF(OFFSET(マスタ非採用削除!D$4,統合マスタ!$A100,0)="","",OFFSET(マスタ非採用削除!D$4,統合マスタ!$A100,0))</f>
        <v>ホストコード</v>
      </c>
      <c r="R100" s="27" t="str">
        <f ca="1">IF(AA100="非採用",0,IF(OFFSET(マスタ非採用削除!E$4,統合マスタ!$A100,0)="","",OFFSET(マスタ非採用削除!E$4,統合マスタ!$A100,0)))</f>
        <v>採用区分（区分値）(区分値)</v>
      </c>
      <c r="S100" s="53" t="str">
        <f ca="1">IF(OFFSET(マスタ非採用削除!F$4,統合マスタ!$A100,0)="","",OFFSET(マスタ非採用削除!F$4,統合マスタ!$A100,0))</f>
        <v>採用区分（区分値）</v>
      </c>
      <c r="T100" s="27" t="str">
        <f ca="1">IF(OFFSET(マスタ非採用削除!G$4,統合マスタ!$A100,0)="","",OFFSET(マスタ非採用削除!G$4,統合マスタ!$A100,0))</f>
        <v>薬価</v>
      </c>
      <c r="U100" s="53" t="str">
        <f ca="1">IF(OFFSET(マスタ非採用削除!H$4,統合マスタ!$A100,0)="","",OFFSET(マスタ非採用削除!H$4,統合マスタ!$A100,0))</f>
        <v>カナ名称</v>
      </c>
      <c r="V100" s="27" t="str">
        <f ca="1">IF(OFFSET(マスタ非採用削除!I$4,統合マスタ!$A100,0)="","",OFFSET(マスタ非採用削除!I$4,統合マスタ!$A100,0))</f>
        <v>剤形(区分値)</v>
      </c>
      <c r="W100" s="27" t="str">
        <f ca="1">IF(OFFSET(マスタ非採用削除!J$4,統合マスタ!$A100,0)="","",OFFSET(マスタ非採用削除!J$4,統合マスタ!$A100,0))</f>
        <v>剤形</v>
      </c>
      <c r="X100" s="27" t="str">
        <f ca="1">IF(OFFSET(マスタ非採用削除!K$4,統合マスタ!$A100,0)="","",OFFSET(マスタ非採用削除!K$4,統合マスタ!$A100,0))</f>
        <v>毒劇薬（区分値）(区分値)</v>
      </c>
      <c r="Y100" s="53" t="str">
        <f ca="1">IF(OFFSET(マスタ非採用削除!L$4,統合マスタ!$A100,0)="","",OFFSET(マスタ非採用削除!L$4,統合マスタ!$A100,0))</f>
        <v>毒劇薬（区分値）</v>
      </c>
      <c r="Z100" s="27" t="str">
        <f ca="1">IF(OFFSET(マスタ非採用削除!M$4,統合マスタ!$A100,0)="","",OFFSET(マスタ非採用削除!M$4,統合マスタ!$A100,0))</f>
        <v>場所</v>
      </c>
      <c r="AA100" s="27"/>
      <c r="AB100" s="27" t="str">
        <f ca="1">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</f>
        <v>無し</v>
      </c>
      <c r="AC100" s="27" t="e" cm="1">
        <f t="array" aca="1" ref="AC100" ca="1">OFFSET(
   INDIRECT("'" &amp; AB100 &amp; "'!A4"),
   MATCH(B100, INDIRECT("'" &amp; AB100 &amp; "'!C5:C1000"), 0),
   MATCH("合計", INDIRECT("'" &amp; AB100 &amp; "'!4:4"), 0) - 1
)</f>
        <v>#REF!</v>
      </c>
    </row>
    <row r="101" spans="1:29">
      <c r="A101" s="40">
        <f>元データ!P98</f>
        <v>53</v>
      </c>
      <c r="B101" s="27">
        <f t="shared" si="1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IF(AA101="非採用",0,IF(OFFSET(マスタ非採用削除!E$4,統合マスタ!$A101,0)="","",OFFSET(マスタ非採用削除!E$4,統合マスタ!$A101,0)))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  <c r="AB101" s="27" t="str">
        <f ca="1">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</f>
        <v>注射</v>
      </c>
      <c r="AC101" s="27" cm="1">
        <f t="array" aca="1" ref="AC101" ca="1">OFFSET(
   INDIRECT("'" &amp; AB101 &amp; "'!A4"),
   MATCH(B101, INDIRECT("'" &amp; AB101 &amp; "'!C5:C1000"), 0),
   MATCH("合計", INDIRECT("'" &amp; AB101 &amp; "'!4:4"), 0) - 1
)</f>
        <v>0</v>
      </c>
    </row>
    <row r="102" spans="1:29">
      <c r="A102" s="40">
        <f>元データ!P99</f>
        <v>54</v>
      </c>
      <c r="B102" s="27">
        <f t="shared" si="1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IF(AA102="非採用",0,IF(OFFSET(マスタ非採用削除!E$4,統合マスタ!$A102,0)="","",OFFSET(マスタ非採用削除!E$4,統合マスタ!$A102,0)))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/>
      <c r="AB102" s="27" t="str">
        <f ca="1">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</f>
        <v>錠剤</v>
      </c>
      <c r="AC102" s="27" cm="1">
        <f t="array" aca="1" ref="AC102" ca="1">OFFSET(
   INDIRECT("'" &amp; AB102 &amp; "'!A4"),
   MATCH(B102, INDIRECT("'" &amp; AB102 &amp; "'!C5:C1000"), 0),
   MATCH("合計", INDIRECT("'" &amp; AB102 &amp; "'!4:4"), 0) - 1
)</f>
        <v>26</v>
      </c>
    </row>
    <row r="103" spans="1:29">
      <c r="A103" s="40">
        <f>元データ!P100</f>
        <v>54</v>
      </c>
      <c r="B103" s="27">
        <f t="shared" si="1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IF(AA103="非採用",0,IF(OFFSET(マスタ非採用削除!E$4,統合マスタ!$A103,0)="","",OFFSET(マスタ非採用削除!E$4,統合マスタ!$A103,0)))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/>
      <c r="AB103" s="27" t="str">
        <f ca="1">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</f>
        <v>錠剤</v>
      </c>
      <c r="AC103" s="27" cm="1">
        <f t="array" aca="1" ref="AC103" ca="1">OFFSET(
   INDIRECT("'" &amp; AB103 &amp; "'!A4"),
   MATCH(B103, INDIRECT("'" &amp; AB103 &amp; "'!C5:C1000"), 0),
   MATCH("合計", INDIRECT("'" &amp; AB103 &amp; "'!4:4"), 0) - 1
)</f>
        <v>27</v>
      </c>
    </row>
    <row r="104" spans="1:29">
      <c r="A104" s="40" t="str">
        <f>元データ!P101</f>
        <v>非採用</v>
      </c>
      <c r="B104" s="27">
        <f t="shared" si="1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IF(AA104="非採用",0,IF(OFFSET(マスタ非採用削除!E$4,統合マスタ!$A104,0)="","",OFFSET(マスタ非採用削除!E$4,統合マスタ!$A104,0)))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">
        <v>4214</v>
      </c>
      <c r="AB104" s="27" t="str">
        <f ca="1">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</f>
        <v>無し</v>
      </c>
      <c r="AC104" s="27" t="e" cm="1">
        <f t="array" aca="1" ref="AC104" ca="1">OFFSET(
   INDIRECT("'" &amp; AB104 &amp; "'!A4"),
   MATCH(B104, INDIRECT("'" &amp; AB104 &amp; "'!C5:C1000"), 0),
   MATCH("合計", INDIRECT("'" &amp; AB104 &amp; "'!4:4"), 0) - 1
)</f>
        <v>#REF!</v>
      </c>
    </row>
    <row r="105" spans="1:29">
      <c r="A105" s="40">
        <f>元データ!P102</f>
        <v>55</v>
      </c>
      <c r="B105" s="27">
        <f t="shared" si="1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IF(AA105="非採用",0,IF(OFFSET(マスタ非採用削除!E$4,統合マスタ!$A105,0)="","",OFFSET(マスタ非採用削除!E$4,統合マスタ!$A105,0)))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  <c r="AB105" s="27" t="str">
        <f ca="1">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</f>
        <v>無し</v>
      </c>
      <c r="AC105" s="27" t="e" cm="1">
        <f t="array" aca="1" ref="AC105" ca="1">OFFSET(
   INDIRECT("'" &amp; AB105 &amp; "'!A4"),
   MATCH(B105, INDIRECT("'" &amp; AB105 &amp; "'!C5:C1000"), 0),
   MATCH("合計", INDIRECT("'" &amp; AB105 &amp; "'!4:4"), 0) - 1
)</f>
        <v>#REF!</v>
      </c>
    </row>
    <row r="106" spans="1:29">
      <c r="A106" s="40">
        <f>元データ!P103</f>
        <v>0</v>
      </c>
      <c r="B106" s="27">
        <f t="shared" si="1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str">
        <f ca="1">IF(OFFSET(マスタ非採用削除!A$4,統合マスタ!$A106,0)="","",OFFSET(マスタ非採用削除!A$4,統合マスタ!$A106,0))</f>
        <v>コード(区分値)</v>
      </c>
      <c r="O106" s="53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3" t="str">
        <f ca="1">IF(OFFSET(マスタ非採用削除!D$4,統合マスタ!$A106,0)="","",OFFSET(マスタ非採用削除!D$4,統合マスタ!$A106,0))</f>
        <v>ホストコード</v>
      </c>
      <c r="R106" s="27" t="str">
        <f ca="1">IF(AA106="非採用",0,IF(OFFSET(マスタ非採用削除!E$4,統合マスタ!$A106,0)="","",OFFSET(マスタ非採用削除!E$4,統合マスタ!$A106,0)))</f>
        <v>採用区分（区分値）(区分値)</v>
      </c>
      <c r="S106" s="53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3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3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場所</v>
      </c>
      <c r="AA106" s="27"/>
      <c r="AB106" s="27" t="str">
        <f ca="1">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</f>
        <v>無し</v>
      </c>
      <c r="AC106" s="27" t="e" cm="1">
        <f t="array" aca="1" ref="AC106" ca="1">OFFSET(
   INDIRECT("'" &amp; AB106 &amp; "'!A4"),
   MATCH(B106, INDIRECT("'" &amp; AB106 &amp; "'!C5:C1000"), 0),
   MATCH("合計", INDIRECT("'" &amp; AB106 &amp; "'!4:4"), 0) - 1
)</f>
        <v>#REF!</v>
      </c>
    </row>
    <row r="107" spans="1:29">
      <c r="A107" s="40">
        <f>元データ!P104</f>
        <v>57</v>
      </c>
      <c r="B107" s="27">
        <f t="shared" si="1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IF(AA107="非採用",0,IF(OFFSET(マスタ非採用削除!E$4,統合マスタ!$A107,0)="","",OFFSET(マスタ非採用削除!E$4,統合マスタ!$A107,0)))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  <c r="AB107" s="27" t="str">
        <f ca="1">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</f>
        <v>臨時</v>
      </c>
      <c r="AC107" s="27" cm="1">
        <f t="array" aca="1" ref="AC107" ca="1">OFFSET(
   INDIRECT("'" &amp; AB107 &amp; "'!A4"),
   MATCH(B107, INDIRECT("'" &amp; AB107 &amp; "'!C5:C1000"), 0),
   MATCH("合計", INDIRECT("'" &amp; AB107 &amp; "'!4:4"), 0) - 1
)</f>
        <v>0</v>
      </c>
    </row>
    <row r="108" spans="1:29">
      <c r="A108" s="40" t="str">
        <f>元データ!P105</f>
        <v>非採用</v>
      </c>
      <c r="B108" s="27">
        <f t="shared" si="1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IF(AA108="非採用",0,IF(OFFSET(マスタ非採用削除!E$4,統合マスタ!$A108,0)="","",OFFSET(マスタ非採用削除!E$4,統合マスタ!$A108,0)))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4062</v>
      </c>
      <c r="AB108" s="27" t="str">
        <f ca="1">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</f>
        <v>無し</v>
      </c>
      <c r="AC108" s="27" t="e" cm="1">
        <f t="array" aca="1" ref="AC108" ca="1">OFFSET(
   INDIRECT("'" &amp; AB108 &amp; "'!A4"),
   MATCH(B108, INDIRECT("'" &amp; AB108 &amp; "'!C5:C1000"), 0),
   MATCH("合計", INDIRECT("'" &amp; AB108 &amp; "'!4:4"), 0) - 1
)</f>
        <v>#REF!</v>
      </c>
    </row>
    <row r="109" spans="1:29">
      <c r="A109" s="40">
        <f>元データ!P106</f>
        <v>58</v>
      </c>
      <c r="B109" s="27">
        <f t="shared" si="1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IF(AA109="非採用",0,IF(OFFSET(マスタ非採用削除!E$4,統合マスタ!$A109,0)="","",OFFSET(マスタ非採用削除!E$4,統合マスタ!$A109,0)))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  <c r="AB109" s="27" t="str">
        <f ca="1">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</f>
        <v>注射</v>
      </c>
      <c r="AC109" s="27" cm="1">
        <f t="array" aca="1" ref="AC109" ca="1">OFFSET(
   INDIRECT("'" &amp; AB109 &amp; "'!A4"),
   MATCH(B109, INDIRECT("'" &amp; AB109 &amp; "'!C5:C1000"), 0),
   MATCH("合計", INDIRECT("'" &amp; AB109 &amp; "'!4:4"), 0) - 1
)</f>
        <v>0</v>
      </c>
    </row>
    <row r="110" spans="1:29">
      <c r="A110" s="40">
        <f>元データ!P107</f>
        <v>58</v>
      </c>
      <c r="B110" s="27">
        <f t="shared" si="1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IF(AA110="非採用",0,IF(OFFSET(マスタ非採用削除!E$4,統合マスタ!$A110,0)="","",OFFSET(マスタ非採用削除!E$4,統合マスタ!$A110,0)))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  <c r="AB110" s="27" t="str">
        <f ca="1">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</f>
        <v>注射</v>
      </c>
      <c r="AC110" s="27" cm="1">
        <f t="array" aca="1" ref="AC110" ca="1">OFFSET(
   INDIRECT("'" &amp; AB110 &amp; "'!A4"),
   MATCH(B110, INDIRECT("'" &amp; AB110 &amp; "'!C5:C1000"), 0),
   MATCH("合計", INDIRECT("'" &amp; AB110 &amp; "'!4:4"), 0) - 1
)</f>
        <v>0</v>
      </c>
    </row>
    <row r="111" spans="1:29">
      <c r="A111" s="40">
        <f>元データ!P108</f>
        <v>60</v>
      </c>
      <c r="B111" s="27">
        <f t="shared" si="1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IF(AA111="非採用",0,IF(OFFSET(マスタ非採用削除!E$4,統合マスタ!$A111,0)="","",OFFSET(マスタ非採用削除!E$4,統合マスタ!$A111,0)))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  <c r="AB111" s="27" t="str">
        <f ca="1">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</f>
        <v>無し</v>
      </c>
      <c r="AC111" s="27" t="e" cm="1">
        <f t="array" aca="1" ref="AC111" ca="1">OFFSET(
   INDIRECT("'" &amp; AB111 &amp; "'!A4"),
   MATCH(B111, INDIRECT("'" &amp; AB111 &amp; "'!C5:C1000"), 0),
   MATCH("合計", INDIRECT("'" &amp; AB111 &amp; "'!4:4"), 0) - 1
)</f>
        <v>#REF!</v>
      </c>
    </row>
    <row r="112" spans="1:29">
      <c r="A112" s="40">
        <f>元データ!P109</f>
        <v>61</v>
      </c>
      <c r="B112" s="27">
        <f t="shared" si="1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IF(AA112="非採用",0,IF(OFFSET(マスタ非採用削除!E$4,統合マスタ!$A112,0)="","",OFFSET(マスタ非採用削除!E$4,統合マスタ!$A112,0)))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  <c r="AB112" s="27" t="str">
        <f ca="1">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</f>
        <v>無し</v>
      </c>
      <c r="AC112" s="27" t="e" cm="1">
        <f t="array" aca="1" ref="AC112" ca="1">OFFSET(
   INDIRECT("'" &amp; AB112 &amp; "'!A4"),
   MATCH(B112, INDIRECT("'" &amp; AB112 &amp; "'!C5:C1000"), 0),
   MATCH("合計", INDIRECT("'" &amp; AB112 &amp; "'!4:4"), 0) - 1
)</f>
        <v>#REF!</v>
      </c>
    </row>
    <row r="113" spans="1:29">
      <c r="A113" s="40">
        <f>元データ!P110</f>
        <v>62</v>
      </c>
      <c r="B113" s="27">
        <f t="shared" si="1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IF(AA113="非採用",0,IF(OFFSET(マスタ非採用削除!E$4,統合マスタ!$A113,0)="","",OFFSET(マスタ非採用削除!E$4,統合マスタ!$A113,0)))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  <c r="AB113" s="27" t="str">
        <f ca="1">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</f>
        <v>注射</v>
      </c>
      <c r="AC113" s="27" cm="1">
        <f t="array" aca="1" ref="AC113" ca="1">OFFSET(
   INDIRECT("'" &amp; AB113 &amp; "'!A4"),
   MATCH(B113, INDIRECT("'" &amp; AB113 &amp; "'!C5:C1000"), 0),
   MATCH("合計", INDIRECT("'" &amp; AB113 &amp; "'!4:4"), 0) - 1
)</f>
        <v>0</v>
      </c>
    </row>
    <row r="114" spans="1:29">
      <c r="A114" s="40">
        <f>元データ!P111</f>
        <v>63</v>
      </c>
      <c r="B114" s="27">
        <f t="shared" si="1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IF(AA114="非採用",0,IF(OFFSET(マスタ非採用削除!E$4,統合マスタ!$A114,0)="","",OFFSET(マスタ非採用削除!E$4,統合マスタ!$A114,0)))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  <c r="AB114" s="27" t="str">
        <f ca="1">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</f>
        <v>臨時</v>
      </c>
      <c r="AC114" s="27" cm="1">
        <f t="array" aca="1" ref="AC114" ca="1">OFFSET(
   INDIRECT("'" &amp; AB114 &amp; "'!A4"),
   MATCH(B114, INDIRECT("'" &amp; AB114 &amp; "'!C5:C1000"), 0),
   MATCH("合計", INDIRECT("'" &amp; AB114 &amp; "'!4:4"), 0) - 1
)</f>
        <v>0</v>
      </c>
    </row>
    <row r="115" spans="1:29">
      <c r="A115" s="40">
        <f>元データ!P112</f>
        <v>64</v>
      </c>
      <c r="B115" s="27">
        <f t="shared" si="1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IF(AA115="非採用",0,IF(OFFSET(マスタ非採用削除!E$4,統合マスタ!$A115,0)="","",OFFSET(マスタ非採用削除!E$4,統合マスタ!$A115,0)))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/>
      <c r="AB115" s="27" t="str">
        <f ca="1">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</f>
        <v>錠剤</v>
      </c>
      <c r="AC115" s="27" cm="1">
        <f t="array" aca="1" ref="AC115" ca="1">OFFSET(
   INDIRECT("'" &amp; AB115 &amp; "'!A4"),
   MATCH(B115, INDIRECT("'" &amp; AB115 &amp; "'!C5:C1000"), 0),
   MATCH("合計", INDIRECT("'" &amp; AB115 &amp; "'!4:4"), 0) - 1
)</f>
        <v>28</v>
      </c>
    </row>
    <row r="116" spans="1:29">
      <c r="A116" s="40">
        <f>元データ!P113</f>
        <v>64</v>
      </c>
      <c r="B116" s="27">
        <f t="shared" si="1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IF(AA116="非採用",0,IF(OFFSET(マスタ非採用削除!E$4,統合マスタ!$A116,0)="","",OFFSET(マスタ非採用削除!E$4,統合マスタ!$A116,0)))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/>
      <c r="AB116" s="27" t="str">
        <f ca="1">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</f>
        <v>錠剤</v>
      </c>
      <c r="AC116" s="27" cm="1">
        <f t="array" aca="1" ref="AC116" ca="1">OFFSET(
   INDIRECT("'" &amp; AB116 &amp; "'!A4"),
   MATCH(B116, INDIRECT("'" &amp; AB116 &amp; "'!C5:C1000"), 0),
   MATCH("合計", INDIRECT("'" &amp; AB116 &amp; "'!4:4"), 0) - 1
)</f>
        <v>29</v>
      </c>
    </row>
    <row r="117" spans="1:29">
      <c r="A117" s="40">
        <f>元データ!P114</f>
        <v>65</v>
      </c>
      <c r="B117" s="27">
        <f t="shared" si="1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IF(AA117="非採用",0,IF(OFFSET(マスタ非採用削除!E$4,統合マスタ!$A117,0)="","",OFFSET(マスタ非採用削除!E$4,統合マスタ!$A117,0)))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/>
      <c r="AB117" s="27" t="str">
        <f ca="1">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</f>
        <v>錠剤</v>
      </c>
      <c r="AC117" s="27" cm="1">
        <f t="array" aca="1" ref="AC117" ca="1">OFFSET(
   INDIRECT("'" &amp; AB117 &amp; "'!A4"),
   MATCH(B117, INDIRECT("'" &amp; AB117 &amp; "'!C5:C1000"), 0),
   MATCH("合計", INDIRECT("'" &amp; AB117 &amp; "'!4:4"), 0) - 1
)</f>
        <v>30</v>
      </c>
    </row>
    <row r="118" spans="1:29">
      <c r="A118" s="40">
        <f>元データ!P115</f>
        <v>66</v>
      </c>
      <c r="B118" s="27">
        <f t="shared" si="1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IF(AA118="非採用",0,IF(OFFSET(マスタ非採用削除!E$4,統合マスタ!$A118,0)="","",OFFSET(マスタ非採用削除!E$4,統合マスタ!$A118,0)))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/>
      <c r="AB118" s="27" t="str">
        <f ca="1">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</f>
        <v>錠剤</v>
      </c>
      <c r="AC118" s="27" cm="1">
        <f t="array" aca="1" ref="AC118" ca="1">OFFSET(
   INDIRECT("'" &amp; AB118 &amp; "'!A4"),
   MATCH(B118, INDIRECT("'" &amp; AB118 &amp; "'!C5:C1000"), 0),
   MATCH("合計", INDIRECT("'" &amp; AB118 &amp; "'!4:4"), 0) - 1
)</f>
        <v>31</v>
      </c>
    </row>
    <row r="119" spans="1:29">
      <c r="A119" s="40">
        <f>元データ!P116</f>
        <v>67</v>
      </c>
      <c r="B119" s="27">
        <f t="shared" si="1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IF(AA119="非採用",0,IF(OFFSET(マスタ非採用削除!E$4,統合マスタ!$A119,0)="","",OFFSET(マスタ非採用削除!E$4,統合マスタ!$A119,0)))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  <c r="AB119" s="27" t="str">
        <f ca="1">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</f>
        <v>臨時</v>
      </c>
      <c r="AC119" s="27" cm="1">
        <f t="array" aca="1" ref="AC119" ca="1">OFFSET(
   INDIRECT("'" &amp; AB119 &amp; "'!A4"),
   MATCH(B119, INDIRECT("'" &amp; AB119 &amp; "'!C5:C1000"), 0),
   MATCH("合計", INDIRECT("'" &amp; AB119 &amp; "'!4:4"), 0) - 1
)</f>
        <v>0</v>
      </c>
    </row>
    <row r="120" spans="1:29">
      <c r="A120" s="40">
        <f>元データ!P117</f>
        <v>70</v>
      </c>
      <c r="B120" s="27">
        <f t="shared" si="1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IF(AA120="非採用",0,IF(OFFSET(マスタ非採用削除!E$4,統合マスタ!$A120,0)="","",OFFSET(マスタ非採用削除!E$4,統合マスタ!$A120,0)))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  <c r="AB120" s="27" t="str">
        <f ca="1">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</f>
        <v>外用剤</v>
      </c>
      <c r="AC120" s="27" t="e" cm="1">
        <f t="array" aca="1" ref="AC120" ca="1">OFFSET(
   INDIRECT("'" &amp; AB120 &amp; "'!A4"),
   MATCH(B120, INDIRECT("'" &amp; AB120 &amp; "'!C5:C1000"), 0),
   MATCH("合計", INDIRECT("'" &amp; AB120 &amp; "'!4:4"), 0) - 1
)</f>
        <v>#REF!</v>
      </c>
    </row>
    <row r="121" spans="1:29">
      <c r="A121" s="40">
        <f>元データ!P118</f>
        <v>68</v>
      </c>
      <c r="B121" s="27">
        <f t="shared" si="1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IF(AA121="非採用",0,IF(OFFSET(マスタ非採用削除!E$4,統合マスタ!$A121,0)="","",OFFSET(マスタ非採用削除!E$4,統合マスタ!$A121,0)))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  <c r="AB121" s="27" t="str">
        <f ca="1">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</f>
        <v>外用剤</v>
      </c>
      <c r="AC121" s="27" t="e" cm="1">
        <f t="array" aca="1" ref="AC121" ca="1">OFFSET(
   INDIRECT("'" &amp; AB121 &amp; "'!A4"),
   MATCH(B121, INDIRECT("'" &amp; AB121 &amp; "'!C5:C1000"), 0),
   MATCH("合計", INDIRECT("'" &amp; AB121 &amp; "'!4:4"), 0) - 1
)</f>
        <v>#REF!</v>
      </c>
    </row>
    <row r="122" spans="1:29">
      <c r="A122" s="40">
        <f>元データ!P119</f>
        <v>69</v>
      </c>
      <c r="B122" s="27">
        <f t="shared" si="1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IF(AA122="非採用",0,IF(OFFSET(マスタ非採用削除!E$4,統合マスタ!$A122,0)="","",OFFSET(マスタ非採用削除!E$4,統合マスタ!$A122,0)))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  <c r="AB122" s="27" t="str">
        <f ca="1">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</f>
        <v>錠剤</v>
      </c>
      <c r="AC122" s="27" cm="1">
        <f t="array" aca="1" ref="AC122" ca="1">OFFSET(
   INDIRECT("'" &amp; AB122 &amp; "'!A4"),
   MATCH(B122, INDIRECT("'" &amp; AB122 &amp; "'!C5:C1000"), 0),
   MATCH("合計", INDIRECT("'" &amp; AB122 &amp; "'!4:4"), 0) - 1
)</f>
        <v>32</v>
      </c>
    </row>
    <row r="123" spans="1:29">
      <c r="A123" s="40">
        <f>元データ!P120</f>
        <v>71</v>
      </c>
      <c r="B123" s="27">
        <f t="shared" si="1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IF(AA123="非採用",0,IF(OFFSET(マスタ非採用削除!E$4,統合マスタ!$A123,0)="","",OFFSET(マスタ非採用削除!E$4,統合マスタ!$A123,0)))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  <c r="AB123" s="27" t="str">
        <f ca="1">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</f>
        <v>臨時</v>
      </c>
      <c r="AC123" s="27" cm="1">
        <f t="array" aca="1" ref="AC123" ca="1">OFFSET(
   INDIRECT("'" &amp; AB123 &amp; "'!A4"),
   MATCH(B123, INDIRECT("'" &amp; AB123 &amp; "'!C5:C1000"), 0),
   MATCH("合計", INDIRECT("'" &amp; AB123 &amp; "'!4:4"), 0) - 1
)</f>
        <v>0</v>
      </c>
    </row>
    <row r="124" spans="1:29">
      <c r="A124" s="40" t="str">
        <f>元データ!P121</f>
        <v>非採用</v>
      </c>
      <c r="B124" s="27">
        <f t="shared" si="1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IF(AA124="非採用",0,IF(OFFSET(マスタ非採用削除!E$4,統合マスタ!$A124,0)="","",OFFSET(マスタ非採用削除!E$4,統合マスタ!$A124,0)))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">
        <v>4062</v>
      </c>
      <c r="AB124" s="27" t="str">
        <f ca="1">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</f>
        <v>無し</v>
      </c>
      <c r="AC124" s="27" t="e" cm="1">
        <f t="array" aca="1" ref="AC124" ca="1">OFFSET(
   INDIRECT("'" &amp; AB124 &amp; "'!A4"),
   MATCH(B124, INDIRECT("'" &amp; AB124 &amp; "'!C5:C1000"), 0),
   MATCH("合計", INDIRECT("'" &amp; AB124 &amp; "'!4:4"), 0) - 1
)</f>
        <v>#REF!</v>
      </c>
    </row>
    <row r="125" spans="1:29">
      <c r="A125" s="40">
        <f>元データ!P122</f>
        <v>72</v>
      </c>
      <c r="B125" s="27">
        <f t="shared" si="1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IF(AA125="非採用",0,IF(OFFSET(マスタ非採用削除!E$4,統合マスタ!$A125,0)="","",OFFSET(マスタ非採用削除!E$4,統合マスタ!$A125,0)))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/>
      <c r="AB125" s="27" t="str">
        <f ca="1">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</f>
        <v>錠剤</v>
      </c>
      <c r="AC125" s="27" cm="1">
        <f t="array" aca="1" ref="AC125" ca="1">OFFSET(
   INDIRECT("'" &amp; AB125 &amp; "'!A4"),
   MATCH(B125, INDIRECT("'" &amp; AB125 &amp; "'!C5:C1000"), 0),
   MATCH("合計", INDIRECT("'" &amp; AB125 &amp; "'!4:4"), 0) - 1
)</f>
        <v>33</v>
      </c>
    </row>
    <row r="126" spans="1:29">
      <c r="A126" s="40">
        <f>元データ!P123</f>
        <v>73</v>
      </c>
      <c r="B126" s="27">
        <f t="shared" si="1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IF(AA126="非採用",0,IF(OFFSET(マスタ非採用削除!E$4,統合マスタ!$A126,0)="","",OFFSET(マスタ非採用削除!E$4,統合マスタ!$A126,0)))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  <c r="AB126" s="27" t="str">
        <f ca="1">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</f>
        <v>臨時</v>
      </c>
      <c r="AC126" s="27" cm="1">
        <f t="array" aca="1" ref="AC126" ca="1">OFFSET(
   INDIRECT("'" &amp; AB126 &amp; "'!A4"),
   MATCH(B126, INDIRECT("'" &amp; AB126 &amp; "'!C5:C1000"), 0),
   MATCH("合計", INDIRECT("'" &amp; AB126 &amp; "'!4:4"), 0) - 1
)</f>
        <v>0</v>
      </c>
    </row>
    <row r="127" spans="1:29">
      <c r="A127" s="40">
        <f>元データ!P124</f>
        <v>74</v>
      </c>
      <c r="B127" s="27">
        <f t="shared" si="1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IF(AA127="非採用",0,IF(OFFSET(マスタ非採用削除!E$4,統合マスタ!$A127,0)="","",OFFSET(マスタ非採用削除!E$4,統合マスタ!$A127,0)))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/>
      <c r="AB127" s="27" t="str">
        <f ca="1">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</f>
        <v>錠剤</v>
      </c>
      <c r="AC127" s="27" cm="1">
        <f t="array" aca="1" ref="AC127" ca="1">OFFSET(
   INDIRECT("'" &amp; AB127 &amp; "'!A4"),
   MATCH(B127, INDIRECT("'" &amp; AB127 &amp; "'!C5:C1000"), 0),
   MATCH("合計", INDIRECT("'" &amp; AB127 &amp; "'!4:4"), 0) - 1
)</f>
        <v>34</v>
      </c>
    </row>
    <row r="128" spans="1:29">
      <c r="A128" s="40">
        <f>元データ!P125</f>
        <v>74</v>
      </c>
      <c r="B128" s="27">
        <f t="shared" si="1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IF(AA128="非採用",0,IF(OFFSET(マスタ非採用削除!E$4,統合マスタ!$A128,0)="","",OFFSET(マスタ非採用削除!E$4,統合マスタ!$A128,0)))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/>
      <c r="AB128" s="27" t="str">
        <f ca="1">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</f>
        <v>錠剤</v>
      </c>
      <c r="AC128" s="27" cm="1">
        <f t="array" aca="1" ref="AC128" ca="1">OFFSET(
   INDIRECT("'" &amp; AB128 &amp; "'!A4"),
   MATCH(B128, INDIRECT("'" &amp; AB128 &amp; "'!C5:C1000"), 0),
   MATCH("合計", INDIRECT("'" &amp; AB128 &amp; "'!4:4"), 0) - 1
)</f>
        <v>35</v>
      </c>
    </row>
    <row r="129" spans="1:29">
      <c r="A129" s="40">
        <f>元データ!P126</f>
        <v>75</v>
      </c>
      <c r="B129" s="27">
        <f t="shared" si="1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IF(AA129="非採用",0,IF(OFFSET(マスタ非採用削除!E$4,統合マスタ!$A129,0)="","",OFFSET(マスタ非採用削除!E$4,統合マスタ!$A129,0)))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/>
      <c r="AB129" s="27" t="str">
        <f ca="1">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</f>
        <v>錠剤</v>
      </c>
      <c r="AC129" s="27" cm="1">
        <f t="array" aca="1" ref="AC129" ca="1">OFFSET(
   INDIRECT("'" &amp; AB129 &amp; "'!A4"),
   MATCH(B129, INDIRECT("'" &amp; AB129 &amp; "'!C5:C1000"), 0),
   MATCH("合計", INDIRECT("'" &amp; AB129 &amp; "'!4:4"), 0) - 1
)</f>
        <v>36</v>
      </c>
    </row>
    <row r="130" spans="1:29">
      <c r="A130" s="40">
        <f>元データ!P127</f>
        <v>75</v>
      </c>
      <c r="B130" s="27">
        <f t="shared" si="1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IF(AA130="非採用",0,IF(OFFSET(マスタ非採用削除!E$4,統合マスタ!$A130,0)="","",OFFSET(マスタ非採用削除!E$4,統合マスタ!$A130,0)))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/>
      <c r="AB130" s="27" t="str">
        <f ca="1">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</f>
        <v>錠剤</v>
      </c>
      <c r="AC130" s="27" cm="1">
        <f t="array" aca="1" ref="AC130" ca="1">OFFSET(
   INDIRECT("'" &amp; AB130 &amp; "'!A4"),
   MATCH(B130, INDIRECT("'" &amp; AB130 &amp; "'!C5:C1000"), 0),
   MATCH("合計", INDIRECT("'" &amp; AB130 &amp; "'!4:4"), 0) - 1
)</f>
        <v>37</v>
      </c>
    </row>
    <row r="131" spans="1:29">
      <c r="A131" s="40">
        <f>元データ!P128</f>
        <v>77</v>
      </c>
      <c r="B131" s="27">
        <f t="shared" si="1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IF(AA131="非採用",0,IF(OFFSET(マスタ非採用削除!E$4,統合マスタ!$A131,0)="","",OFFSET(マスタ非採用削除!E$4,統合マスタ!$A131,0)))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  <c r="AB131" s="27" t="str">
        <f ca="1">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</f>
        <v>臨時</v>
      </c>
      <c r="AC131" s="27" cm="1">
        <f t="array" aca="1" ref="AC131" ca="1">OFFSET(
   INDIRECT("'" &amp; AB131 &amp; "'!A4"),
   MATCH(B131, INDIRECT("'" &amp; AB131 &amp; "'!C5:C1000"), 0),
   MATCH("合計", INDIRECT("'" &amp; AB131 &amp; "'!4:4"), 0) - 1
)</f>
        <v>0</v>
      </c>
    </row>
    <row r="132" spans="1:29">
      <c r="A132" s="40">
        <f>元データ!P129</f>
        <v>78</v>
      </c>
      <c r="B132" s="27">
        <f t="shared" si="1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IF(AA132="非採用",0,IF(OFFSET(マスタ非採用削除!E$4,統合マスタ!$A132,0)="","",OFFSET(マスタ非採用削除!E$4,統合マスタ!$A132,0)))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  <c r="AB132" s="27" t="str">
        <f ca="1">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</f>
        <v>無し</v>
      </c>
      <c r="AC132" s="27" t="e" cm="1">
        <f t="array" aca="1" ref="AC132" ca="1">OFFSET(
   INDIRECT("'" &amp; AB132 &amp; "'!A4"),
   MATCH(B132, INDIRECT("'" &amp; AB132 &amp; "'!C5:C1000"), 0),
   MATCH("合計", INDIRECT("'" &amp; AB132 &amp; "'!4:4"), 0) - 1
)</f>
        <v>#REF!</v>
      </c>
    </row>
    <row r="133" spans="1:29">
      <c r="A133" s="40">
        <f>元データ!P130</f>
        <v>78</v>
      </c>
      <c r="B133" s="27">
        <f t="shared" si="1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IF(AA133="非採用",0,IF(OFFSET(マスタ非採用削除!E$4,統合マスタ!$A133,0)="","",OFFSET(マスタ非採用削除!E$4,統合マスタ!$A133,0)))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  <c r="AB133" s="27" t="str">
        <f ca="1">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</f>
        <v>無し</v>
      </c>
      <c r="AC133" s="27" t="e" cm="1">
        <f t="array" aca="1" ref="AC133" ca="1">OFFSET(
   INDIRECT("'" &amp; AB133 &amp; "'!A4"),
   MATCH(B133, INDIRECT("'" &amp; AB133 &amp; "'!C5:C1000"), 0),
   MATCH("合計", INDIRECT("'" &amp; AB133 &amp; "'!4:4"), 0) - 1
)</f>
        <v>#REF!</v>
      </c>
    </row>
    <row r="134" spans="1:29">
      <c r="A134" s="40">
        <f>元データ!P131</f>
        <v>79</v>
      </c>
      <c r="B134" s="27">
        <f t="shared" si="1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IF(AA134="非採用",0,IF(OFFSET(マスタ非採用削除!E$4,統合マスタ!$A134,0)="","",OFFSET(マスタ非採用削除!E$4,統合マスタ!$A134,0)))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/>
      <c r="AB134" s="27" t="str">
        <f ca="1">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</f>
        <v>錠剤</v>
      </c>
      <c r="AC134" s="27" cm="1">
        <f t="array" aca="1" ref="AC134" ca="1">OFFSET(
   INDIRECT("'" &amp; AB134 &amp; "'!A4"),
   MATCH(B134, INDIRECT("'" &amp; AB134 &amp; "'!C5:C1000"), 0),
   MATCH("合計", INDIRECT("'" &amp; AB134 &amp; "'!4:4"), 0) - 1
)</f>
        <v>38</v>
      </c>
    </row>
    <row r="135" spans="1:29">
      <c r="A135" s="40">
        <f>元データ!P132</f>
        <v>79</v>
      </c>
      <c r="B135" s="27">
        <f t="shared" ref="B135:B198" si="2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IF(AA135="非採用",0,IF(OFFSET(マスタ非採用削除!E$4,統合マスタ!$A135,0)="","",OFFSET(マスタ非採用削除!E$4,統合マスタ!$A135,0)))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/>
      <c r="AB135" s="27" t="str">
        <f ca="1">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</f>
        <v>錠剤</v>
      </c>
      <c r="AC135" s="27" cm="1">
        <f t="array" aca="1" ref="AC135" ca="1">OFFSET(
   INDIRECT("'" &amp; AB135 &amp; "'!A4"),
   MATCH(B135, INDIRECT("'" &amp; AB135 &amp; "'!C5:C1000"), 0),
   MATCH("合計", INDIRECT("'" &amp; AB135 &amp; "'!4:4"), 0) - 1
)</f>
        <v>39</v>
      </c>
    </row>
    <row r="136" spans="1:29">
      <c r="A136" s="40">
        <f>元データ!P133</f>
        <v>80</v>
      </c>
      <c r="B136" s="27">
        <f t="shared" si="2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IF(AA136="非採用",0,IF(OFFSET(マスタ非採用削除!E$4,統合マスタ!$A136,0)="","",OFFSET(マスタ非採用削除!E$4,統合マスタ!$A136,0)))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/>
      <c r="AB136" s="27" t="str">
        <f ca="1">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</f>
        <v>錠剤</v>
      </c>
      <c r="AC136" s="27" cm="1">
        <f t="array" aca="1" ref="AC136" ca="1">OFFSET(
   INDIRECT("'" &amp; AB136 &amp; "'!A4"),
   MATCH(B136, INDIRECT("'" &amp; AB136 &amp; "'!C5:C1000"), 0),
   MATCH("合計", INDIRECT("'" &amp; AB136 &amp; "'!4:4"), 0) - 1
)</f>
        <v>40</v>
      </c>
    </row>
    <row r="137" spans="1:29">
      <c r="A137" s="40">
        <f>元データ!P134</f>
        <v>80</v>
      </c>
      <c r="B137" s="27">
        <f t="shared" si="2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IF(AA137="非採用",0,IF(OFFSET(マスタ非採用削除!E$4,統合マスタ!$A137,0)="","",OFFSET(マスタ非採用削除!E$4,統合マスタ!$A137,0)))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/>
      <c r="AB137" s="27" t="str">
        <f ca="1">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</f>
        <v>錠剤</v>
      </c>
      <c r="AC137" s="27" cm="1">
        <f t="array" aca="1" ref="AC137" ca="1">OFFSET(
   INDIRECT("'" &amp; AB137 &amp; "'!A4"),
   MATCH(B137, INDIRECT("'" &amp; AB137 &amp; "'!C5:C1000"), 0),
   MATCH("合計", INDIRECT("'" &amp; AB137 &amp; "'!4:4"), 0) - 1
)</f>
        <v>41</v>
      </c>
    </row>
    <row r="138" spans="1:29">
      <c r="A138" s="40">
        <f>元データ!P135</f>
        <v>81</v>
      </c>
      <c r="B138" s="27">
        <f t="shared" si="2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IF(AA138="非採用",0,IF(OFFSET(マスタ非採用削除!E$4,統合マスタ!$A138,0)="","",OFFSET(マスタ非採用削除!E$4,統合マスタ!$A138,0)))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/>
      <c r="AB138" s="27" t="str">
        <f ca="1">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</f>
        <v>錠剤</v>
      </c>
      <c r="AC138" s="27" cm="1">
        <f t="array" aca="1" ref="AC138" ca="1">OFFSET(
   INDIRECT("'" &amp; AB138 &amp; "'!A4"),
   MATCH(B138, INDIRECT("'" &amp; AB138 &amp; "'!C5:C1000"), 0),
   MATCH("合計", INDIRECT("'" &amp; AB138 &amp; "'!4:4"), 0) - 1
)</f>
        <v>42</v>
      </c>
    </row>
    <row r="139" spans="1:29">
      <c r="A139" s="40">
        <f>元データ!P136</f>
        <v>82</v>
      </c>
      <c r="B139" s="27">
        <f t="shared" si="2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IF(AA139="非採用",0,IF(OFFSET(マスタ非採用削除!E$4,統合マスタ!$A139,0)="","",OFFSET(マスタ非採用削除!E$4,統合マスタ!$A139,0)))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  <c r="AB139" s="27" t="str">
        <f ca="1">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</f>
        <v>錠剤</v>
      </c>
      <c r="AC139" s="27" cm="1">
        <f t="array" aca="1" ref="AC139" ca="1">OFFSET(
   INDIRECT("'" &amp; AB139 &amp; "'!A4"),
   MATCH(B139, INDIRECT("'" &amp; AB139 &amp; "'!C5:C1000"), 0),
   MATCH("合計", INDIRECT("'" &amp; AB139 &amp; "'!4:4"), 0) - 1
)</f>
        <v>43</v>
      </c>
    </row>
    <row r="140" spans="1:29">
      <c r="A140" s="40">
        <f>元データ!P137</f>
        <v>83</v>
      </c>
      <c r="B140" s="27">
        <f t="shared" si="2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IF(AA140="非採用",0,IF(OFFSET(マスタ非採用削除!E$4,統合マスタ!$A140,0)="","",OFFSET(マスタ非採用削除!E$4,統合マスタ!$A140,0)))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  <c r="AB140" s="27" t="str">
        <f ca="1">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</f>
        <v>錠剤</v>
      </c>
      <c r="AC140" s="27" cm="1">
        <f t="array" aca="1" ref="AC140" ca="1">OFFSET(
   INDIRECT("'" &amp; AB140 &amp; "'!A4"),
   MATCH(B140, INDIRECT("'" &amp; AB140 &amp; "'!C5:C1000"), 0),
   MATCH("合計", INDIRECT("'" &amp; AB140 &amp; "'!4:4"), 0) - 1
)</f>
        <v>44</v>
      </c>
    </row>
    <row r="141" spans="1:29">
      <c r="A141" s="40">
        <f>元データ!P138</f>
        <v>84</v>
      </c>
      <c r="B141" s="27">
        <f t="shared" si="2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IF(AA141="非採用",0,IF(OFFSET(マスタ非採用削除!E$4,統合マスタ!$A141,0)="","",OFFSET(マスタ非採用削除!E$4,統合マスタ!$A141,0)))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/>
      <c r="AB141" s="27" t="str">
        <f ca="1">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</f>
        <v>錠剤</v>
      </c>
      <c r="AC141" s="27" cm="1">
        <f t="array" aca="1" ref="AC141" ca="1">OFFSET(
   INDIRECT("'" &amp; AB141 &amp; "'!A4"),
   MATCH(B141, INDIRECT("'" &amp; AB141 &amp; "'!C5:C1000"), 0),
   MATCH("合計", INDIRECT("'" &amp; AB141 &amp; "'!4:4"), 0) - 1
)</f>
        <v>45</v>
      </c>
    </row>
    <row r="142" spans="1:29">
      <c r="A142" s="40">
        <f>元データ!P139</f>
        <v>0</v>
      </c>
      <c r="B142" s="27">
        <f t="shared" si="2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str">
        <f ca="1">IF(OFFSET(マスタ非採用削除!A$4,統合マスタ!$A142,0)="","",OFFSET(マスタ非採用削除!A$4,統合マスタ!$A142,0))</f>
        <v>コード(区分値)</v>
      </c>
      <c r="O142" s="53" t="str">
        <f ca="1">IF(OFFSET(マスタ非採用削除!B$4,統合マスタ!$A142,0)="","",OFFSET(マスタ非採用削除!B$4,統合マスタ!$A142,0))</f>
        <v>コード</v>
      </c>
      <c r="P142" s="27" t="str">
        <f ca="1">IF(OFFSET(マスタ非採用削除!C$4,統合マスタ!$A142,0)="","",OFFSET(マスタ非採用削除!C$4,統合マスタ!$A142,0))</f>
        <v>名称</v>
      </c>
      <c r="Q142" s="53" t="str">
        <f ca="1">IF(OFFSET(マスタ非採用削除!D$4,統合マスタ!$A142,0)="","",OFFSET(マスタ非採用削除!D$4,統合マスタ!$A142,0))</f>
        <v>ホストコード</v>
      </c>
      <c r="R142" s="27" t="str">
        <f ca="1">IF(AA142="非採用",0,IF(OFFSET(マスタ非採用削除!E$4,統合マスタ!$A142,0)="","",OFFSET(マスタ非採用削除!E$4,統合マスタ!$A142,0)))</f>
        <v>採用区分（区分値）(区分値)</v>
      </c>
      <c r="S142" s="53" t="str">
        <f ca="1">IF(OFFSET(マスタ非採用削除!F$4,統合マスタ!$A142,0)="","",OFFSET(マスタ非採用削除!F$4,統合マスタ!$A142,0))</f>
        <v>採用区分（区分値）</v>
      </c>
      <c r="T142" s="27" t="str">
        <f ca="1">IF(OFFSET(マスタ非採用削除!G$4,統合マスタ!$A142,0)="","",OFFSET(マスタ非採用削除!G$4,統合マスタ!$A142,0))</f>
        <v>薬価</v>
      </c>
      <c r="U142" s="53" t="str">
        <f ca="1">IF(OFFSET(マスタ非採用削除!H$4,統合マスタ!$A142,0)="","",OFFSET(マスタ非採用削除!H$4,統合マスタ!$A142,0))</f>
        <v>カナ名称</v>
      </c>
      <c r="V142" s="27" t="str">
        <f ca="1">IF(OFFSET(マスタ非採用削除!I$4,統合マスタ!$A142,0)="","",OFFSET(マスタ非採用削除!I$4,統合マスタ!$A142,0))</f>
        <v>剤形(区分値)</v>
      </c>
      <c r="W142" s="27" t="str">
        <f ca="1">IF(OFFSET(マスタ非採用削除!J$4,統合マスタ!$A142,0)="","",OFFSET(マスタ非採用削除!J$4,統合マスタ!$A142,0))</f>
        <v>剤形</v>
      </c>
      <c r="X142" s="27" t="str">
        <f ca="1">IF(OFFSET(マスタ非採用削除!K$4,統合マスタ!$A142,0)="","",OFFSET(マスタ非採用削除!K$4,統合マスタ!$A142,0))</f>
        <v>毒劇薬（区分値）(区分値)</v>
      </c>
      <c r="Y142" s="53" t="str">
        <f ca="1">IF(OFFSET(マスタ非採用削除!L$4,統合マスタ!$A142,0)="","",OFFSET(マスタ非採用削除!L$4,統合マスタ!$A142,0))</f>
        <v>毒劇薬（区分値）</v>
      </c>
      <c r="Z142" s="27" t="str">
        <f ca="1">IF(OFFSET(マスタ非採用削除!M$4,統合マスタ!$A142,0)="","",OFFSET(マスタ非採用削除!M$4,統合マスタ!$A142,0))</f>
        <v>場所</v>
      </c>
      <c r="AA142" s="27"/>
      <c r="AB142" s="27" t="str">
        <f ca="1">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</f>
        <v>無し</v>
      </c>
      <c r="AC142" s="27" t="e" cm="1">
        <f t="array" aca="1" ref="AC142" ca="1">OFFSET(
   INDIRECT("'" &amp; AB142 &amp; "'!A4"),
   MATCH(B142, INDIRECT("'" &amp; AB142 &amp; "'!C5:C1000"), 0),
   MATCH("合計", INDIRECT("'" &amp; AB142 &amp; "'!4:4"), 0) - 1
)</f>
        <v>#REF!</v>
      </c>
    </row>
    <row r="143" spans="1:29">
      <c r="A143" s="40">
        <f>元データ!P140</f>
        <v>85</v>
      </c>
      <c r="B143" s="27">
        <f t="shared" si="2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IF(AA143="非採用",0,IF(OFFSET(マスタ非採用削除!E$4,統合マスタ!$A143,0)="","",OFFSET(マスタ非採用削除!E$4,統合マスタ!$A143,0)))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  <c r="AB143" s="27" t="str">
        <f ca="1">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</f>
        <v>注射</v>
      </c>
      <c r="AC143" s="27" cm="1">
        <f t="array" aca="1" ref="AC143" ca="1">OFFSET(
   INDIRECT("'" &amp; AB143 &amp; "'!A4"),
   MATCH(B143, INDIRECT("'" &amp; AB143 &amp; "'!C5:C1000"), 0),
   MATCH("合計", INDIRECT("'" &amp; AB143 &amp; "'!4:4"), 0) - 1
)</f>
        <v>0</v>
      </c>
    </row>
    <row r="144" spans="1:29">
      <c r="A144" s="40">
        <f>元データ!P141</f>
        <v>86</v>
      </c>
      <c r="B144" s="27">
        <f t="shared" si="2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IF(AA144="非採用",0,IF(OFFSET(マスタ非採用削除!E$4,統合マスタ!$A144,0)="","",OFFSET(マスタ非採用削除!E$4,統合マスタ!$A144,0)))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  <c r="AB144" s="27" t="str">
        <f ca="1">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</f>
        <v>注射</v>
      </c>
      <c r="AC144" s="27" cm="1">
        <f t="array" aca="1" ref="AC144" ca="1">OFFSET(
   INDIRECT("'" &amp; AB144 &amp; "'!A4"),
   MATCH(B144, INDIRECT("'" &amp; AB144 &amp; "'!C5:C1000"), 0),
   MATCH("合計", INDIRECT("'" &amp; AB144 &amp; "'!4:4"), 0) - 1
)</f>
        <v>0</v>
      </c>
    </row>
    <row r="145" spans="1:29">
      <c r="A145" s="40">
        <f>元データ!P142</f>
        <v>87</v>
      </c>
      <c r="B145" s="27">
        <f t="shared" si="2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IF(AA145="非採用",0,IF(OFFSET(マスタ非採用削除!E$4,統合マスタ!$A145,0)="","",OFFSET(マスタ非採用削除!E$4,統合マスタ!$A145,0)))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  <c r="AB145" s="27" t="str">
        <f ca="1">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</f>
        <v>無し</v>
      </c>
      <c r="AC145" s="27" t="e" cm="1">
        <f t="array" aca="1" ref="AC145" ca="1">OFFSET(
   INDIRECT("'" &amp; AB145 &amp; "'!A4"),
   MATCH(B145, INDIRECT("'" &amp; AB145 &amp; "'!C5:C1000"), 0),
   MATCH("合計", INDIRECT("'" &amp; AB145 &amp; "'!4:4"), 0) - 1
)</f>
        <v>#REF!</v>
      </c>
    </row>
    <row r="146" spans="1:29">
      <c r="A146" s="40">
        <f>元データ!P143</f>
        <v>87</v>
      </c>
      <c r="B146" s="27">
        <f t="shared" si="2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IF(AA146="非採用",0,IF(OFFSET(マスタ非採用削除!E$4,統合マスタ!$A146,0)="","",OFFSET(マスタ非採用削除!E$4,統合マスタ!$A146,0)))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  <c r="AB146" s="27" t="str">
        <f ca="1">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</f>
        <v>無し</v>
      </c>
      <c r="AC146" s="27" t="e" cm="1">
        <f t="array" aca="1" ref="AC146" ca="1">OFFSET(
   INDIRECT("'" &amp; AB146 &amp; "'!A4"),
   MATCH(B146, INDIRECT("'" &amp; AB146 &amp; "'!C5:C1000"), 0),
   MATCH("合計", INDIRECT("'" &amp; AB146 &amp; "'!4:4"), 0) - 1
)</f>
        <v>#REF!</v>
      </c>
    </row>
    <row r="147" spans="1:29">
      <c r="A147" s="40">
        <f>元データ!P144</f>
        <v>89</v>
      </c>
      <c r="B147" s="27">
        <f t="shared" si="2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IF(AA147="非採用",0,IF(OFFSET(マスタ非採用削除!E$4,統合マスタ!$A147,0)="","",OFFSET(マスタ非採用削除!E$4,統合マスタ!$A147,0)))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  <c r="AB147" s="27" t="str">
        <f ca="1">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</f>
        <v>臨時</v>
      </c>
      <c r="AC147" s="27" cm="1">
        <f t="array" aca="1" ref="AC147" ca="1">OFFSET(
   INDIRECT("'" &amp; AB147 &amp; "'!A4"),
   MATCH(B147, INDIRECT("'" &amp; AB147 &amp; "'!C5:C1000"), 0),
   MATCH("合計", INDIRECT("'" &amp; AB147 &amp; "'!4:4"), 0) - 1
)</f>
        <v>0</v>
      </c>
    </row>
    <row r="148" spans="1:29">
      <c r="A148" s="40">
        <f>元データ!P145</f>
        <v>90</v>
      </c>
      <c r="B148" s="27">
        <f t="shared" si="2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IF(AA148="非採用",0,IF(OFFSET(マスタ非採用削除!E$4,統合マスタ!$A148,0)="","",OFFSET(マスタ非採用削除!E$4,統合マスタ!$A148,0)))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  <c r="AB148" s="27" t="str">
        <f ca="1">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</f>
        <v>臨時</v>
      </c>
      <c r="AC148" s="27" cm="1">
        <f t="array" aca="1" ref="AC148" ca="1">OFFSET(
   INDIRECT("'" &amp; AB148 &amp; "'!A4"),
   MATCH(B148, INDIRECT("'" &amp; AB148 &amp; "'!C5:C1000"), 0),
   MATCH("合計", INDIRECT("'" &amp; AB148 &amp; "'!4:4"), 0) - 1
)</f>
        <v>0</v>
      </c>
    </row>
    <row r="149" spans="1:29">
      <c r="A149" s="40">
        <f>元データ!P146</f>
        <v>91</v>
      </c>
      <c r="B149" s="27">
        <f t="shared" si="2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IF(AA149="非採用",0,IF(OFFSET(マスタ非採用削除!E$4,統合マスタ!$A149,0)="","",OFFSET(マスタ非採用削除!E$4,統合マスタ!$A149,0)))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  <c r="AB149" s="27" t="str">
        <f ca="1">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</f>
        <v>無し</v>
      </c>
      <c r="AC149" s="27" t="e" cm="1">
        <f t="array" aca="1" ref="AC149" ca="1">OFFSET(
   INDIRECT("'" &amp; AB149 &amp; "'!A4"),
   MATCH(B149, INDIRECT("'" &amp; AB149 &amp; "'!C5:C1000"), 0),
   MATCH("合計", INDIRECT("'" &amp; AB149 &amp; "'!4:4"), 0) - 1
)</f>
        <v>#REF!</v>
      </c>
    </row>
    <row r="150" spans="1:29">
      <c r="A150" s="40">
        <f>元データ!P147</f>
        <v>13</v>
      </c>
      <c r="B150" s="27">
        <f t="shared" si="2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IF(AA150="非採用",0,IF(OFFSET(マスタ非採用削除!E$4,統合マスタ!$A150,0)="","",OFFSET(マスタ非採用削除!E$4,統合マスタ!$A150,0)))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  <c r="AB150" s="27" t="str">
        <f ca="1">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</f>
        <v>錠剤</v>
      </c>
      <c r="AC150" s="27" cm="1">
        <f t="array" aca="1" ref="AC150" ca="1">OFFSET(
   INDIRECT("'" &amp; AB150 &amp; "'!A4"),
   MATCH(B150, INDIRECT("'" &amp; AB150 &amp; "'!C5:C1000"), 0),
   MATCH("合計", INDIRECT("'" &amp; AB150 &amp; "'!4:4"), 0) - 1
)</f>
        <v>46</v>
      </c>
    </row>
    <row r="151" spans="1:29">
      <c r="A151" s="40">
        <f>元データ!P148</f>
        <v>92</v>
      </c>
      <c r="B151" s="27">
        <f t="shared" si="2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IF(AA151="非採用",0,IF(OFFSET(マスタ非採用削除!E$4,統合マスタ!$A151,0)="","",OFFSET(マスタ非採用削除!E$4,統合マスタ!$A151,0)))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  <c r="AB151" s="27" t="str">
        <f ca="1">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</f>
        <v>注射</v>
      </c>
      <c r="AC151" s="27" cm="1">
        <f t="array" aca="1" ref="AC151" ca="1">OFFSET(
   INDIRECT("'" &amp; AB151 &amp; "'!A4"),
   MATCH(B151, INDIRECT("'" &amp; AB151 &amp; "'!C5:C1000"), 0),
   MATCH("合計", INDIRECT("'" &amp; AB151 &amp; "'!4:4"), 0) - 1
)</f>
        <v>0</v>
      </c>
    </row>
    <row r="152" spans="1:29">
      <c r="A152" s="40">
        <f>元データ!P149</f>
        <v>93</v>
      </c>
      <c r="B152" s="27">
        <f t="shared" si="2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IF(AA152="非採用",0,IF(OFFSET(マスタ非採用削除!E$4,統合マスタ!$A152,0)="","",OFFSET(マスタ非採用削除!E$4,統合マスタ!$A152,0)))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  <c r="AB152" s="27" t="str">
        <f ca="1">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</f>
        <v>臨時</v>
      </c>
      <c r="AC152" s="27" cm="1">
        <f t="array" aca="1" ref="AC152" ca="1">OFFSET(
   INDIRECT("'" &amp; AB152 &amp; "'!A4"),
   MATCH(B152, INDIRECT("'" &amp; AB152 &amp; "'!C5:C1000"), 0),
   MATCH("合計", INDIRECT("'" &amp; AB152 &amp; "'!4:4"), 0) - 1
)</f>
        <v>0</v>
      </c>
    </row>
    <row r="153" spans="1:29">
      <c r="A153" s="40">
        <f>元データ!P150</f>
        <v>94</v>
      </c>
      <c r="B153" s="27">
        <f t="shared" si="2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IF(AA153="非採用",0,IF(OFFSET(マスタ非採用削除!E$4,統合マスタ!$A153,0)="","",OFFSET(マスタ非採用削除!E$4,統合マスタ!$A153,0)))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  <c r="AB153" s="27" t="str">
        <f ca="1">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</f>
        <v>臨時</v>
      </c>
      <c r="AC153" s="27" cm="1">
        <f t="array" aca="1" ref="AC153" ca="1">OFFSET(
   INDIRECT("'" &amp; AB153 &amp; "'!A4"),
   MATCH(B153, INDIRECT("'" &amp; AB153 &amp; "'!C5:C1000"), 0),
   MATCH("合計", INDIRECT("'" &amp; AB153 &amp; "'!4:4"), 0) - 1
)</f>
        <v>0</v>
      </c>
    </row>
    <row r="154" spans="1:29">
      <c r="A154" s="40" t="str">
        <f>元データ!P151</f>
        <v>非採用</v>
      </c>
      <c r="B154" s="27">
        <f t="shared" si="2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IF(AA154="非採用",0,IF(OFFSET(マスタ非採用削除!E$4,統合マスタ!$A154,0)="","",OFFSET(マスタ非採用削除!E$4,統合マスタ!$A154,0)))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4062</v>
      </c>
      <c r="AB154" s="27" t="str">
        <f ca="1">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</f>
        <v>無し</v>
      </c>
      <c r="AC154" s="27" t="e" cm="1">
        <f t="array" aca="1" ref="AC154" ca="1">OFFSET(
   INDIRECT("'" &amp; AB154 &amp; "'!A4"),
   MATCH(B154, INDIRECT("'" &amp; AB154 &amp; "'!C5:C1000"), 0),
   MATCH("合計", INDIRECT("'" &amp; AB154 &amp; "'!4:4"), 0) - 1
)</f>
        <v>#REF!</v>
      </c>
    </row>
    <row r="155" spans="1:29">
      <c r="A155" s="40">
        <f>元データ!P152</f>
        <v>99</v>
      </c>
      <c r="B155" s="27">
        <f t="shared" si="2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IF(AA155="非採用",0,IF(OFFSET(マスタ非採用削除!E$4,統合マスタ!$A155,0)="","",OFFSET(マスタ非採用削除!E$4,統合マスタ!$A155,0)))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  <c r="AB155" s="27" t="str">
        <f ca="1">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</f>
        <v>臨時</v>
      </c>
      <c r="AC155" s="27" cm="1">
        <f t="array" aca="1" ref="AC155" ca="1">OFFSET(
   INDIRECT("'" &amp; AB155 &amp; "'!A4"),
   MATCH(B155, INDIRECT("'" &amp; AB155 &amp; "'!C5:C1000"), 0),
   MATCH("合計", INDIRECT("'" &amp; AB155 &amp; "'!4:4"), 0) - 1
)</f>
        <v>0</v>
      </c>
    </row>
    <row r="156" spans="1:29">
      <c r="A156" s="40">
        <f>元データ!P153</f>
        <v>100</v>
      </c>
      <c r="B156" s="27">
        <f t="shared" si="2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IF(AA156="非採用",0,IF(OFFSET(マスタ非採用削除!E$4,統合マスタ!$A156,0)="","",OFFSET(マスタ非採用削除!E$4,統合マスタ!$A156,0)))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  <c r="AB156" s="27" t="str">
        <f ca="1">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</f>
        <v>外用剤</v>
      </c>
      <c r="AC156" s="27" t="e" cm="1">
        <f t="array" aca="1" ref="AC156" ca="1">OFFSET(
   INDIRECT("'" &amp; AB156 &amp; "'!A4"),
   MATCH(B156, INDIRECT("'" &amp; AB156 &amp; "'!C5:C1000"), 0),
   MATCH("合計", INDIRECT("'" &amp; AB156 &amp; "'!4:4"), 0) - 1
)</f>
        <v>#REF!</v>
      </c>
    </row>
    <row r="157" spans="1:29">
      <c r="A157" s="40">
        <f>元データ!P154</f>
        <v>102</v>
      </c>
      <c r="B157" s="27">
        <f t="shared" si="2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IF(AA157="非採用",0,IF(OFFSET(マスタ非採用削除!E$4,統合マスタ!$A157,0)="","",OFFSET(マスタ非採用削除!E$4,統合マスタ!$A157,0)))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  <c r="AB157" s="27" t="str">
        <f ca="1">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</f>
        <v>臨時</v>
      </c>
      <c r="AC157" s="27" cm="1">
        <f t="array" aca="1" ref="AC157" ca="1">OFFSET(
   INDIRECT("'" &amp; AB157 &amp; "'!A4"),
   MATCH(B157, INDIRECT("'" &amp; AB157 &amp; "'!C5:C1000"), 0),
   MATCH("合計", INDIRECT("'" &amp; AB157 &amp; "'!4:4"), 0) - 1
)</f>
        <v>0</v>
      </c>
    </row>
    <row r="158" spans="1:29">
      <c r="A158" s="40">
        <f>元データ!P155</f>
        <v>101</v>
      </c>
      <c r="B158" s="27">
        <f t="shared" si="2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IF(AA158="非採用",0,IF(OFFSET(マスタ非採用削除!E$4,統合マスタ!$A158,0)="","",OFFSET(マスタ非採用削除!E$4,統合マスタ!$A158,0)))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  <c r="AB158" s="27" t="str">
        <f ca="1">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</f>
        <v>外用剤</v>
      </c>
      <c r="AC158" s="27" t="e" cm="1">
        <f t="array" aca="1" ref="AC158" ca="1">OFFSET(
   INDIRECT("'" &amp; AB158 &amp; "'!A4"),
   MATCH(B158, INDIRECT("'" &amp; AB158 &amp; "'!C5:C1000"), 0),
   MATCH("合計", INDIRECT("'" &amp; AB158 &amp; "'!4:4"), 0) - 1
)</f>
        <v>#REF!</v>
      </c>
    </row>
    <row r="159" spans="1:29">
      <c r="A159" s="40">
        <f>元データ!P156</f>
        <v>103</v>
      </c>
      <c r="B159" s="27">
        <f t="shared" si="2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IF(AA159="非採用",0,IF(OFFSET(マスタ非採用削除!E$4,統合マスタ!$A159,0)="","",OFFSET(マスタ非採用削除!E$4,統合マスタ!$A159,0)))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  <c r="AB159" s="27" t="str">
        <f ca="1">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</f>
        <v>無し</v>
      </c>
      <c r="AC159" s="27" t="e" cm="1">
        <f t="array" aca="1" ref="AC159" ca="1">OFFSET(
   INDIRECT("'" &amp; AB159 &amp; "'!A4"),
   MATCH(B159, INDIRECT("'" &amp; AB159 &amp; "'!C5:C1000"), 0),
   MATCH("合計", INDIRECT("'" &amp; AB159 &amp; "'!4:4"), 0) - 1
)</f>
        <v>#REF!</v>
      </c>
    </row>
    <row r="160" spans="1:29">
      <c r="A160" s="40">
        <f>元データ!P157</f>
        <v>105</v>
      </c>
      <c r="B160" s="27">
        <f t="shared" si="2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IF(AA160="非採用",0,IF(OFFSET(マスタ非採用削除!E$4,統合マスタ!$A160,0)="","",OFFSET(マスタ非採用削除!E$4,統合マスタ!$A160,0)))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  <c r="AB160" s="27" t="str">
        <f ca="1">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</f>
        <v>外用剤</v>
      </c>
      <c r="AC160" s="27" t="e" cm="1">
        <f t="array" aca="1" ref="AC160" ca="1">OFFSET(
   INDIRECT("'" &amp; AB160 &amp; "'!A4"),
   MATCH(B160, INDIRECT("'" &amp; AB160 &amp; "'!C5:C1000"), 0),
   MATCH("合計", INDIRECT("'" &amp; AB160 &amp; "'!4:4"), 0) - 1
)</f>
        <v>#REF!</v>
      </c>
    </row>
    <row r="161" spans="1:29">
      <c r="A161" s="40">
        <f>元データ!P158</f>
        <v>107</v>
      </c>
      <c r="B161" s="27">
        <f t="shared" si="2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IF(AA161="非採用",0,IF(OFFSET(マスタ非採用削除!E$4,統合マスタ!$A161,0)="","",OFFSET(マスタ非採用削除!E$4,統合マスタ!$A161,0)))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/>
      <c r="AB161" s="27" t="str">
        <f ca="1">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</f>
        <v>錠剤</v>
      </c>
      <c r="AC161" s="27" cm="1">
        <f t="array" aca="1" ref="AC161" ca="1">OFFSET(
   INDIRECT("'" &amp; AB161 &amp; "'!A4"),
   MATCH(B161, INDIRECT("'" &amp; AB161 &amp; "'!C5:C1000"), 0),
   MATCH("合計", INDIRECT("'" &amp; AB161 &amp; "'!4:4"), 0) - 1
)</f>
        <v>47</v>
      </c>
    </row>
    <row r="162" spans="1:29">
      <c r="A162" s="40">
        <f>元データ!P159</f>
        <v>107</v>
      </c>
      <c r="B162" s="27">
        <f t="shared" si="2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IF(AA162="非採用",0,IF(OFFSET(マスタ非採用削除!E$4,統合マスタ!$A162,0)="","",OFFSET(マスタ非採用削除!E$4,統合マスタ!$A162,0)))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/>
      <c r="AB162" s="27" t="str">
        <f ca="1">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</f>
        <v>錠剤</v>
      </c>
      <c r="AC162" s="27" cm="1">
        <f t="array" aca="1" ref="AC162" ca="1">OFFSET(
   INDIRECT("'" &amp; AB162 &amp; "'!A4"),
   MATCH(B162, INDIRECT("'" &amp; AB162 &amp; "'!C5:C1000"), 0),
   MATCH("合計", INDIRECT("'" &amp; AB162 &amp; "'!4:4"), 0) - 1
)</f>
        <v>48</v>
      </c>
    </row>
    <row r="163" spans="1:29">
      <c r="A163" s="40">
        <f>元データ!P160</f>
        <v>106</v>
      </c>
      <c r="B163" s="27">
        <f t="shared" si="2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IF(AA163="非採用",0,IF(OFFSET(マスタ非採用削除!E$4,統合マスタ!$A163,0)="","",OFFSET(マスタ非採用削除!E$4,統合マスタ!$A163,0)))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/>
      <c r="AB163" s="27" t="str">
        <f ca="1">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</f>
        <v>錠剤</v>
      </c>
      <c r="AC163" s="27" cm="1">
        <f t="array" aca="1" ref="AC163" ca="1">OFFSET(
   INDIRECT("'" &amp; AB163 &amp; "'!A4"),
   MATCH(B163, INDIRECT("'" &amp; AB163 &amp; "'!C5:C1000"), 0),
   MATCH("合計", INDIRECT("'" &amp; AB163 &amp; "'!4:4"), 0) - 1
)</f>
        <v>49</v>
      </c>
    </row>
    <row r="164" spans="1:29">
      <c r="A164" s="40">
        <f>元データ!P161</f>
        <v>106</v>
      </c>
      <c r="B164" s="27">
        <f t="shared" si="2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IF(AA164="非採用",0,IF(OFFSET(マスタ非採用削除!E$4,統合マスタ!$A164,0)="","",OFFSET(マスタ非採用削除!E$4,統合マスタ!$A164,0)))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/>
      <c r="AB164" s="27" t="str">
        <f ca="1">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</f>
        <v>錠剤</v>
      </c>
      <c r="AC164" s="27" cm="1">
        <f t="array" aca="1" ref="AC164" ca="1">OFFSET(
   INDIRECT("'" &amp; AB164 &amp; "'!A4"),
   MATCH(B164, INDIRECT("'" &amp; AB164 &amp; "'!C5:C1000"), 0),
   MATCH("合計", INDIRECT("'" &amp; AB164 &amp; "'!4:4"), 0) - 1
)</f>
        <v>50</v>
      </c>
    </row>
    <row r="165" spans="1:29">
      <c r="A165" s="40">
        <f>元データ!P162</f>
        <v>108</v>
      </c>
      <c r="B165" s="27">
        <f t="shared" si="2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IF(AA165="非採用",0,IF(OFFSET(マスタ非採用削除!E$4,統合マスタ!$A165,0)="","",OFFSET(マスタ非採用削除!E$4,統合マスタ!$A165,0)))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  <c r="AB165" s="27" t="str">
        <f ca="1">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</f>
        <v>無し</v>
      </c>
      <c r="AC165" s="27" t="e" cm="1">
        <f t="array" aca="1" ref="AC165" ca="1">OFFSET(
   INDIRECT("'" &amp; AB165 &amp; "'!A4"),
   MATCH(B165, INDIRECT("'" &amp; AB165 &amp; "'!C5:C1000"), 0),
   MATCH("合計", INDIRECT("'" &amp; AB165 &amp; "'!4:4"), 0) - 1
)</f>
        <v>#REF!</v>
      </c>
    </row>
    <row r="166" spans="1:29">
      <c r="A166" s="40">
        <f>元データ!P163</f>
        <v>109</v>
      </c>
      <c r="B166" s="27">
        <f t="shared" si="2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IF(AA166="非採用",0,IF(OFFSET(マスタ非採用削除!E$4,統合マスタ!$A166,0)="","",OFFSET(マスタ非採用削除!E$4,統合マスタ!$A166,0)))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  <c r="AB166" s="27" t="str">
        <f ca="1">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</f>
        <v>錠剤</v>
      </c>
      <c r="AC166" s="27" cm="1">
        <f t="array" aca="1" ref="AC166" ca="1">OFFSET(
   INDIRECT("'" &amp; AB166 &amp; "'!A4"),
   MATCH(B166, INDIRECT("'" &amp; AB166 &amp; "'!C5:C1000"), 0),
   MATCH("合計", INDIRECT("'" &amp; AB166 &amp; "'!4:4"), 0) - 1
)</f>
        <v>51</v>
      </c>
    </row>
    <row r="167" spans="1:29">
      <c r="A167" s="40">
        <f>元データ!P164</f>
        <v>109</v>
      </c>
      <c r="B167" s="27">
        <f t="shared" si="2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IF(AA167="非採用",0,IF(OFFSET(マスタ非採用削除!E$4,統合マスタ!$A167,0)="","",OFFSET(マスタ非採用削除!E$4,統合マスタ!$A167,0)))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  <c r="AB167" s="27" t="str">
        <f ca="1">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</f>
        <v>錠剤</v>
      </c>
      <c r="AC167" s="27" cm="1">
        <f t="array" aca="1" ref="AC167" ca="1">OFFSET(
   INDIRECT("'" &amp; AB167 &amp; "'!A4"),
   MATCH(B167, INDIRECT("'" &amp; AB167 &amp; "'!C5:C1000"), 0),
   MATCH("合計", INDIRECT("'" &amp; AB167 &amp; "'!4:4"), 0) - 1
)</f>
        <v>52</v>
      </c>
    </row>
    <row r="168" spans="1:29">
      <c r="A168" s="40">
        <f>元データ!P165</f>
        <v>0</v>
      </c>
      <c r="B168" s="27">
        <f t="shared" si="2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str">
        <f ca="1">IF(OFFSET(マスタ非採用削除!A$4,統合マスタ!$A168,0)="","",OFFSET(マスタ非採用削除!A$4,統合マスタ!$A168,0))</f>
        <v>コード(区分値)</v>
      </c>
      <c r="O168" s="53" t="str">
        <f ca="1">IF(OFFSET(マスタ非採用削除!B$4,統合マスタ!$A168,0)="","",OFFSET(マスタ非採用削除!B$4,統合マスタ!$A168,0))</f>
        <v>コード</v>
      </c>
      <c r="P168" s="27" t="str">
        <f ca="1">IF(OFFSET(マスタ非採用削除!C$4,統合マスタ!$A168,0)="","",OFFSET(マスタ非採用削除!C$4,統合マスタ!$A168,0))</f>
        <v>名称</v>
      </c>
      <c r="Q168" s="53" t="str">
        <f ca="1">IF(OFFSET(マスタ非採用削除!D$4,統合マスタ!$A168,0)="","",OFFSET(マスタ非採用削除!D$4,統合マスタ!$A168,0))</f>
        <v>ホストコード</v>
      </c>
      <c r="R168" s="27" t="str">
        <f ca="1">IF(AA168="非採用",0,IF(OFFSET(マスタ非採用削除!E$4,統合マスタ!$A168,0)="","",OFFSET(マスタ非採用削除!E$4,統合マスタ!$A168,0)))</f>
        <v>採用区分（区分値）(区分値)</v>
      </c>
      <c r="S168" s="53" t="str">
        <f ca="1">IF(OFFSET(マスタ非採用削除!F$4,統合マスタ!$A168,0)="","",OFFSET(マスタ非採用削除!F$4,統合マスタ!$A168,0))</f>
        <v>採用区分（区分値）</v>
      </c>
      <c r="T168" s="27" t="str">
        <f ca="1">IF(OFFSET(マスタ非採用削除!G$4,統合マスタ!$A168,0)="","",OFFSET(マスタ非採用削除!G$4,統合マスタ!$A168,0))</f>
        <v>薬価</v>
      </c>
      <c r="U168" s="53" t="str">
        <f ca="1">IF(OFFSET(マスタ非採用削除!H$4,統合マスタ!$A168,0)="","",OFFSET(マスタ非採用削除!H$4,統合マスタ!$A168,0))</f>
        <v>カナ名称</v>
      </c>
      <c r="V168" s="27" t="str">
        <f ca="1">IF(OFFSET(マスタ非採用削除!I$4,統合マスタ!$A168,0)="","",OFFSET(マスタ非採用削除!I$4,統合マスタ!$A168,0))</f>
        <v>剤形(区分値)</v>
      </c>
      <c r="W168" s="27" t="str">
        <f ca="1">IF(OFFSET(マスタ非採用削除!J$4,統合マスタ!$A168,0)="","",OFFSET(マスタ非採用削除!J$4,統合マスタ!$A168,0))</f>
        <v>剤形</v>
      </c>
      <c r="X168" s="27" t="str">
        <f ca="1">IF(OFFSET(マスタ非採用削除!K$4,統合マスタ!$A168,0)="","",OFFSET(マスタ非採用削除!K$4,統合マスタ!$A168,0))</f>
        <v>毒劇薬（区分値）(区分値)</v>
      </c>
      <c r="Y168" s="53" t="str">
        <f ca="1">IF(OFFSET(マスタ非採用削除!L$4,統合マスタ!$A168,0)="","",OFFSET(マスタ非採用削除!L$4,統合マスタ!$A168,0))</f>
        <v>毒劇薬（区分値）</v>
      </c>
      <c r="Z168" s="27" t="str">
        <f ca="1">IF(OFFSET(マスタ非採用削除!M$4,統合マスタ!$A168,0)="","",OFFSET(マスタ非採用削除!M$4,統合マスタ!$A168,0))</f>
        <v>場所</v>
      </c>
      <c r="AA168" s="27"/>
      <c r="AB168" s="27" t="str">
        <f ca="1">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</f>
        <v>無し</v>
      </c>
      <c r="AC168" s="27" t="e" cm="1">
        <f t="array" aca="1" ref="AC168" ca="1">OFFSET(
   INDIRECT("'" &amp; AB168 &amp; "'!A4"),
   MATCH(B168, INDIRECT("'" &amp; AB168 &amp; "'!C5:C1000"), 0),
   MATCH("合計", INDIRECT("'" &amp; AB168 &amp; "'!4:4"), 0) - 1
)</f>
        <v>#REF!</v>
      </c>
    </row>
    <row r="169" spans="1:29">
      <c r="A169" s="40">
        <f>元データ!P166</f>
        <v>110</v>
      </c>
      <c r="B169" s="27">
        <f t="shared" si="2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IF(AA169="非採用",0,IF(OFFSET(マスタ非採用削除!E$4,統合マスタ!$A169,0)="","",OFFSET(マスタ非採用削除!E$4,統合マスタ!$A169,0)))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  <c r="AB169" s="27" t="str">
        <f ca="1">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</f>
        <v>臨時</v>
      </c>
      <c r="AC169" s="27" cm="1">
        <f t="array" aca="1" ref="AC169" ca="1">OFFSET(
   INDIRECT("'" &amp; AB169 &amp; "'!A4"),
   MATCH(B169, INDIRECT("'" &amp; AB169 &amp; "'!C5:C1000"), 0),
   MATCH("合計", INDIRECT("'" &amp; AB169 &amp; "'!4:4"), 0) - 1
)</f>
        <v>0</v>
      </c>
    </row>
    <row r="170" spans="1:29">
      <c r="A170" s="40">
        <f>元データ!P167</f>
        <v>111</v>
      </c>
      <c r="B170" s="27">
        <f t="shared" si="2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IF(AA170="非採用",0,IF(OFFSET(マスタ非採用削除!E$4,統合マスタ!$A170,0)="","",OFFSET(マスタ非採用削除!E$4,統合マスタ!$A170,0)))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/>
      <c r="AB170" s="27" t="str">
        <f ca="1">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</f>
        <v>錠剤</v>
      </c>
      <c r="AC170" s="27" cm="1">
        <f t="array" aca="1" ref="AC170" ca="1">OFFSET(
   INDIRECT("'" &amp; AB170 &amp; "'!A4"),
   MATCH(B170, INDIRECT("'" &amp; AB170 &amp; "'!C5:C1000"), 0),
   MATCH("合計", INDIRECT("'" &amp; AB170 &amp; "'!4:4"), 0) - 1
)</f>
        <v>53</v>
      </c>
    </row>
    <row r="171" spans="1:29">
      <c r="A171" s="40">
        <f>元データ!P168</f>
        <v>111</v>
      </c>
      <c r="B171" s="27">
        <f t="shared" si="2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IF(AA171="非採用",0,IF(OFFSET(マスタ非採用削除!E$4,統合マスタ!$A171,0)="","",OFFSET(マスタ非採用削除!E$4,統合マスタ!$A171,0)))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/>
      <c r="AB171" s="27" t="str">
        <f ca="1">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</f>
        <v>錠剤</v>
      </c>
      <c r="AC171" s="27" cm="1">
        <f t="array" aca="1" ref="AC171" ca="1">OFFSET(
   INDIRECT("'" &amp; AB171 &amp; "'!A4"),
   MATCH(B171, INDIRECT("'" &amp; AB171 &amp; "'!C5:C1000"), 0),
   MATCH("合計", INDIRECT("'" &amp; AB171 &amp; "'!4:4"), 0) - 1
)</f>
        <v>54</v>
      </c>
    </row>
    <row r="172" spans="1:29">
      <c r="A172" s="40">
        <f>元データ!P169</f>
        <v>114</v>
      </c>
      <c r="B172" s="27">
        <f t="shared" si="2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IF(AA172="非採用",0,IF(OFFSET(マスタ非採用削除!E$4,統合マスタ!$A172,0)="","",OFFSET(マスタ非採用削除!E$4,統合マスタ!$A172,0)))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  <c r="AB172" s="27" t="str">
        <f ca="1">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</f>
        <v>錠剤</v>
      </c>
      <c r="AC172" s="27" cm="1">
        <f t="array" aca="1" ref="AC172" ca="1">OFFSET(
   INDIRECT("'" &amp; AB172 &amp; "'!A4"),
   MATCH(B172, INDIRECT("'" &amp; AB172 &amp; "'!C5:C1000"), 0),
   MATCH("合計", INDIRECT("'" &amp; AB172 &amp; "'!4:4"), 0) - 1
)</f>
        <v>55</v>
      </c>
    </row>
    <row r="173" spans="1:29">
      <c r="A173" s="40">
        <f>元データ!P170</f>
        <v>116</v>
      </c>
      <c r="B173" s="27">
        <f t="shared" si="2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IF(AA173="非採用",0,IF(OFFSET(マスタ非採用削除!E$4,統合マスタ!$A173,0)="","",OFFSET(マスタ非採用削除!E$4,統合マスタ!$A173,0)))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/>
      <c r="AB173" s="27" t="str">
        <f ca="1">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</f>
        <v>錠剤</v>
      </c>
      <c r="AC173" s="27" cm="1">
        <f t="array" aca="1" ref="AC173" ca="1">OFFSET(
   INDIRECT("'" &amp; AB173 &amp; "'!A4"),
   MATCH(B173, INDIRECT("'" &amp; AB173 &amp; "'!C5:C1000"), 0),
   MATCH("合計", INDIRECT("'" &amp; AB173 &amp; "'!4:4"), 0) - 1
)</f>
        <v>56</v>
      </c>
    </row>
    <row r="174" spans="1:29">
      <c r="A174" s="40">
        <f>元データ!P171</f>
        <v>115</v>
      </c>
      <c r="B174" s="27">
        <f t="shared" si="2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IF(AA174="非採用",0,IF(OFFSET(マスタ非採用削除!E$4,統合マスタ!$A174,0)="","",OFFSET(マスタ非採用削除!E$4,統合マスタ!$A174,0)))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/>
      <c r="AB174" s="27" t="str">
        <f ca="1">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</f>
        <v>錠剤</v>
      </c>
      <c r="AC174" s="27" cm="1">
        <f t="array" aca="1" ref="AC174" ca="1">OFFSET(
   INDIRECT("'" &amp; AB174 &amp; "'!A4"),
   MATCH(B174, INDIRECT("'" &amp; AB174 &amp; "'!C5:C1000"), 0),
   MATCH("合計", INDIRECT("'" &amp; AB174 &amp; "'!4:4"), 0) - 1
)</f>
        <v>57</v>
      </c>
    </row>
    <row r="175" spans="1:29">
      <c r="A175" s="40">
        <f>元データ!P172</f>
        <v>117</v>
      </c>
      <c r="B175" s="27">
        <f t="shared" si="2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IF(AA175="非採用",0,IF(OFFSET(マスタ非採用削除!E$4,統合マスタ!$A175,0)="","",OFFSET(マスタ非採用削除!E$4,統合マスタ!$A175,0)))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  <c r="AB175" s="27" t="str">
        <f ca="1">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</f>
        <v>臨時</v>
      </c>
      <c r="AC175" s="27" cm="1">
        <f t="array" aca="1" ref="AC175" ca="1">OFFSET(
   INDIRECT("'" &amp; AB175 &amp; "'!A4"),
   MATCH(B175, INDIRECT("'" &amp; AB175 &amp; "'!C5:C1000"), 0),
   MATCH("合計", INDIRECT("'" &amp; AB175 &amp; "'!4:4"), 0) - 1
)</f>
        <v>0</v>
      </c>
    </row>
    <row r="176" spans="1:29">
      <c r="A176" s="40">
        <f>元データ!P173</f>
        <v>120</v>
      </c>
      <c r="B176" s="27">
        <f t="shared" si="2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IF(AA176="非採用",0,IF(OFFSET(マスタ非採用削除!E$4,統合マスタ!$A176,0)="","",OFFSET(マスタ非採用削除!E$4,統合マスタ!$A176,0)))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  <c r="AB176" s="27" t="str">
        <f ca="1">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</f>
        <v>散剤</v>
      </c>
      <c r="AC176" s="27" cm="1">
        <f t="array" aca="1" ref="AC176" ca="1">OFFSET(
   INDIRECT("'" &amp; AB176 &amp; "'!A4"),
   MATCH(B176, INDIRECT("'" &amp; AB176 &amp; "'!C5:C1000"), 0),
   MATCH("合計", INDIRECT("'" &amp; AB176 &amp; "'!4:4"), 0) - 1
)</f>
        <v>7000</v>
      </c>
    </row>
    <row r="177" spans="1:29">
      <c r="A177" s="40">
        <f>元データ!P174</f>
        <v>118</v>
      </c>
      <c r="B177" s="27">
        <f t="shared" si="2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IF(AA177="非採用",0,IF(OFFSET(マスタ非採用削除!E$4,統合マスタ!$A177,0)="","",OFFSET(マスタ非採用削除!E$4,統合マスタ!$A177,0)))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/>
      <c r="AB177" s="27" t="str">
        <f ca="1">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</f>
        <v>錠剤</v>
      </c>
      <c r="AC177" s="27" cm="1">
        <f t="array" aca="1" ref="AC177" ca="1">OFFSET(
   INDIRECT("'" &amp; AB177 &amp; "'!A4"),
   MATCH(B177, INDIRECT("'" &amp; AB177 &amp; "'!C5:C1000"), 0),
   MATCH("合計", INDIRECT("'" &amp; AB177 &amp; "'!4:4"), 0) - 1
)</f>
        <v>58</v>
      </c>
    </row>
    <row r="178" spans="1:29">
      <c r="A178" s="40">
        <f>元データ!P175</f>
        <v>119</v>
      </c>
      <c r="B178" s="27">
        <f t="shared" si="2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IF(AA178="非採用",0,IF(OFFSET(マスタ非採用削除!E$4,統合マスタ!$A178,0)="","",OFFSET(マスタ非採用削除!E$4,統合マスタ!$A178,0)))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/>
      <c r="AB178" s="27" t="str">
        <f ca="1">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</f>
        <v>錠剤</v>
      </c>
      <c r="AC178" s="27" cm="1">
        <f t="array" aca="1" ref="AC178" ca="1">OFFSET(
   INDIRECT("'" &amp; AB178 &amp; "'!A4"),
   MATCH(B178, INDIRECT("'" &amp; AB178 &amp; "'!C5:C1000"), 0),
   MATCH("合計", INDIRECT("'" &amp; AB178 &amp; "'!4:4"), 0) - 1
)</f>
        <v>59</v>
      </c>
    </row>
    <row r="179" spans="1:29">
      <c r="A179" s="40">
        <f>元データ!P176</f>
        <v>119</v>
      </c>
      <c r="B179" s="27">
        <f t="shared" si="2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IF(AA179="非採用",0,IF(OFFSET(マスタ非採用削除!E$4,統合マスタ!$A179,0)="","",OFFSET(マスタ非採用削除!E$4,統合マスタ!$A179,0)))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/>
      <c r="AB179" s="27" t="str">
        <f ca="1">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</f>
        <v>錠剤</v>
      </c>
      <c r="AC179" s="27" cm="1">
        <f t="array" aca="1" ref="AC179" ca="1">OFFSET(
   INDIRECT("'" &amp; AB179 &amp; "'!A4"),
   MATCH(B179, INDIRECT("'" &amp; AB179 &amp; "'!C5:C1000"), 0),
   MATCH("合計", INDIRECT("'" &amp; AB179 &amp; "'!4:4"), 0) - 1
)</f>
        <v>60</v>
      </c>
    </row>
    <row r="180" spans="1:29">
      <c r="A180" s="40">
        <f>元データ!P177</f>
        <v>121</v>
      </c>
      <c r="B180" s="27">
        <f t="shared" si="2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IF(AA180="非採用",0,IF(OFFSET(マスタ非採用削除!E$4,統合マスタ!$A180,0)="","",OFFSET(マスタ非採用削除!E$4,統合マスタ!$A180,0)))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/>
      <c r="AB180" s="27" t="str">
        <f ca="1">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</f>
        <v>錠剤</v>
      </c>
      <c r="AC180" s="27" cm="1">
        <f t="array" aca="1" ref="AC180" ca="1">OFFSET(
   INDIRECT("'" &amp; AB180 &amp; "'!A4"),
   MATCH(B180, INDIRECT("'" &amp; AB180 &amp; "'!C5:C1000"), 0),
   MATCH("合計", INDIRECT("'" &amp; AB180 &amp; "'!4:4"), 0) - 1
)</f>
        <v>61</v>
      </c>
    </row>
    <row r="181" spans="1:29">
      <c r="A181" s="40">
        <f>元データ!P178</f>
        <v>122</v>
      </c>
      <c r="B181" s="27">
        <f t="shared" si="2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IF(AA181="非採用",0,IF(OFFSET(マスタ非採用削除!E$4,統合マスタ!$A181,0)="","",OFFSET(マスタ非採用削除!E$4,統合マスタ!$A181,0)))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/>
      <c r="AB181" s="27" t="str">
        <f ca="1">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</f>
        <v>錠剤</v>
      </c>
      <c r="AC181" s="27" cm="1">
        <f t="array" aca="1" ref="AC181" ca="1">OFFSET(
   INDIRECT("'" &amp; AB181 &amp; "'!A4"),
   MATCH(B181, INDIRECT("'" &amp; AB181 &amp; "'!C5:C1000"), 0),
   MATCH("合計", INDIRECT("'" &amp; AB181 &amp; "'!4:4"), 0) - 1
)</f>
        <v>62</v>
      </c>
    </row>
    <row r="182" spans="1:29">
      <c r="A182" s="40">
        <f>元データ!P179</f>
        <v>125</v>
      </c>
      <c r="B182" s="27">
        <f t="shared" si="2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IF(AA182="非採用",0,IF(OFFSET(マスタ非採用削除!E$4,統合マスタ!$A182,0)="","",OFFSET(マスタ非採用削除!E$4,統合マスタ!$A182,0)))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  <c r="AB182" s="27" t="str">
        <f ca="1">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</f>
        <v>無し</v>
      </c>
      <c r="AC182" s="27" t="e" cm="1">
        <f t="array" aca="1" ref="AC182" ca="1">OFFSET(
   INDIRECT("'" &amp; AB182 &amp; "'!A4"),
   MATCH(B182, INDIRECT("'" &amp; AB182 &amp; "'!C5:C1000"), 0),
   MATCH("合計", INDIRECT("'" &amp; AB182 &amp; "'!4:4"), 0) - 1
)</f>
        <v>#REF!</v>
      </c>
    </row>
    <row r="183" spans="1:29">
      <c r="A183" s="40">
        <f>元データ!P180</f>
        <v>124</v>
      </c>
      <c r="B183" s="27">
        <f t="shared" si="2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IF(AA183="非採用",0,IF(OFFSET(マスタ非採用削除!E$4,統合マスタ!$A183,0)="","",OFFSET(マスタ非採用削除!E$4,統合マスタ!$A183,0)))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/>
      <c r="AB183" s="27" t="str">
        <f ca="1">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</f>
        <v>錠剤</v>
      </c>
      <c r="AC183" s="27" cm="1">
        <f t="array" aca="1" ref="AC183" ca="1">OFFSET(
   INDIRECT("'" &amp; AB183 &amp; "'!A4"),
   MATCH(B183, INDIRECT("'" &amp; AB183 &amp; "'!C5:C1000"), 0),
   MATCH("合計", INDIRECT("'" &amp; AB183 &amp; "'!4:4"), 0) - 1
)</f>
        <v>63</v>
      </c>
    </row>
    <row r="184" spans="1:29">
      <c r="A184" s="40">
        <f>元データ!P181</f>
        <v>124</v>
      </c>
      <c r="B184" s="27">
        <f t="shared" si="2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IF(AA184="非採用",0,IF(OFFSET(マスタ非採用削除!E$4,統合マスタ!$A184,0)="","",OFFSET(マスタ非採用削除!E$4,統合マスタ!$A184,0)))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/>
      <c r="AB184" s="27" t="str">
        <f ca="1">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</f>
        <v>錠剤</v>
      </c>
      <c r="AC184" s="27" cm="1">
        <f t="array" aca="1" ref="AC184" ca="1">OFFSET(
   INDIRECT("'" &amp; AB184 &amp; "'!A4"),
   MATCH(B184, INDIRECT("'" &amp; AB184 &amp; "'!C5:C1000"), 0),
   MATCH("合計", INDIRECT("'" &amp; AB184 &amp; "'!4:4"), 0) - 1
)</f>
        <v>64</v>
      </c>
    </row>
    <row r="185" spans="1:29">
      <c r="A185" s="40">
        <f>元データ!P182</f>
        <v>126</v>
      </c>
      <c r="B185" s="27">
        <f t="shared" si="2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IF(AA185="非採用",0,IF(OFFSET(マスタ非採用削除!E$4,統合マスタ!$A185,0)="","",OFFSET(マスタ非採用削除!E$4,統合マスタ!$A185,0)))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  <c r="AB185" s="27" t="str">
        <f ca="1">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</f>
        <v>注射</v>
      </c>
      <c r="AC185" s="27" cm="1">
        <f t="array" aca="1" ref="AC185" ca="1">OFFSET(
   INDIRECT("'" &amp; AB185 &amp; "'!A4"),
   MATCH(B185, INDIRECT("'" &amp; AB185 &amp; "'!C5:C1000"), 0),
   MATCH("合計", INDIRECT("'" &amp; AB185 &amp; "'!4:4"), 0) - 1
)</f>
        <v>0</v>
      </c>
    </row>
    <row r="186" spans="1:29">
      <c r="A186" s="40">
        <f>元データ!P183</f>
        <v>0</v>
      </c>
      <c r="B186" s="27">
        <f t="shared" si="2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str">
        <f ca="1">IF(OFFSET(マスタ非採用削除!A$4,統合マスタ!$A186,0)="","",OFFSET(マスタ非採用削除!A$4,統合マスタ!$A186,0))</f>
        <v>コード(区分値)</v>
      </c>
      <c r="O186" s="53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3" t="str">
        <f ca="1">IF(OFFSET(マスタ非採用削除!D$4,統合マスタ!$A186,0)="","",OFFSET(マスタ非採用削除!D$4,統合マスタ!$A186,0))</f>
        <v>ホストコード</v>
      </c>
      <c r="R186" s="27" t="str">
        <f ca="1">IF(AA186="非採用",0,IF(OFFSET(マスタ非採用削除!E$4,統合マスタ!$A186,0)="","",OFFSET(マスタ非採用削除!E$4,統合マスタ!$A186,0)))</f>
        <v>採用区分（区分値）(区分値)</v>
      </c>
      <c r="S186" s="53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3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3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場所</v>
      </c>
      <c r="AA186" s="27"/>
      <c r="AB186" s="27" t="str">
        <f ca="1">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</f>
        <v>無し</v>
      </c>
      <c r="AC186" s="27" t="e" cm="1">
        <f t="array" aca="1" ref="AC186" ca="1">OFFSET(
   INDIRECT("'" &amp; AB186 &amp; "'!A4"),
   MATCH(B186, INDIRECT("'" &amp; AB186 &amp; "'!C5:C1000"), 0),
   MATCH("合計", INDIRECT("'" &amp; AB186 &amp; "'!4:4"), 0) - 1
)</f>
        <v>#REF!</v>
      </c>
    </row>
    <row r="187" spans="1:29">
      <c r="A187" s="40">
        <f>元データ!P184</f>
        <v>128</v>
      </c>
      <c r="B187" s="27">
        <f t="shared" si="2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IF(AA187="非採用",0,IF(OFFSET(マスタ非採用削除!E$4,統合マスタ!$A187,0)="","",OFFSET(マスタ非採用削除!E$4,統合マスタ!$A187,0)))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  <c r="AB187" s="27" t="str">
        <f ca="1">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</f>
        <v>外用剤</v>
      </c>
      <c r="AC187" s="27" t="e" cm="1">
        <f t="array" aca="1" ref="AC187" ca="1">OFFSET(
   INDIRECT("'" &amp; AB187 &amp; "'!A4"),
   MATCH(B187, INDIRECT("'" &amp; AB187 &amp; "'!C5:C1000"), 0),
   MATCH("合計", INDIRECT("'" &amp; AB187 &amp; "'!4:4"), 0) - 1
)</f>
        <v>#REF!</v>
      </c>
    </row>
    <row r="188" spans="1:29">
      <c r="A188" s="40">
        <f>元データ!P185</f>
        <v>129</v>
      </c>
      <c r="B188" s="27">
        <f t="shared" si="2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IF(AA188="非採用",0,IF(OFFSET(マスタ非採用削除!E$4,統合マスタ!$A188,0)="","",OFFSET(マスタ非採用削除!E$4,統合マスタ!$A188,0)))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  <c r="AB188" s="27" t="str">
        <f ca="1">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</f>
        <v>錠剤</v>
      </c>
      <c r="AC188" s="27" cm="1">
        <f t="array" aca="1" ref="AC188" ca="1">OFFSET(
   INDIRECT("'" &amp; AB188 &amp; "'!A4"),
   MATCH(B188, INDIRECT("'" &amp; AB188 &amp; "'!C5:C1000"), 0),
   MATCH("合計", INDIRECT("'" &amp; AB188 &amp; "'!4:4"), 0) - 1
)</f>
        <v>65</v>
      </c>
    </row>
    <row r="189" spans="1:29">
      <c r="A189" s="40">
        <f>元データ!P186</f>
        <v>129</v>
      </c>
      <c r="B189" s="27">
        <f t="shared" si="2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IF(AA189="非採用",0,IF(OFFSET(マスタ非採用削除!E$4,統合マスタ!$A189,0)="","",OFFSET(マスタ非採用削除!E$4,統合マスタ!$A189,0)))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  <c r="AB189" s="27" t="str">
        <f ca="1">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</f>
        <v>錠剤</v>
      </c>
      <c r="AC189" s="27" cm="1">
        <f t="array" aca="1" ref="AC189" ca="1">OFFSET(
   INDIRECT("'" &amp; AB189 &amp; "'!A4"),
   MATCH(B189, INDIRECT("'" &amp; AB189 &amp; "'!C5:C1000"), 0),
   MATCH("合計", INDIRECT("'" &amp; AB189 &amp; "'!4:4"), 0) - 1
)</f>
        <v>66</v>
      </c>
    </row>
    <row r="190" spans="1:29">
      <c r="A190" s="40">
        <f>元データ!P187</f>
        <v>135</v>
      </c>
      <c r="B190" s="27">
        <f t="shared" si="2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IF(AA190="非採用",0,IF(OFFSET(マスタ非採用削除!E$4,統合マスタ!$A190,0)="","",OFFSET(マスタ非採用削除!E$4,統合マスタ!$A190,0)))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  <c r="AB190" s="27" t="str">
        <f ca="1">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</f>
        <v>錠剤</v>
      </c>
      <c r="AC190" s="27" cm="1">
        <f t="array" aca="1" ref="AC190" ca="1">OFFSET(
   INDIRECT("'" &amp; AB190 &amp; "'!A4"),
   MATCH(B190, INDIRECT("'" &amp; AB190 &amp; "'!C5:C1000"), 0),
   MATCH("合計", INDIRECT("'" &amp; AB190 &amp; "'!4:4"), 0) - 1
)</f>
        <v>67</v>
      </c>
    </row>
    <row r="191" spans="1:29">
      <c r="A191" s="40" t="str">
        <f>元データ!P188</f>
        <v>非採用</v>
      </c>
      <c r="B191" s="27">
        <f t="shared" si="2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IF(AA191="非採用",0,IF(OFFSET(マスタ非採用削除!E$4,統合マスタ!$A191,0)="","",OFFSET(マスタ非採用削除!E$4,統合マスタ!$A191,0)))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">
        <v>4214</v>
      </c>
      <c r="AB191" s="27" t="str">
        <f ca="1">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</f>
        <v>無し</v>
      </c>
      <c r="AC191" s="27" t="e" cm="1">
        <f t="array" aca="1" ref="AC191" ca="1">OFFSET(
   INDIRECT("'" &amp; AB191 &amp; "'!A4"),
   MATCH(B191, INDIRECT("'" &amp; AB191 &amp; "'!C5:C1000"), 0),
   MATCH("合計", INDIRECT("'" &amp; AB191 &amp; "'!4:4"), 0) - 1
)</f>
        <v>#REF!</v>
      </c>
    </row>
    <row r="192" spans="1:29">
      <c r="A192" s="40">
        <f>元データ!P189</f>
        <v>136</v>
      </c>
      <c r="B192" s="27">
        <f t="shared" si="2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IF(AA192="非採用",0,IF(OFFSET(マスタ非採用削除!E$4,統合マスタ!$A192,0)="","",OFFSET(マスタ非採用削除!E$4,統合マスタ!$A192,0)))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/>
      <c r="AB192" s="27" t="str">
        <f ca="1">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</f>
        <v>錠剤</v>
      </c>
      <c r="AC192" s="27" cm="1">
        <f t="array" aca="1" ref="AC192" ca="1">OFFSET(
   INDIRECT("'" &amp; AB192 &amp; "'!A4"),
   MATCH(B192, INDIRECT("'" &amp; AB192 &amp; "'!C5:C1000"), 0),
   MATCH("合計", INDIRECT("'" &amp; AB192 &amp; "'!4:4"), 0) - 1
)</f>
        <v>68</v>
      </c>
    </row>
    <row r="193" spans="1:29">
      <c r="A193" s="40">
        <f>元データ!P190</f>
        <v>134</v>
      </c>
      <c r="B193" s="27">
        <f t="shared" si="2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IF(AA193="非採用",0,IF(OFFSET(マスタ非採用削除!E$4,統合マスタ!$A193,0)="","",OFFSET(マスタ非採用削除!E$4,統合マスタ!$A193,0)))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  <c r="AB193" s="27" t="str">
        <f ca="1">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</f>
        <v>散剤</v>
      </c>
      <c r="AC193" s="27" cm="1">
        <f t="array" aca="1" ref="AC193" ca="1">OFFSET(
   INDIRECT("'" &amp; AB193 &amp; "'!A4"),
   MATCH(B193, INDIRECT("'" &amp; AB193 &amp; "'!C5:C1000"), 0),
   MATCH("合計", INDIRECT("'" &amp; AB193 &amp; "'!4:4"), 0) - 1
)</f>
        <v>1500</v>
      </c>
    </row>
    <row r="194" spans="1:29">
      <c r="A194" s="40">
        <f>元データ!P191</f>
        <v>132</v>
      </c>
      <c r="B194" s="27">
        <f t="shared" si="2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IF(AA194="非採用",0,IF(OFFSET(マスタ非採用削除!E$4,統合マスタ!$A194,0)="","",OFFSET(マスタ非採用削除!E$4,統合マスタ!$A194,0)))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/>
      <c r="AB194" s="27" t="str">
        <f ca="1">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</f>
        <v>錠剤</v>
      </c>
      <c r="AC194" s="27" cm="1">
        <f t="array" aca="1" ref="AC194" ca="1">OFFSET(
   INDIRECT("'" &amp; AB194 &amp; "'!A4"),
   MATCH(B194, INDIRECT("'" &amp; AB194 &amp; "'!C5:C1000"), 0),
   MATCH("合計", INDIRECT("'" &amp; AB194 &amp; "'!4:4"), 0) - 1
)</f>
        <v>69</v>
      </c>
    </row>
    <row r="195" spans="1:29">
      <c r="A195" s="40">
        <f>元データ!P192</f>
        <v>132</v>
      </c>
      <c r="B195" s="27">
        <f t="shared" si="2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IF(AA195="非採用",0,IF(OFFSET(マスタ非採用削除!E$4,統合マスタ!$A195,0)="","",OFFSET(マスタ非採用削除!E$4,統合マスタ!$A195,0)))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/>
      <c r="AB195" s="27" t="str">
        <f ca="1">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</f>
        <v>錠剤</v>
      </c>
      <c r="AC195" s="27" cm="1">
        <f t="array" aca="1" ref="AC195" ca="1">OFFSET(
   INDIRECT("'" &amp; AB195 &amp; "'!A4"),
   MATCH(B195, INDIRECT("'" &amp; AB195 &amp; "'!C5:C1000"), 0),
   MATCH("合計", INDIRECT("'" &amp; AB195 &amp; "'!4:4"), 0) - 1
)</f>
        <v>70</v>
      </c>
    </row>
    <row r="196" spans="1:29">
      <c r="A196" s="40">
        <f>元データ!P193</f>
        <v>130</v>
      </c>
      <c r="B196" s="27">
        <f t="shared" si="2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IF(AA196="非採用",0,IF(OFFSET(マスタ非採用削除!E$4,統合マスタ!$A196,0)="","",OFFSET(マスタ非採用削除!E$4,統合マスタ!$A196,0)))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/>
      <c r="AB196" s="27" t="str">
        <f ca="1">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</f>
        <v>錠剤</v>
      </c>
      <c r="AC196" s="27" cm="1">
        <f t="array" aca="1" ref="AC196" ca="1">OFFSET(
   INDIRECT("'" &amp; AB196 &amp; "'!A4"),
   MATCH(B196, INDIRECT("'" &amp; AB196 &amp; "'!C5:C1000"), 0),
   MATCH("合計", INDIRECT("'" &amp; AB196 &amp; "'!4:4"), 0) - 1
)</f>
        <v>71</v>
      </c>
    </row>
    <row r="197" spans="1:29">
      <c r="A197" s="40">
        <f>元データ!P194</f>
        <v>130</v>
      </c>
      <c r="B197" s="27">
        <f t="shared" si="2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IF(AA197="非採用",0,IF(OFFSET(マスタ非採用削除!E$4,統合マスタ!$A197,0)="","",OFFSET(マスタ非採用削除!E$4,統合マスタ!$A197,0)))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/>
      <c r="AB197" s="27" t="str">
        <f ca="1">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</f>
        <v>錠剤</v>
      </c>
      <c r="AC197" s="27" cm="1">
        <f t="array" aca="1" ref="AC197" ca="1">OFFSET(
   INDIRECT("'" &amp; AB197 &amp; "'!A4"),
   MATCH(B197, INDIRECT("'" &amp; AB197 &amp; "'!C5:C1000"), 0),
   MATCH("合計", INDIRECT("'" &amp; AB197 &amp; "'!4:4"), 0) - 1
)</f>
        <v>72</v>
      </c>
    </row>
    <row r="198" spans="1:29">
      <c r="A198" s="40">
        <f>元データ!P195</f>
        <v>133</v>
      </c>
      <c r="B198" s="27">
        <f t="shared" si="2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IF(AA198="非採用",0,IF(OFFSET(マスタ非採用削除!E$4,統合マスタ!$A198,0)="","",OFFSET(マスタ非採用削除!E$4,統合マスタ!$A198,0)))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/>
      <c r="AB198" s="27" t="str">
        <f ca="1">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</f>
        <v>錠剤</v>
      </c>
      <c r="AC198" s="27" cm="1">
        <f t="array" aca="1" ref="AC198" ca="1">OFFSET(
   INDIRECT("'" &amp; AB198 &amp; "'!A4"),
   MATCH(B198, INDIRECT("'" &amp; AB198 &amp; "'!C5:C1000"), 0),
   MATCH("合計", INDIRECT("'" &amp; AB198 &amp; "'!4:4"), 0) - 1
)</f>
        <v>73</v>
      </c>
    </row>
    <row r="199" spans="1:29">
      <c r="A199" s="40">
        <f>元データ!P196</f>
        <v>133</v>
      </c>
      <c r="B199" s="27">
        <f t="shared" ref="B199:B262" si="3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IF(AA199="非採用",0,IF(OFFSET(マスタ非採用削除!E$4,統合マスタ!$A199,0)="","",OFFSET(マスタ非採用削除!E$4,統合マスタ!$A199,0)))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/>
      <c r="AB199" s="27" t="str">
        <f ca="1">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</f>
        <v>錠剤</v>
      </c>
      <c r="AC199" s="27" cm="1">
        <f t="array" aca="1" ref="AC199" ca="1">OFFSET(
   INDIRECT("'" &amp; AB199 &amp; "'!A4"),
   MATCH(B199, INDIRECT("'" &amp; AB199 &amp; "'!C5:C1000"), 0),
   MATCH("合計", INDIRECT("'" &amp; AB199 &amp; "'!4:4"), 0) - 1
)</f>
        <v>74</v>
      </c>
    </row>
    <row r="200" spans="1:29">
      <c r="A200" s="40">
        <f>元データ!P197</f>
        <v>131</v>
      </c>
      <c r="B200" s="27">
        <f t="shared" si="3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IF(AA200="非採用",0,IF(OFFSET(マスタ非採用削除!E$4,統合マスタ!$A200,0)="","",OFFSET(マスタ非採用削除!E$4,統合マスタ!$A200,0)))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/>
      <c r="AB200" s="27" t="str">
        <f ca="1">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</f>
        <v>錠剤</v>
      </c>
      <c r="AC200" s="27" cm="1">
        <f t="array" aca="1" ref="AC200" ca="1">OFFSET(
   INDIRECT("'" &amp; AB200 &amp; "'!A4"),
   MATCH(B200, INDIRECT("'" &amp; AB200 &amp; "'!C5:C1000"), 0),
   MATCH("合計", INDIRECT("'" &amp; AB200 &amp; "'!4:4"), 0) - 1
)</f>
        <v>75</v>
      </c>
    </row>
    <row r="201" spans="1:29">
      <c r="A201" s="40">
        <f>元データ!P198</f>
        <v>131</v>
      </c>
      <c r="B201" s="27">
        <f t="shared" si="3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IF(AA201="非採用",0,IF(OFFSET(マスタ非採用削除!E$4,統合マスタ!$A201,0)="","",OFFSET(マスタ非採用削除!E$4,統合マスタ!$A201,0)))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/>
      <c r="AB201" s="27" t="str">
        <f ca="1">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</f>
        <v>錠剤</v>
      </c>
      <c r="AC201" s="27" cm="1">
        <f t="array" aca="1" ref="AC201" ca="1">OFFSET(
   INDIRECT("'" &amp; AB201 &amp; "'!A4"),
   MATCH(B201, INDIRECT("'" &amp; AB201 &amp; "'!C5:C1000"), 0),
   MATCH("合計", INDIRECT("'" &amp; AB201 &amp; "'!4:4"), 0) - 1
)</f>
        <v>76</v>
      </c>
    </row>
    <row r="202" spans="1:29">
      <c r="A202" s="40">
        <f>元データ!P199</f>
        <v>137</v>
      </c>
      <c r="B202" s="27">
        <f t="shared" si="3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IF(AA202="非採用",0,IF(OFFSET(マスタ非採用削除!E$4,統合マスタ!$A202,0)="","",OFFSET(マスタ非採用削除!E$4,統合マスタ!$A202,0)))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  <c r="AB202" s="27" t="str">
        <f ca="1">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</f>
        <v>臨時</v>
      </c>
      <c r="AC202" s="27" cm="1">
        <f t="array" aca="1" ref="AC202" ca="1">OFFSET(
   INDIRECT("'" &amp; AB202 &amp; "'!A4"),
   MATCH(B202, INDIRECT("'" &amp; AB202 &amp; "'!C5:C1000"), 0),
   MATCH("合計", INDIRECT("'" &amp; AB202 &amp; "'!4:4"), 0) - 1
)</f>
        <v>0</v>
      </c>
    </row>
    <row r="203" spans="1:29">
      <c r="A203" s="40">
        <f>元データ!P200</f>
        <v>138</v>
      </c>
      <c r="B203" s="27">
        <f t="shared" si="3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IF(AA203="非採用",0,IF(OFFSET(マスタ非採用削除!E$4,統合マスタ!$A203,0)="","",OFFSET(マスタ非採用削除!E$4,統合マスタ!$A203,0)))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/>
      <c r="AB203" s="27" t="str">
        <f ca="1">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</f>
        <v>錠剤</v>
      </c>
      <c r="AC203" s="27" cm="1">
        <f t="array" aca="1" ref="AC203" ca="1">OFFSET(
   INDIRECT("'" &amp; AB203 &amp; "'!A4"),
   MATCH(B203, INDIRECT("'" &amp; AB203 &amp; "'!C5:C1000"), 0),
   MATCH("合計", INDIRECT("'" &amp; AB203 &amp; "'!4:4"), 0) - 1
)</f>
        <v>77</v>
      </c>
    </row>
    <row r="204" spans="1:29">
      <c r="A204" s="40" t="str">
        <f>元データ!P201</f>
        <v>非採用</v>
      </c>
      <c r="B204" s="27">
        <f t="shared" si="3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IF(AA204="非採用",0,IF(OFFSET(マスタ非採用削除!E$4,統合マスタ!$A204,0)="","",OFFSET(マスタ非採用削除!E$4,統合マスタ!$A204,0)))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4062</v>
      </c>
      <c r="AB204" s="27" t="str">
        <f ca="1">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</f>
        <v>無し</v>
      </c>
      <c r="AC204" s="27" t="e" cm="1">
        <f t="array" aca="1" ref="AC204" ca="1">OFFSET(
   INDIRECT("'" &amp; AB204 &amp; "'!A4"),
   MATCH(B204, INDIRECT("'" &amp; AB204 &amp; "'!C5:C1000"), 0),
   MATCH("合計", INDIRECT("'" &amp; AB204 &amp; "'!4:4"), 0) - 1
)</f>
        <v>#REF!</v>
      </c>
    </row>
    <row r="205" spans="1:29">
      <c r="A205" s="40">
        <f>元データ!P202</f>
        <v>147</v>
      </c>
      <c r="B205" s="27">
        <f t="shared" si="3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IF(AA205="非採用",0,IF(OFFSET(マスタ非採用削除!E$4,統合マスタ!$A205,0)="","",OFFSET(マスタ非採用削除!E$4,統合マスタ!$A205,0)))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  <c r="AB205" s="27" t="str">
        <f ca="1">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</f>
        <v>散剤</v>
      </c>
      <c r="AC205" s="27" cm="1">
        <f t="array" aca="1" ref="AC205" ca="1">OFFSET(
   INDIRECT("'" &amp; AB205 &amp; "'!A4"),
   MATCH(B205, INDIRECT("'" &amp; AB205 &amp; "'!C5:C1000"), 0),
   MATCH("合計", INDIRECT("'" &amp; AB205 &amp; "'!4:4"), 0) - 1
)</f>
        <v>1600</v>
      </c>
    </row>
    <row r="206" spans="1:29">
      <c r="A206" s="40">
        <f>元データ!P203</f>
        <v>145</v>
      </c>
      <c r="B206" s="27">
        <f t="shared" si="3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IF(AA206="非採用",0,IF(OFFSET(マスタ非採用削除!E$4,統合マスタ!$A206,0)="","",OFFSET(マスタ非採用削除!E$4,統合マスタ!$A206,0)))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/>
      <c r="AB206" s="27" t="str">
        <f ca="1">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</f>
        <v>錠剤</v>
      </c>
      <c r="AC206" s="27" cm="1">
        <f t="array" aca="1" ref="AC206" ca="1">OFFSET(
   INDIRECT("'" &amp; AB206 &amp; "'!A4"),
   MATCH(B206, INDIRECT("'" &amp; AB206 &amp; "'!C5:C1000"), 0),
   MATCH("合計", INDIRECT("'" &amp; AB206 &amp; "'!4:4"), 0) - 1
)</f>
        <v>78</v>
      </c>
    </row>
    <row r="207" spans="1:29">
      <c r="A207" s="40">
        <f>元データ!P204</f>
        <v>146</v>
      </c>
      <c r="B207" s="27">
        <f t="shared" si="3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IF(AA207="非採用",0,IF(OFFSET(マスタ非採用削除!E$4,統合マスタ!$A207,0)="","",OFFSET(マスタ非採用削除!E$4,統合マスタ!$A207,0)))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  <c r="AB207" s="27" t="str">
        <f ca="1">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</f>
        <v>錠剤</v>
      </c>
      <c r="AC207" s="27" cm="1">
        <f t="array" aca="1" ref="AC207" ca="1">OFFSET(
   INDIRECT("'" &amp; AB207 &amp; "'!A4"),
   MATCH(B207, INDIRECT("'" &amp; AB207 &amp; "'!C5:C1000"), 0),
   MATCH("合計", INDIRECT("'" &amp; AB207 &amp; "'!4:4"), 0) - 1
)</f>
        <v>79</v>
      </c>
    </row>
    <row r="208" spans="1:29">
      <c r="A208" s="40">
        <f>元データ!P205</f>
        <v>149</v>
      </c>
      <c r="B208" s="27">
        <f t="shared" si="3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IF(AA208="非採用",0,IF(OFFSET(マスタ非採用削除!E$4,統合マスタ!$A208,0)="","",OFFSET(マスタ非採用削除!E$4,統合マスタ!$A208,0)))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/>
      <c r="AB208" s="27" t="str">
        <f ca="1">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</f>
        <v>錠剤</v>
      </c>
      <c r="AC208" s="27" cm="1">
        <f t="array" aca="1" ref="AC208" ca="1">OFFSET(
   INDIRECT("'" &amp; AB208 &amp; "'!A4"),
   MATCH(B208, INDIRECT("'" &amp; AB208 &amp; "'!C5:C1000"), 0),
   MATCH("合計", INDIRECT("'" &amp; AB208 &amp; "'!4:4"), 0) - 1
)</f>
        <v>80</v>
      </c>
    </row>
    <row r="209" spans="1:29">
      <c r="A209" s="40">
        <f>元データ!P206</f>
        <v>148</v>
      </c>
      <c r="B209" s="27">
        <f t="shared" si="3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IF(AA209="非採用",0,IF(OFFSET(マスタ非採用削除!E$4,統合マスタ!$A209,0)="","",OFFSET(マスタ非採用削除!E$4,統合マスタ!$A209,0)))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/>
      <c r="AB209" s="27" t="str">
        <f ca="1">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</f>
        <v>錠剤</v>
      </c>
      <c r="AC209" s="27" cm="1">
        <f t="array" aca="1" ref="AC209" ca="1">OFFSET(
   INDIRECT("'" &amp; AB209 &amp; "'!A4"),
   MATCH(B209, INDIRECT("'" &amp; AB209 &amp; "'!C5:C1000"), 0),
   MATCH("合計", INDIRECT("'" &amp; AB209 &amp; "'!4:4"), 0) - 1
)</f>
        <v>81</v>
      </c>
    </row>
    <row r="210" spans="1:29">
      <c r="A210" s="40">
        <f>元データ!P207</f>
        <v>150</v>
      </c>
      <c r="B210" s="27">
        <f t="shared" si="3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IF(AA210="非採用",0,IF(OFFSET(マスタ非採用削除!E$4,統合マスタ!$A210,0)="","",OFFSET(マスタ非採用削除!E$4,統合マスタ!$A210,0)))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  <c r="AB210" s="27" t="str">
        <f ca="1">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</f>
        <v>錠剤</v>
      </c>
      <c r="AC210" s="27" cm="1">
        <f t="array" aca="1" ref="AC210" ca="1">OFFSET(
   INDIRECT("'" &amp; AB210 &amp; "'!A4"),
   MATCH(B210, INDIRECT("'" &amp; AB210 &amp; "'!C5:C1000"), 0),
   MATCH("合計", INDIRECT("'" &amp; AB210 &amp; "'!4:4"), 0) - 1
)</f>
        <v>82</v>
      </c>
    </row>
    <row r="211" spans="1:29">
      <c r="A211" s="40">
        <f>元データ!P208</f>
        <v>151</v>
      </c>
      <c r="B211" s="27">
        <f t="shared" si="3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IF(AA211="非採用",0,IF(OFFSET(マスタ非採用削除!E$4,統合マスタ!$A211,0)="","",OFFSET(マスタ非採用削除!E$4,統合マスタ!$A211,0)))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  <c r="AB211" s="27" t="str">
        <f ca="1">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</f>
        <v>注射</v>
      </c>
      <c r="AC211" s="27" cm="1">
        <f t="array" aca="1" ref="AC211" ca="1">OFFSET(
   INDIRECT("'" &amp; AB211 &amp; "'!A4"),
   MATCH(B211, INDIRECT("'" &amp; AB211 &amp; "'!C5:C1000"), 0),
   MATCH("合計", INDIRECT("'" &amp; AB211 &amp; "'!4:4"), 0) - 1
)</f>
        <v>0</v>
      </c>
    </row>
    <row r="212" spans="1:29">
      <c r="A212" s="40">
        <f>元データ!P209</f>
        <v>152</v>
      </c>
      <c r="B212" s="27">
        <f t="shared" si="3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IF(AA212="非採用",0,IF(OFFSET(マスタ非採用削除!E$4,統合マスタ!$A212,0)="","",OFFSET(マスタ非採用削除!E$4,統合マスタ!$A212,0)))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  <c r="AB212" s="27" t="str">
        <f ca="1">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</f>
        <v>無し</v>
      </c>
      <c r="AC212" s="27" t="e" cm="1">
        <f t="array" aca="1" ref="AC212" ca="1">OFFSET(
   INDIRECT("'" &amp; AB212 &amp; "'!A4"),
   MATCH(B212, INDIRECT("'" &amp; AB212 &amp; "'!C5:C1000"), 0),
   MATCH("合計", INDIRECT("'" &amp; AB212 &amp; "'!4:4"), 0) - 1
)</f>
        <v>#REF!</v>
      </c>
    </row>
    <row r="213" spans="1:29">
      <c r="A213" s="40">
        <f>元データ!P210</f>
        <v>153</v>
      </c>
      <c r="B213" s="27">
        <f t="shared" si="3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IF(AA213="非採用",0,IF(OFFSET(マスタ非採用削除!E$4,統合マスタ!$A213,0)="","",OFFSET(マスタ非採用削除!E$4,統合マスタ!$A213,0)))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/>
      <c r="AB213" s="27" t="str">
        <f ca="1">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</f>
        <v>錠剤</v>
      </c>
      <c r="AC213" s="27" cm="1">
        <f t="array" aca="1" ref="AC213" ca="1">OFFSET(
   INDIRECT("'" &amp; AB213 &amp; "'!A4"),
   MATCH(B213, INDIRECT("'" &amp; AB213 &amp; "'!C5:C1000"), 0),
   MATCH("合計", INDIRECT("'" &amp; AB213 &amp; "'!4:4"), 0) - 1
)</f>
        <v>83</v>
      </c>
    </row>
    <row r="214" spans="1:29">
      <c r="A214" s="40">
        <f>元データ!P211</f>
        <v>154</v>
      </c>
      <c r="B214" s="27">
        <f t="shared" si="3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IF(AA214="非採用",0,IF(OFFSET(マスタ非採用削除!E$4,統合マスタ!$A214,0)="","",OFFSET(マスタ非採用削除!E$4,統合マスタ!$A214,0)))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/>
      <c r="AB214" s="27" t="str">
        <f ca="1">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</f>
        <v>錠剤</v>
      </c>
      <c r="AC214" s="27" cm="1">
        <f t="array" aca="1" ref="AC214" ca="1">OFFSET(
   INDIRECT("'" &amp; AB214 &amp; "'!A4"),
   MATCH(B214, INDIRECT("'" &amp; AB214 &amp; "'!C5:C1000"), 0),
   MATCH("合計", INDIRECT("'" &amp; AB214 &amp; "'!4:4"), 0) - 1
)</f>
        <v>84</v>
      </c>
    </row>
    <row r="215" spans="1:29">
      <c r="A215" s="40" t="str">
        <f>元データ!P212</f>
        <v>非採用</v>
      </c>
      <c r="B215" s="27">
        <f t="shared" si="3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IF(AA215="非採用",0,IF(OFFSET(マスタ非採用削除!E$4,統合マスタ!$A215,0)="","",OFFSET(マスタ非採用削除!E$4,統合マスタ!$A215,0)))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4062</v>
      </c>
      <c r="AB215" s="27" t="str">
        <f ca="1">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</f>
        <v>無し</v>
      </c>
      <c r="AC215" s="27" t="e" cm="1">
        <f t="array" aca="1" ref="AC215" ca="1">OFFSET(
   INDIRECT("'" &amp; AB215 &amp; "'!A4"),
   MATCH(B215, INDIRECT("'" &amp; AB215 &amp; "'!C5:C1000"), 0),
   MATCH("合計", INDIRECT("'" &amp; AB215 &amp; "'!4:4"), 0) - 1
)</f>
        <v>#REF!</v>
      </c>
    </row>
    <row r="216" spans="1:29">
      <c r="A216" s="40">
        <f>元データ!P213</f>
        <v>156</v>
      </c>
      <c r="B216" s="27">
        <f t="shared" si="3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IF(AA216="非採用",0,IF(OFFSET(マスタ非採用削除!E$4,統合マスタ!$A216,0)="","",OFFSET(マスタ非採用削除!E$4,統合マスタ!$A216,0)))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  <c r="AB216" s="27" t="str">
        <f ca="1">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</f>
        <v>散剤</v>
      </c>
      <c r="AC216" s="27" cm="1">
        <f t="array" aca="1" ref="AC216" ca="1">OFFSET(
   INDIRECT("'" &amp; AB216 &amp; "'!A4"),
   MATCH(B216, INDIRECT("'" &amp; AB216 &amp; "'!C5:C1000"), 0),
   MATCH("合計", INDIRECT("'" &amp; AB216 &amp; "'!4:4"), 0) - 1
)</f>
        <v>17</v>
      </c>
    </row>
    <row r="217" spans="1:29">
      <c r="A217" s="40">
        <f>元データ!P214</f>
        <v>157</v>
      </c>
      <c r="B217" s="27">
        <f t="shared" si="3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IF(AA217="非採用",0,IF(OFFSET(マスタ非採用削除!E$4,統合マスタ!$A217,0)="","",OFFSET(マスタ非採用削除!E$4,統合マスタ!$A217,0)))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  <c r="AB217" s="27" t="str">
        <f ca="1">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</f>
        <v>臨時</v>
      </c>
      <c r="AC217" s="27" cm="1">
        <f t="array" aca="1" ref="AC217" ca="1">OFFSET(
   INDIRECT("'" &amp; AB217 &amp; "'!A4"),
   MATCH(B217, INDIRECT("'" &amp; AB217 &amp; "'!C5:C1000"), 0),
   MATCH("合計", INDIRECT("'" &amp; AB217 &amp; "'!4:4"), 0) - 1
)</f>
        <v>0</v>
      </c>
    </row>
    <row r="218" spans="1:29">
      <c r="A218" s="40">
        <f>元データ!P215</f>
        <v>158</v>
      </c>
      <c r="B218" s="27">
        <f t="shared" si="3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IF(AA218="非採用",0,IF(OFFSET(マスタ非採用削除!E$4,統合マスタ!$A218,0)="","",OFFSET(マスタ非採用削除!E$4,統合マスタ!$A218,0)))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/>
      <c r="AB218" s="27" t="str">
        <f ca="1">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</f>
        <v>錠剤</v>
      </c>
      <c r="AC218" s="27" cm="1">
        <f t="array" aca="1" ref="AC218" ca="1">OFFSET(
   INDIRECT("'" &amp; AB218 &amp; "'!A4"),
   MATCH(B218, INDIRECT("'" &amp; AB218 &amp; "'!C5:C1000"), 0),
   MATCH("合計", INDIRECT("'" &amp; AB218 &amp; "'!4:4"), 0) - 1
)</f>
        <v>85</v>
      </c>
    </row>
    <row r="219" spans="1:29">
      <c r="A219" s="40">
        <f>元データ!P216</f>
        <v>158</v>
      </c>
      <c r="B219" s="27">
        <f t="shared" si="3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IF(AA219="非採用",0,IF(OFFSET(マスタ非採用削除!E$4,統合マスタ!$A219,0)="","",OFFSET(マスタ非採用削除!E$4,統合マスタ!$A219,0)))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/>
      <c r="AB219" s="27" t="str">
        <f ca="1">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</f>
        <v>錠剤</v>
      </c>
      <c r="AC219" s="27" cm="1">
        <f t="array" aca="1" ref="AC219" ca="1">OFFSET(
   INDIRECT("'" &amp; AB219 &amp; "'!A4"),
   MATCH(B219, INDIRECT("'" &amp; AB219 &amp; "'!C5:C1000"), 0),
   MATCH("合計", INDIRECT("'" &amp; AB219 &amp; "'!4:4"), 0) - 1
)</f>
        <v>86</v>
      </c>
    </row>
    <row r="220" spans="1:29">
      <c r="A220" s="40">
        <f>元データ!P217</f>
        <v>159</v>
      </c>
      <c r="B220" s="27">
        <f t="shared" si="3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IF(AA220="非採用",0,IF(OFFSET(マスタ非採用削除!E$4,統合マスタ!$A220,0)="","",OFFSET(マスタ非採用削除!E$4,統合マスタ!$A220,0)))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  <c r="AB220" s="27" t="str">
        <f ca="1">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</f>
        <v>臨時</v>
      </c>
      <c r="AC220" s="27" cm="1">
        <f t="array" aca="1" ref="AC220" ca="1">OFFSET(
   INDIRECT("'" &amp; AB220 &amp; "'!A4"),
   MATCH(B220, INDIRECT("'" &amp; AB220 &amp; "'!C5:C1000"), 0),
   MATCH("合計", INDIRECT("'" &amp; AB220 &amp; "'!4:4"), 0) - 1
)</f>
        <v>0</v>
      </c>
    </row>
    <row r="221" spans="1:29">
      <c r="A221" s="40">
        <f>元データ!P218</f>
        <v>160</v>
      </c>
      <c r="B221" s="27">
        <f t="shared" si="3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IF(AA221="非採用",0,IF(OFFSET(マスタ非採用削除!E$4,統合マスタ!$A221,0)="","",OFFSET(マスタ非採用削除!E$4,統合マスタ!$A221,0)))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  <c r="AB221" s="27" t="str">
        <f ca="1">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</f>
        <v>外用剤</v>
      </c>
      <c r="AC221" s="27" t="e" cm="1">
        <f t="array" aca="1" ref="AC221" ca="1">OFFSET(
   INDIRECT("'" &amp; AB221 &amp; "'!A4"),
   MATCH(B221, INDIRECT("'" &amp; AB221 &amp; "'!C5:C1000"), 0),
   MATCH("合計", INDIRECT("'" &amp; AB221 &amp; "'!4:4"), 0) - 1
)</f>
        <v>#REF!</v>
      </c>
    </row>
    <row r="222" spans="1:29">
      <c r="A222" s="40">
        <f>元データ!P219</f>
        <v>161</v>
      </c>
      <c r="B222" s="27">
        <f t="shared" si="3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IF(AA222="非採用",0,IF(OFFSET(マスタ非採用削除!E$4,統合マスタ!$A222,0)="","",OFFSET(マスタ非採用削除!E$4,統合マスタ!$A222,0)))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  <c r="AB222" s="27" t="str">
        <f ca="1">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</f>
        <v>無し</v>
      </c>
      <c r="AC222" s="27" t="e" cm="1">
        <f t="array" aca="1" ref="AC222" ca="1">OFFSET(
   INDIRECT("'" &amp; AB222 &amp; "'!A4"),
   MATCH(B222, INDIRECT("'" &amp; AB222 &amp; "'!C5:C1000"), 0),
   MATCH("合計", INDIRECT("'" &amp; AB222 &amp; "'!4:4"), 0) - 1
)</f>
        <v>#REF!</v>
      </c>
    </row>
    <row r="223" spans="1:29">
      <c r="A223" s="40">
        <f>元データ!P220</f>
        <v>162</v>
      </c>
      <c r="B223" s="27">
        <f t="shared" si="3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IF(AA223="非採用",0,IF(OFFSET(マスタ非採用削除!E$4,統合マスタ!$A223,0)="","",OFFSET(マスタ非採用削除!E$4,統合マスタ!$A223,0)))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  <c r="AB223" s="27" t="str">
        <f ca="1">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</f>
        <v>外用剤</v>
      </c>
      <c r="AC223" s="27" t="e" cm="1">
        <f t="array" aca="1" ref="AC223" ca="1">OFFSET(
   INDIRECT("'" &amp; AB223 &amp; "'!A4"),
   MATCH(B223, INDIRECT("'" &amp; AB223 &amp; "'!C5:C1000"), 0),
   MATCH("合計", INDIRECT("'" &amp; AB223 &amp; "'!4:4"), 0) - 1
)</f>
        <v>#REF!</v>
      </c>
    </row>
    <row r="224" spans="1:29">
      <c r="A224" s="40">
        <f>元データ!P221</f>
        <v>162</v>
      </c>
      <c r="B224" s="27">
        <f t="shared" si="3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IF(AA224="非採用",0,IF(OFFSET(マスタ非採用削除!E$4,統合マスタ!$A224,0)="","",OFFSET(マスタ非採用削除!E$4,統合マスタ!$A224,0)))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  <c r="AB224" s="27" t="str">
        <f ca="1">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</f>
        <v>外用剤</v>
      </c>
      <c r="AC224" s="27" t="e" cm="1">
        <f t="array" aca="1" ref="AC224" ca="1">OFFSET(
   INDIRECT("'" &amp; AB224 &amp; "'!A4"),
   MATCH(B224, INDIRECT("'" &amp; AB224 &amp; "'!C5:C1000"), 0),
   MATCH("合計", INDIRECT("'" &amp; AB224 &amp; "'!4:4"), 0) - 1
)</f>
        <v>#REF!</v>
      </c>
    </row>
    <row r="225" spans="1:29">
      <c r="A225" s="40">
        <f>元データ!P222</f>
        <v>163</v>
      </c>
      <c r="B225" s="27">
        <f t="shared" si="3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IF(AA225="非採用",0,IF(OFFSET(マスタ非採用削除!E$4,統合マスタ!$A225,0)="","",OFFSET(マスタ非採用削除!E$4,統合マスタ!$A225,0)))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  <c r="AB225" s="27" t="str">
        <f ca="1">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</f>
        <v>注射</v>
      </c>
      <c r="AC225" s="27" cm="1">
        <f t="array" aca="1" ref="AC225" ca="1">OFFSET(
   INDIRECT("'" &amp; AB225 &amp; "'!A4"),
   MATCH(B225, INDIRECT("'" &amp; AB225 &amp; "'!C5:C1000"), 0),
   MATCH("合計", INDIRECT("'" &amp; AB225 &amp; "'!4:4"), 0) - 1
)</f>
        <v>0</v>
      </c>
    </row>
    <row r="226" spans="1:29">
      <c r="A226" s="40">
        <f>元データ!P223</f>
        <v>167</v>
      </c>
      <c r="B226" s="27">
        <f t="shared" si="3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IF(AA226="非採用",0,IF(OFFSET(マスタ非採用削除!E$4,統合マスタ!$A226,0)="","",OFFSET(マスタ非採用削除!E$4,統合マスタ!$A226,0)))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  <c r="AB226" s="27" t="str">
        <f ca="1">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</f>
        <v>外用剤</v>
      </c>
      <c r="AC226" s="27" t="e" cm="1">
        <f t="array" aca="1" ref="AC226" ca="1">OFFSET(
   INDIRECT("'" &amp; AB226 &amp; "'!A4"),
   MATCH(B226, INDIRECT("'" &amp; AB226 &amp; "'!C5:C1000"), 0),
   MATCH("合計", INDIRECT("'" &amp; AB226 &amp; "'!4:4"), 0) - 1
)</f>
        <v>#REF!</v>
      </c>
    </row>
    <row r="227" spans="1:29">
      <c r="A227" s="40">
        <f>元データ!P224</f>
        <v>164</v>
      </c>
      <c r="B227" s="27">
        <f t="shared" si="3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IF(AA227="非採用",0,IF(OFFSET(マスタ非採用削除!E$4,統合マスタ!$A227,0)="","",OFFSET(マスタ非採用削除!E$4,統合マスタ!$A227,0)))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  <c r="AB227" s="27" t="str">
        <f ca="1">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</f>
        <v>外用剤</v>
      </c>
      <c r="AC227" s="27" t="e" cm="1">
        <f t="array" aca="1" ref="AC227" ca="1">OFFSET(
   INDIRECT("'" &amp; AB227 &amp; "'!A4"),
   MATCH(B227, INDIRECT("'" &amp; AB227 &amp; "'!C5:C1000"), 0),
   MATCH("合計", INDIRECT("'" &amp; AB227 &amp; "'!4:4"), 0) - 1
)</f>
        <v>#REF!</v>
      </c>
    </row>
    <row r="228" spans="1:29">
      <c r="A228" s="40">
        <f>元データ!P225</f>
        <v>165</v>
      </c>
      <c r="B228" s="27">
        <f t="shared" si="3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IF(AA228="非採用",0,IF(OFFSET(マスタ非採用削除!E$4,統合マスタ!$A228,0)="","",OFFSET(マスタ非採用削除!E$4,統合マスタ!$A228,0)))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  <c r="AB228" s="27" t="str">
        <f ca="1">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</f>
        <v>外用剤</v>
      </c>
      <c r="AC228" s="27" t="e" cm="1">
        <f t="array" aca="1" ref="AC228" ca="1">OFFSET(
   INDIRECT("'" &amp; AB228 &amp; "'!A4"),
   MATCH(B228, INDIRECT("'" &amp; AB228 &amp; "'!C5:C1000"), 0),
   MATCH("合計", INDIRECT("'" &amp; AB228 &amp; "'!4:4"), 0) - 1
)</f>
        <v>#REF!</v>
      </c>
    </row>
    <row r="229" spans="1:29">
      <c r="A229" s="40">
        <f>元データ!P226</f>
        <v>166</v>
      </c>
      <c r="B229" s="27">
        <f t="shared" si="3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IF(AA229="非採用",0,IF(OFFSET(マスタ非採用削除!E$4,統合マスタ!$A229,0)="","",OFFSET(マスタ非採用削除!E$4,統合マスタ!$A229,0)))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  <c r="AB229" s="27" t="str">
        <f ca="1">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</f>
        <v>無し</v>
      </c>
      <c r="AC229" s="27" t="e" cm="1">
        <f t="array" aca="1" ref="AC229" ca="1">OFFSET(
   INDIRECT("'" &amp; AB229 &amp; "'!A4"),
   MATCH(B229, INDIRECT("'" &amp; AB229 &amp; "'!C5:C1000"), 0),
   MATCH("合計", INDIRECT("'" &amp; AB229 &amp; "'!4:4"), 0) - 1
)</f>
        <v>#REF!</v>
      </c>
    </row>
    <row r="230" spans="1:29">
      <c r="A230" s="40" t="str">
        <f>元データ!P227</f>
        <v>非採用</v>
      </c>
      <c r="B230" s="27">
        <f t="shared" si="3"/>
        <v>226</v>
      </c>
      <c r="C230" s="27" t="str">
        <f>DBCS(元データ!A227)</f>
        <v>ケフレックスカプセル２５０ｍｇ</v>
      </c>
      <c r="D230" s="53" t="str">
        <f>元データ!B227</f>
        <v>メディセオ</v>
      </c>
      <c r="E230" s="27" t="str">
        <f>DBCS(元データ!C227)</f>
        <v>ＰＴＰ</v>
      </c>
      <c r="F230" s="27" t="str">
        <f>DBCS(元データ!D227)</f>
        <v>１００Ｔ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3" t="e">
        <f ca="1">IF(OFFSET(マスタ非採用削除!A$4,統合マスタ!$A230,0)="","",OFFSET(マスタ非採用削除!A$4,統合マスタ!$A230,0))</f>
        <v>#VALUE!</v>
      </c>
      <c r="O230" s="53" t="e">
        <f ca="1">IF(OFFSET(マスタ非採用削除!B$4,統合マスタ!$A230,0)="","",OFFSET(マスタ非採用削除!B$4,統合マスタ!$A230,0))</f>
        <v>#VALUE!</v>
      </c>
      <c r="P230" s="27" t="e">
        <f ca="1">IF(OFFSET(マスタ非採用削除!C$4,統合マスタ!$A230,0)="","",OFFSET(マスタ非採用削除!C$4,統合マスタ!$A230,0))</f>
        <v>#VALUE!</v>
      </c>
      <c r="Q230" s="53" t="e">
        <f ca="1">IF(OFFSET(マスタ非採用削除!D$4,統合マスタ!$A230,0)="","",OFFSET(マスタ非採用削除!D$4,統合マスタ!$A230,0))</f>
        <v>#VALUE!</v>
      </c>
      <c r="R230" s="27">
        <f ca="1">IF(AA230="非採用",0,IF(OFFSET(マスタ非採用削除!E$4,統合マスタ!$A230,0)="","",OFFSET(マスタ非採用削除!E$4,統合マスタ!$A230,0)))</f>
        <v>0</v>
      </c>
      <c r="S230" s="53" t="e">
        <f ca="1">IF(OFFSET(マスタ非採用削除!F$4,統合マスタ!$A230,0)="","",OFFSET(マスタ非採用削除!F$4,統合マスタ!$A230,0))</f>
        <v>#VALUE!</v>
      </c>
      <c r="T230" s="27" t="e">
        <f ca="1">IF(OFFSET(マスタ非採用削除!G$4,統合マスタ!$A230,0)="","",OFFSET(マスタ非採用削除!G$4,統合マスタ!$A230,0))</f>
        <v>#VALUE!</v>
      </c>
      <c r="U230" s="53" t="e">
        <f ca="1">IF(OFFSET(マスタ非採用削除!H$4,統合マスタ!$A230,0)="","",OFFSET(マスタ非採用削除!H$4,統合マスタ!$A230,0))</f>
        <v>#VALUE!</v>
      </c>
      <c r="V230" s="27" t="e">
        <f ca="1">IF(OFFSET(マスタ非採用削除!I$4,統合マスタ!$A230,0)="","",OFFSET(マスタ非採用削除!I$4,統合マスタ!$A230,0))</f>
        <v>#VALUE!</v>
      </c>
      <c r="W230" s="27" t="e">
        <f ca="1">IF(OFFSET(マスタ非採用削除!J$4,統合マスタ!$A230,0)="","",OFFSET(マスタ非採用削除!J$4,統合マスタ!$A230,0))</f>
        <v>#VALUE!</v>
      </c>
      <c r="X230" s="27" t="e">
        <f ca="1">IF(OFFSET(マスタ非採用削除!K$4,統合マスタ!$A230,0)="","",OFFSET(マスタ非採用削除!K$4,統合マスタ!$A230,0))</f>
        <v>#VALUE!</v>
      </c>
      <c r="Y230" s="53" t="e">
        <f ca="1">IF(OFFSET(マスタ非採用削除!L$4,統合マスタ!$A230,0)="","",OFFSET(マスタ非採用削除!L$4,統合マスタ!$A230,0))</f>
        <v>#VALUE!</v>
      </c>
      <c r="Z230" s="27" t="e">
        <f ca="1">IF(OFFSET(マスタ非採用削除!M$4,統合マスタ!$A230,0)="","",OFFSET(マスタ非採用削除!M$4,統合マスタ!$A230,0))</f>
        <v>#VALUE!</v>
      </c>
      <c r="AA230" s="27" t="s">
        <v>4214</v>
      </c>
      <c r="AB230" s="27" t="str">
        <f ca="1">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</f>
        <v>無し</v>
      </c>
      <c r="AC230" s="27" t="e" cm="1">
        <f t="array" aca="1" ref="AC230" ca="1">OFFSET(
   INDIRECT("'" &amp; AB230 &amp; "'!A4"),
   MATCH(B230, INDIRECT("'" &amp; AB230 &amp; "'!C5:C1000"), 0),
   MATCH("合計", INDIRECT("'" &amp; AB230 &amp; "'!4:4"), 0) - 1
)</f>
        <v>#REF!</v>
      </c>
    </row>
    <row r="231" spans="1:29">
      <c r="A231" s="40">
        <f>元データ!P228</f>
        <v>168</v>
      </c>
      <c r="B231" s="27">
        <f t="shared" si="3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IF(AA231="非採用",0,IF(OFFSET(マスタ非採用削除!E$4,統合マスタ!$A231,0)="","",OFFSET(マスタ非採用削除!E$4,統合マスタ!$A231,0)))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  <c r="AB231" s="27" t="str">
        <f ca="1">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</f>
        <v>錠剤</v>
      </c>
      <c r="AC231" s="27" cm="1">
        <f t="array" aca="1" ref="AC231" ca="1">OFFSET(
   INDIRECT("'" &amp; AB231 &amp; "'!A4"),
   MATCH(B231, INDIRECT("'" &amp; AB231 &amp; "'!C5:C1000"), 0),
   MATCH("合計", INDIRECT("'" &amp; AB231 &amp; "'!4:4"), 0) - 1
)</f>
        <v>87</v>
      </c>
    </row>
    <row r="232" spans="1:29">
      <c r="A232" s="40">
        <f>元データ!P229</f>
        <v>169</v>
      </c>
      <c r="B232" s="27">
        <f t="shared" si="3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IF(AA232="非採用",0,IF(OFFSET(マスタ非採用削除!E$4,統合マスタ!$A232,0)="","",OFFSET(マスタ非採用削除!E$4,統合マスタ!$A232,0)))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  <c r="AB232" s="27" t="str">
        <f ca="1">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</f>
        <v>外用剤</v>
      </c>
      <c r="AC232" s="27" t="e" cm="1">
        <f t="array" aca="1" ref="AC232" ca="1">OFFSET(
   INDIRECT("'" &amp; AB232 &amp; "'!A4"),
   MATCH(B232, INDIRECT("'" &amp; AB232 &amp; "'!C5:C1000"), 0),
   MATCH("合計", INDIRECT("'" &amp; AB232 &amp; "'!4:4"), 0) - 1
)</f>
        <v>#REF!</v>
      </c>
    </row>
    <row r="233" spans="1:29">
      <c r="A233" s="40" t="str">
        <f>元データ!P230</f>
        <v>非採用</v>
      </c>
      <c r="B233" s="27">
        <f t="shared" si="3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IF(AA233="非採用",0,IF(OFFSET(マスタ非採用削除!E$4,統合マスタ!$A233,0)="","",OFFSET(マスタ非採用削除!E$4,統合マスタ!$A233,0)))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">
        <v>4214</v>
      </c>
      <c r="AB233" s="27" t="str">
        <f ca="1">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</f>
        <v>無し</v>
      </c>
      <c r="AC233" s="27" t="e" cm="1">
        <f t="array" aca="1" ref="AC233" ca="1">OFFSET(
   INDIRECT("'" &amp; AB233 &amp; "'!A4"),
   MATCH(B233, INDIRECT("'" &amp; AB233 &amp; "'!C5:C1000"), 0),
   MATCH("合計", INDIRECT("'" &amp; AB233 &amp; "'!4:4"), 0) - 1
)</f>
        <v>#REF!</v>
      </c>
    </row>
    <row r="234" spans="1:29">
      <c r="A234" s="40">
        <f>元データ!P231</f>
        <v>173</v>
      </c>
      <c r="B234" s="27">
        <f t="shared" si="3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IF(AA234="非採用",0,IF(OFFSET(マスタ非採用削除!E$4,統合マスタ!$A234,0)="","",OFFSET(マスタ非採用削除!E$4,統合マスタ!$A234,0)))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  <c r="AB234" s="27" t="str">
        <f ca="1">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</f>
        <v>外用剤</v>
      </c>
      <c r="AC234" s="27" t="e" cm="1">
        <f t="array" aca="1" ref="AC234" ca="1">OFFSET(
   INDIRECT("'" &amp; AB234 &amp; "'!A4"),
   MATCH(B234, INDIRECT("'" &amp; AB234 &amp; "'!C5:C1000"), 0),
   MATCH("合計", INDIRECT("'" &amp; AB234 &amp; "'!4:4"), 0) - 1
)</f>
        <v>#REF!</v>
      </c>
    </row>
    <row r="235" spans="1:29">
      <c r="A235" s="40">
        <f>元データ!P232</f>
        <v>172</v>
      </c>
      <c r="B235" s="27">
        <f t="shared" si="3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IF(AA235="非採用",0,IF(OFFSET(マスタ非採用削除!E$4,統合マスタ!$A235,0)="","",OFFSET(マスタ非採用削除!E$4,統合マスタ!$A235,0)))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  <c r="AB235" s="27" t="str">
        <f ca="1">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</f>
        <v>臨時</v>
      </c>
      <c r="AC235" s="27" cm="1">
        <f t="array" aca="1" ref="AC235" ca="1">OFFSET(
   INDIRECT("'" &amp; AB235 &amp; "'!A4"),
   MATCH(B235, INDIRECT("'" &amp; AB235 &amp; "'!C5:C1000"), 0),
   MATCH("合計", INDIRECT("'" &amp; AB235 &amp; "'!4:4"), 0) - 1
)</f>
        <v>0</v>
      </c>
    </row>
    <row r="236" spans="1:29">
      <c r="A236" s="40">
        <f>元データ!P233</f>
        <v>0</v>
      </c>
      <c r="B236" s="27">
        <f t="shared" si="3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str">
        <f ca="1">IF(OFFSET(マスタ非採用削除!A$4,統合マスタ!$A236,0)="","",OFFSET(マスタ非採用削除!A$4,統合マスタ!$A236,0))</f>
        <v>コード(区分値)</v>
      </c>
      <c r="O236" s="53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3" t="str">
        <f ca="1">IF(OFFSET(マスタ非採用削除!D$4,統合マスタ!$A236,0)="","",OFFSET(マスタ非採用削除!D$4,統合マスタ!$A236,0))</f>
        <v>ホストコード</v>
      </c>
      <c r="R236" s="27" t="str">
        <f ca="1">IF(AA236="非採用",0,IF(OFFSET(マスタ非採用削除!E$4,統合マスタ!$A236,0)="","",OFFSET(マスタ非採用削除!E$4,統合マスタ!$A236,0)))</f>
        <v>採用区分（区分値）(区分値)</v>
      </c>
      <c r="S236" s="53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3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3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場所</v>
      </c>
      <c r="AA236" s="27"/>
      <c r="AB236" s="27" t="str">
        <f ca="1">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</f>
        <v>無し</v>
      </c>
      <c r="AC236" s="27" t="e" cm="1">
        <f t="array" aca="1" ref="AC236" ca="1">OFFSET(
   INDIRECT("'" &amp; AB236 &amp; "'!A4"),
   MATCH(B236, INDIRECT("'" &amp; AB236 &amp; "'!C5:C1000"), 0),
   MATCH("合計", INDIRECT("'" &amp; AB236 &amp; "'!4:4"), 0) - 1
)</f>
        <v>#REF!</v>
      </c>
    </row>
    <row r="237" spans="1:29">
      <c r="A237" s="40">
        <f>元データ!P234</f>
        <v>0</v>
      </c>
      <c r="B237" s="27">
        <f t="shared" si="3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str">
        <f ca="1">IF(OFFSET(マスタ非採用削除!A$4,統合マスタ!$A237,0)="","",OFFSET(マスタ非採用削除!A$4,統合マスタ!$A237,0))</f>
        <v>コード(区分値)</v>
      </c>
      <c r="O237" s="53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3" t="str">
        <f ca="1">IF(OFFSET(マスタ非採用削除!D$4,統合マスタ!$A237,0)="","",OFFSET(マスタ非採用削除!D$4,統合マスタ!$A237,0))</f>
        <v>ホストコード</v>
      </c>
      <c r="R237" s="27" t="str">
        <f ca="1">IF(AA237="非採用",0,IF(OFFSET(マスタ非採用削除!E$4,統合マスタ!$A237,0)="","",OFFSET(マスタ非採用削除!E$4,統合マスタ!$A237,0)))</f>
        <v>採用区分（区分値）(区分値)</v>
      </c>
      <c r="S237" s="53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3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3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場所</v>
      </c>
      <c r="AA237" s="27"/>
      <c r="AB237" s="27" t="str">
        <f ca="1">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</f>
        <v>無し</v>
      </c>
      <c r="AC237" s="27" t="e" cm="1">
        <f t="array" aca="1" ref="AC237" ca="1">OFFSET(
   INDIRECT("'" &amp; AB237 &amp; "'!A4"),
   MATCH(B237, INDIRECT("'" &amp; AB237 &amp; "'!C5:C1000"), 0),
   MATCH("合計", INDIRECT("'" &amp; AB237 &amp; "'!4:4"), 0) - 1
)</f>
        <v>#REF!</v>
      </c>
    </row>
    <row r="238" spans="1:29">
      <c r="A238" s="40">
        <f>元データ!P235</f>
        <v>174</v>
      </c>
      <c r="B238" s="27">
        <f t="shared" si="3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IF(AA238="非採用",0,IF(OFFSET(マスタ非採用削除!E$4,統合マスタ!$A238,0)="","",OFFSET(マスタ非採用削除!E$4,統合マスタ!$A238,0)))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  <c r="AB238" s="27" t="str">
        <f ca="1">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</f>
        <v>臨時</v>
      </c>
      <c r="AC238" s="27" cm="1">
        <f t="array" aca="1" ref="AC238" ca="1">OFFSET(
   INDIRECT("'" &amp; AB238 &amp; "'!A4"),
   MATCH(B238, INDIRECT("'" &amp; AB238 &amp; "'!C5:C1000"), 0),
   MATCH("合計", INDIRECT("'" &amp; AB238 &amp; "'!4:4"), 0) - 1
)</f>
        <v>0</v>
      </c>
    </row>
    <row r="239" spans="1:29">
      <c r="A239" s="40">
        <f>元データ!P236</f>
        <v>177</v>
      </c>
      <c r="B239" s="27">
        <f t="shared" si="3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IF(AA239="非採用",0,IF(OFFSET(マスタ非採用削除!E$4,統合マスタ!$A239,0)="","",OFFSET(マスタ非採用削除!E$4,統合マスタ!$A239,0)))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  <c r="AB239" s="27" t="str">
        <f ca="1">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</f>
        <v>錠剤</v>
      </c>
      <c r="AC239" s="27" cm="1">
        <f t="array" aca="1" ref="AC239" ca="1">OFFSET(
   INDIRECT("'" &amp; AB239 &amp; "'!A4"),
   MATCH(B239, INDIRECT("'" &amp; AB239 &amp; "'!C5:C1000"), 0),
   MATCH("合計", INDIRECT("'" &amp; AB239 &amp; "'!4:4"), 0) - 1
)</f>
        <v>88</v>
      </c>
    </row>
    <row r="240" spans="1:29">
      <c r="A240" s="40">
        <f>元データ!P237</f>
        <v>175</v>
      </c>
      <c r="B240" s="27">
        <f t="shared" si="3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IF(AA240="非採用",0,IF(OFFSET(マスタ非採用削除!E$4,統合マスタ!$A240,0)="","",OFFSET(マスタ非採用削除!E$4,統合マスタ!$A240,0)))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/>
      <c r="AB240" s="27" t="str">
        <f ca="1">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</f>
        <v>錠剤</v>
      </c>
      <c r="AC240" s="27" cm="1">
        <f t="array" aca="1" ref="AC240" ca="1">OFFSET(
   INDIRECT("'" &amp; AB240 &amp; "'!A4"),
   MATCH(B240, INDIRECT("'" &amp; AB240 &amp; "'!C5:C1000"), 0),
   MATCH("合計", INDIRECT("'" &amp; AB240 &amp; "'!4:4"), 0) - 1
)</f>
        <v>89</v>
      </c>
    </row>
    <row r="241" spans="1:29">
      <c r="A241" s="40">
        <f>元データ!P238</f>
        <v>175</v>
      </c>
      <c r="B241" s="27">
        <f t="shared" si="3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IF(AA241="非採用",0,IF(OFFSET(マスタ非採用削除!E$4,統合マスタ!$A241,0)="","",OFFSET(マスタ非採用削除!E$4,統合マスタ!$A241,0)))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/>
      <c r="AB241" s="27" t="str">
        <f ca="1">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</f>
        <v>錠剤</v>
      </c>
      <c r="AC241" s="27" cm="1">
        <f t="array" aca="1" ref="AC241" ca="1">OFFSET(
   INDIRECT("'" &amp; AB241 &amp; "'!A4"),
   MATCH(B241, INDIRECT("'" &amp; AB241 &amp; "'!C5:C1000"), 0),
   MATCH("合計", INDIRECT("'" &amp; AB241 &amp; "'!4:4"), 0) - 1
)</f>
        <v>90</v>
      </c>
    </row>
    <row r="242" spans="1:29">
      <c r="A242" s="40">
        <f>元データ!P239</f>
        <v>175</v>
      </c>
      <c r="B242" s="27">
        <f t="shared" si="3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IF(AA242="非採用",0,IF(OFFSET(マスタ非採用削除!E$4,統合マスタ!$A242,0)="","",OFFSET(マスタ非採用削除!E$4,統合マスタ!$A242,0)))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/>
      <c r="AB242" s="27" t="str">
        <f ca="1">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</f>
        <v>錠剤</v>
      </c>
      <c r="AC242" s="27" cm="1">
        <f t="array" aca="1" ref="AC242" ca="1">OFFSET(
   INDIRECT("'" &amp; AB242 &amp; "'!A4"),
   MATCH(B242, INDIRECT("'" &amp; AB242 &amp; "'!C5:C1000"), 0),
   MATCH("合計", INDIRECT("'" &amp; AB242 &amp; "'!4:4"), 0) - 1
)</f>
        <v>91</v>
      </c>
    </row>
    <row r="243" spans="1:29">
      <c r="A243" s="40">
        <f>元データ!P240</f>
        <v>176</v>
      </c>
      <c r="B243" s="27">
        <f t="shared" si="3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IF(AA243="非採用",0,IF(OFFSET(マスタ非採用削除!E$4,統合マスタ!$A243,0)="","",OFFSET(マスタ非採用削除!E$4,統合マスタ!$A243,0)))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/>
      <c r="AB243" s="27" t="str">
        <f ca="1">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</f>
        <v>錠剤</v>
      </c>
      <c r="AC243" s="27" cm="1">
        <f t="array" aca="1" ref="AC243" ca="1">OFFSET(
   INDIRECT("'" &amp; AB243 &amp; "'!A4"),
   MATCH(B243, INDIRECT("'" &amp; AB243 &amp; "'!C5:C1000"), 0),
   MATCH("合計", INDIRECT("'" &amp; AB243 &amp; "'!4:4"), 0) - 1
)</f>
        <v>92</v>
      </c>
    </row>
    <row r="244" spans="1:29">
      <c r="A244" s="40">
        <f>元データ!P241</f>
        <v>176</v>
      </c>
      <c r="B244" s="27">
        <f t="shared" si="3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IF(AA244="非採用",0,IF(OFFSET(マスタ非採用削除!E$4,統合マスタ!$A244,0)="","",OFFSET(マスタ非採用削除!E$4,統合マスタ!$A244,0)))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/>
      <c r="AB244" s="27" t="str">
        <f ca="1">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</f>
        <v>錠剤</v>
      </c>
      <c r="AC244" s="27" cm="1">
        <f t="array" aca="1" ref="AC244" ca="1">OFFSET(
   INDIRECT("'" &amp; AB244 &amp; "'!A4"),
   MATCH(B244, INDIRECT("'" &amp; AB244 &amp; "'!C5:C1000"), 0),
   MATCH("合計", INDIRECT("'" &amp; AB244 &amp; "'!4:4"), 0) - 1
)</f>
        <v>93</v>
      </c>
    </row>
    <row r="245" spans="1:29">
      <c r="A245" s="40" t="str">
        <f>元データ!P242</f>
        <v>非採用</v>
      </c>
      <c r="B245" s="27">
        <f t="shared" si="3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IF(AA245="非採用",0,IF(OFFSET(マスタ非採用削除!E$4,統合マスタ!$A245,0)="","",OFFSET(マスタ非採用削除!E$4,統合マスタ!$A245,0)))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4068</v>
      </c>
      <c r="AB245" s="27" t="str">
        <f ca="1">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</f>
        <v>無し</v>
      </c>
      <c r="AC245" s="27" t="e" cm="1">
        <f t="array" aca="1" ref="AC245" ca="1">OFFSET(
   INDIRECT("'" &amp; AB245 &amp; "'!A4"),
   MATCH(B245, INDIRECT("'" &amp; AB245 &amp; "'!C5:C1000"), 0),
   MATCH("合計", INDIRECT("'" &amp; AB245 &amp; "'!4:4"), 0) - 1
)</f>
        <v>#REF!</v>
      </c>
    </row>
    <row r="246" spans="1:29">
      <c r="A246" s="40">
        <f>元データ!P243</f>
        <v>179</v>
      </c>
      <c r="B246" s="27">
        <f t="shared" si="3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IF(AA246="非採用",0,IF(OFFSET(マスタ非採用削除!E$4,統合マスタ!$A246,0)="","",OFFSET(マスタ非採用削除!E$4,統合マスタ!$A246,0)))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  <c r="AB246" s="27" t="str">
        <f ca="1">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</f>
        <v>錠剤</v>
      </c>
      <c r="AC246" s="27" cm="1">
        <f t="array" aca="1" ref="AC246" ca="1">OFFSET(
   INDIRECT("'" &amp; AB246 &amp; "'!A4"),
   MATCH(B246, INDIRECT("'" &amp; AB246 &amp; "'!C5:C1000"), 0),
   MATCH("合計", INDIRECT("'" &amp; AB246 &amp; "'!4:4"), 0) - 1
)</f>
        <v>94</v>
      </c>
    </row>
    <row r="247" spans="1:29">
      <c r="A247" s="40">
        <f>元データ!P244</f>
        <v>181</v>
      </c>
      <c r="B247" s="27">
        <f t="shared" si="3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IF(AA247="非採用",0,IF(OFFSET(マスタ非採用削除!E$4,統合マスタ!$A247,0)="","",OFFSET(マスタ非採用削除!E$4,統合マスタ!$A247,0)))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  <c r="AB247" s="27" t="str">
        <f ca="1">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</f>
        <v>臨時</v>
      </c>
      <c r="AC247" s="27" cm="1">
        <f t="array" aca="1" ref="AC247" ca="1">OFFSET(
   INDIRECT("'" &amp; AB247 &amp; "'!A4"),
   MATCH(B247, INDIRECT("'" &amp; AB247 &amp; "'!C5:C1000"), 0),
   MATCH("合計", INDIRECT("'" &amp; AB247 &amp; "'!4:4"), 0) - 1
)</f>
        <v>0</v>
      </c>
    </row>
    <row r="248" spans="1:29">
      <c r="A248" s="40">
        <f>元データ!P245</f>
        <v>182</v>
      </c>
      <c r="B248" s="27">
        <f t="shared" si="3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IF(AA248="非採用",0,IF(OFFSET(マスタ非採用削除!E$4,統合マスタ!$A248,0)="","",OFFSET(マスタ非採用削除!E$4,統合マスタ!$A248,0)))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/>
      <c r="AB248" s="27" t="str">
        <f ca="1">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</f>
        <v>錠剤</v>
      </c>
      <c r="AC248" s="27" cm="1">
        <f t="array" aca="1" ref="AC248" ca="1">OFFSET(
   INDIRECT("'" &amp; AB248 &amp; "'!A4"),
   MATCH(B248, INDIRECT("'" &amp; AB248 &amp; "'!C5:C1000"), 0),
   MATCH("合計", INDIRECT("'" &amp; AB248 &amp; "'!4:4"), 0) - 1
)</f>
        <v>95</v>
      </c>
    </row>
    <row r="249" spans="1:29">
      <c r="A249" s="40">
        <f>元データ!P246</f>
        <v>183</v>
      </c>
      <c r="B249" s="27">
        <f t="shared" si="3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IF(AA249="非採用",0,IF(OFFSET(マスタ非採用削除!E$4,統合マスタ!$A249,0)="","",OFFSET(マスタ非採用削除!E$4,統合マスタ!$A249,0)))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/>
      <c r="AB249" s="27" t="str">
        <f ca="1">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</f>
        <v>錠剤</v>
      </c>
      <c r="AC249" s="27" cm="1">
        <f t="array" aca="1" ref="AC249" ca="1">OFFSET(
   INDIRECT("'" &amp; AB249 &amp; "'!A4"),
   MATCH(B249, INDIRECT("'" &amp; AB249 &amp; "'!C5:C1000"), 0),
   MATCH("合計", INDIRECT("'" &amp; AB249 &amp; "'!4:4"), 0) - 1
)</f>
        <v>96</v>
      </c>
    </row>
    <row r="250" spans="1:29">
      <c r="A250" s="40">
        <f>元データ!P247</f>
        <v>184</v>
      </c>
      <c r="B250" s="27">
        <f t="shared" si="3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IF(AA250="非採用",0,IF(OFFSET(マスタ非採用削除!E$4,統合マスタ!$A250,0)="","",OFFSET(マスタ非採用削除!E$4,統合マスタ!$A250,0)))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  <c r="AB250" s="27" t="str">
        <f ca="1">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</f>
        <v>注射</v>
      </c>
      <c r="AC250" s="27" cm="1">
        <f t="array" aca="1" ref="AC250" ca="1">OFFSET(
   INDIRECT("'" &amp; AB250 &amp; "'!A4"),
   MATCH(B250, INDIRECT("'" &amp; AB250 &amp; "'!C5:C1000"), 0),
   MATCH("合計", INDIRECT("'" &amp; AB250 &amp; "'!4:4"), 0) - 1
)</f>
        <v>0</v>
      </c>
    </row>
    <row r="251" spans="1:29">
      <c r="A251" s="40">
        <f>元データ!P248</f>
        <v>185</v>
      </c>
      <c r="B251" s="27">
        <f t="shared" si="3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IF(AA251="非採用",0,IF(OFFSET(マスタ非採用削除!E$4,統合マスタ!$A251,0)="","",OFFSET(マスタ非採用削除!E$4,統合マスタ!$A251,0)))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  <c r="AB251" s="27" t="str">
        <f ca="1">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</f>
        <v>無し</v>
      </c>
      <c r="AC251" s="27" t="e" cm="1">
        <f t="array" aca="1" ref="AC251" ca="1">OFFSET(
   INDIRECT("'" &amp; AB251 &amp; "'!A4"),
   MATCH(B251, INDIRECT("'" &amp; AB251 &amp; "'!C5:C1000"), 0),
   MATCH("合計", INDIRECT("'" &amp; AB251 &amp; "'!4:4"), 0) - 1
)</f>
        <v>#REF!</v>
      </c>
    </row>
    <row r="252" spans="1:29">
      <c r="A252" s="40">
        <f>元データ!P249</f>
        <v>186</v>
      </c>
      <c r="B252" s="27">
        <f t="shared" si="3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IF(AA252="非採用",0,IF(OFFSET(マスタ非採用削除!E$4,統合マスタ!$A252,0)="","",OFFSET(マスタ非採用削除!E$4,統合マスタ!$A252,0)))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  <c r="AB252" s="27" t="str">
        <f ca="1">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</f>
        <v>外用剤</v>
      </c>
      <c r="AC252" s="27" t="e" cm="1">
        <f t="array" aca="1" ref="AC252" ca="1">OFFSET(
   INDIRECT("'" &amp; AB252 &amp; "'!A4"),
   MATCH(B252, INDIRECT("'" &amp; AB252 &amp; "'!C5:C1000"), 0),
   MATCH("合計", INDIRECT("'" &amp; AB252 &amp; "'!4:4"), 0) - 1
)</f>
        <v>#REF!</v>
      </c>
    </row>
    <row r="253" spans="1:29">
      <c r="A253" s="40">
        <f>元データ!P250</f>
        <v>195</v>
      </c>
      <c r="B253" s="27">
        <f t="shared" si="3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IF(AA253="非採用",0,IF(OFFSET(マスタ非採用削除!E$4,統合マスタ!$A253,0)="","",OFFSET(マスタ非採用削除!E$4,統合マスタ!$A253,0)))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  <c r="AB253" s="27" t="str">
        <f ca="1">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</f>
        <v>散剤</v>
      </c>
      <c r="AC253" s="27" cm="1">
        <f t="array" aca="1" ref="AC253" ca="1">OFFSET(
   INDIRECT("'" &amp; AB253 &amp; "'!A4"),
   MATCH(B253, INDIRECT("'" &amp; AB253 &amp; "'!C5:C1000"), 0),
   MATCH("合計", INDIRECT("'" &amp; AB253 &amp; "'!4:4"), 0) - 1
)</f>
        <v>18</v>
      </c>
    </row>
    <row r="254" spans="1:29">
      <c r="A254" s="40">
        <f>元データ!P251</f>
        <v>187</v>
      </c>
      <c r="B254" s="27">
        <f t="shared" si="3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IF(AA254="非採用",0,IF(OFFSET(マスタ非採用削除!E$4,統合マスタ!$A254,0)="","",OFFSET(マスタ非採用削除!E$4,統合マスタ!$A254,0)))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  <c r="AB254" s="27" t="str">
        <f ca="1">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</f>
        <v>錠剤</v>
      </c>
      <c r="AC254" s="27" cm="1">
        <f t="array" aca="1" ref="AC254" ca="1">OFFSET(
   INDIRECT("'" &amp; AB254 &amp; "'!A4"),
   MATCH(B254, INDIRECT("'" &amp; AB254 &amp; "'!C5:C1000"), 0),
   MATCH("合計", INDIRECT("'" &amp; AB254 &amp; "'!4:4"), 0) - 1
)</f>
        <v>97</v>
      </c>
    </row>
    <row r="255" spans="1:29">
      <c r="A255" s="40">
        <f>元データ!P252</f>
        <v>188</v>
      </c>
      <c r="B255" s="27">
        <f t="shared" si="3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IF(AA255="非採用",0,IF(OFFSET(マスタ非採用削除!E$4,統合マスタ!$A255,0)="","",OFFSET(マスタ非採用削除!E$4,統合マスタ!$A255,0)))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  <c r="AB255" s="27" t="str">
        <f ca="1">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</f>
        <v>注射</v>
      </c>
      <c r="AC255" s="27" cm="1">
        <f t="array" aca="1" ref="AC255" ca="1">OFFSET(
   INDIRECT("'" &amp; AB255 &amp; "'!A4"),
   MATCH(B255, INDIRECT("'" &amp; AB255 &amp; "'!C5:C1000"), 0),
   MATCH("合計", INDIRECT("'" &amp; AB255 &amp; "'!4:4"), 0) - 1
)</f>
        <v>0</v>
      </c>
    </row>
    <row r="256" spans="1:29">
      <c r="A256" s="40">
        <f>元データ!P253</f>
        <v>189</v>
      </c>
      <c r="B256" s="27">
        <f t="shared" si="3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IF(AA256="非採用",0,IF(OFFSET(マスタ非採用削除!E$4,統合マスタ!$A256,0)="","",OFFSET(マスタ非採用削除!E$4,統合マスタ!$A256,0)))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  <c r="AB256" s="27" t="str">
        <f ca="1">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</f>
        <v>臨時</v>
      </c>
      <c r="AC256" s="27" cm="1">
        <f t="array" aca="1" ref="AC256" ca="1">OFFSET(
   INDIRECT("'" &amp; AB256 &amp; "'!A4"),
   MATCH(B256, INDIRECT("'" &amp; AB256 &amp; "'!C5:C1000"), 0),
   MATCH("合計", INDIRECT("'" &amp; AB256 &amp; "'!4:4"), 0) - 1
)</f>
        <v>0</v>
      </c>
    </row>
    <row r="257" spans="1:29">
      <c r="A257" s="40">
        <f>元データ!P254</f>
        <v>191</v>
      </c>
      <c r="B257" s="27">
        <f t="shared" si="3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IF(AA257="非採用",0,IF(OFFSET(マスタ非採用削除!E$4,統合マスタ!$A257,0)="","",OFFSET(マスタ非採用削除!E$4,統合マスタ!$A257,0)))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  <c r="AB257" s="27" t="str">
        <f ca="1">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</f>
        <v>錠剤</v>
      </c>
      <c r="AC257" s="27" cm="1">
        <f t="array" aca="1" ref="AC257" ca="1">OFFSET(
   INDIRECT("'" &amp; AB257 &amp; "'!A4"),
   MATCH(B257, INDIRECT("'" &amp; AB257 &amp; "'!C5:C1000"), 0),
   MATCH("合計", INDIRECT("'" &amp; AB257 &amp; "'!4:4"), 0) - 1
)</f>
        <v>98</v>
      </c>
    </row>
    <row r="258" spans="1:29">
      <c r="A258" s="40">
        <f>元データ!P255</f>
        <v>190</v>
      </c>
      <c r="B258" s="27">
        <f t="shared" si="3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IF(AA258="非採用",0,IF(OFFSET(マスタ非採用削除!E$4,統合マスタ!$A258,0)="","",OFFSET(マスタ非採用削除!E$4,統合マスタ!$A258,0)))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  <c r="AB258" s="27" t="str">
        <f ca="1">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</f>
        <v>錠剤</v>
      </c>
      <c r="AC258" s="27" cm="1">
        <f t="array" aca="1" ref="AC258" ca="1">OFFSET(
   INDIRECT("'" &amp; AB258 &amp; "'!A4"),
   MATCH(B258, INDIRECT("'" &amp; AB258 &amp; "'!C5:C1000"), 0),
   MATCH("合計", INDIRECT("'" &amp; AB258 &amp; "'!4:4"), 0) - 1
)</f>
        <v>99</v>
      </c>
    </row>
    <row r="259" spans="1:29">
      <c r="A259" s="40">
        <f>元データ!P256</f>
        <v>193</v>
      </c>
      <c r="B259" s="27">
        <f t="shared" si="3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IF(AA259="非採用",0,IF(OFFSET(マスタ非採用削除!E$4,統合マスタ!$A259,0)="","",OFFSET(マスタ非採用削除!E$4,統合マスタ!$A259,0)))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  <c r="AB259" s="27" t="str">
        <f ca="1">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</f>
        <v>臨時</v>
      </c>
      <c r="AC259" s="27" cm="1">
        <f t="array" aca="1" ref="AC259" ca="1">OFFSET(
   INDIRECT("'" &amp; AB259 &amp; "'!A4"),
   MATCH(B259, INDIRECT("'" &amp; AB259 &amp; "'!C5:C1000"), 0),
   MATCH("合計", INDIRECT("'" &amp; AB259 &amp; "'!4:4"), 0) - 1
)</f>
        <v>0</v>
      </c>
    </row>
    <row r="260" spans="1:29">
      <c r="A260" s="40">
        <f>元データ!P257</f>
        <v>192</v>
      </c>
      <c r="B260" s="27">
        <f t="shared" si="3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IF(AA260="非採用",0,IF(OFFSET(マスタ非採用削除!E$4,統合マスタ!$A260,0)="","",OFFSET(マスタ非採用削除!E$4,統合マスタ!$A260,0)))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  <c r="AB260" s="27" t="str">
        <f ca="1">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</f>
        <v>無し</v>
      </c>
      <c r="AC260" s="27" t="e" cm="1">
        <f t="array" aca="1" ref="AC260" ca="1">OFFSET(
   INDIRECT("'" &amp; AB260 &amp; "'!A4"),
   MATCH(B260, INDIRECT("'" &amp; AB260 &amp; "'!C5:C1000"), 0),
   MATCH("合計", INDIRECT("'" &amp; AB260 &amp; "'!4:4"), 0) - 1
)</f>
        <v>#REF!</v>
      </c>
    </row>
    <row r="261" spans="1:29">
      <c r="A261" s="40">
        <f>元データ!P258</f>
        <v>194</v>
      </c>
      <c r="B261" s="27">
        <f t="shared" si="3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IF(AA261="非採用",0,IF(OFFSET(マスタ非採用削除!E$4,統合マスタ!$A261,0)="","",OFFSET(マスタ非採用削除!E$4,統合マスタ!$A261,0)))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  <c r="AB261" s="27" t="str">
        <f ca="1">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</f>
        <v>錠剤</v>
      </c>
      <c r="AC261" s="27" cm="1">
        <f t="array" aca="1" ref="AC261" ca="1">OFFSET(
   INDIRECT("'" &amp; AB261 &amp; "'!A4"),
   MATCH(B261, INDIRECT("'" &amp; AB261 &amp; "'!C5:C1000"), 0),
   MATCH("合計", INDIRECT("'" &amp; AB261 &amp; "'!4:4"), 0) - 1
)</f>
        <v>100</v>
      </c>
    </row>
    <row r="262" spans="1:29">
      <c r="A262" s="40" t="str">
        <f>元データ!P259</f>
        <v>非採用</v>
      </c>
      <c r="B262" s="27">
        <f t="shared" si="3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IF(AA262="非採用",0,IF(OFFSET(マスタ非採用削除!E$4,統合マスタ!$A262,0)="","",OFFSET(マスタ非採用削除!E$4,統合マスタ!$A262,0)))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4062</v>
      </c>
      <c r="AB262" s="27" t="str">
        <f ca="1">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</f>
        <v>無し</v>
      </c>
      <c r="AC262" s="27" t="e" cm="1">
        <f t="array" aca="1" ref="AC262" ca="1">OFFSET(
   INDIRECT("'" &amp; AB262 &amp; "'!A4"),
   MATCH(B262, INDIRECT("'" &amp; AB262 &amp; "'!C5:C1000"), 0),
   MATCH("合計", INDIRECT("'" &amp; AB262 &amp; "'!4:4"), 0) - 1
)</f>
        <v>#REF!</v>
      </c>
    </row>
    <row r="263" spans="1:29">
      <c r="A263" s="40">
        <f>元データ!P260</f>
        <v>196</v>
      </c>
      <c r="B263" s="27">
        <f t="shared" ref="B263:B326" si="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IF(AA263="非採用",0,IF(OFFSET(マスタ非採用削除!E$4,統合マスタ!$A263,0)="","",OFFSET(マスタ非採用削除!E$4,統合マスタ!$A263,0)))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  <c r="AB263" s="27" t="str">
        <f ca="1">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</f>
        <v>錠剤</v>
      </c>
      <c r="AC263" s="27" cm="1">
        <f t="array" aca="1" ref="AC263" ca="1">OFFSET(
   INDIRECT("'" &amp; AB263 &amp; "'!A4"),
   MATCH(B263, INDIRECT("'" &amp; AB263 &amp; "'!C5:C1000"), 0),
   MATCH("合計", INDIRECT("'" &amp; AB263 &amp; "'!4:4"), 0) - 1
)</f>
        <v>101</v>
      </c>
    </row>
    <row r="264" spans="1:29">
      <c r="A264" s="40">
        <f>元データ!P261</f>
        <v>199</v>
      </c>
      <c r="B264" s="27">
        <f t="shared" si="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IF(AA264="非採用",0,IF(OFFSET(マスタ非採用削除!E$4,統合マスタ!$A264,0)="","",OFFSET(マスタ非採用削除!E$4,統合マスタ!$A264,0)))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  <c r="AB264" s="27" t="str">
        <f ca="1">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</f>
        <v>錠剤</v>
      </c>
      <c r="AC264" s="27" cm="1">
        <f t="array" aca="1" ref="AC264" ca="1">OFFSET(
   INDIRECT("'" &amp; AB264 &amp; "'!A4"),
   MATCH(B264, INDIRECT("'" &amp; AB264 &amp; "'!C5:C1000"), 0),
   MATCH("合計", INDIRECT("'" &amp; AB264 &amp; "'!4:4"), 0) - 1
)</f>
        <v>102</v>
      </c>
    </row>
    <row r="265" spans="1:29">
      <c r="A265" s="40">
        <f>元データ!P262</f>
        <v>197</v>
      </c>
      <c r="B265" s="27">
        <f t="shared" si="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IF(AA265="非採用",0,IF(OFFSET(マスタ非採用削除!E$4,統合マスタ!$A265,0)="","",OFFSET(マスタ非採用削除!E$4,統合マスタ!$A265,0)))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  <c r="AB265" s="27" t="str">
        <f ca="1">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</f>
        <v>錠剤</v>
      </c>
      <c r="AC265" s="27" cm="1">
        <f t="array" aca="1" ref="AC265" ca="1">OFFSET(
   INDIRECT("'" &amp; AB265 &amp; "'!A4"),
   MATCH(B265, INDIRECT("'" &amp; AB265 &amp; "'!C5:C1000"), 0),
   MATCH("合計", INDIRECT("'" &amp; AB265 &amp; "'!4:4"), 0) - 1
)</f>
        <v>103</v>
      </c>
    </row>
    <row r="266" spans="1:29">
      <c r="A266" s="40">
        <f>元データ!P263</f>
        <v>198</v>
      </c>
      <c r="B266" s="27">
        <f t="shared" si="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IF(AA266="非採用",0,IF(OFFSET(マスタ非採用削除!E$4,統合マスタ!$A266,0)="","",OFFSET(マスタ非採用削除!E$4,統合マスタ!$A266,0)))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  <c r="AB266" s="27" t="str">
        <f ca="1">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</f>
        <v>錠剤</v>
      </c>
      <c r="AC266" s="27" cm="1">
        <f t="array" aca="1" ref="AC266" ca="1">OFFSET(
   INDIRECT("'" &amp; AB266 &amp; "'!A4"),
   MATCH(B266, INDIRECT("'" &amp; AB266 &amp; "'!C5:C1000"), 0),
   MATCH("合計", INDIRECT("'" &amp; AB266 &amp; "'!4:4"), 0) - 1
)</f>
        <v>104</v>
      </c>
    </row>
    <row r="267" spans="1:29">
      <c r="A267" s="40">
        <f>元データ!P264</f>
        <v>201</v>
      </c>
      <c r="B267" s="27">
        <f t="shared" si="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IF(AA267="非採用",0,IF(OFFSET(マスタ非採用削除!E$4,統合マスタ!$A267,0)="","",OFFSET(マスタ非採用削除!E$4,統合マスタ!$A267,0)))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  <c r="AB267" s="27" t="str">
        <f ca="1">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</f>
        <v>臨時</v>
      </c>
      <c r="AC267" s="27" cm="1">
        <f t="array" aca="1" ref="AC267" ca="1">OFFSET(
   INDIRECT("'" &amp; AB267 &amp; "'!A4"),
   MATCH(B267, INDIRECT("'" &amp; AB267 &amp; "'!C5:C1000"), 0),
   MATCH("合計", INDIRECT("'" &amp; AB267 &amp; "'!4:4"), 0) - 1
)</f>
        <v>0</v>
      </c>
    </row>
    <row r="268" spans="1:29">
      <c r="A268" s="40">
        <f>元データ!P265</f>
        <v>202</v>
      </c>
      <c r="B268" s="27">
        <f t="shared" si="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IF(AA268="非採用",0,IF(OFFSET(マスタ非採用削除!E$4,統合マスタ!$A268,0)="","",OFFSET(マスタ非採用削除!E$4,統合マスタ!$A268,0)))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/>
      <c r="AB268" s="27" t="str">
        <f ca="1">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</f>
        <v>錠剤</v>
      </c>
      <c r="AC268" s="27" cm="1">
        <f t="array" aca="1" ref="AC268" ca="1">OFFSET(
   INDIRECT("'" &amp; AB268 &amp; "'!A4"),
   MATCH(B268, INDIRECT("'" &amp; AB268 &amp; "'!C5:C1000"), 0),
   MATCH("合計", INDIRECT("'" &amp; AB268 &amp; "'!4:4"), 0) - 1
)</f>
        <v>105</v>
      </c>
    </row>
    <row r="269" spans="1:29">
      <c r="A269" s="40">
        <f>元データ!P266</f>
        <v>202</v>
      </c>
      <c r="B269" s="27">
        <f t="shared" si="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IF(AA269="非採用",0,IF(OFFSET(マスタ非採用削除!E$4,統合マスタ!$A269,0)="","",OFFSET(マスタ非採用削除!E$4,統合マスタ!$A269,0)))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/>
      <c r="AB269" s="27" t="str">
        <f ca="1">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</f>
        <v>錠剤</v>
      </c>
      <c r="AC269" s="27" cm="1">
        <f t="array" aca="1" ref="AC269" ca="1">OFFSET(
   INDIRECT("'" &amp; AB269 &amp; "'!A4"),
   MATCH(B269, INDIRECT("'" &amp; AB269 &amp; "'!C5:C1000"), 0),
   MATCH("合計", INDIRECT("'" &amp; AB269 &amp; "'!4:4"), 0) - 1
)</f>
        <v>106</v>
      </c>
    </row>
    <row r="270" spans="1:29">
      <c r="A270" s="40">
        <f>元データ!P267</f>
        <v>205</v>
      </c>
      <c r="B270" s="27">
        <f t="shared" si="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IF(AA270="非採用",0,IF(OFFSET(マスタ非採用削除!E$4,統合マスタ!$A270,0)="","",OFFSET(マスタ非採用削除!E$4,統合マスタ!$A270,0)))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/>
      <c r="AB270" s="27" t="str">
        <f ca="1">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</f>
        <v>錠剤</v>
      </c>
      <c r="AC270" s="27" cm="1">
        <f t="array" aca="1" ref="AC270" ca="1">OFFSET(
   INDIRECT("'" &amp; AB270 &amp; "'!A4"),
   MATCH(B270, INDIRECT("'" &amp; AB270 &amp; "'!C5:C1000"), 0),
   MATCH("合計", INDIRECT("'" &amp; AB270 &amp; "'!4:4"), 0) - 1
)</f>
        <v>107</v>
      </c>
    </row>
    <row r="271" spans="1:29">
      <c r="A271" s="40">
        <f>元データ!P268</f>
        <v>205</v>
      </c>
      <c r="B271" s="27">
        <f t="shared" si="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IF(AA271="非採用",0,IF(OFFSET(マスタ非採用削除!E$4,統合マスタ!$A271,0)="","",OFFSET(マスタ非採用削除!E$4,統合マスタ!$A271,0)))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/>
      <c r="AB271" s="27" t="str">
        <f ca="1">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</f>
        <v>錠剤</v>
      </c>
      <c r="AC271" s="27" cm="1">
        <f t="array" aca="1" ref="AC271" ca="1">OFFSET(
   INDIRECT("'" &amp; AB271 &amp; "'!A4"),
   MATCH(B271, INDIRECT("'" &amp; AB271 &amp; "'!C5:C1000"), 0),
   MATCH("合計", INDIRECT("'" &amp; AB271 &amp; "'!4:4"), 0) - 1
)</f>
        <v>108</v>
      </c>
    </row>
    <row r="272" spans="1:29">
      <c r="A272" s="40">
        <f>元データ!P269</f>
        <v>206</v>
      </c>
      <c r="B272" s="27">
        <f t="shared" si="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IF(AA272="非採用",0,IF(OFFSET(マスタ非採用削除!E$4,統合マスタ!$A272,0)="","",OFFSET(マスタ非採用削除!E$4,統合マスタ!$A272,0)))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/>
      <c r="AB272" s="27" t="str">
        <f ca="1">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</f>
        <v>錠剤</v>
      </c>
      <c r="AC272" s="27" cm="1">
        <f t="array" aca="1" ref="AC272" ca="1">OFFSET(
   INDIRECT("'" &amp; AB272 &amp; "'!A4"),
   MATCH(B272, INDIRECT("'" &amp; AB272 &amp; "'!C5:C1000"), 0),
   MATCH("合計", INDIRECT("'" &amp; AB272 &amp; "'!4:4"), 0) - 1
)</f>
        <v>109</v>
      </c>
    </row>
    <row r="273" spans="1:29">
      <c r="A273" s="40">
        <f>元データ!P270</f>
        <v>207</v>
      </c>
      <c r="B273" s="27">
        <f t="shared" si="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IF(AA273="非採用",0,IF(OFFSET(マスタ非採用削除!E$4,統合マスタ!$A273,0)="","",OFFSET(マスタ非採用削除!E$4,統合マスタ!$A273,0)))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/>
      <c r="AB273" s="27" t="str">
        <f ca="1">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</f>
        <v>錠剤</v>
      </c>
      <c r="AC273" s="27" cm="1">
        <f t="array" aca="1" ref="AC273" ca="1">OFFSET(
   INDIRECT("'" &amp; AB273 &amp; "'!A4"),
   MATCH(B273, INDIRECT("'" &amp; AB273 &amp; "'!C5:C1000"), 0),
   MATCH("合計", INDIRECT("'" &amp; AB273 &amp; "'!4:4"), 0) - 1
)</f>
        <v>110</v>
      </c>
    </row>
    <row r="274" spans="1:29">
      <c r="A274" s="40">
        <f>元データ!P271</f>
        <v>210</v>
      </c>
      <c r="B274" s="27">
        <f t="shared" si="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IF(AA274="非採用",0,IF(OFFSET(マスタ非採用削除!E$4,統合マスタ!$A274,0)="","",OFFSET(マスタ非採用削除!E$4,統合マスタ!$A274,0)))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  <c r="AB274" s="27" t="str">
        <f ca="1">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</f>
        <v>外用剤</v>
      </c>
      <c r="AC274" s="27" t="e" cm="1">
        <f t="array" aca="1" ref="AC274" ca="1">OFFSET(
   INDIRECT("'" &amp; AB274 &amp; "'!A4"),
   MATCH(B274, INDIRECT("'" &amp; AB274 &amp; "'!C5:C1000"), 0),
   MATCH("合計", INDIRECT("'" &amp; AB274 &amp; "'!4:4"), 0) - 1
)</f>
        <v>#REF!</v>
      </c>
    </row>
    <row r="275" spans="1:29">
      <c r="A275" s="40">
        <f>元データ!P272</f>
        <v>211</v>
      </c>
      <c r="B275" s="27">
        <f t="shared" si="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IF(AA275="非採用",0,IF(OFFSET(マスタ非採用削除!E$4,統合マスタ!$A275,0)="","",OFFSET(マスタ非採用削除!E$4,統合マスタ!$A275,0)))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  <c r="AB275" s="27" t="str">
        <f ca="1">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</f>
        <v>外用剤</v>
      </c>
      <c r="AC275" s="27" t="e" cm="1">
        <f t="array" aca="1" ref="AC275" ca="1">OFFSET(
   INDIRECT("'" &amp; AB275 &amp; "'!A4"),
   MATCH(B275, INDIRECT("'" &amp; AB275 &amp; "'!C5:C1000"), 0),
   MATCH("合計", INDIRECT("'" &amp; AB275 &amp; "'!4:4"), 0) - 1
)</f>
        <v>#REF!</v>
      </c>
    </row>
    <row r="276" spans="1:29">
      <c r="A276" s="40">
        <f>元データ!P273</f>
        <v>212</v>
      </c>
      <c r="B276" s="27">
        <f t="shared" si="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IF(AA276="非採用",0,IF(OFFSET(マスタ非採用削除!E$4,統合マスタ!$A276,0)="","",OFFSET(マスタ非採用削除!E$4,統合マスタ!$A276,0)))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  <c r="AB276" s="27" t="str">
        <f ca="1">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</f>
        <v>臨時</v>
      </c>
      <c r="AC276" s="27" cm="1">
        <f t="array" aca="1" ref="AC276" ca="1">OFFSET(
   INDIRECT("'" &amp; AB276 &amp; "'!A4"),
   MATCH(B276, INDIRECT("'" &amp; AB276 &amp; "'!C5:C1000"), 0),
   MATCH("合計", INDIRECT("'" &amp; AB276 &amp; "'!4:4"), 0) - 1
)</f>
        <v>0</v>
      </c>
    </row>
    <row r="277" spans="1:29">
      <c r="A277" s="40">
        <f>元データ!P274</f>
        <v>213</v>
      </c>
      <c r="B277" s="27">
        <f t="shared" si="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IF(AA277="非採用",0,IF(OFFSET(マスタ非採用削除!E$4,統合マスタ!$A277,0)="","",OFFSET(マスタ非採用削除!E$4,統合マスタ!$A277,0)))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  <c r="AB277" s="27" t="str">
        <f ca="1">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</f>
        <v>外用剤</v>
      </c>
      <c r="AC277" s="27" t="e" cm="1">
        <f t="array" aca="1" ref="AC277" ca="1">OFFSET(
   INDIRECT("'" &amp; AB277 &amp; "'!A4"),
   MATCH(B277, INDIRECT("'" &amp; AB277 &amp; "'!C5:C1000"), 0),
   MATCH("合計", INDIRECT("'" &amp; AB277 &amp; "'!4:4"), 0) - 1
)</f>
        <v>#REF!</v>
      </c>
    </row>
    <row r="278" spans="1:29">
      <c r="A278" s="40" t="str">
        <f>元データ!P275</f>
        <v>非採用</v>
      </c>
      <c r="B278" s="27">
        <f t="shared" si="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IF(AA278="非採用",0,IF(OFFSET(マスタ非採用削除!E$4,統合マスタ!$A278,0)="","",OFFSET(マスタ非採用削除!E$4,統合マスタ!$A278,0)))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4068</v>
      </c>
      <c r="AB278" s="27" t="str">
        <f ca="1">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</f>
        <v>無し</v>
      </c>
      <c r="AC278" s="27" t="e" cm="1">
        <f t="array" aca="1" ref="AC278" ca="1">OFFSET(
   INDIRECT("'" &amp; AB278 &amp; "'!A4"),
   MATCH(B278, INDIRECT("'" &amp; AB278 &amp; "'!C5:C1000"), 0),
   MATCH("合計", INDIRECT("'" &amp; AB278 &amp; "'!4:4"), 0) - 1
)</f>
        <v>#REF!</v>
      </c>
    </row>
    <row r="279" spans="1:29">
      <c r="A279" s="40">
        <f>元データ!P276</f>
        <v>214</v>
      </c>
      <c r="B279" s="27">
        <f t="shared" si="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IF(AA279="非採用",0,IF(OFFSET(マスタ非採用削除!E$4,統合マスタ!$A279,0)="","",OFFSET(マスタ非採用削除!E$4,統合マスタ!$A279,0)))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  <c r="AB279" s="27" t="str">
        <f ca="1">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</f>
        <v>錠剤</v>
      </c>
      <c r="AC279" s="27" cm="1">
        <f t="array" aca="1" ref="AC279" ca="1">OFFSET(
   INDIRECT("'" &amp; AB279 &amp; "'!A4"),
   MATCH(B279, INDIRECT("'" &amp; AB279 &amp; "'!C5:C1000"), 0),
   MATCH("合計", INDIRECT("'" &amp; AB279 &amp; "'!4:4"), 0) - 1
)</f>
        <v>111</v>
      </c>
    </row>
    <row r="280" spans="1:29">
      <c r="A280" s="40">
        <f>元データ!P277</f>
        <v>215</v>
      </c>
      <c r="B280" s="27">
        <f t="shared" si="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IF(AA280="非採用",0,IF(OFFSET(マスタ非採用削除!E$4,統合マスタ!$A280,0)="","",OFFSET(マスタ非採用削除!E$4,統合マスタ!$A280,0)))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  <c r="AB280" s="27" t="str">
        <f ca="1">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</f>
        <v>臨時</v>
      </c>
      <c r="AC280" s="27" cm="1">
        <f t="array" aca="1" ref="AC280" ca="1">OFFSET(
   INDIRECT("'" &amp; AB280 &amp; "'!A4"),
   MATCH(B280, INDIRECT("'" &amp; AB280 &amp; "'!C5:C1000"), 0),
   MATCH("合計", INDIRECT("'" &amp; AB280 &amp; "'!4:4"), 0) - 1
)</f>
        <v>0</v>
      </c>
    </row>
    <row r="281" spans="1:29">
      <c r="A281" s="40">
        <f>元データ!P278</f>
        <v>216</v>
      </c>
      <c r="B281" s="27">
        <f t="shared" si="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IF(AA281="非採用",0,IF(OFFSET(マスタ非採用削除!E$4,統合マスタ!$A281,0)="","",OFFSET(マスタ非採用削除!E$4,統合マスタ!$A281,0)))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  <c r="AB281" s="27" t="str">
        <f ca="1">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</f>
        <v>注射</v>
      </c>
      <c r="AC281" s="27" cm="1">
        <f t="array" aca="1" ref="AC281" ca="1">OFFSET(
   INDIRECT("'" &amp; AB281 &amp; "'!A4"),
   MATCH(B281, INDIRECT("'" &amp; AB281 &amp; "'!C5:C1000"), 0),
   MATCH("合計", INDIRECT("'" &amp; AB281 &amp; "'!4:4"), 0) - 1
)</f>
        <v>0</v>
      </c>
    </row>
    <row r="282" spans="1:29">
      <c r="A282" s="40">
        <f>元データ!P279</f>
        <v>217</v>
      </c>
      <c r="B282" s="27">
        <f t="shared" si="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IF(AA282="非採用",0,IF(OFFSET(マスタ非採用削除!E$4,統合マスタ!$A282,0)="","",OFFSET(マスタ非採用削除!E$4,統合マスタ!$A282,0)))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/>
      <c r="AB282" s="27" t="str">
        <f ca="1">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</f>
        <v>錠剤</v>
      </c>
      <c r="AC282" s="27" cm="1">
        <f t="array" aca="1" ref="AC282" ca="1">OFFSET(
   INDIRECT("'" &amp; AB282 &amp; "'!A4"),
   MATCH(B282, INDIRECT("'" &amp; AB282 &amp; "'!C5:C1000"), 0),
   MATCH("合計", INDIRECT("'" &amp; AB282 &amp; "'!4:4"), 0) - 1
)</f>
        <v>112</v>
      </c>
    </row>
    <row r="283" spans="1:29">
      <c r="A283" s="40">
        <f>元データ!P280</f>
        <v>218</v>
      </c>
      <c r="B283" s="27">
        <f t="shared" si="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IF(AA283="非採用",0,IF(OFFSET(マスタ非採用削除!E$4,統合マスタ!$A283,0)="","",OFFSET(マスタ非採用削除!E$4,統合マスタ!$A283,0)))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/>
      <c r="AB283" s="27" t="str">
        <f ca="1">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</f>
        <v>錠剤</v>
      </c>
      <c r="AC283" s="27" cm="1">
        <f t="array" aca="1" ref="AC283" ca="1">OFFSET(
   INDIRECT("'" &amp; AB283 &amp; "'!A4"),
   MATCH(B283, INDIRECT("'" &amp; AB283 &amp; "'!C5:C1000"), 0),
   MATCH("合計", INDIRECT("'" &amp; AB283 &amp; "'!4:4"), 0) - 1
)</f>
        <v>113</v>
      </c>
    </row>
    <row r="284" spans="1:29">
      <c r="A284" s="40">
        <f>元データ!P281</f>
        <v>219</v>
      </c>
      <c r="B284" s="27">
        <f t="shared" si="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IF(AA284="非採用",0,IF(OFFSET(マスタ非採用削除!E$4,統合マスタ!$A284,0)="","",OFFSET(マスタ非採用削除!E$4,統合マスタ!$A284,0)))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/>
      <c r="AB284" s="27" t="str">
        <f ca="1">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</f>
        <v>錠剤</v>
      </c>
      <c r="AC284" s="27" cm="1">
        <f t="array" aca="1" ref="AC284" ca="1">OFFSET(
   INDIRECT("'" &amp; AB284 &amp; "'!A4"),
   MATCH(B284, INDIRECT("'" &amp; AB284 &amp; "'!C5:C1000"), 0),
   MATCH("合計", INDIRECT("'" &amp; AB284 &amp; "'!4:4"), 0) - 1
)</f>
        <v>114</v>
      </c>
    </row>
    <row r="285" spans="1:29">
      <c r="A285" s="40">
        <f>元データ!P282</f>
        <v>219</v>
      </c>
      <c r="B285" s="27">
        <f t="shared" si="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IF(AA285="非採用",0,IF(OFFSET(マスタ非採用削除!E$4,統合マスタ!$A285,0)="","",OFFSET(マスタ非採用削除!E$4,統合マスタ!$A285,0)))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/>
      <c r="AB285" s="27" t="str">
        <f ca="1">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</f>
        <v>錠剤</v>
      </c>
      <c r="AC285" s="27" cm="1">
        <f t="array" aca="1" ref="AC285" ca="1">OFFSET(
   INDIRECT("'" &amp; AB285 &amp; "'!A4"),
   MATCH(B285, INDIRECT("'" &amp; AB285 &amp; "'!C5:C1000"), 0),
   MATCH("合計", INDIRECT("'" &amp; AB285 &amp; "'!4:4"), 0) - 1
)</f>
        <v>115</v>
      </c>
    </row>
    <row r="286" spans="1:29">
      <c r="A286" s="40">
        <f>元データ!P283</f>
        <v>0</v>
      </c>
      <c r="B286" s="27">
        <f t="shared" si="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str">
        <f ca="1">IF(OFFSET(マスタ非採用削除!A$4,統合マスタ!$A286,0)="","",OFFSET(マスタ非採用削除!A$4,統合マスタ!$A286,0))</f>
        <v>コード(区分値)</v>
      </c>
      <c r="O286" s="53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3" t="str">
        <f ca="1">IF(OFFSET(マスタ非採用削除!D$4,統合マスタ!$A286,0)="","",OFFSET(マスタ非採用削除!D$4,統合マスタ!$A286,0))</f>
        <v>ホストコード</v>
      </c>
      <c r="R286" s="27" t="str">
        <f ca="1">IF(AA286="非採用",0,IF(OFFSET(マスタ非採用削除!E$4,統合マスタ!$A286,0)="","",OFFSET(マスタ非採用削除!E$4,統合マスタ!$A286,0)))</f>
        <v>採用区分（区分値）(区分値)</v>
      </c>
      <c r="S286" s="53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3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3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場所</v>
      </c>
      <c r="AA286" s="27"/>
      <c r="AB286" s="27" t="str">
        <f ca="1">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</f>
        <v>無し</v>
      </c>
      <c r="AC286" s="27" t="e" cm="1">
        <f t="array" aca="1" ref="AC286" ca="1">OFFSET(
   INDIRECT("'" &amp; AB286 &amp; "'!A4"),
   MATCH(B286, INDIRECT("'" &amp; AB286 &amp; "'!C5:C1000"), 0),
   MATCH("合計", INDIRECT("'" &amp; AB286 &amp; "'!4:4"), 0) - 1
)</f>
        <v>#REF!</v>
      </c>
    </row>
    <row r="287" spans="1:29">
      <c r="A287" s="40">
        <f>元データ!P284</f>
        <v>0</v>
      </c>
      <c r="B287" s="27">
        <f t="shared" si="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str">
        <f ca="1">IF(OFFSET(マスタ非採用削除!A$4,統合マスタ!$A287,0)="","",OFFSET(マスタ非採用削除!A$4,統合マスタ!$A287,0))</f>
        <v>コード(区分値)</v>
      </c>
      <c r="O287" s="53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3" t="str">
        <f ca="1">IF(OFFSET(マスタ非採用削除!D$4,統合マスタ!$A287,0)="","",OFFSET(マスタ非採用削除!D$4,統合マスタ!$A287,0))</f>
        <v>ホストコード</v>
      </c>
      <c r="R287" s="27" t="str">
        <f ca="1">IF(AA287="非採用",0,IF(OFFSET(マスタ非採用削除!E$4,統合マスタ!$A287,0)="","",OFFSET(マスタ非採用削除!E$4,統合マスタ!$A287,0)))</f>
        <v>採用区分（区分値）(区分値)</v>
      </c>
      <c r="S287" s="53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3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3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場所</v>
      </c>
      <c r="AA287" s="27"/>
      <c r="AB287" s="27" t="str">
        <f ca="1">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</f>
        <v>無し</v>
      </c>
      <c r="AC287" s="27" t="e" cm="1">
        <f t="array" aca="1" ref="AC287" ca="1">OFFSET(
   INDIRECT("'" &amp; AB287 &amp; "'!A4"),
   MATCH(B287, INDIRECT("'" &amp; AB287 &amp; "'!C5:C1000"), 0),
   MATCH("合計", INDIRECT("'" &amp; AB287 &amp; "'!4:4"), 0) - 1
)</f>
        <v>#REF!</v>
      </c>
    </row>
    <row r="288" spans="1:29">
      <c r="A288" s="40">
        <f>元データ!P285</f>
        <v>226</v>
      </c>
      <c r="B288" s="27">
        <f t="shared" si="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IF(AA288="非採用",0,IF(OFFSET(マスタ非採用削除!E$4,統合マスタ!$A288,0)="","",OFFSET(マスタ非採用削除!E$4,統合マスタ!$A288,0)))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/>
      <c r="AB288" s="27" t="str">
        <f ca="1">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</f>
        <v>錠剤</v>
      </c>
      <c r="AC288" s="27" cm="1">
        <f t="array" aca="1" ref="AC288" ca="1">OFFSET(
   INDIRECT("'" &amp; AB288 &amp; "'!A4"),
   MATCH(B288, INDIRECT("'" &amp; AB288 &amp; "'!C5:C1000"), 0),
   MATCH("合計", INDIRECT("'" &amp; AB288 &amp; "'!4:4"), 0) - 1
)</f>
        <v>116</v>
      </c>
    </row>
    <row r="289" spans="1:29">
      <c r="A289" s="40">
        <f>元データ!P286</f>
        <v>226</v>
      </c>
      <c r="B289" s="27">
        <f t="shared" si="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IF(AA289="非採用",0,IF(OFFSET(マスタ非採用削除!E$4,統合マスタ!$A289,0)="","",OFFSET(マスタ非採用削除!E$4,統合マスタ!$A289,0)))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/>
      <c r="AB289" s="27" t="str">
        <f ca="1">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</f>
        <v>錠剤</v>
      </c>
      <c r="AC289" s="27" cm="1">
        <f t="array" aca="1" ref="AC289" ca="1">OFFSET(
   INDIRECT("'" &amp; AB289 &amp; "'!A4"),
   MATCH(B289, INDIRECT("'" &amp; AB289 &amp; "'!C5:C1000"), 0),
   MATCH("合計", INDIRECT("'" &amp; AB289 &amp; "'!4:4"), 0) - 1
)</f>
        <v>117</v>
      </c>
    </row>
    <row r="290" spans="1:29">
      <c r="A290" s="40">
        <f>元データ!P287</f>
        <v>227</v>
      </c>
      <c r="B290" s="27">
        <f t="shared" si="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IF(AA290="非採用",0,IF(OFFSET(マスタ非採用削除!E$4,統合マスタ!$A290,0)="","",OFFSET(マスタ非採用削除!E$4,統合マスタ!$A290,0)))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/>
      <c r="AB290" s="27" t="str">
        <f ca="1">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</f>
        <v>錠剤</v>
      </c>
      <c r="AC290" s="27" cm="1">
        <f t="array" aca="1" ref="AC290" ca="1">OFFSET(
   INDIRECT("'" &amp; AB290 &amp; "'!A4"),
   MATCH(B290, INDIRECT("'" &amp; AB290 &amp; "'!C5:C1000"), 0),
   MATCH("合計", INDIRECT("'" &amp; AB290 &amp; "'!4:4"), 0) - 1
)</f>
        <v>118</v>
      </c>
    </row>
    <row r="291" spans="1:29">
      <c r="A291" s="40">
        <f>元データ!P288</f>
        <v>227</v>
      </c>
      <c r="B291" s="27">
        <f t="shared" si="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IF(AA291="非採用",0,IF(OFFSET(マスタ非採用削除!E$4,統合マスタ!$A291,0)="","",OFFSET(マスタ非採用削除!E$4,統合マスタ!$A291,0)))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/>
      <c r="AB291" s="27" t="str">
        <f ca="1">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</f>
        <v>錠剤</v>
      </c>
      <c r="AC291" s="27" cm="1">
        <f t="array" aca="1" ref="AC291" ca="1">OFFSET(
   INDIRECT("'" &amp; AB291 &amp; "'!A4"),
   MATCH(B291, INDIRECT("'" &amp; AB291 &amp; "'!C5:C1000"), 0),
   MATCH("合計", INDIRECT("'" &amp; AB291 &amp; "'!4:4"), 0) - 1
)</f>
        <v>119</v>
      </c>
    </row>
    <row r="292" spans="1:29">
      <c r="A292" s="40">
        <f>元データ!P289</f>
        <v>228</v>
      </c>
      <c r="B292" s="27">
        <f t="shared" si="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IF(AA292="非採用",0,IF(OFFSET(マスタ非採用削除!E$4,統合マスタ!$A292,0)="","",OFFSET(マスタ非採用削除!E$4,統合マスタ!$A292,0)))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  <c r="AB292" s="27" t="str">
        <f ca="1">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</f>
        <v>錠剤</v>
      </c>
      <c r="AC292" s="27" cm="1">
        <f t="array" aca="1" ref="AC292" ca="1">OFFSET(
   INDIRECT("'" &amp; AB292 &amp; "'!A4"),
   MATCH(B292, INDIRECT("'" &amp; AB292 &amp; "'!C5:C1000"), 0),
   MATCH("合計", INDIRECT("'" &amp; AB292 &amp; "'!4:4"), 0) - 1
)</f>
        <v>120</v>
      </c>
    </row>
    <row r="293" spans="1:29">
      <c r="A293" s="40">
        <f>元データ!P290</f>
        <v>229</v>
      </c>
      <c r="B293" s="27">
        <f t="shared" si="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IF(AA293="非採用",0,IF(OFFSET(マスタ非採用削除!E$4,統合マスタ!$A293,0)="","",OFFSET(マスタ非採用削除!E$4,統合マスタ!$A293,0)))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  <c r="AB293" s="27" t="str">
        <f ca="1">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</f>
        <v>臨時</v>
      </c>
      <c r="AC293" s="27" cm="1">
        <f t="array" aca="1" ref="AC293" ca="1">OFFSET(
   INDIRECT("'" &amp; AB293 &amp; "'!A4"),
   MATCH(B293, INDIRECT("'" &amp; AB293 &amp; "'!C5:C1000"), 0),
   MATCH("合計", INDIRECT("'" &amp; AB293 &amp; "'!4:4"), 0) - 1
)</f>
        <v>0</v>
      </c>
    </row>
    <row r="294" spans="1:29">
      <c r="A294" s="40">
        <f>元データ!P291</f>
        <v>230</v>
      </c>
      <c r="B294" s="27">
        <f t="shared" si="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IF(AA294="非採用",0,IF(OFFSET(マスタ非採用削除!E$4,統合マスタ!$A294,0)="","",OFFSET(マスタ非採用削除!E$4,統合マスタ!$A294,0)))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  <c r="AB294" s="27" t="str">
        <f ca="1">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</f>
        <v>注射</v>
      </c>
      <c r="AC294" s="27" cm="1">
        <f t="array" aca="1" ref="AC294" ca="1">OFFSET(
   INDIRECT("'" &amp; AB294 &amp; "'!A4"),
   MATCH(B294, INDIRECT("'" &amp; AB294 &amp; "'!C5:C1000"), 0),
   MATCH("合計", INDIRECT("'" &amp; AB294 &amp; "'!4:4"), 0) - 1
)</f>
        <v>0</v>
      </c>
    </row>
    <row r="295" spans="1:29">
      <c r="A295" s="40">
        <f>元データ!P292</f>
        <v>231</v>
      </c>
      <c r="B295" s="27">
        <f t="shared" si="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IF(AA295="非採用",0,IF(OFFSET(マスタ非採用削除!E$4,統合マスタ!$A295,0)="","",OFFSET(マスタ非採用削除!E$4,統合マスタ!$A295,0)))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  <c r="AB295" s="27" t="str">
        <f ca="1">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</f>
        <v>注射</v>
      </c>
      <c r="AC295" s="27" cm="1">
        <f t="array" aca="1" ref="AC295" ca="1">OFFSET(
   INDIRECT("'" &amp; AB295 &amp; "'!A4"),
   MATCH(B295, INDIRECT("'" &amp; AB295 &amp; "'!C5:C1000"), 0),
   MATCH("合計", INDIRECT("'" &amp; AB295 &amp; "'!4:4"), 0) - 1
)</f>
        <v>0</v>
      </c>
    </row>
    <row r="296" spans="1:29">
      <c r="A296" s="40">
        <f>元データ!P293</f>
        <v>232</v>
      </c>
      <c r="B296" s="27">
        <f t="shared" si="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IF(AA296="非採用",0,IF(OFFSET(マスタ非採用削除!E$4,統合マスタ!$A296,0)="","",OFFSET(マスタ非採用削除!E$4,統合マスタ!$A296,0)))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  <c r="AB296" s="27" t="str">
        <f ca="1">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</f>
        <v>注射</v>
      </c>
      <c r="AC296" s="27" cm="1">
        <f t="array" aca="1" ref="AC296" ca="1">OFFSET(
   INDIRECT("'" &amp; AB296 &amp; "'!A4"),
   MATCH(B296, INDIRECT("'" &amp; AB296 &amp; "'!C5:C1000"), 0),
   MATCH("合計", INDIRECT("'" &amp; AB296 &amp; "'!4:4"), 0) - 1
)</f>
        <v>0</v>
      </c>
    </row>
    <row r="297" spans="1:29">
      <c r="A297" s="40">
        <f>元データ!P294</f>
        <v>236</v>
      </c>
      <c r="B297" s="27">
        <f t="shared" si="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IF(AA297="非採用",0,IF(OFFSET(マスタ非採用削除!E$4,統合マスタ!$A297,0)="","",OFFSET(マスタ非採用削除!E$4,統合マスタ!$A297,0)))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  <c r="AB297" s="27" t="str">
        <f ca="1">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</f>
        <v>注射</v>
      </c>
      <c r="AC297" s="27" cm="1">
        <f t="array" aca="1" ref="AC297" ca="1">OFFSET(
   INDIRECT("'" &amp; AB297 &amp; "'!A4"),
   MATCH(B297, INDIRECT("'" &amp; AB297 &amp; "'!C5:C1000"), 0),
   MATCH("合計", INDIRECT("'" &amp; AB297 &amp; "'!4:4"), 0) - 1
)</f>
        <v>0</v>
      </c>
    </row>
    <row r="298" spans="1:29">
      <c r="A298" s="40">
        <f>元データ!P295</f>
        <v>237</v>
      </c>
      <c r="B298" s="27">
        <f t="shared" si="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IF(AA298="非採用",0,IF(OFFSET(マスタ非採用削除!E$4,統合マスタ!$A298,0)="","",OFFSET(マスタ非採用削除!E$4,統合マスタ!$A298,0)))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  <c r="AB298" s="27" t="str">
        <f ca="1">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</f>
        <v>注射</v>
      </c>
      <c r="AC298" s="27" cm="1">
        <f t="array" aca="1" ref="AC298" ca="1">OFFSET(
   INDIRECT("'" &amp; AB298 &amp; "'!A4"),
   MATCH(B298, INDIRECT("'" &amp; AB298 &amp; "'!C5:C1000"), 0),
   MATCH("合計", INDIRECT("'" &amp; AB298 &amp; "'!4:4"), 0) - 1
)</f>
        <v>0</v>
      </c>
    </row>
    <row r="299" spans="1:29">
      <c r="A299" s="40">
        <f>元データ!P296</f>
        <v>234</v>
      </c>
      <c r="B299" s="27">
        <f t="shared" si="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IF(AA299="非採用",0,IF(OFFSET(マスタ非採用削除!E$4,統合マスタ!$A299,0)="","",OFFSET(マスタ非採用削除!E$4,統合マスタ!$A299,0)))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  <c r="AB299" s="27" t="str">
        <f ca="1">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</f>
        <v>注射</v>
      </c>
      <c r="AC299" s="27" cm="1">
        <f t="array" aca="1" ref="AC299" ca="1">OFFSET(
   INDIRECT("'" &amp; AB299 &amp; "'!A4"),
   MATCH(B299, INDIRECT("'" &amp; AB299 &amp; "'!C5:C1000"), 0),
   MATCH("合計", INDIRECT("'" &amp; AB299 &amp; "'!4:4"), 0) - 1
)</f>
        <v>0</v>
      </c>
    </row>
    <row r="300" spans="1:29">
      <c r="A300" s="40">
        <f>元データ!P297</f>
        <v>235</v>
      </c>
      <c r="B300" s="27">
        <f t="shared" si="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IF(AA300="非採用",0,IF(OFFSET(マスタ非採用削除!E$4,統合マスタ!$A300,0)="","",OFFSET(マスタ非採用削除!E$4,統合マスタ!$A300,0)))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  <c r="AB300" s="27" t="str">
        <f ca="1">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</f>
        <v>注射</v>
      </c>
      <c r="AC300" s="27" cm="1">
        <f t="array" aca="1" ref="AC300" ca="1">OFFSET(
   INDIRECT("'" &amp; AB300 &amp; "'!A4"),
   MATCH(B300, INDIRECT("'" &amp; AB300 &amp; "'!C5:C1000"), 0),
   MATCH("合計", INDIRECT("'" &amp; AB300 &amp; "'!4:4"), 0) - 1
)</f>
        <v>0</v>
      </c>
    </row>
    <row r="301" spans="1:29">
      <c r="A301" s="40">
        <f>元データ!P298</f>
        <v>238</v>
      </c>
      <c r="B301" s="27">
        <f t="shared" si="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IF(AA301="非採用",0,IF(OFFSET(マスタ非採用削除!E$4,統合マスタ!$A301,0)="","",OFFSET(マスタ非採用削除!E$4,統合マスタ!$A301,0)))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  <c r="AB301" s="27" t="str">
        <f ca="1">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</f>
        <v>臨時</v>
      </c>
      <c r="AC301" s="27" cm="1">
        <f t="array" aca="1" ref="AC301" ca="1">OFFSET(
   INDIRECT("'" &amp; AB301 &amp; "'!A4"),
   MATCH(B301, INDIRECT("'" &amp; AB301 &amp; "'!C5:C1000"), 0),
   MATCH("合計", INDIRECT("'" &amp; AB301 &amp; "'!4:4"), 0) - 1
)</f>
        <v>0</v>
      </c>
    </row>
    <row r="302" spans="1:29">
      <c r="A302" s="40">
        <f>元データ!P299</f>
        <v>239</v>
      </c>
      <c r="B302" s="27">
        <f t="shared" si="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IF(AA302="非採用",0,IF(OFFSET(マスタ非採用削除!E$4,統合マスタ!$A302,0)="","",OFFSET(マスタ非採用削除!E$4,統合マスタ!$A302,0)))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/>
      <c r="AB302" s="27" t="str">
        <f ca="1">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</f>
        <v>錠剤</v>
      </c>
      <c r="AC302" s="27" cm="1">
        <f t="array" aca="1" ref="AC302" ca="1">OFFSET(
   INDIRECT("'" &amp; AB302 &amp; "'!A4"),
   MATCH(B302, INDIRECT("'" &amp; AB302 &amp; "'!C5:C1000"), 0),
   MATCH("合計", INDIRECT("'" &amp; AB302 &amp; "'!4:4"), 0) - 1
)</f>
        <v>121</v>
      </c>
    </row>
    <row r="303" spans="1:29">
      <c r="A303" s="40">
        <f>元データ!P300</f>
        <v>239</v>
      </c>
      <c r="B303" s="27">
        <f t="shared" si="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IF(AA303="非採用",0,IF(OFFSET(マスタ非採用削除!E$4,統合マスタ!$A303,0)="","",OFFSET(マスタ非採用削除!E$4,統合マスタ!$A303,0)))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/>
      <c r="AB303" s="27" t="str">
        <f ca="1">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</f>
        <v>錠剤</v>
      </c>
      <c r="AC303" s="27" cm="1">
        <f t="array" aca="1" ref="AC303" ca="1">OFFSET(
   INDIRECT("'" &amp; AB303 &amp; "'!A4"),
   MATCH(B303, INDIRECT("'" &amp; AB303 &amp; "'!C5:C1000"), 0),
   MATCH("合計", INDIRECT("'" &amp; AB303 &amp; "'!4:4"), 0) - 1
)</f>
        <v>122</v>
      </c>
    </row>
    <row r="304" spans="1:29">
      <c r="A304" s="40">
        <f>元データ!P301</f>
        <v>240</v>
      </c>
      <c r="B304" s="27">
        <f t="shared" si="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IF(AA304="非採用",0,IF(OFFSET(マスタ非採用削除!E$4,統合マスタ!$A304,0)="","",OFFSET(マスタ非採用削除!E$4,統合マスタ!$A304,0)))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/>
      <c r="AB304" s="27" t="str">
        <f ca="1">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</f>
        <v>錠剤</v>
      </c>
      <c r="AC304" s="27" cm="1">
        <f t="array" aca="1" ref="AC304" ca="1">OFFSET(
   INDIRECT("'" &amp; AB304 &amp; "'!A4"),
   MATCH(B304, INDIRECT("'" &amp; AB304 &amp; "'!C5:C1000"), 0),
   MATCH("合計", INDIRECT("'" &amp; AB304 &amp; "'!4:4"), 0) - 1
)</f>
        <v>123</v>
      </c>
    </row>
    <row r="305" spans="1:29">
      <c r="A305" s="40">
        <f>元データ!P302</f>
        <v>240</v>
      </c>
      <c r="B305" s="27">
        <f t="shared" si="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IF(AA305="非採用",0,IF(OFFSET(マスタ非採用削除!E$4,統合マスタ!$A305,0)="","",OFFSET(マスタ非採用削除!E$4,統合マスタ!$A305,0)))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/>
      <c r="AB305" s="27" t="str">
        <f ca="1">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</f>
        <v>錠剤</v>
      </c>
      <c r="AC305" s="27" cm="1">
        <f t="array" aca="1" ref="AC305" ca="1">OFFSET(
   INDIRECT("'" &amp; AB305 &amp; "'!A4"),
   MATCH(B305, INDIRECT("'" &amp; AB305 &amp; "'!C5:C1000"), 0),
   MATCH("合計", INDIRECT("'" &amp; AB305 &amp; "'!4:4"), 0) - 1
)</f>
        <v>124</v>
      </c>
    </row>
    <row r="306" spans="1:29">
      <c r="A306" s="40">
        <f>元データ!P303</f>
        <v>241</v>
      </c>
      <c r="B306" s="27">
        <f t="shared" si="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IF(AA306="非採用",0,IF(OFFSET(マスタ非採用削除!E$4,統合マスタ!$A306,0)="","",OFFSET(マスタ非採用削除!E$4,統合マスタ!$A306,0)))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/>
      <c r="AB306" s="27" t="str">
        <f ca="1">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</f>
        <v>錠剤</v>
      </c>
      <c r="AC306" s="27" cm="1">
        <f t="array" aca="1" ref="AC306" ca="1">OFFSET(
   INDIRECT("'" &amp; AB306 &amp; "'!A4"),
   MATCH(B306, INDIRECT("'" &amp; AB306 &amp; "'!C5:C1000"), 0),
   MATCH("合計", INDIRECT("'" &amp; AB306 &amp; "'!4:4"), 0) - 1
)</f>
        <v>125</v>
      </c>
    </row>
    <row r="307" spans="1:29">
      <c r="A307" s="40">
        <f>元データ!P304</f>
        <v>242</v>
      </c>
      <c r="B307" s="27">
        <f t="shared" si="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IF(AA307="非採用",0,IF(OFFSET(マスタ非採用削除!E$4,統合マスタ!$A307,0)="","",OFFSET(マスタ非採用削除!E$4,統合マスタ!$A307,0)))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  <c r="AB307" s="27" t="str">
        <f ca="1">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</f>
        <v>無し</v>
      </c>
      <c r="AC307" s="27" t="e" cm="1">
        <f t="array" aca="1" ref="AC307" ca="1">OFFSET(
   INDIRECT("'" &amp; AB307 &amp; "'!A4"),
   MATCH(B307, INDIRECT("'" &amp; AB307 &amp; "'!C5:C1000"), 0),
   MATCH("合計", INDIRECT("'" &amp; AB307 &amp; "'!4:4"), 0) - 1
)</f>
        <v>#REF!</v>
      </c>
    </row>
    <row r="308" spans="1:29">
      <c r="A308" s="40">
        <f>元データ!P305</f>
        <v>243</v>
      </c>
      <c r="B308" s="27">
        <f t="shared" si="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IF(AA308="非採用",0,IF(OFFSET(マスタ非採用削除!E$4,統合マスタ!$A308,0)="","",OFFSET(マスタ非採用削除!E$4,統合マスタ!$A308,0)))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  <c r="AB308" s="27" t="str">
        <f ca="1">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</f>
        <v>注射</v>
      </c>
      <c r="AC308" s="27" cm="1">
        <f t="array" aca="1" ref="AC308" ca="1">OFFSET(
   INDIRECT("'" &amp; AB308 &amp; "'!A4"),
   MATCH(B308, INDIRECT("'" &amp; AB308 &amp; "'!C5:C1000"), 0),
   MATCH("合計", INDIRECT("'" &amp; AB308 &amp; "'!4:4"), 0) - 1
)</f>
        <v>0</v>
      </c>
    </row>
    <row r="309" spans="1:29">
      <c r="A309" s="40">
        <f>元データ!P306</f>
        <v>244</v>
      </c>
      <c r="B309" s="27">
        <f t="shared" si="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IF(AA309="非採用",0,IF(OFFSET(マスタ非採用削除!E$4,統合マスタ!$A309,0)="","",OFFSET(マスタ非採用削除!E$4,統合マスタ!$A309,0)))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  <c r="AB309" s="27" t="str">
        <f ca="1">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</f>
        <v>無し</v>
      </c>
      <c r="AC309" s="27" t="e" cm="1">
        <f t="array" aca="1" ref="AC309" ca="1">OFFSET(
   INDIRECT("'" &amp; AB309 &amp; "'!A4"),
   MATCH(B309, INDIRECT("'" &amp; AB309 &amp; "'!C5:C1000"), 0),
   MATCH("合計", INDIRECT("'" &amp; AB309 &amp; "'!4:4"), 0) - 1
)</f>
        <v>#REF!</v>
      </c>
    </row>
    <row r="310" spans="1:29">
      <c r="A310" s="40">
        <f>元データ!P307</f>
        <v>245</v>
      </c>
      <c r="B310" s="27">
        <f t="shared" si="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IF(AA310="非採用",0,IF(OFFSET(マスタ非採用削除!E$4,統合マスタ!$A310,0)="","",OFFSET(マスタ非採用削除!E$4,統合マスタ!$A310,0)))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/>
      <c r="AB310" s="27" t="str">
        <f ca="1">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</f>
        <v>錠剤</v>
      </c>
      <c r="AC310" s="27" cm="1">
        <f t="array" aca="1" ref="AC310" ca="1">OFFSET(
   INDIRECT("'" &amp; AB310 &amp; "'!A4"),
   MATCH(B310, INDIRECT("'" &amp; AB310 &amp; "'!C5:C1000"), 0),
   MATCH("合計", INDIRECT("'" &amp; AB310 &amp; "'!4:4"), 0) - 1
)</f>
        <v>126</v>
      </c>
    </row>
    <row r="311" spans="1:29">
      <c r="A311" s="40">
        <f>元データ!P308</f>
        <v>245</v>
      </c>
      <c r="B311" s="27">
        <f t="shared" si="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IF(AA311="非採用",0,IF(OFFSET(マスタ非採用削除!E$4,統合マスタ!$A311,0)="","",OFFSET(マスタ非採用削除!E$4,統合マスタ!$A311,0)))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/>
      <c r="AB311" s="27" t="str">
        <f ca="1">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</f>
        <v>錠剤</v>
      </c>
      <c r="AC311" s="27" cm="1">
        <f t="array" aca="1" ref="AC311" ca="1">OFFSET(
   INDIRECT("'" &amp; AB311 &amp; "'!A4"),
   MATCH(B311, INDIRECT("'" &amp; AB311 &amp; "'!C5:C1000"), 0),
   MATCH("合計", INDIRECT("'" &amp; AB311 &amp; "'!4:4"), 0) - 1
)</f>
        <v>127</v>
      </c>
    </row>
    <row r="312" spans="1:29">
      <c r="A312" s="40">
        <f>元データ!P309</f>
        <v>246</v>
      </c>
      <c r="B312" s="27">
        <f t="shared" si="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IF(AA312="非採用",0,IF(OFFSET(マスタ非採用削除!E$4,統合マスタ!$A312,0)="","",OFFSET(マスタ非採用削除!E$4,統合マスタ!$A312,0)))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  <c r="AB312" s="27" t="str">
        <f ca="1">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</f>
        <v>散剤</v>
      </c>
      <c r="AC312" s="27" cm="1">
        <f t="array" aca="1" ref="AC312" ca="1">OFFSET(
   INDIRECT("'" &amp; AB312 &amp; "'!A4"),
   MATCH(B312, INDIRECT("'" &amp; AB312 &amp; "'!C5:C1000"), 0),
   MATCH("合計", INDIRECT("'" &amp; AB312 &amp; "'!4:4"), 0) - 1
)</f>
        <v>9500</v>
      </c>
    </row>
    <row r="313" spans="1:29">
      <c r="A313" s="40">
        <f>元データ!P310</f>
        <v>247</v>
      </c>
      <c r="B313" s="27">
        <f t="shared" si="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IF(AA313="非採用",0,IF(OFFSET(マスタ非採用削除!E$4,統合マスタ!$A313,0)="","",OFFSET(マスタ非採用削除!E$4,統合マスタ!$A313,0)))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  <c r="AB313" s="27" t="str">
        <f ca="1">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</f>
        <v>注射</v>
      </c>
      <c r="AC313" s="27" cm="1">
        <f t="array" aca="1" ref="AC313" ca="1">OFFSET(
   INDIRECT("'" &amp; AB313 &amp; "'!A4"),
   MATCH(B313, INDIRECT("'" &amp; AB313 &amp; "'!C5:C1000"), 0),
   MATCH("合計", INDIRECT("'" &amp; AB313 &amp; "'!4:4"), 0) - 1
)</f>
        <v>0</v>
      </c>
    </row>
    <row r="314" spans="1:29">
      <c r="A314" s="40">
        <f>元データ!P311</f>
        <v>248</v>
      </c>
      <c r="B314" s="27">
        <f t="shared" si="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IF(AA314="非採用",0,IF(OFFSET(マスタ非採用削除!E$4,統合マスタ!$A314,0)="","",OFFSET(マスタ非採用削除!E$4,統合マスタ!$A314,0)))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  <c r="AB314" s="27" t="str">
        <f ca="1">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</f>
        <v>臨時</v>
      </c>
      <c r="AC314" s="27" cm="1">
        <f t="array" aca="1" ref="AC314" ca="1">OFFSET(
   INDIRECT("'" &amp; AB314 &amp; "'!A4"),
   MATCH(B314, INDIRECT("'" &amp; AB314 &amp; "'!C5:C1000"), 0),
   MATCH("合計", INDIRECT("'" &amp; AB314 &amp; "'!4:4"), 0) - 1
)</f>
        <v>0</v>
      </c>
    </row>
    <row r="315" spans="1:29">
      <c r="A315" s="40">
        <f>元データ!P312</f>
        <v>250</v>
      </c>
      <c r="B315" s="27">
        <f t="shared" si="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IF(AA315="非採用",0,IF(OFFSET(マスタ非採用削除!E$4,統合マスタ!$A315,0)="","",OFFSET(マスタ非採用削除!E$4,統合マスタ!$A315,0)))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/>
      <c r="AB315" s="27" t="str">
        <f ca="1">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</f>
        <v>錠剤</v>
      </c>
      <c r="AC315" s="27" cm="1">
        <f t="array" aca="1" ref="AC315" ca="1">OFFSET(
   INDIRECT("'" &amp; AB315 &amp; "'!A4"),
   MATCH(B315, INDIRECT("'" &amp; AB315 &amp; "'!C5:C1000"), 0),
   MATCH("合計", INDIRECT("'" &amp; AB315 &amp; "'!4:4"), 0) - 1
)</f>
        <v>128</v>
      </c>
    </row>
    <row r="316" spans="1:29">
      <c r="A316" s="40">
        <f>元データ!P313</f>
        <v>249</v>
      </c>
      <c r="B316" s="27">
        <f t="shared" si="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IF(AA316="非採用",0,IF(OFFSET(マスタ非採用削除!E$4,統合マスタ!$A316,0)="","",OFFSET(マスタ非採用削除!E$4,統合マスタ!$A316,0)))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/>
      <c r="AB316" s="27" t="str">
        <f ca="1">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</f>
        <v>錠剤</v>
      </c>
      <c r="AC316" s="27" cm="1">
        <f t="array" aca="1" ref="AC316" ca="1">OFFSET(
   INDIRECT("'" &amp; AB316 &amp; "'!A4"),
   MATCH(B316, INDIRECT("'" &amp; AB316 &amp; "'!C5:C1000"), 0),
   MATCH("合計", INDIRECT("'" &amp; AB316 &amp; "'!4:4"), 0) - 1
)</f>
        <v>129</v>
      </c>
    </row>
    <row r="317" spans="1:29">
      <c r="A317" s="40">
        <f>元データ!P314</f>
        <v>251</v>
      </c>
      <c r="B317" s="27">
        <f t="shared" si="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IF(AA317="非採用",0,IF(OFFSET(マスタ非採用削除!E$4,統合マスタ!$A317,0)="","",OFFSET(マスタ非採用削除!E$4,統合マスタ!$A317,0)))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/>
      <c r="AB317" s="27" t="str">
        <f ca="1">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</f>
        <v>錠剤</v>
      </c>
      <c r="AC317" s="27" cm="1">
        <f t="array" aca="1" ref="AC317" ca="1">OFFSET(
   INDIRECT("'" &amp; AB317 &amp; "'!A4"),
   MATCH(B317, INDIRECT("'" &amp; AB317 &amp; "'!C5:C1000"), 0),
   MATCH("合計", INDIRECT("'" &amp; AB317 &amp; "'!4:4"), 0) - 1
)</f>
        <v>130</v>
      </c>
    </row>
    <row r="318" spans="1:29">
      <c r="A318" s="40">
        <f>元データ!P315</f>
        <v>251</v>
      </c>
      <c r="B318" s="27">
        <f t="shared" si="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IF(AA318="非採用",0,IF(OFFSET(マスタ非採用削除!E$4,統合マスタ!$A318,0)="","",OFFSET(マスタ非採用削除!E$4,統合マスタ!$A318,0)))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/>
      <c r="AB318" s="27" t="str">
        <f ca="1">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</f>
        <v>錠剤</v>
      </c>
      <c r="AC318" s="27" cm="1">
        <f t="array" aca="1" ref="AC318" ca="1">OFFSET(
   INDIRECT("'" &amp; AB318 &amp; "'!A4"),
   MATCH(B318, INDIRECT("'" &amp; AB318 &amp; "'!C5:C1000"), 0),
   MATCH("合計", INDIRECT("'" &amp; AB318 &amp; "'!4:4"), 0) - 1
)</f>
        <v>131</v>
      </c>
    </row>
    <row r="319" spans="1:29">
      <c r="A319" s="40">
        <f>元データ!P316</f>
        <v>252</v>
      </c>
      <c r="B319" s="27">
        <f t="shared" si="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IF(AA319="非採用",0,IF(OFFSET(マスタ非採用削除!E$4,統合マスタ!$A319,0)="","",OFFSET(マスタ非採用削除!E$4,統合マスタ!$A319,0)))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  <c r="AB319" s="27" t="str">
        <f ca="1">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</f>
        <v>錠剤</v>
      </c>
      <c r="AC319" s="27" cm="1">
        <f t="array" aca="1" ref="AC319" ca="1">OFFSET(
   INDIRECT("'" &amp; AB319 &amp; "'!A4"),
   MATCH(B319, INDIRECT("'" &amp; AB319 &amp; "'!C5:C1000"), 0),
   MATCH("合計", INDIRECT("'" &amp; AB319 &amp; "'!4:4"), 0) - 1
)</f>
        <v>132</v>
      </c>
    </row>
    <row r="320" spans="1:29">
      <c r="A320" s="40">
        <f>元データ!P317</f>
        <v>253</v>
      </c>
      <c r="B320" s="27">
        <f t="shared" si="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IF(AA320="非採用",0,IF(OFFSET(マスタ非採用削除!E$4,統合マスタ!$A320,0)="","",OFFSET(マスタ非採用削除!E$4,統合マスタ!$A320,0)))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  <c r="AB320" s="27" t="str">
        <f ca="1">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</f>
        <v>錠剤</v>
      </c>
      <c r="AC320" s="27" cm="1">
        <f t="array" aca="1" ref="AC320" ca="1">OFFSET(
   INDIRECT("'" &amp; AB320 &amp; "'!A4"),
   MATCH(B320, INDIRECT("'" &amp; AB320 &amp; "'!C5:C1000"), 0),
   MATCH("合計", INDIRECT("'" &amp; AB320 &amp; "'!4:4"), 0) - 1
)</f>
        <v>133</v>
      </c>
    </row>
    <row r="321" spans="1:29">
      <c r="A321" s="40">
        <f>元データ!P318</f>
        <v>253</v>
      </c>
      <c r="B321" s="27">
        <f t="shared" si="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IF(AA321="非採用",0,IF(OFFSET(マスタ非採用削除!E$4,統合マスタ!$A321,0)="","",OFFSET(マスタ非採用削除!E$4,統合マスタ!$A321,0)))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  <c r="AB321" s="27" t="str">
        <f ca="1">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</f>
        <v>錠剤</v>
      </c>
      <c r="AC321" s="27" cm="1">
        <f t="array" aca="1" ref="AC321" ca="1">OFFSET(
   INDIRECT("'" &amp; AB321 &amp; "'!A4"),
   MATCH(B321, INDIRECT("'" &amp; AB321 &amp; "'!C5:C1000"), 0),
   MATCH("合計", INDIRECT("'" &amp; AB321 &amp; "'!4:4"), 0) - 1
)</f>
        <v>134</v>
      </c>
    </row>
    <row r="322" spans="1:29">
      <c r="A322" s="40">
        <f>元データ!P319</f>
        <v>254</v>
      </c>
      <c r="B322" s="27">
        <f t="shared" si="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IF(AA322="非採用",0,IF(OFFSET(マスタ非採用削除!E$4,統合マスタ!$A322,0)="","",OFFSET(マスタ非採用削除!E$4,統合マスタ!$A322,0)))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  <c r="AB322" s="27" t="str">
        <f ca="1">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</f>
        <v>錠剤</v>
      </c>
      <c r="AC322" s="27" cm="1">
        <f t="array" aca="1" ref="AC322" ca="1">OFFSET(
   INDIRECT("'" &amp; AB322 &amp; "'!A4"),
   MATCH(B322, INDIRECT("'" &amp; AB322 &amp; "'!C5:C1000"), 0),
   MATCH("合計", INDIRECT("'" &amp; AB322 &amp; "'!4:4"), 0) - 1
)</f>
        <v>135</v>
      </c>
    </row>
    <row r="323" spans="1:29">
      <c r="A323" s="40">
        <f>元データ!P320</f>
        <v>254</v>
      </c>
      <c r="B323" s="27">
        <f t="shared" si="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IF(AA323="非採用",0,IF(OFFSET(マスタ非採用削除!E$4,統合マスタ!$A323,0)="","",OFFSET(マスタ非採用削除!E$4,統合マスタ!$A323,0)))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  <c r="AB323" s="27" t="str">
        <f ca="1">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</f>
        <v>錠剤</v>
      </c>
      <c r="AC323" s="27" cm="1">
        <f t="array" aca="1" ref="AC323" ca="1">OFFSET(
   INDIRECT("'" &amp; AB323 &amp; "'!A4"),
   MATCH(B323, INDIRECT("'" &amp; AB323 &amp; "'!C5:C1000"), 0),
   MATCH("合計", INDIRECT("'" &amp; AB323 &amp; "'!4:4"), 0) - 1
)</f>
        <v>136</v>
      </c>
    </row>
    <row r="324" spans="1:29">
      <c r="A324" s="40">
        <f>元データ!P321</f>
        <v>255</v>
      </c>
      <c r="B324" s="27">
        <f t="shared" si="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IF(AA324="非採用",0,IF(OFFSET(マスタ非採用削除!E$4,統合マスタ!$A324,0)="","",OFFSET(マスタ非採用削除!E$4,統合マスタ!$A324,0)))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  <c r="AB324" s="27" t="str">
        <f ca="1">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</f>
        <v>錠剤</v>
      </c>
      <c r="AC324" s="27" cm="1">
        <f t="array" aca="1" ref="AC324" ca="1">OFFSET(
   INDIRECT("'" &amp; AB324 &amp; "'!A4"),
   MATCH(B324, INDIRECT("'" &amp; AB324 &amp; "'!C5:C1000"), 0),
   MATCH("合計", INDIRECT("'" &amp; AB324 &amp; "'!4:4"), 0) - 1
)</f>
        <v>137</v>
      </c>
    </row>
    <row r="325" spans="1:29">
      <c r="A325" s="40">
        <f>元データ!P322</f>
        <v>255</v>
      </c>
      <c r="B325" s="27">
        <f t="shared" si="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IF(AA325="非採用",0,IF(OFFSET(マスタ非採用削除!E$4,統合マスタ!$A325,0)="","",OFFSET(マスタ非採用削除!E$4,統合マスタ!$A325,0)))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  <c r="AB325" s="27" t="str">
        <f ca="1">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</f>
        <v>錠剤</v>
      </c>
      <c r="AC325" s="27" cm="1">
        <f t="array" aca="1" ref="AC325" ca="1">OFFSET(
   INDIRECT("'" &amp; AB325 &amp; "'!A4"),
   MATCH(B325, INDIRECT("'" &amp; AB325 &amp; "'!C5:C1000"), 0),
   MATCH("合計", INDIRECT("'" &amp; AB325 &amp; "'!4:4"), 0) - 1
)</f>
        <v>138</v>
      </c>
    </row>
    <row r="326" spans="1:29">
      <c r="A326" s="40">
        <f>元データ!P323</f>
        <v>256</v>
      </c>
      <c r="B326" s="27">
        <f t="shared" si="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IF(AA326="非採用",0,IF(OFFSET(マスタ非採用削除!E$4,統合マスタ!$A326,0)="","",OFFSET(マスタ非採用削除!E$4,統合マスタ!$A326,0)))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  <c r="AB326" s="27" t="str">
        <f ca="1">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</f>
        <v>臨時</v>
      </c>
      <c r="AC326" s="27" cm="1">
        <f t="array" aca="1" ref="AC326" ca="1">OFFSET(
   INDIRECT("'" &amp; AB326 &amp; "'!A4"),
   MATCH(B326, INDIRECT("'" &amp; AB326 &amp; "'!C5:C1000"), 0),
   MATCH("合計", INDIRECT("'" &amp; AB326 &amp; "'!4:4"), 0) - 1
)</f>
        <v>0</v>
      </c>
    </row>
    <row r="327" spans="1:29">
      <c r="A327" s="40">
        <f>元データ!P324</f>
        <v>258</v>
      </c>
      <c r="B327" s="27">
        <f t="shared" ref="B327:B390" si="5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IF(AA327="非採用",0,IF(OFFSET(マスタ非採用削除!E$4,統合マスタ!$A327,0)="","",OFFSET(マスタ非採用削除!E$4,統合マスタ!$A327,0)))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  <c r="AB327" s="27" t="str">
        <f ca="1">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</f>
        <v>注射</v>
      </c>
      <c r="AC327" s="27" cm="1">
        <f t="array" aca="1" ref="AC327" ca="1">OFFSET(
   INDIRECT("'" &amp; AB327 &amp; "'!A4"),
   MATCH(B327, INDIRECT("'" &amp; AB327 &amp; "'!C5:C1000"), 0),
   MATCH("合計", INDIRECT("'" &amp; AB327 &amp; "'!4:4"), 0) - 1
)</f>
        <v>0</v>
      </c>
    </row>
    <row r="328" spans="1:29">
      <c r="A328" s="40">
        <f>元データ!P325</f>
        <v>257</v>
      </c>
      <c r="B328" s="27">
        <f t="shared" si="5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IF(AA328="非採用",0,IF(OFFSET(マスタ非採用削除!E$4,統合マスタ!$A328,0)="","",OFFSET(マスタ非採用削除!E$4,統合マスタ!$A328,0)))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  <c r="AB328" s="27" t="str">
        <f ca="1">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</f>
        <v>注射</v>
      </c>
      <c r="AC328" s="27" cm="1">
        <f t="array" aca="1" ref="AC328" ca="1">OFFSET(
   INDIRECT("'" &amp; AB328 &amp; "'!A4"),
   MATCH(B328, INDIRECT("'" &amp; AB328 &amp; "'!C5:C1000"), 0),
   MATCH("合計", INDIRECT("'" &amp; AB328 &amp; "'!4:4"), 0) - 1
)</f>
        <v>0</v>
      </c>
    </row>
    <row r="329" spans="1:29">
      <c r="A329" s="40">
        <f>元データ!P326</f>
        <v>268</v>
      </c>
      <c r="B329" s="27">
        <f t="shared" si="5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IF(AA329="非採用",0,IF(OFFSET(マスタ非採用削除!E$4,統合マスタ!$A329,0)="","",OFFSET(マスタ非採用削除!E$4,統合マスタ!$A329,0)))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  <c r="AB329" s="27" t="str">
        <f ca="1">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</f>
        <v>臨時</v>
      </c>
      <c r="AC329" s="27" cm="1">
        <f t="array" aca="1" ref="AC329" ca="1">OFFSET(
   INDIRECT("'" &amp; AB329 &amp; "'!A4"),
   MATCH(B329, INDIRECT("'" &amp; AB329 &amp; "'!C5:C1000"), 0),
   MATCH("合計", INDIRECT("'" &amp; AB329 &amp; "'!4:4"), 0) - 1
)</f>
        <v>0</v>
      </c>
    </row>
    <row r="330" spans="1:29">
      <c r="A330" s="40">
        <f>元データ!P327</f>
        <v>259</v>
      </c>
      <c r="B330" s="27">
        <f t="shared" si="5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IF(AA330="非採用",0,IF(OFFSET(マスタ非採用削除!E$4,統合マスタ!$A330,0)="","",OFFSET(マスタ非採用削除!E$4,統合マスタ!$A330,0)))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  <c r="AB330" s="27" t="str">
        <f ca="1">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</f>
        <v>無し</v>
      </c>
      <c r="AC330" s="27" t="e" cm="1">
        <f t="array" aca="1" ref="AC330" ca="1">OFFSET(
   INDIRECT("'" &amp; AB330 &amp; "'!A4"),
   MATCH(B330, INDIRECT("'" &amp; AB330 &amp; "'!C5:C1000"), 0),
   MATCH("合計", INDIRECT("'" &amp; AB330 &amp; "'!4:4"), 0) - 1
)</f>
        <v>#REF!</v>
      </c>
    </row>
    <row r="331" spans="1:29">
      <c r="A331" s="40">
        <f>元データ!P328</f>
        <v>260</v>
      </c>
      <c r="B331" s="27">
        <f t="shared" si="5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IF(AA331="非採用",0,IF(OFFSET(マスタ非採用削除!E$4,統合マスタ!$A331,0)="","",OFFSET(マスタ非採用削除!E$4,統合マスタ!$A331,0)))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  <c r="AB331" s="27" t="str">
        <f ca="1">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</f>
        <v>注射</v>
      </c>
      <c r="AC331" s="27" cm="1">
        <f t="array" aca="1" ref="AC331" ca="1">OFFSET(
   INDIRECT("'" &amp; AB331 &amp; "'!A4"),
   MATCH(B331, INDIRECT("'" &amp; AB331 &amp; "'!C5:C1000"), 0),
   MATCH("合計", INDIRECT("'" &amp; AB331 &amp; "'!4:4"), 0) - 1
)</f>
        <v>0</v>
      </c>
    </row>
    <row r="332" spans="1:29">
      <c r="A332" s="40">
        <f>元データ!P329</f>
        <v>261</v>
      </c>
      <c r="B332" s="27">
        <f t="shared" si="5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IF(AA332="非採用",0,IF(OFFSET(マスタ非採用削除!E$4,統合マスタ!$A332,0)="","",OFFSET(マスタ非採用削除!E$4,統合マスタ!$A332,0)))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  <c r="AB332" s="27" t="str">
        <f ca="1">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</f>
        <v>臨時</v>
      </c>
      <c r="AC332" s="27" cm="1">
        <f t="array" aca="1" ref="AC332" ca="1">OFFSET(
   INDIRECT("'" &amp; AB332 &amp; "'!A4"),
   MATCH(B332, INDIRECT("'" &amp; AB332 &amp; "'!C5:C1000"), 0),
   MATCH("合計", INDIRECT("'" &amp; AB332 &amp; "'!4:4"), 0) - 1
)</f>
        <v>0</v>
      </c>
    </row>
    <row r="333" spans="1:29">
      <c r="A333" s="40">
        <f>元データ!P330</f>
        <v>262</v>
      </c>
      <c r="B333" s="27">
        <f t="shared" si="5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IF(AA333="非採用",0,IF(OFFSET(マスタ非採用削除!E$4,統合マスタ!$A333,0)="","",OFFSET(マスタ非採用削除!E$4,統合マスタ!$A333,0)))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  <c r="AB333" s="27" t="str">
        <f ca="1">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</f>
        <v>臨時</v>
      </c>
      <c r="AC333" s="27" cm="1">
        <f t="array" aca="1" ref="AC333" ca="1">OFFSET(
   INDIRECT("'" &amp; AB333 &amp; "'!A4"),
   MATCH(B333, INDIRECT("'" &amp; AB333 &amp; "'!C5:C1000"), 0),
   MATCH("合計", INDIRECT("'" &amp; AB333 &amp; "'!4:4"), 0) - 1
)</f>
        <v>0</v>
      </c>
    </row>
    <row r="334" spans="1:29">
      <c r="A334" s="40">
        <f>元データ!P331</f>
        <v>263</v>
      </c>
      <c r="B334" s="27">
        <f t="shared" si="5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IF(AA334="非採用",0,IF(OFFSET(マスタ非採用削除!E$4,統合マスタ!$A334,0)="","",OFFSET(マスタ非採用削除!E$4,統合マスタ!$A334,0)))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/>
      <c r="AB334" s="27" t="str">
        <f ca="1">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</f>
        <v>錠剤</v>
      </c>
      <c r="AC334" s="27" cm="1">
        <f t="array" aca="1" ref="AC334" ca="1">OFFSET(
   INDIRECT("'" &amp; AB334 &amp; "'!A4"),
   MATCH(B334, INDIRECT("'" &amp; AB334 &amp; "'!C5:C1000"), 0),
   MATCH("合計", INDIRECT("'" &amp; AB334 &amp; "'!4:4"), 0) - 1
)</f>
        <v>139</v>
      </c>
    </row>
    <row r="335" spans="1:29">
      <c r="A335" s="40">
        <f>元データ!P332</f>
        <v>263</v>
      </c>
      <c r="B335" s="27">
        <f t="shared" si="5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IF(AA335="非採用",0,IF(OFFSET(マスタ非採用削除!E$4,統合マスタ!$A335,0)="","",OFFSET(マスタ非採用削除!E$4,統合マスタ!$A335,0)))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/>
      <c r="AB335" s="27" t="str">
        <f ca="1">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</f>
        <v>錠剤</v>
      </c>
      <c r="AC335" s="27" cm="1">
        <f t="array" aca="1" ref="AC335" ca="1">OFFSET(
   INDIRECT("'" &amp; AB335 &amp; "'!A4"),
   MATCH(B335, INDIRECT("'" &amp; AB335 &amp; "'!C5:C1000"), 0),
   MATCH("合計", INDIRECT("'" &amp; AB335 &amp; "'!4:4"), 0) - 1
)</f>
        <v>140</v>
      </c>
    </row>
    <row r="336" spans="1:29">
      <c r="A336" s="40">
        <f>元データ!P333</f>
        <v>264</v>
      </c>
      <c r="B336" s="27">
        <f t="shared" si="5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IF(AA336="非採用",0,IF(OFFSET(マスタ非採用削除!E$4,統合マスタ!$A336,0)="","",OFFSET(マスタ非採用削除!E$4,統合マスタ!$A336,0)))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/>
      <c r="AB336" s="27" t="str">
        <f ca="1">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</f>
        <v>錠剤</v>
      </c>
      <c r="AC336" s="27" cm="1">
        <f t="array" aca="1" ref="AC336" ca="1">OFFSET(
   INDIRECT("'" &amp; AB336 &amp; "'!A4"),
   MATCH(B336, INDIRECT("'" &amp; AB336 &amp; "'!C5:C1000"), 0),
   MATCH("合計", INDIRECT("'" &amp; AB336 &amp; "'!4:4"), 0) - 1
)</f>
        <v>141</v>
      </c>
    </row>
    <row r="337" spans="1:29">
      <c r="A337" s="40">
        <f>元データ!P334</f>
        <v>265</v>
      </c>
      <c r="B337" s="27">
        <f t="shared" si="5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IF(AA337="非採用",0,IF(OFFSET(マスタ非採用削除!E$4,統合マスタ!$A337,0)="","",OFFSET(マスタ非採用削除!E$4,統合マスタ!$A337,0)))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  <c r="AB337" s="27" t="str">
        <f ca="1">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</f>
        <v>注射</v>
      </c>
      <c r="AC337" s="27" cm="1">
        <f t="array" aca="1" ref="AC337" ca="1">OFFSET(
   INDIRECT("'" &amp; AB337 &amp; "'!A4"),
   MATCH(B337, INDIRECT("'" &amp; AB337 &amp; "'!C5:C1000"), 0),
   MATCH("合計", INDIRECT("'" &amp; AB337 &amp; "'!4:4"), 0) - 1
)</f>
        <v>0</v>
      </c>
    </row>
    <row r="338" spans="1:29">
      <c r="A338" s="40">
        <f>元データ!P335</f>
        <v>266</v>
      </c>
      <c r="B338" s="27">
        <f t="shared" si="5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IF(AA338="非採用",0,IF(OFFSET(マスタ非採用削除!E$4,統合マスタ!$A338,0)="","",OFFSET(マスタ非採用削除!E$4,統合マスタ!$A338,0)))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  <c r="AB338" s="27" t="str">
        <f ca="1">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</f>
        <v>臨時</v>
      </c>
      <c r="AC338" s="27" cm="1">
        <f t="array" aca="1" ref="AC338" ca="1">OFFSET(
   INDIRECT("'" &amp; AB338 &amp; "'!A4"),
   MATCH(B338, INDIRECT("'" &amp; AB338 &amp; "'!C5:C1000"), 0),
   MATCH("合計", INDIRECT("'" &amp; AB338 &amp; "'!4:4"), 0) - 1
)</f>
        <v>0</v>
      </c>
    </row>
    <row r="339" spans="1:29">
      <c r="A339" s="40">
        <f>元データ!P336</f>
        <v>269</v>
      </c>
      <c r="B339" s="27">
        <f t="shared" si="5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IF(AA339="非採用",0,IF(OFFSET(マスタ非採用削除!E$4,統合マスタ!$A339,0)="","",OFFSET(マスタ非採用削除!E$4,統合マスタ!$A339,0)))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/>
      <c r="AB339" s="27" t="str">
        <f ca="1">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</f>
        <v>錠剤</v>
      </c>
      <c r="AC339" s="27" cm="1">
        <f t="array" aca="1" ref="AC339" ca="1">OFFSET(
   INDIRECT("'" &amp; AB339 &amp; "'!A4"),
   MATCH(B339, INDIRECT("'" &amp; AB339 &amp; "'!C5:C1000"), 0),
   MATCH("合計", INDIRECT("'" &amp; AB339 &amp; "'!4:4"), 0) - 1
)</f>
        <v>142</v>
      </c>
    </row>
    <row r="340" spans="1:29">
      <c r="A340" s="40">
        <f>元データ!P337</f>
        <v>269</v>
      </c>
      <c r="B340" s="27">
        <f t="shared" si="5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IF(AA340="非採用",0,IF(OFFSET(マスタ非採用削除!E$4,統合マスタ!$A340,0)="","",OFFSET(マスタ非採用削除!E$4,統合マスタ!$A340,0)))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/>
      <c r="AB340" s="27" t="str">
        <f ca="1">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</f>
        <v>錠剤</v>
      </c>
      <c r="AC340" s="27" cm="1">
        <f t="array" aca="1" ref="AC340" ca="1">OFFSET(
   INDIRECT("'" &amp; AB340 &amp; "'!A4"),
   MATCH(B340, INDIRECT("'" &amp; AB340 &amp; "'!C5:C1000"), 0),
   MATCH("合計", INDIRECT("'" &amp; AB340 &amp; "'!4:4"), 0) - 1
)</f>
        <v>143</v>
      </c>
    </row>
    <row r="341" spans="1:29">
      <c r="A341" s="40">
        <f>元データ!P338</f>
        <v>270</v>
      </c>
      <c r="B341" s="27">
        <f t="shared" si="5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IF(AA341="非採用",0,IF(OFFSET(マスタ非採用削除!E$4,統合マスタ!$A341,0)="","",OFFSET(マスタ非採用削除!E$4,統合マスタ!$A341,0)))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  <c r="AB341" s="27" t="str">
        <f ca="1">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</f>
        <v>臨時</v>
      </c>
      <c r="AC341" s="27" cm="1">
        <f t="array" aca="1" ref="AC341" ca="1">OFFSET(
   INDIRECT("'" &amp; AB341 &amp; "'!A4"),
   MATCH(B341, INDIRECT("'" &amp; AB341 &amp; "'!C5:C1000"), 0),
   MATCH("合計", INDIRECT("'" &amp; AB341 &amp; "'!4:4"), 0) - 1
)</f>
        <v>0</v>
      </c>
    </row>
    <row r="342" spans="1:29">
      <c r="A342" s="40">
        <f>元データ!P339</f>
        <v>271</v>
      </c>
      <c r="B342" s="27">
        <f t="shared" si="5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IF(AA342="非採用",0,IF(OFFSET(マスタ非採用削除!E$4,統合マスタ!$A342,0)="","",OFFSET(マスタ非採用削除!E$4,統合マスタ!$A342,0)))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  <c r="AB342" s="27" t="str">
        <f ca="1">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</f>
        <v>臨時</v>
      </c>
      <c r="AC342" s="27" cm="1">
        <f t="array" aca="1" ref="AC342" ca="1">OFFSET(
   INDIRECT("'" &amp; AB342 &amp; "'!A4"),
   MATCH(B342, INDIRECT("'" &amp; AB342 &amp; "'!C5:C1000"), 0),
   MATCH("合計", INDIRECT("'" &amp; AB342 &amp; "'!4:4"), 0) - 1
)</f>
        <v>0</v>
      </c>
    </row>
    <row r="343" spans="1:29">
      <c r="A343" s="40">
        <f>元データ!P340</f>
        <v>272</v>
      </c>
      <c r="B343" s="27">
        <f t="shared" si="5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IF(AA343="非採用",0,IF(OFFSET(マスタ非採用削除!E$4,統合マスタ!$A343,0)="","",OFFSET(マスタ非採用削除!E$4,統合マスタ!$A343,0)))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  <c r="AB343" s="27" t="str">
        <f ca="1">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</f>
        <v>外用剤</v>
      </c>
      <c r="AC343" s="27" t="e" cm="1">
        <f t="array" aca="1" ref="AC343" ca="1">OFFSET(
   INDIRECT("'" &amp; AB343 &amp; "'!A4"),
   MATCH(B343, INDIRECT("'" &amp; AB343 &amp; "'!C5:C1000"), 0),
   MATCH("合計", INDIRECT("'" &amp; AB343 &amp; "'!4:4"), 0) - 1
)</f>
        <v>#REF!</v>
      </c>
    </row>
    <row r="344" spans="1:29">
      <c r="A344" s="40">
        <f>元データ!P341</f>
        <v>273</v>
      </c>
      <c r="B344" s="27">
        <f t="shared" si="5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IF(AA344="非採用",0,IF(OFFSET(マスタ非採用削除!E$4,統合マスタ!$A344,0)="","",OFFSET(マスタ非採用削除!E$4,統合マスタ!$A344,0)))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  <c r="AB344" s="27" t="str">
        <f ca="1">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</f>
        <v>無し</v>
      </c>
      <c r="AC344" s="27" t="e" cm="1">
        <f t="array" aca="1" ref="AC344" ca="1">OFFSET(
   INDIRECT("'" &amp; AB344 &amp; "'!A4"),
   MATCH(B344, INDIRECT("'" &amp; AB344 &amp; "'!C5:C1000"), 0),
   MATCH("合計", INDIRECT("'" &amp; AB344 &amp; "'!4:4"), 0) - 1
)</f>
        <v>#REF!</v>
      </c>
    </row>
    <row r="345" spans="1:29">
      <c r="A345" s="40">
        <f>元データ!P342</f>
        <v>274</v>
      </c>
      <c r="B345" s="27">
        <f t="shared" si="5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IF(AA345="非採用",0,IF(OFFSET(マスタ非採用削除!E$4,統合マスタ!$A345,0)="","",OFFSET(マスタ非採用削除!E$4,統合マスタ!$A345,0)))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  <c r="AB345" s="27" t="str">
        <f ca="1">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</f>
        <v>臨時</v>
      </c>
      <c r="AC345" s="27" cm="1">
        <f t="array" aca="1" ref="AC345" ca="1">OFFSET(
   INDIRECT("'" &amp; AB345 &amp; "'!A4"),
   MATCH(B345, INDIRECT("'" &amp; AB345 &amp; "'!C5:C1000"), 0),
   MATCH("合計", INDIRECT("'" &amp; AB345 &amp; "'!4:4"), 0) - 1
)</f>
        <v>0</v>
      </c>
    </row>
    <row r="346" spans="1:29">
      <c r="A346" s="40">
        <f>元データ!P343</f>
        <v>275</v>
      </c>
      <c r="B346" s="27">
        <f t="shared" si="5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IF(AA346="非採用",0,IF(OFFSET(マスタ非採用削除!E$4,統合マスタ!$A346,0)="","",OFFSET(マスタ非採用削除!E$4,統合マスタ!$A346,0)))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  <c r="AB346" s="27" t="str">
        <f ca="1">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</f>
        <v>臨時</v>
      </c>
      <c r="AC346" s="27" cm="1">
        <f t="array" aca="1" ref="AC346" ca="1">OFFSET(
   INDIRECT("'" &amp; AB346 &amp; "'!A4"),
   MATCH(B346, INDIRECT("'" &amp; AB346 &amp; "'!C5:C1000"), 0),
   MATCH("合計", INDIRECT("'" &amp; AB346 &amp; "'!4:4"), 0) - 1
)</f>
        <v>0</v>
      </c>
    </row>
    <row r="347" spans="1:29">
      <c r="A347" s="40">
        <f>元データ!P344</f>
        <v>276</v>
      </c>
      <c r="B347" s="27">
        <f t="shared" si="5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IF(AA347="非採用",0,IF(OFFSET(マスタ非採用削除!E$4,統合マスタ!$A347,0)="","",OFFSET(マスタ非採用削除!E$4,統合マスタ!$A347,0)))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  <c r="AB347" s="27" t="str">
        <f ca="1">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</f>
        <v>臨時</v>
      </c>
      <c r="AC347" s="27" cm="1">
        <f t="array" aca="1" ref="AC347" ca="1">OFFSET(
   INDIRECT("'" &amp; AB347 &amp; "'!A4"),
   MATCH(B347, INDIRECT("'" &amp; AB347 &amp; "'!C5:C1000"), 0),
   MATCH("合計", INDIRECT("'" &amp; AB347 &amp; "'!4:4"), 0) - 1
)</f>
        <v>0</v>
      </c>
    </row>
    <row r="348" spans="1:29">
      <c r="A348" s="40">
        <f>元データ!P345</f>
        <v>281</v>
      </c>
      <c r="B348" s="27">
        <f t="shared" si="5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IF(AA348="非採用",0,IF(OFFSET(マスタ非採用削除!E$4,統合マスタ!$A348,0)="","",OFFSET(マスタ非採用削除!E$4,統合マスタ!$A348,0)))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  <c r="AB348" s="27" t="str">
        <f ca="1">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</f>
        <v>無し</v>
      </c>
      <c r="AC348" s="27" t="e" cm="1">
        <f t="array" aca="1" ref="AC348" ca="1">OFFSET(
   INDIRECT("'" &amp; AB348 &amp; "'!A4"),
   MATCH(B348, INDIRECT("'" &amp; AB348 &amp; "'!C5:C1000"), 0),
   MATCH("合計", INDIRECT("'" &amp; AB348 &amp; "'!4:4"), 0) - 1
)</f>
        <v>#REF!</v>
      </c>
    </row>
    <row r="349" spans="1:29">
      <c r="A349" s="40">
        <f>元データ!P346</f>
        <v>282</v>
      </c>
      <c r="B349" s="27">
        <f t="shared" si="5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IF(AA349="非採用",0,IF(OFFSET(マスタ非採用削除!E$4,統合マスタ!$A349,0)="","",OFFSET(マスタ非採用削除!E$4,統合マスタ!$A349,0)))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  <c r="AB349" s="27" t="str">
        <f ca="1">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</f>
        <v>注射</v>
      </c>
      <c r="AC349" s="27" cm="1">
        <f t="array" aca="1" ref="AC349" ca="1">OFFSET(
   INDIRECT("'" &amp; AB349 &amp; "'!A4"),
   MATCH(B349, INDIRECT("'" &amp; AB349 &amp; "'!C5:C1000"), 0),
   MATCH("合計", INDIRECT("'" &amp; AB349 &amp; "'!4:4"), 0) - 1
)</f>
        <v>0</v>
      </c>
    </row>
    <row r="350" spans="1:29">
      <c r="A350" s="40">
        <f>元データ!P347</f>
        <v>283</v>
      </c>
      <c r="B350" s="27">
        <f t="shared" si="5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IF(AA350="非採用",0,IF(OFFSET(マスタ非採用削除!E$4,統合マスタ!$A350,0)="","",OFFSET(マスタ非採用削除!E$4,統合マスタ!$A350,0)))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  <c r="AB350" s="27" t="str">
        <f ca="1">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</f>
        <v>散剤</v>
      </c>
      <c r="AC350" s="27" cm="1">
        <f t="array" aca="1" ref="AC350" ca="1">OFFSET(
   INDIRECT("'" &amp; AB350 &amp; "'!A4"),
   MATCH(B350, INDIRECT("'" &amp; AB350 &amp; "'!C5:C1000"), 0),
   MATCH("合計", INDIRECT("'" &amp; AB350 &amp; "'!4:4"), 0) - 1
)</f>
        <v>10000</v>
      </c>
    </row>
    <row r="351" spans="1:29">
      <c r="A351" s="40">
        <f>元データ!P348</f>
        <v>284</v>
      </c>
      <c r="B351" s="27">
        <f t="shared" si="5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IF(AA351="非採用",0,IF(OFFSET(マスタ非採用削除!E$4,統合マスタ!$A351,0)="","",OFFSET(マスタ非採用削除!E$4,統合マスタ!$A351,0)))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  <c r="AB351" s="27" t="str">
        <f ca="1">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</f>
        <v>臨時</v>
      </c>
      <c r="AC351" s="27" cm="1">
        <f t="array" aca="1" ref="AC351" ca="1">OFFSET(
   INDIRECT("'" &amp; AB351 &amp; "'!A4"),
   MATCH(B351, INDIRECT("'" &amp; AB351 &amp; "'!C5:C1000"), 0),
   MATCH("合計", INDIRECT("'" &amp; AB351 &amp; "'!4:4"), 0) - 1
)</f>
        <v>0</v>
      </c>
    </row>
    <row r="352" spans="1:29">
      <c r="A352" s="40">
        <f>元データ!P349</f>
        <v>285</v>
      </c>
      <c r="B352" s="27">
        <f t="shared" si="5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IF(AA352="非採用",0,IF(OFFSET(マスタ非採用削除!E$4,統合マスタ!$A352,0)="","",OFFSET(マスタ非採用削除!E$4,統合マスタ!$A352,0)))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  <c r="AB352" s="27" t="str">
        <f ca="1">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</f>
        <v>臨時</v>
      </c>
      <c r="AC352" s="27" cm="1">
        <f t="array" aca="1" ref="AC352" ca="1">OFFSET(
   INDIRECT("'" &amp; AB352 &amp; "'!A4"),
   MATCH(B352, INDIRECT("'" &amp; AB352 &amp; "'!C5:C1000"), 0),
   MATCH("合計", INDIRECT("'" &amp; AB352 &amp; "'!4:4"), 0) - 1
)</f>
        <v>0</v>
      </c>
    </row>
    <row r="353" spans="1:29">
      <c r="A353" s="40">
        <f>元データ!P350</f>
        <v>286</v>
      </c>
      <c r="B353" s="27">
        <f t="shared" si="5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IF(AA353="非採用",0,IF(OFFSET(マスタ非採用削除!E$4,統合マスタ!$A353,0)="","",OFFSET(マスタ非採用削除!E$4,統合マスタ!$A353,0)))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  <c r="AB353" s="27" t="str">
        <f ca="1">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</f>
        <v>錠剤</v>
      </c>
      <c r="AC353" s="27" cm="1">
        <f t="array" aca="1" ref="AC353" ca="1">OFFSET(
   INDIRECT("'" &amp; AB353 &amp; "'!A4"),
   MATCH(B353, INDIRECT("'" &amp; AB353 &amp; "'!C5:C1000"), 0),
   MATCH("合計", INDIRECT("'" &amp; AB353 &amp; "'!4:4"), 0) - 1
)</f>
        <v>144</v>
      </c>
    </row>
    <row r="354" spans="1:29">
      <c r="A354" s="40">
        <f>元データ!P351</f>
        <v>286</v>
      </c>
      <c r="B354" s="27">
        <f t="shared" si="5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IF(AA354="非採用",0,IF(OFFSET(マスタ非採用削除!E$4,統合マスタ!$A354,0)="","",OFFSET(マスタ非採用削除!E$4,統合マスタ!$A354,0)))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  <c r="AB354" s="27" t="str">
        <f ca="1">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</f>
        <v>錠剤</v>
      </c>
      <c r="AC354" s="27" cm="1">
        <f t="array" aca="1" ref="AC354" ca="1">OFFSET(
   INDIRECT("'" &amp; AB354 &amp; "'!A4"),
   MATCH(B354, INDIRECT("'" &amp; AB354 &amp; "'!C5:C1000"), 0),
   MATCH("合計", INDIRECT("'" &amp; AB354 &amp; "'!4:4"), 0) - 1
)</f>
        <v>145</v>
      </c>
    </row>
    <row r="355" spans="1:29">
      <c r="A355" s="40">
        <f>元データ!P352</f>
        <v>287</v>
      </c>
      <c r="B355" s="27">
        <f t="shared" si="5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IF(AA355="非採用",0,IF(OFFSET(マスタ非採用削除!E$4,統合マスタ!$A355,0)="","",OFFSET(マスタ非採用削除!E$4,統合マスタ!$A355,0)))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  <c r="AB355" s="27" t="str">
        <f ca="1">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</f>
        <v>臨時</v>
      </c>
      <c r="AC355" s="27" cm="1">
        <f t="array" aca="1" ref="AC355" ca="1">OFFSET(
   INDIRECT("'" &amp; AB355 &amp; "'!A4"),
   MATCH(B355, INDIRECT("'" &amp; AB355 &amp; "'!C5:C1000"), 0),
   MATCH("合計", INDIRECT("'" &amp; AB355 &amp; "'!4:4"), 0) - 1
)</f>
        <v>0</v>
      </c>
    </row>
    <row r="356" spans="1:29">
      <c r="A356" s="40">
        <f>元データ!P353</f>
        <v>291</v>
      </c>
      <c r="B356" s="27">
        <f t="shared" si="5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IF(AA356="非採用",0,IF(OFFSET(マスタ非採用削除!E$4,統合マスタ!$A356,0)="","",OFFSET(マスタ非採用削除!E$4,統合マスタ!$A356,0)))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/>
      <c r="AB356" s="27" t="str">
        <f ca="1">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</f>
        <v>錠剤</v>
      </c>
      <c r="AC356" s="27" cm="1">
        <f t="array" aca="1" ref="AC356" ca="1">OFFSET(
   INDIRECT("'" &amp; AB356 &amp; "'!A4"),
   MATCH(B356, INDIRECT("'" &amp; AB356 &amp; "'!C5:C1000"), 0),
   MATCH("合計", INDIRECT("'" &amp; AB356 &amp; "'!4:4"), 0) - 1
)</f>
        <v>146</v>
      </c>
    </row>
    <row r="357" spans="1:29">
      <c r="A357" s="40">
        <f>元データ!P354</f>
        <v>292</v>
      </c>
      <c r="B357" s="27">
        <f t="shared" si="5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IF(AA357="非採用",0,IF(OFFSET(マスタ非採用削除!E$4,統合マスタ!$A357,0)="","",OFFSET(マスタ非採用削除!E$4,統合マスタ!$A357,0)))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/>
      <c r="AB357" s="27" t="str">
        <f ca="1">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</f>
        <v>錠剤</v>
      </c>
      <c r="AC357" s="27" cm="1">
        <f t="array" aca="1" ref="AC357" ca="1">OFFSET(
   INDIRECT("'" &amp; AB357 &amp; "'!A4"),
   MATCH(B357, INDIRECT("'" &amp; AB357 &amp; "'!C5:C1000"), 0),
   MATCH("合計", INDIRECT("'" &amp; AB357 &amp; "'!4:4"), 0) - 1
)</f>
        <v>147</v>
      </c>
    </row>
    <row r="358" spans="1:29">
      <c r="A358" s="40">
        <f>元データ!P355</f>
        <v>293</v>
      </c>
      <c r="B358" s="27">
        <f t="shared" si="5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IF(AA358="非採用",0,IF(OFFSET(マスタ非採用削除!E$4,統合マスタ!$A358,0)="","",OFFSET(マスタ非採用削除!E$4,統合マスタ!$A358,0)))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  <c r="AB358" s="27" t="str">
        <f ca="1">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</f>
        <v>臨時</v>
      </c>
      <c r="AC358" s="27" cm="1">
        <f t="array" aca="1" ref="AC358" ca="1">OFFSET(
   INDIRECT("'" &amp; AB358 &amp; "'!A4"),
   MATCH(B358, INDIRECT("'" &amp; AB358 &amp; "'!C5:C1000"), 0),
   MATCH("合計", INDIRECT("'" &amp; AB358 &amp; "'!4:4"), 0) - 1
)</f>
        <v>0</v>
      </c>
    </row>
    <row r="359" spans="1:29">
      <c r="A359" s="40">
        <f>元データ!P356</f>
        <v>294</v>
      </c>
      <c r="B359" s="27">
        <f t="shared" si="5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IF(AA359="非採用",0,IF(OFFSET(マスタ非採用削除!E$4,統合マスタ!$A359,0)="","",OFFSET(マスタ非採用削除!E$4,統合マスタ!$A359,0)))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  <c r="AB359" s="27" t="str">
        <f ca="1">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</f>
        <v>臨時</v>
      </c>
      <c r="AC359" s="27" cm="1">
        <f t="array" aca="1" ref="AC359" ca="1">OFFSET(
   INDIRECT("'" &amp; AB359 &amp; "'!A4"),
   MATCH(B359, INDIRECT("'" &amp; AB359 &amp; "'!C5:C1000"), 0),
   MATCH("合計", INDIRECT("'" &amp; AB359 &amp; "'!4:4"), 0) - 1
)</f>
        <v>0</v>
      </c>
    </row>
    <row r="360" spans="1:29">
      <c r="A360" s="40">
        <f>元データ!P357</f>
        <v>309</v>
      </c>
      <c r="B360" s="27">
        <f t="shared" si="5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IF(AA360="非採用",0,IF(OFFSET(マスタ非採用削除!E$4,統合マスタ!$A360,0)="","",OFFSET(マスタ非採用削除!E$4,統合マスタ!$A360,0)))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  <c r="AB360" s="27" t="str">
        <f ca="1">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</f>
        <v>外用剤</v>
      </c>
      <c r="AC360" s="27" t="e" cm="1">
        <f t="array" aca="1" ref="AC360" ca="1">OFFSET(
   INDIRECT("'" &amp; AB360 &amp; "'!A4"),
   MATCH(B360, INDIRECT("'" &amp; AB360 &amp; "'!C5:C1000"), 0),
   MATCH("合計", INDIRECT("'" &amp; AB360 &amp; "'!4:4"), 0) - 1
)</f>
        <v>#REF!</v>
      </c>
    </row>
    <row r="361" spans="1:29">
      <c r="A361" s="40">
        <f>元データ!P358</f>
        <v>311</v>
      </c>
      <c r="B361" s="27">
        <f t="shared" si="5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IF(AA361="非採用",0,IF(OFFSET(マスタ非採用削除!E$4,統合マスタ!$A361,0)="","",OFFSET(マスタ非採用削除!E$4,統合マスタ!$A361,0)))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/>
      <c r="AB361" s="27" t="str">
        <f ca="1">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</f>
        <v>錠剤</v>
      </c>
      <c r="AC361" s="27" cm="1">
        <f t="array" aca="1" ref="AC361" ca="1">OFFSET(
   INDIRECT("'" &amp; AB361 &amp; "'!A4"),
   MATCH(B361, INDIRECT("'" &amp; AB361 &amp; "'!C5:C1000"), 0),
   MATCH("合計", INDIRECT("'" &amp; AB361 &amp; "'!4:4"), 0) - 1
)</f>
        <v>148</v>
      </c>
    </row>
    <row r="362" spans="1:29">
      <c r="A362" s="40">
        <f>元データ!P359</f>
        <v>311</v>
      </c>
      <c r="B362" s="27">
        <f t="shared" si="5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IF(AA362="非採用",0,IF(OFFSET(マスタ非採用削除!E$4,統合マスタ!$A362,0)="","",OFFSET(マスタ非採用削除!E$4,統合マスタ!$A362,0)))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/>
      <c r="AB362" s="27" t="str">
        <f ca="1">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</f>
        <v>錠剤</v>
      </c>
      <c r="AC362" s="27" cm="1">
        <f t="array" aca="1" ref="AC362" ca="1">OFFSET(
   INDIRECT("'" &amp; AB362 &amp; "'!A4"),
   MATCH(B362, INDIRECT("'" &amp; AB362 &amp; "'!C5:C1000"), 0),
   MATCH("合計", INDIRECT("'" &amp; AB362 &amp; "'!4:4"), 0) - 1
)</f>
        <v>149</v>
      </c>
    </row>
    <row r="363" spans="1:29">
      <c r="A363" s="40">
        <f>元データ!P360</f>
        <v>312</v>
      </c>
      <c r="B363" s="27">
        <f t="shared" si="5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IF(AA363="非採用",0,IF(OFFSET(マスタ非採用削除!E$4,統合マスタ!$A363,0)="","",OFFSET(マスタ非採用削除!E$4,統合マスタ!$A363,0)))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/>
      <c r="AB363" s="27" t="str">
        <f ca="1">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</f>
        <v>錠剤</v>
      </c>
      <c r="AC363" s="27" cm="1">
        <f t="array" aca="1" ref="AC363" ca="1">OFFSET(
   INDIRECT("'" &amp; AB363 &amp; "'!A4"),
   MATCH(B363, INDIRECT("'" &amp; AB363 &amp; "'!C5:C1000"), 0),
   MATCH("合計", INDIRECT("'" &amp; AB363 &amp; "'!4:4"), 0) - 1
)</f>
        <v>150</v>
      </c>
    </row>
    <row r="364" spans="1:29">
      <c r="A364" s="40">
        <f>元データ!P361</f>
        <v>312</v>
      </c>
      <c r="B364" s="27">
        <f t="shared" si="5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IF(AA364="非採用",0,IF(OFFSET(マスタ非採用削除!E$4,統合マスタ!$A364,0)="","",OFFSET(マスタ非採用削除!E$4,統合マスタ!$A364,0)))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/>
      <c r="AB364" s="27" t="str">
        <f ca="1">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</f>
        <v>錠剤</v>
      </c>
      <c r="AC364" s="27" cm="1">
        <f t="array" aca="1" ref="AC364" ca="1">OFFSET(
   INDIRECT("'" &amp; AB364 &amp; "'!A4"),
   MATCH(B364, INDIRECT("'" &amp; AB364 &amp; "'!C5:C1000"), 0),
   MATCH("合計", INDIRECT("'" &amp; AB364 &amp; "'!4:4"), 0) - 1
)</f>
        <v>151</v>
      </c>
    </row>
    <row r="365" spans="1:29">
      <c r="A365" s="40">
        <f>元データ!P362</f>
        <v>313</v>
      </c>
      <c r="B365" s="27">
        <f t="shared" si="5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IF(AA365="非採用",0,IF(OFFSET(マスタ非採用削除!E$4,統合マスタ!$A365,0)="","",OFFSET(マスタ非採用削除!E$4,統合マスタ!$A365,0)))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  <c r="AB365" s="27" t="str">
        <f ca="1">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</f>
        <v>錠剤</v>
      </c>
      <c r="AC365" s="27" cm="1">
        <f t="array" aca="1" ref="AC365" ca="1">OFFSET(
   INDIRECT("'" &amp; AB365 &amp; "'!A4"),
   MATCH(B365, INDIRECT("'" &amp; AB365 &amp; "'!C5:C1000"), 0),
   MATCH("合計", INDIRECT("'" &amp; AB365 &amp; "'!4:4"), 0) - 1
)</f>
        <v>152</v>
      </c>
    </row>
    <row r="366" spans="1:29">
      <c r="A366" s="40">
        <f>元データ!P363</f>
        <v>0</v>
      </c>
      <c r="B366" s="27">
        <f t="shared" si="5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str">
        <f ca="1">IF(OFFSET(マスタ非採用削除!A$4,統合マスタ!$A366,0)="","",OFFSET(マスタ非採用削除!A$4,統合マスタ!$A366,0))</f>
        <v>コード(区分値)</v>
      </c>
      <c r="O366" s="53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3" t="str">
        <f ca="1">IF(OFFSET(マスタ非採用削除!D$4,統合マスタ!$A366,0)="","",OFFSET(マスタ非採用削除!D$4,統合マスタ!$A366,0))</f>
        <v>ホストコード</v>
      </c>
      <c r="R366" s="27" t="str">
        <f ca="1">IF(AA366="非採用",0,IF(OFFSET(マスタ非採用削除!E$4,統合マスタ!$A366,0)="","",OFFSET(マスタ非採用削除!E$4,統合マスタ!$A366,0)))</f>
        <v>採用区分（区分値）(区分値)</v>
      </c>
      <c r="S366" s="53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3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3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場所</v>
      </c>
      <c r="AA366" s="27"/>
      <c r="AB366" s="27" t="str">
        <f ca="1">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</f>
        <v>無し</v>
      </c>
      <c r="AC366" s="27" t="e" cm="1">
        <f t="array" aca="1" ref="AC366" ca="1">OFFSET(
   INDIRECT("'" &amp; AB366 &amp; "'!A4"),
   MATCH(B366, INDIRECT("'" &amp; AB366 &amp; "'!C5:C1000"), 0),
   MATCH("合計", INDIRECT("'" &amp; AB366 &amp; "'!4:4"), 0) - 1
)</f>
        <v>#REF!</v>
      </c>
    </row>
    <row r="367" spans="1:29">
      <c r="A367" s="40">
        <f>元データ!P364</f>
        <v>314</v>
      </c>
      <c r="B367" s="27">
        <f t="shared" si="5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IF(AA367="非採用",0,IF(OFFSET(マスタ非採用削除!E$4,統合マスタ!$A367,0)="","",OFFSET(マスタ非採用削除!E$4,統合マスタ!$A367,0)))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  <c r="AB367" s="27" t="str">
        <f ca="1">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</f>
        <v>注射</v>
      </c>
      <c r="AC367" s="27" cm="1">
        <f t="array" aca="1" ref="AC367" ca="1">OFFSET(
   INDIRECT("'" &amp; AB367 &amp; "'!A4"),
   MATCH(B367, INDIRECT("'" &amp; AB367 &amp; "'!C5:C1000"), 0),
   MATCH("合計", INDIRECT("'" &amp; AB367 &amp; "'!4:4"), 0) - 1
)</f>
        <v>0</v>
      </c>
    </row>
    <row r="368" spans="1:29">
      <c r="A368" s="40">
        <f>元データ!P365</f>
        <v>0</v>
      </c>
      <c r="B368" s="27">
        <f t="shared" si="5"/>
        <v>364</v>
      </c>
      <c r="C368" s="27" t="str">
        <f>DBCS(元データ!A365)</f>
        <v>デカドロン注射液６．６ｍｇ</v>
      </c>
      <c r="D368" s="53" t="str">
        <f>元データ!B365</f>
        <v/>
      </c>
      <c r="E368" s="27" t="str">
        <f>DBCS(元データ!C365)</f>
        <v/>
      </c>
      <c r="F368" s="27" t="str">
        <f>DBCS(元データ!D365)</f>
        <v>２ｍｌｘ１０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3" t="str">
        <f ca="1">IF(OFFSET(マスタ非採用削除!A$4,統合マスタ!$A368,0)="","",OFFSET(マスタ非採用削除!A$4,統合マスタ!$A368,0))</f>
        <v>コード(区分値)</v>
      </c>
      <c r="O368" s="53" t="str">
        <f ca="1">IF(OFFSET(マスタ非採用削除!B$4,統合マスタ!$A368,0)="","",OFFSET(マスタ非採用削除!B$4,統合マスタ!$A368,0))</f>
        <v>コード</v>
      </c>
      <c r="P368" s="27" t="str">
        <f ca="1">IF(OFFSET(マスタ非採用削除!C$4,統合マスタ!$A368,0)="","",OFFSET(マスタ非採用削除!C$4,統合マスタ!$A368,0))</f>
        <v>名称</v>
      </c>
      <c r="Q368" s="53" t="str">
        <f ca="1">IF(OFFSET(マスタ非採用削除!D$4,統合マスタ!$A368,0)="","",OFFSET(マスタ非採用削除!D$4,統合マスタ!$A368,0))</f>
        <v>ホストコード</v>
      </c>
      <c r="R368" s="27" t="str">
        <f ca="1">IF(AA368="非採用",0,IF(OFFSET(マスタ非採用削除!E$4,統合マスタ!$A368,0)="","",OFFSET(マスタ非採用削除!E$4,統合マスタ!$A368,0)))</f>
        <v>採用区分（区分値）(区分値)</v>
      </c>
      <c r="S368" s="53" t="str">
        <f ca="1">IF(OFFSET(マスタ非採用削除!F$4,統合マスタ!$A368,0)="","",OFFSET(マスタ非採用削除!F$4,統合マスタ!$A368,0))</f>
        <v>採用区分（区分値）</v>
      </c>
      <c r="T368" s="27" t="str">
        <f ca="1">IF(OFFSET(マスタ非採用削除!G$4,統合マスタ!$A368,0)="","",OFFSET(マスタ非採用削除!G$4,統合マスタ!$A368,0))</f>
        <v>薬価</v>
      </c>
      <c r="U368" s="53" t="str">
        <f ca="1">IF(OFFSET(マスタ非採用削除!H$4,統合マスタ!$A368,0)="","",OFFSET(マスタ非採用削除!H$4,統合マスタ!$A368,0))</f>
        <v>カナ名称</v>
      </c>
      <c r="V368" s="27" t="str">
        <f ca="1">IF(OFFSET(マスタ非採用削除!I$4,統合マスタ!$A368,0)="","",OFFSET(マスタ非採用削除!I$4,統合マスタ!$A368,0))</f>
        <v>剤形(区分値)</v>
      </c>
      <c r="W368" s="27" t="str">
        <f ca="1">IF(OFFSET(マスタ非採用削除!J$4,統合マスタ!$A368,0)="","",OFFSET(マスタ非採用削除!J$4,統合マスタ!$A368,0))</f>
        <v>剤形</v>
      </c>
      <c r="X368" s="27" t="str">
        <f ca="1">IF(OFFSET(マスタ非採用削除!K$4,統合マスタ!$A368,0)="","",OFFSET(マスタ非採用削除!K$4,統合マスタ!$A368,0))</f>
        <v>毒劇薬（区分値）(区分値)</v>
      </c>
      <c r="Y368" s="53" t="str">
        <f ca="1">IF(OFFSET(マスタ非採用削除!L$4,統合マスタ!$A368,0)="","",OFFSET(マスタ非採用削除!L$4,統合マスタ!$A368,0))</f>
        <v>毒劇薬（区分値）</v>
      </c>
      <c r="Z368" s="27" t="str">
        <f ca="1">IF(OFFSET(マスタ非採用削除!M$4,統合マスタ!$A368,0)="","",OFFSET(マスタ非採用削除!M$4,統合マスタ!$A368,0))</f>
        <v>場所</v>
      </c>
      <c r="AA368" s="27"/>
      <c r="AB368" s="27" t="str">
        <f ca="1">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</f>
        <v>無し</v>
      </c>
      <c r="AC368" s="27" t="e" cm="1">
        <f t="array" aca="1" ref="AC368" ca="1">OFFSET(
   INDIRECT("'" &amp; AB368 &amp; "'!A4"),
   MATCH(B368, INDIRECT("'" &amp; AB368 &amp; "'!C5:C1000"), 0),
   MATCH("合計", INDIRECT("'" &amp; AB368 &amp; "'!4:4"), 0) - 1
)</f>
        <v>#REF!</v>
      </c>
    </row>
    <row r="369" spans="1:29">
      <c r="A369" s="40">
        <f>元データ!P366</f>
        <v>315</v>
      </c>
      <c r="B369" s="27">
        <f t="shared" si="5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IF(AA369="非採用",0,IF(OFFSET(マスタ非採用削除!E$4,統合マスタ!$A369,0)="","",OFFSET(マスタ非採用削除!E$4,統合マスタ!$A369,0)))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  <c r="AB369" s="27" t="str">
        <f ca="1">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</f>
        <v>外用剤</v>
      </c>
      <c r="AC369" s="27" t="e" cm="1">
        <f t="array" aca="1" ref="AC369" ca="1">OFFSET(
   INDIRECT("'" &amp; AB369 &amp; "'!A4"),
   MATCH(B369, INDIRECT("'" &amp; AB369 &amp; "'!C5:C1000"), 0),
   MATCH("合計", INDIRECT("'" &amp; AB369 &amp; "'!4:4"), 0) - 1
)</f>
        <v>#REF!</v>
      </c>
    </row>
    <row r="370" spans="1:29">
      <c r="A370" s="40">
        <f>元データ!P367</f>
        <v>316</v>
      </c>
      <c r="B370" s="27">
        <f t="shared" si="5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IF(AA370="非採用",0,IF(OFFSET(マスタ非採用削除!E$4,統合マスタ!$A370,0)="","",OFFSET(マスタ非採用削除!E$4,統合マスタ!$A370,0)))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  <c r="AB370" s="27" t="str">
        <f ca="1">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</f>
        <v>臨時</v>
      </c>
      <c r="AC370" s="27" cm="1">
        <f t="array" aca="1" ref="AC370" ca="1">OFFSET(
   INDIRECT("'" &amp; AB370 &amp; "'!A4"),
   MATCH(B370, INDIRECT("'" &amp; AB370 &amp; "'!C5:C1000"), 0),
   MATCH("合計", INDIRECT("'" &amp; AB370 &amp; "'!4:4"), 0) - 1
)</f>
        <v>0</v>
      </c>
    </row>
    <row r="371" spans="1:29">
      <c r="A371" s="40">
        <f>元データ!P368</f>
        <v>317</v>
      </c>
      <c r="B371" s="27">
        <f t="shared" si="5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IF(AA371="非採用",0,IF(OFFSET(マスタ非採用削除!E$4,統合マスタ!$A371,0)="","",OFFSET(マスタ非採用削除!E$4,統合マスタ!$A371,0)))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  <c r="AB371" s="27" t="str">
        <f ca="1">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</f>
        <v>外用剤</v>
      </c>
      <c r="AC371" s="27" t="e" cm="1">
        <f t="array" aca="1" ref="AC371" ca="1">OFFSET(
   INDIRECT("'" &amp; AB371 &amp; "'!A4"),
   MATCH(B371, INDIRECT("'" &amp; AB371 &amp; "'!C5:C1000"), 0),
   MATCH("合計", INDIRECT("'" &amp; AB371 &amp; "'!4:4"), 0) - 1
)</f>
        <v>#REF!</v>
      </c>
    </row>
    <row r="372" spans="1:29">
      <c r="A372" s="40">
        <f>元データ!P369</f>
        <v>320</v>
      </c>
      <c r="B372" s="27">
        <f t="shared" si="5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IF(AA372="非採用",0,IF(OFFSET(マスタ非採用削除!E$4,統合マスタ!$A372,0)="","",OFFSET(マスタ非採用削除!E$4,統合マスタ!$A372,0)))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  <c r="AB372" s="27" t="str">
        <f ca="1">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</f>
        <v>錠剤</v>
      </c>
      <c r="AC372" s="27" cm="1">
        <f t="array" aca="1" ref="AC372" ca="1">OFFSET(
   INDIRECT("'" &amp; AB372 &amp; "'!A4"),
   MATCH(B372, INDIRECT("'" &amp; AB372 &amp; "'!C5:C1000"), 0),
   MATCH("合計", INDIRECT("'" &amp; AB372 &amp; "'!4:4"), 0) - 1
)</f>
        <v>153</v>
      </c>
    </row>
    <row r="373" spans="1:29">
      <c r="A373" s="40">
        <f>元データ!P370</f>
        <v>321</v>
      </c>
      <c r="B373" s="27">
        <f t="shared" si="5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27">
        <f ca="1">IF(AA373="非採用",0,IF(OFFSET(マスタ非採用削除!E$4,統合マスタ!$A373,0)="","",OFFSET(マスタ非採用削除!E$4,統合マスタ!$A373,0)))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  <c r="AB373" s="27" t="str">
        <f ca="1">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</f>
        <v>錠剤</v>
      </c>
      <c r="AC373" s="27" cm="1">
        <f t="array" aca="1" ref="AC373" ca="1">OFFSET(
   INDIRECT("'" &amp; AB373 &amp; "'!A4"),
   MATCH(B373, INDIRECT("'" &amp; AB373 &amp; "'!C5:C1000"), 0),
   MATCH("合計", INDIRECT("'" &amp; AB373 &amp; "'!4:4"), 0) - 1
)</f>
        <v>154</v>
      </c>
    </row>
    <row r="374" spans="1:29">
      <c r="A374" s="40">
        <f>元データ!P371</f>
        <v>0</v>
      </c>
      <c r="B374" s="27">
        <f t="shared" si="5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コード(区分値)</v>
      </c>
      <c r="O374" s="53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3" t="str">
        <f ca="1">IF(OFFSET(マスタ非採用削除!D$4,統合マスタ!$A374,0)="","",OFFSET(マスタ非採用削除!D$4,統合マスタ!$A374,0))</f>
        <v>ホストコード</v>
      </c>
      <c r="R374" s="27" t="str">
        <f ca="1">IF(AA374="非採用",0,IF(OFFSET(マスタ非採用削除!E$4,統合マスタ!$A374,0)="","",OFFSET(マスタ非採用削除!E$4,統合マスタ!$A374,0)))</f>
        <v>採用区分（区分値）(区分値)</v>
      </c>
      <c r="S374" s="53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3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3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場所</v>
      </c>
      <c r="AA374" s="27"/>
      <c r="AB374" s="27" t="str">
        <f ca="1">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</f>
        <v>無し</v>
      </c>
      <c r="AC374" s="27" t="e" cm="1">
        <f t="array" aca="1" ref="AC374" ca="1">OFFSET(
   INDIRECT("'" &amp; AB374 &amp; "'!A4"),
   MATCH(B374, INDIRECT("'" &amp; AB374 &amp; "'!C5:C1000"), 0),
   MATCH("合計", INDIRECT("'" &amp; AB374 &amp; "'!4:4"), 0) - 1
)</f>
        <v>#REF!</v>
      </c>
    </row>
    <row r="375" spans="1:29">
      <c r="A375" s="40">
        <f>元データ!P372</f>
        <v>322</v>
      </c>
      <c r="B375" s="27">
        <f t="shared" si="5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27">
        <f ca="1">IF(AA375="非採用",0,IF(OFFSET(マスタ非採用削除!E$4,統合マスタ!$A375,0)="","",OFFSET(マスタ非採用削除!E$4,統合マスタ!$A375,0)))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/>
      <c r="AB375" s="27" t="str">
        <f ca="1">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</f>
        <v>錠剤</v>
      </c>
      <c r="AC375" s="27" cm="1">
        <f t="array" aca="1" ref="AC375" ca="1">OFFSET(
   INDIRECT("'" &amp; AB375 &amp; "'!A4"),
   MATCH(B375, INDIRECT("'" &amp; AB375 &amp; "'!C5:C1000"), 0),
   MATCH("合計", INDIRECT("'" &amp; AB375 &amp; "'!4:4"), 0) - 1
)</f>
        <v>155</v>
      </c>
    </row>
    <row r="376" spans="1:29">
      <c r="A376" s="40">
        <f>元データ!P373</f>
        <v>322</v>
      </c>
      <c r="B376" s="27">
        <f t="shared" si="5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27">
        <f ca="1">IF(AA376="非採用",0,IF(OFFSET(マスタ非採用削除!E$4,統合マスタ!$A376,0)="","",OFFSET(マスタ非採用削除!E$4,統合マスタ!$A376,0)))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/>
      <c r="AB376" s="27" t="str">
        <f ca="1">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</f>
        <v>錠剤</v>
      </c>
      <c r="AC376" s="27" cm="1">
        <f t="array" aca="1" ref="AC376" ca="1">OFFSET(
   INDIRECT("'" &amp; AB376 &amp; "'!A4"),
   MATCH(B376, INDIRECT("'" &amp; AB376 &amp; "'!C5:C1000"), 0),
   MATCH("合計", INDIRECT("'" &amp; AB376 &amp; "'!4:4"), 0) - 1
)</f>
        <v>156</v>
      </c>
    </row>
    <row r="377" spans="1:29">
      <c r="A377" s="40">
        <f>元データ!P374</f>
        <v>323</v>
      </c>
      <c r="B377" s="27">
        <f t="shared" si="5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IF(AA377="非採用",0,IF(OFFSET(マスタ非採用削除!E$4,統合マスタ!$A377,0)="","",OFFSET(マスタ非採用削除!E$4,統合マスタ!$A377,0)))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  <c r="AB377" s="27" t="str">
        <f ca="1">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</f>
        <v>臨時</v>
      </c>
      <c r="AC377" s="27" cm="1">
        <f t="array" aca="1" ref="AC377" ca="1">OFFSET(
   INDIRECT("'" &amp; AB377 &amp; "'!A4"),
   MATCH(B377, INDIRECT("'" &amp; AB377 &amp; "'!C5:C1000"), 0),
   MATCH("合計", INDIRECT("'" &amp; AB377 &amp; "'!4:4"), 0) - 1
)</f>
        <v>0</v>
      </c>
    </row>
    <row r="378" spans="1:29">
      <c r="A378" s="40">
        <f>元データ!P375</f>
        <v>325</v>
      </c>
      <c r="B378" s="27">
        <f t="shared" si="5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IF(AA378="非採用",0,IF(OFFSET(マスタ非採用削除!E$4,統合マスタ!$A378,0)="","",OFFSET(マスタ非採用削除!E$4,統合マスタ!$A378,0)))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  <c r="AB378" s="27" t="str">
        <f ca="1">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</f>
        <v>無し</v>
      </c>
      <c r="AC378" s="27" t="e" cm="1">
        <f t="array" aca="1" ref="AC378" ca="1">OFFSET(
   INDIRECT("'" &amp; AB378 &amp; "'!A4"),
   MATCH(B378, INDIRECT("'" &amp; AB378 &amp; "'!C5:C1000"), 0),
   MATCH("合計", INDIRECT("'" &amp; AB378 &amp; "'!4:4"), 0) - 1
)</f>
        <v>#REF!</v>
      </c>
    </row>
    <row r="379" spans="1:29">
      <c r="A379" s="40">
        <f>元データ!P376</f>
        <v>324</v>
      </c>
      <c r="B379" s="27">
        <f t="shared" si="5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IF(AA379="非採用",0,IF(OFFSET(マスタ非採用削除!E$4,統合マスタ!$A379,0)="","",OFFSET(マスタ非採用削除!E$4,統合マスタ!$A379,0)))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  <c r="AB379" s="27" t="str">
        <f ca="1">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</f>
        <v>散剤</v>
      </c>
      <c r="AC379" s="27" cm="1">
        <f t="array" aca="1" ref="AC379" ca="1">OFFSET(
   INDIRECT("'" &amp; AB379 &amp; "'!A4"),
   MATCH(B379, INDIRECT("'" &amp; AB379 &amp; "'!C5:C1000"), 0),
   MATCH("合計", INDIRECT("'" &amp; AB379 &amp; "'!4:4"), 0) - 1
)</f>
        <v>2100</v>
      </c>
    </row>
    <row r="380" spans="1:29">
      <c r="A380" s="40">
        <f>元データ!P377</f>
        <v>326</v>
      </c>
      <c r="B380" s="27">
        <f t="shared" si="5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IF(AA380="非採用",0,IF(OFFSET(マスタ非採用削除!E$4,統合マスタ!$A380,0)="","",OFFSET(マスタ非採用削除!E$4,統合マスタ!$A380,0)))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/>
      <c r="AB380" s="27" t="str">
        <f ca="1">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</f>
        <v>錠剤</v>
      </c>
      <c r="AC380" s="27" cm="1">
        <f t="array" aca="1" ref="AC380" ca="1">OFFSET(
   INDIRECT("'" &amp; AB380 &amp; "'!A4"),
   MATCH(B380, INDIRECT("'" &amp; AB380 &amp; "'!C5:C1000"), 0),
   MATCH("合計", INDIRECT("'" &amp; AB380 &amp; "'!4:4"), 0) - 1
)</f>
        <v>157</v>
      </c>
    </row>
    <row r="381" spans="1:29">
      <c r="A381" s="40">
        <f>元データ!P378</f>
        <v>326</v>
      </c>
      <c r="B381" s="27">
        <f t="shared" si="5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IF(AA381="非採用",0,IF(OFFSET(マスタ非採用削除!E$4,統合マスタ!$A381,0)="","",OFFSET(マスタ非採用削除!E$4,統合マスタ!$A381,0)))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/>
      <c r="AB381" s="27" t="str">
        <f ca="1">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</f>
        <v>錠剤</v>
      </c>
      <c r="AC381" s="27" cm="1">
        <f t="array" aca="1" ref="AC381" ca="1">OFFSET(
   INDIRECT("'" &amp; AB381 &amp; "'!A4"),
   MATCH(B381, INDIRECT("'" &amp; AB381 &amp; "'!C5:C1000"), 0),
   MATCH("合計", INDIRECT("'" &amp; AB381 &amp; "'!4:4"), 0) - 1
)</f>
        <v>158</v>
      </c>
    </row>
    <row r="382" spans="1:29">
      <c r="A382" s="40">
        <f>元データ!P379</f>
        <v>327</v>
      </c>
      <c r="B382" s="27">
        <f t="shared" si="5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IF(AA382="非採用",0,IF(OFFSET(マスタ非採用削除!E$4,統合マスタ!$A382,0)="","",OFFSET(マスタ非採用削除!E$4,統合マスタ!$A382,0)))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  <c r="AB382" s="27" t="str">
        <f ca="1">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</f>
        <v>臨時</v>
      </c>
      <c r="AC382" s="27" cm="1">
        <f t="array" aca="1" ref="AC382" ca="1">OFFSET(
   INDIRECT("'" &amp; AB382 &amp; "'!A4"),
   MATCH(B382, INDIRECT("'" &amp; AB382 &amp; "'!C5:C1000"), 0),
   MATCH("合計", INDIRECT("'" &amp; AB382 &amp; "'!4:4"), 0) - 1
)</f>
        <v>0</v>
      </c>
    </row>
    <row r="383" spans="1:29">
      <c r="A383" s="40">
        <f>元データ!P380</f>
        <v>328</v>
      </c>
      <c r="B383" s="27">
        <f t="shared" si="5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IF(AA383="非採用",0,IF(OFFSET(マスタ非採用削除!E$4,統合マスタ!$A383,0)="","",OFFSET(マスタ非採用削除!E$4,統合マスタ!$A383,0)))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  <c r="AB383" s="27" t="str">
        <f ca="1">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</f>
        <v>無し</v>
      </c>
      <c r="AC383" s="27" t="e" cm="1">
        <f t="array" aca="1" ref="AC383" ca="1">OFFSET(
   INDIRECT("'" &amp; AB383 &amp; "'!A4"),
   MATCH(B383, INDIRECT("'" &amp; AB383 &amp; "'!C5:C1000"), 0),
   MATCH("合計", INDIRECT("'" &amp; AB383 &amp; "'!4:4"), 0) - 1
)</f>
        <v>#REF!</v>
      </c>
    </row>
    <row r="384" spans="1:29">
      <c r="A384" s="40">
        <f>元データ!P381</f>
        <v>328</v>
      </c>
      <c r="B384" s="27">
        <f t="shared" si="5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IF(AA384="非採用",0,IF(OFFSET(マスタ非採用削除!E$4,統合マスタ!$A384,0)="","",OFFSET(マスタ非採用削除!E$4,統合マスタ!$A384,0)))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  <c r="AB384" s="27" t="str">
        <f ca="1">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</f>
        <v>無し</v>
      </c>
      <c r="AC384" s="27" t="e" cm="1">
        <f t="array" aca="1" ref="AC384" ca="1">OFFSET(
   INDIRECT("'" &amp; AB384 &amp; "'!A4"),
   MATCH(B384, INDIRECT("'" &amp; AB384 &amp; "'!C5:C1000"), 0),
   MATCH("合計", INDIRECT("'" &amp; AB384 &amp; "'!4:4"), 0) - 1
)</f>
        <v>#REF!</v>
      </c>
    </row>
    <row r="385" spans="1:29">
      <c r="A385" s="40">
        <f>元データ!P382</f>
        <v>329</v>
      </c>
      <c r="B385" s="27">
        <f t="shared" si="5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IF(AA385="非採用",0,IF(OFFSET(マスタ非採用削除!E$4,統合マスタ!$A385,0)="","",OFFSET(マスタ非採用削除!E$4,統合マスタ!$A385,0)))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  <c r="AB385" s="27" t="str">
        <f ca="1">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</f>
        <v>臨時</v>
      </c>
      <c r="AC385" s="27" cm="1">
        <f t="array" aca="1" ref="AC385" ca="1">OFFSET(
   INDIRECT("'" &amp; AB385 &amp; "'!A4"),
   MATCH(B385, INDIRECT("'" &amp; AB385 &amp; "'!C5:C1000"), 0),
   MATCH("合計", INDIRECT("'" &amp; AB385 &amp; "'!4:4"), 0) - 1
)</f>
        <v>0</v>
      </c>
    </row>
    <row r="386" spans="1:29">
      <c r="A386" s="40">
        <f>元データ!P383</f>
        <v>330</v>
      </c>
      <c r="B386" s="27">
        <f t="shared" si="5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IF(AA386="非採用",0,IF(OFFSET(マスタ非採用削除!E$4,統合マスタ!$A386,0)="","",OFFSET(マスタ非採用削除!E$4,統合マスタ!$A386,0)))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  <c r="AB386" s="27" t="str">
        <f ca="1">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</f>
        <v>外用剤</v>
      </c>
      <c r="AC386" s="27" t="e" cm="1">
        <f t="array" aca="1" ref="AC386" ca="1">OFFSET(
   INDIRECT("'" &amp; AB386 &amp; "'!A4"),
   MATCH(B386, INDIRECT("'" &amp; AB386 &amp; "'!C5:C1000"), 0),
   MATCH("合計", INDIRECT("'" &amp; AB386 &amp; "'!4:4"), 0) - 1
)</f>
        <v>#REF!</v>
      </c>
    </row>
    <row r="387" spans="1:29">
      <c r="A387" s="40">
        <f>元データ!P384</f>
        <v>331</v>
      </c>
      <c r="B387" s="27">
        <f t="shared" si="5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IF(AA387="非採用",0,IF(OFFSET(マスタ非採用削除!E$4,統合マスタ!$A387,0)="","",OFFSET(マスタ非採用削除!E$4,統合マスタ!$A387,0)))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  <c r="AB387" s="27" t="str">
        <f ca="1">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</f>
        <v>外用剤</v>
      </c>
      <c r="AC387" s="27" t="e" cm="1">
        <f t="array" aca="1" ref="AC387" ca="1">OFFSET(
   INDIRECT("'" &amp; AB387 &amp; "'!A4"),
   MATCH(B387, INDIRECT("'" &amp; AB387 &amp; "'!C5:C1000"), 0),
   MATCH("合計", INDIRECT("'" &amp; AB387 &amp; "'!4:4"), 0) - 1
)</f>
        <v>#REF!</v>
      </c>
    </row>
    <row r="388" spans="1:29">
      <c r="A388" s="40">
        <f>元データ!P385</f>
        <v>332</v>
      </c>
      <c r="B388" s="27">
        <f t="shared" si="5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IF(AA388="非採用",0,IF(OFFSET(マスタ非採用削除!E$4,統合マスタ!$A388,0)="","",OFFSET(マスタ非採用削除!E$4,統合マスタ!$A388,0)))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/>
      <c r="AB388" s="27" t="str">
        <f ca="1">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</f>
        <v>錠剤</v>
      </c>
      <c r="AC388" s="27" cm="1">
        <f t="array" aca="1" ref="AC388" ca="1">OFFSET(
   INDIRECT("'" &amp; AB388 &amp; "'!A4"),
   MATCH(B388, INDIRECT("'" &amp; AB388 &amp; "'!C5:C1000"), 0),
   MATCH("合計", INDIRECT("'" &amp; AB388 &amp; "'!4:4"), 0) - 1
)</f>
        <v>159</v>
      </c>
    </row>
    <row r="389" spans="1:29">
      <c r="A389" s="40">
        <f>元データ!P386</f>
        <v>332</v>
      </c>
      <c r="B389" s="27">
        <f t="shared" si="5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IF(AA389="非採用",0,IF(OFFSET(マスタ非採用削除!E$4,統合マスタ!$A389,0)="","",OFFSET(マスタ非採用削除!E$4,統合マスタ!$A389,0)))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/>
      <c r="AB389" s="27" t="str">
        <f ca="1">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</f>
        <v>錠剤</v>
      </c>
      <c r="AC389" s="27" cm="1">
        <f t="array" aca="1" ref="AC389" ca="1">OFFSET(
   INDIRECT("'" &amp; AB389 &amp; "'!A4"),
   MATCH(B389, INDIRECT("'" &amp; AB389 &amp; "'!C5:C1000"), 0),
   MATCH("合計", INDIRECT("'" &amp; AB389 &amp; "'!4:4"), 0) - 1
)</f>
        <v>160</v>
      </c>
    </row>
    <row r="390" spans="1:29">
      <c r="A390" s="40">
        <f>元データ!P387</f>
        <v>333</v>
      </c>
      <c r="B390" s="27">
        <f t="shared" si="5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IF(AA390="非採用",0,IF(OFFSET(マスタ非採用削除!E$4,統合マスタ!$A390,0)="","",OFFSET(マスタ非採用削除!E$4,統合マスタ!$A390,0)))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  <c r="AB390" s="27" t="str">
        <f ca="1">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</f>
        <v>外用剤</v>
      </c>
      <c r="AC390" s="27" t="e" cm="1">
        <f t="array" aca="1" ref="AC390" ca="1">OFFSET(
   INDIRECT("'" &amp; AB390 &amp; "'!A4"),
   MATCH(B390, INDIRECT("'" &amp; AB390 &amp; "'!C5:C1000"), 0),
   MATCH("合計", INDIRECT("'" &amp; AB390 &amp; "'!4:4"), 0) - 1
)</f>
        <v>#REF!</v>
      </c>
    </row>
    <row r="391" spans="1:29">
      <c r="A391" s="40">
        <f>元データ!P388</f>
        <v>333</v>
      </c>
      <c r="B391" s="27">
        <f t="shared" ref="B391:B454" si="6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IF(AA391="非採用",0,IF(OFFSET(マスタ非採用削除!E$4,統合マスタ!$A391,0)="","",OFFSET(マスタ非採用削除!E$4,統合マスタ!$A391,0)))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  <c r="AB391" s="27" t="str">
        <f ca="1">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</f>
        <v>外用剤</v>
      </c>
      <c r="AC391" s="27" t="e" cm="1">
        <f t="array" aca="1" ref="AC391" ca="1">OFFSET(
   INDIRECT("'" &amp; AB391 &amp; "'!A4"),
   MATCH(B391, INDIRECT("'" &amp; AB391 &amp; "'!C5:C1000"), 0),
   MATCH("合計", INDIRECT("'" &amp; AB391 &amp; "'!4:4"), 0) - 1
)</f>
        <v>#REF!</v>
      </c>
    </row>
    <row r="392" spans="1:29">
      <c r="A392" s="40" t="str">
        <f>元データ!P389</f>
        <v>非採用</v>
      </c>
      <c r="B392" s="27">
        <f t="shared" si="6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IF(AA392="非採用",0,IF(OFFSET(マスタ非採用削除!E$4,統合マスタ!$A392,0)="","",OFFSET(マスタ非採用削除!E$4,統合マスタ!$A392,0)))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">
        <v>4214</v>
      </c>
      <c r="AB392" s="27" t="str">
        <f ca="1">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</f>
        <v>無し</v>
      </c>
      <c r="AC392" s="27" t="e" cm="1">
        <f t="array" aca="1" ref="AC392" ca="1">OFFSET(
   INDIRECT("'" &amp; AB392 &amp; "'!A4"),
   MATCH(B392, INDIRECT("'" &amp; AB392 &amp; "'!C5:C1000"), 0),
   MATCH("合計", INDIRECT("'" &amp; AB392 &amp; "'!4:4"), 0) - 1
)</f>
        <v>#REF!</v>
      </c>
    </row>
    <row r="393" spans="1:29">
      <c r="A393" s="40">
        <f>元データ!P390</f>
        <v>334</v>
      </c>
      <c r="B393" s="27">
        <f t="shared" si="6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IF(AA393="非採用",0,IF(OFFSET(マスタ非採用削除!E$4,統合マスタ!$A393,0)="","",OFFSET(マスタ非採用削除!E$4,統合マスタ!$A393,0)))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  <c r="AB393" s="27" t="str">
        <f ca="1">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</f>
        <v>臨時</v>
      </c>
      <c r="AC393" s="27" cm="1">
        <f t="array" aca="1" ref="AC393" ca="1">OFFSET(
   INDIRECT("'" &amp; AB393 &amp; "'!A4"),
   MATCH(B393, INDIRECT("'" &amp; AB393 &amp; "'!C5:C1000"), 0),
   MATCH("合計", INDIRECT("'" &amp; AB393 &amp; "'!4:4"), 0) - 1
)</f>
        <v>0</v>
      </c>
    </row>
    <row r="394" spans="1:29">
      <c r="A394" s="40">
        <f>元データ!P391</f>
        <v>365</v>
      </c>
      <c r="B394" s="27">
        <f t="shared" si="6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IF(AA394="非採用",0,IF(OFFSET(マスタ非採用削除!E$4,統合マスタ!$A394,0)="","",OFFSET(マスタ非採用削除!E$4,統合マスタ!$A394,0)))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  <c r="AB394" s="27" t="str">
        <f ca="1">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</f>
        <v>散剤</v>
      </c>
      <c r="AC394" s="27" cm="1">
        <f t="array" aca="1" ref="AC394" ca="1">OFFSET(
   INDIRECT("'" &amp; AB394 &amp; "'!A4"),
   MATCH(B394, INDIRECT("'" &amp; AB394 &amp; "'!C5:C1000"), 0),
   MATCH("合計", INDIRECT("'" &amp; AB394 &amp; "'!4:4"), 0) - 1
)</f>
        <v>22</v>
      </c>
    </row>
    <row r="395" spans="1:29">
      <c r="A395" s="40">
        <f>元データ!P392</f>
        <v>339</v>
      </c>
      <c r="B395" s="27">
        <f t="shared" si="6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IF(AA395="非採用",0,IF(OFFSET(マスタ非採用削除!E$4,統合マスタ!$A395,0)="","",OFFSET(マスタ非採用削除!E$4,統合マスタ!$A395,0)))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/>
      <c r="AB395" s="27" t="str">
        <f ca="1">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</f>
        <v>錠剤</v>
      </c>
      <c r="AC395" s="27" cm="1">
        <f t="array" aca="1" ref="AC395" ca="1">OFFSET(
   INDIRECT("'" &amp; AB395 &amp; "'!A4"),
   MATCH(B395, INDIRECT("'" &amp; AB395 &amp; "'!C5:C1000"), 0),
   MATCH("合計", INDIRECT("'" &amp; AB395 &amp; "'!4:4"), 0) - 1
)</f>
        <v>161</v>
      </c>
    </row>
    <row r="396" spans="1:29">
      <c r="A396" s="40">
        <f>元データ!P393</f>
        <v>339</v>
      </c>
      <c r="B396" s="27">
        <f t="shared" si="6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IF(AA396="非採用",0,IF(OFFSET(マスタ非採用削除!E$4,統合マスタ!$A396,0)="","",OFFSET(マスタ非採用削除!E$4,統合マスタ!$A396,0)))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/>
      <c r="AB396" s="27" t="str">
        <f ca="1">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</f>
        <v>錠剤</v>
      </c>
      <c r="AC396" s="27" cm="1">
        <f t="array" aca="1" ref="AC396" ca="1">OFFSET(
   INDIRECT("'" &amp; AB396 &amp; "'!A4"),
   MATCH(B396, INDIRECT("'" &amp; AB396 &amp; "'!C5:C1000"), 0),
   MATCH("合計", INDIRECT("'" &amp; AB396 &amp; "'!4:4"), 0) - 1
)</f>
        <v>162</v>
      </c>
    </row>
    <row r="397" spans="1:29">
      <c r="A397" s="40">
        <f>元データ!P394</f>
        <v>337</v>
      </c>
      <c r="B397" s="27">
        <f t="shared" si="6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IF(AA397="非採用",0,IF(OFFSET(マスタ非採用削除!E$4,統合マスタ!$A397,0)="","",OFFSET(マスタ非採用削除!E$4,統合マスタ!$A397,0)))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/>
      <c r="AB397" s="27" t="str">
        <f ca="1">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</f>
        <v>錠剤</v>
      </c>
      <c r="AC397" s="27" cm="1">
        <f t="array" aca="1" ref="AC397" ca="1">OFFSET(
   INDIRECT("'" &amp; AB397 &amp; "'!A4"),
   MATCH(B397, INDIRECT("'" &amp; AB397 &amp; "'!C5:C1000"), 0),
   MATCH("合計", INDIRECT("'" &amp; AB397 &amp; "'!4:4"), 0) - 1
)</f>
        <v>163</v>
      </c>
    </row>
    <row r="398" spans="1:29">
      <c r="A398" s="40">
        <f>元データ!P395</f>
        <v>337</v>
      </c>
      <c r="B398" s="27">
        <f t="shared" si="6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IF(AA398="非採用",0,IF(OFFSET(マスタ非採用削除!E$4,統合マスタ!$A398,0)="","",OFFSET(マスタ非採用削除!E$4,統合マスタ!$A398,0)))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/>
      <c r="AB398" s="27" t="str">
        <f ca="1">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</f>
        <v>錠剤</v>
      </c>
      <c r="AC398" s="27" cm="1">
        <f t="array" aca="1" ref="AC398" ca="1">OFFSET(
   INDIRECT("'" &amp; AB398 &amp; "'!A4"),
   MATCH(B398, INDIRECT("'" &amp; AB398 &amp; "'!C5:C1000"), 0),
   MATCH("合計", INDIRECT("'" &amp; AB398 &amp; "'!4:4"), 0) - 1
)</f>
        <v>164</v>
      </c>
    </row>
    <row r="399" spans="1:29">
      <c r="A399" s="40">
        <f>元データ!P396</f>
        <v>338</v>
      </c>
      <c r="B399" s="27">
        <f t="shared" si="6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IF(AA399="非採用",0,IF(OFFSET(マスタ非採用削除!E$4,統合マスタ!$A399,0)="","",OFFSET(マスタ非採用削除!E$4,統合マスタ!$A399,0)))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/>
      <c r="AB399" s="27" t="str">
        <f ca="1">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</f>
        <v>錠剤</v>
      </c>
      <c r="AC399" s="27" cm="1">
        <f t="array" aca="1" ref="AC399" ca="1">OFFSET(
   INDIRECT("'" &amp; AB399 &amp; "'!A4"),
   MATCH(B399, INDIRECT("'" &amp; AB399 &amp; "'!C5:C1000"), 0),
   MATCH("合計", INDIRECT("'" &amp; AB399 &amp; "'!4:4"), 0) - 1
)</f>
        <v>165</v>
      </c>
    </row>
    <row r="400" spans="1:29">
      <c r="A400" s="40">
        <f>元データ!P397</f>
        <v>338</v>
      </c>
      <c r="B400" s="27">
        <f t="shared" si="6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IF(AA400="非採用",0,IF(OFFSET(マスタ非採用削除!E$4,統合マスタ!$A400,0)="","",OFFSET(マスタ非採用削除!E$4,統合マスタ!$A400,0)))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/>
      <c r="AB400" s="27" t="str">
        <f ca="1">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</f>
        <v>錠剤</v>
      </c>
      <c r="AC400" s="27" cm="1">
        <f t="array" aca="1" ref="AC400" ca="1">OFFSET(
   INDIRECT("'" &amp; AB400 &amp; "'!A4"),
   MATCH(B400, INDIRECT("'" &amp; AB400 &amp; "'!C5:C1000"), 0),
   MATCH("合計", INDIRECT("'" &amp; AB400 &amp; "'!4:4"), 0) - 1
)</f>
        <v>166</v>
      </c>
    </row>
    <row r="401" spans="1:29">
      <c r="A401" s="40">
        <f>元データ!P398</f>
        <v>340</v>
      </c>
      <c r="B401" s="27">
        <f t="shared" si="6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IF(AA401="非採用",0,IF(OFFSET(マスタ非採用削除!E$4,統合マスタ!$A401,0)="","",OFFSET(マスタ非採用削除!E$4,統合マスタ!$A401,0)))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  <c r="AB401" s="27" t="str">
        <f ca="1">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</f>
        <v>臨時</v>
      </c>
      <c r="AC401" s="27" cm="1">
        <f t="array" aca="1" ref="AC401" ca="1">OFFSET(
   INDIRECT("'" &amp; AB401 &amp; "'!A4"),
   MATCH(B401, INDIRECT("'" &amp; AB401 &amp; "'!C5:C1000"), 0),
   MATCH("合計", INDIRECT("'" &amp; AB401 &amp; "'!4:4"), 0) - 1
)</f>
        <v>0</v>
      </c>
    </row>
    <row r="402" spans="1:29">
      <c r="A402" s="40">
        <f>元データ!P399</f>
        <v>341</v>
      </c>
      <c r="B402" s="27">
        <f t="shared" si="6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IF(AA402="非採用",0,IF(OFFSET(マスタ非採用削除!E$4,統合マスタ!$A402,0)="","",OFFSET(マスタ非採用削除!E$4,統合マスタ!$A402,0)))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  <c r="AB402" s="27" t="str">
        <f ca="1">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</f>
        <v>注射</v>
      </c>
      <c r="AC402" s="27" cm="1">
        <f t="array" aca="1" ref="AC402" ca="1">OFFSET(
   INDIRECT("'" &amp; AB402 &amp; "'!A4"),
   MATCH(B402, INDIRECT("'" &amp; AB402 &amp; "'!C5:C1000"), 0),
   MATCH("合計", INDIRECT("'" &amp; AB402 &amp; "'!4:4"), 0) - 1
)</f>
        <v>0</v>
      </c>
    </row>
    <row r="403" spans="1:29">
      <c r="A403" s="40">
        <f>元データ!P400</f>
        <v>342</v>
      </c>
      <c r="B403" s="27">
        <f t="shared" si="6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IF(AA403="非採用",0,IF(OFFSET(マスタ非採用削除!E$4,統合マスタ!$A403,0)="","",OFFSET(マスタ非採用削除!E$4,統合マスタ!$A403,0)))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/>
      <c r="AB403" s="27" t="str">
        <f ca="1">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</f>
        <v>錠剤</v>
      </c>
      <c r="AC403" s="27" cm="1">
        <f t="array" aca="1" ref="AC403" ca="1">OFFSET(
   INDIRECT("'" &amp; AB403 &amp; "'!A4"),
   MATCH(B403, INDIRECT("'" &amp; AB403 &amp; "'!C5:C1000"), 0),
   MATCH("合計", INDIRECT("'" &amp; AB403 &amp; "'!4:4"), 0) - 1
)</f>
        <v>167</v>
      </c>
    </row>
    <row r="404" spans="1:29">
      <c r="A404" s="40">
        <f>元データ!P401</f>
        <v>343</v>
      </c>
      <c r="B404" s="27">
        <f t="shared" si="6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IF(AA404="非採用",0,IF(OFFSET(マスタ非採用削除!E$4,統合マスタ!$A404,0)="","",OFFSET(マスタ非採用削除!E$4,統合マスタ!$A404,0)))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  <c r="AB404" s="27" t="str">
        <f ca="1">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</f>
        <v>錠剤</v>
      </c>
      <c r="AC404" s="27" cm="1">
        <f t="array" aca="1" ref="AC404" ca="1">OFFSET(
   INDIRECT("'" &amp; AB404 &amp; "'!A4"),
   MATCH(B404, INDIRECT("'" &amp; AB404 &amp; "'!C5:C1000"), 0),
   MATCH("合計", INDIRECT("'" &amp; AB404 &amp; "'!4:4"), 0) - 1
)</f>
        <v>168</v>
      </c>
    </row>
    <row r="405" spans="1:29">
      <c r="A405" s="40">
        <f>元データ!P402</f>
        <v>344</v>
      </c>
      <c r="B405" s="27">
        <f t="shared" si="6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IF(AA405="非採用",0,IF(OFFSET(マスタ非採用削除!E$4,統合マスタ!$A405,0)="","",OFFSET(マスタ非採用削除!E$4,統合マスタ!$A405,0)))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/>
      <c r="AB405" s="27" t="str">
        <f ca="1">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</f>
        <v>錠剤</v>
      </c>
      <c r="AC405" s="27" cm="1">
        <f t="array" aca="1" ref="AC405" ca="1">OFFSET(
   INDIRECT("'" &amp; AB405 &amp; "'!A4"),
   MATCH(B405, INDIRECT("'" &amp; AB405 &amp; "'!C5:C1000"), 0),
   MATCH("合計", INDIRECT("'" &amp; AB405 &amp; "'!4:4"), 0) - 1
)</f>
        <v>169</v>
      </c>
    </row>
    <row r="406" spans="1:29">
      <c r="A406" s="40">
        <f>元データ!P403</f>
        <v>346</v>
      </c>
      <c r="B406" s="27">
        <f t="shared" si="6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IF(AA406="非採用",0,IF(OFFSET(マスタ非採用削除!E$4,統合マスタ!$A406,0)="","",OFFSET(マスタ非採用削除!E$4,統合マスタ!$A406,0)))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  <c r="AB406" s="27" t="str">
        <f ca="1">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</f>
        <v>臨時</v>
      </c>
      <c r="AC406" s="27" cm="1">
        <f t="array" aca="1" ref="AC406" ca="1">OFFSET(
   INDIRECT("'" &amp; AB406 &amp; "'!A4"),
   MATCH(B406, INDIRECT("'" &amp; AB406 &amp; "'!C5:C1000"), 0),
   MATCH("合計", INDIRECT("'" &amp; AB406 &amp; "'!4:4"), 0) - 1
)</f>
        <v>0</v>
      </c>
    </row>
    <row r="407" spans="1:29">
      <c r="A407" s="40">
        <f>元データ!P404</f>
        <v>345</v>
      </c>
      <c r="B407" s="27">
        <f t="shared" si="6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IF(AA407="非採用",0,IF(OFFSET(マスタ非採用削除!E$4,統合マスタ!$A407,0)="","",OFFSET(マスタ非採用削除!E$4,統合マスタ!$A407,0)))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  <c r="AB407" s="27" t="str">
        <f ca="1">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</f>
        <v>臨時</v>
      </c>
      <c r="AC407" s="27" cm="1">
        <f t="array" aca="1" ref="AC407" ca="1">OFFSET(
   INDIRECT("'" &amp; AB407 &amp; "'!A4"),
   MATCH(B407, INDIRECT("'" &amp; AB407 &amp; "'!C5:C1000"), 0),
   MATCH("合計", INDIRECT("'" &amp; AB407 &amp; "'!4:4"), 0) - 1
)</f>
        <v>0</v>
      </c>
    </row>
    <row r="408" spans="1:29">
      <c r="A408" s="40">
        <f>元データ!P405</f>
        <v>347</v>
      </c>
      <c r="B408" s="27">
        <f t="shared" si="6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IF(AA408="非採用",0,IF(OFFSET(マスタ非採用削除!E$4,統合マスタ!$A408,0)="","",OFFSET(マスタ非採用削除!E$4,統合マスタ!$A408,0)))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/>
      <c r="AB408" s="27" t="str">
        <f ca="1">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</f>
        <v>錠剤</v>
      </c>
      <c r="AC408" s="27" cm="1">
        <f t="array" aca="1" ref="AC408" ca="1">OFFSET(
   INDIRECT("'" &amp; AB408 &amp; "'!A4"),
   MATCH(B408, INDIRECT("'" &amp; AB408 &amp; "'!C5:C1000"), 0),
   MATCH("合計", INDIRECT("'" &amp; AB408 &amp; "'!4:4"), 0) - 1
)</f>
        <v>170</v>
      </c>
    </row>
    <row r="409" spans="1:29">
      <c r="A409" s="40">
        <f>元データ!P406</f>
        <v>347</v>
      </c>
      <c r="B409" s="27">
        <f t="shared" si="6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IF(AA409="非採用",0,IF(OFFSET(マスタ非採用削除!E$4,統合マスタ!$A409,0)="","",OFFSET(マスタ非採用削除!E$4,統合マスタ!$A409,0)))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/>
      <c r="AB409" s="27" t="str">
        <f ca="1">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</f>
        <v>錠剤</v>
      </c>
      <c r="AC409" s="27" cm="1">
        <f t="array" aca="1" ref="AC409" ca="1">OFFSET(
   INDIRECT("'" &amp; AB409 &amp; "'!A4"),
   MATCH(B409, INDIRECT("'" &amp; AB409 &amp; "'!C5:C1000"), 0),
   MATCH("合計", INDIRECT("'" &amp; AB409 &amp; "'!4:4"), 0) - 1
)</f>
        <v>171</v>
      </c>
    </row>
    <row r="410" spans="1:29">
      <c r="A410" s="40">
        <f>元データ!P407</f>
        <v>348</v>
      </c>
      <c r="B410" s="27">
        <f t="shared" si="6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IF(AA410="非採用",0,IF(OFFSET(マスタ非採用削除!E$4,統合マスタ!$A410,0)="","",OFFSET(マスタ非採用削除!E$4,統合マスタ!$A410,0)))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  <c r="AB410" s="27" t="str">
        <f ca="1">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</f>
        <v>臨時</v>
      </c>
      <c r="AC410" s="27" cm="1">
        <f t="array" aca="1" ref="AC410" ca="1">OFFSET(
   INDIRECT("'" &amp; AB410 &amp; "'!A4"),
   MATCH(B410, INDIRECT("'" &amp; AB410 &amp; "'!C5:C1000"), 0),
   MATCH("合計", INDIRECT("'" &amp; AB410 &amp; "'!4:4"), 0) - 1
)</f>
        <v>0</v>
      </c>
    </row>
    <row r="411" spans="1:29">
      <c r="A411" s="40">
        <f>元データ!P408</f>
        <v>349</v>
      </c>
      <c r="B411" s="27">
        <f t="shared" si="6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IF(AA411="非採用",0,IF(OFFSET(マスタ非採用削除!E$4,統合マスタ!$A411,0)="","",OFFSET(マスタ非採用削除!E$4,統合マスタ!$A411,0)))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  <c r="AB411" s="27" t="str">
        <f ca="1">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</f>
        <v>無し</v>
      </c>
      <c r="AC411" s="27" t="e" cm="1">
        <f t="array" aca="1" ref="AC411" ca="1">OFFSET(
   INDIRECT("'" &amp; AB411 &amp; "'!A4"),
   MATCH(B411, INDIRECT("'" &amp; AB411 &amp; "'!C5:C1000"), 0),
   MATCH("合計", INDIRECT("'" &amp; AB411 &amp; "'!4:4"), 0) - 1
)</f>
        <v>#REF!</v>
      </c>
    </row>
    <row r="412" spans="1:29">
      <c r="A412" s="40">
        <f>元データ!P409</f>
        <v>350</v>
      </c>
      <c r="B412" s="27">
        <f t="shared" si="6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IF(AA412="非採用",0,IF(OFFSET(マスタ非採用削除!E$4,統合マスタ!$A412,0)="","",OFFSET(マスタ非採用削除!E$4,統合マスタ!$A412,0)))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  <c r="AB412" s="27" t="str">
        <f ca="1">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</f>
        <v>注射</v>
      </c>
      <c r="AC412" s="27" cm="1">
        <f t="array" aca="1" ref="AC412" ca="1">OFFSET(
   INDIRECT("'" &amp; AB412 &amp; "'!A4"),
   MATCH(B412, INDIRECT("'" &amp; AB412 &amp; "'!C5:C1000"), 0),
   MATCH("合計", INDIRECT("'" &amp; AB412 &amp; "'!4:4"), 0) - 1
)</f>
        <v>0</v>
      </c>
    </row>
    <row r="413" spans="1:29">
      <c r="A413" s="40">
        <f>元データ!P410</f>
        <v>0</v>
      </c>
      <c r="B413" s="27">
        <f t="shared" si="6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str">
        <f ca="1">IF(OFFSET(マスタ非採用削除!A$4,統合マスタ!$A413,0)="","",OFFSET(マスタ非採用削除!A$4,統合マスタ!$A413,0))</f>
        <v>コード(区分値)</v>
      </c>
      <c r="O413" s="53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3" t="str">
        <f ca="1">IF(OFFSET(マスタ非採用削除!D$4,統合マスタ!$A413,0)="","",OFFSET(マスタ非採用削除!D$4,統合マスタ!$A413,0))</f>
        <v>ホストコード</v>
      </c>
      <c r="R413" s="27" t="str">
        <f ca="1">IF(AA413="非採用",0,IF(OFFSET(マスタ非採用削除!E$4,統合マスタ!$A413,0)="","",OFFSET(マスタ非採用削除!E$4,統合マスタ!$A413,0)))</f>
        <v>採用区分（区分値）(区分値)</v>
      </c>
      <c r="S413" s="53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3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3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場所</v>
      </c>
      <c r="AA413" s="27"/>
      <c r="AB413" s="27" t="str">
        <f ca="1">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</f>
        <v>無し</v>
      </c>
      <c r="AC413" s="27" t="e" cm="1">
        <f t="array" aca="1" ref="AC413" ca="1">OFFSET(
   INDIRECT("'" &amp; AB413 &amp; "'!A4"),
   MATCH(B413, INDIRECT("'" &amp; AB413 &amp; "'!C5:C1000"), 0),
   MATCH("合計", INDIRECT("'" &amp; AB413 &amp; "'!4:4"), 0) - 1
)</f>
        <v>#REF!</v>
      </c>
    </row>
    <row r="414" spans="1:29">
      <c r="A414" s="40" t="str">
        <f>元データ!P411</f>
        <v>非採用</v>
      </c>
      <c r="B414" s="27">
        <f t="shared" si="6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IF(AA414="非採用",0,IF(OFFSET(マスタ非採用削除!E$4,統合マスタ!$A414,0)="","",OFFSET(マスタ非採用削除!E$4,統合マスタ!$A414,0)))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">
        <v>4214</v>
      </c>
      <c r="AB414" s="27" t="str">
        <f ca="1">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</f>
        <v>無し</v>
      </c>
      <c r="AC414" s="27" t="e" cm="1">
        <f t="array" aca="1" ref="AC414" ca="1">OFFSET(
   INDIRECT("'" &amp; AB414 &amp; "'!A4"),
   MATCH(B414, INDIRECT("'" &amp; AB414 &amp; "'!C5:C1000"), 0),
   MATCH("合計", INDIRECT("'" &amp; AB414 &amp; "'!4:4"), 0) - 1
)</f>
        <v>#REF!</v>
      </c>
    </row>
    <row r="415" spans="1:29">
      <c r="A415" s="40">
        <f>元データ!P412</f>
        <v>351</v>
      </c>
      <c r="B415" s="27">
        <f t="shared" si="6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IF(AA415="非採用",0,IF(OFFSET(マスタ非採用削除!E$4,統合マスタ!$A415,0)="","",OFFSET(マスタ非採用削除!E$4,統合マスタ!$A415,0)))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/>
      <c r="AB415" s="27" t="str">
        <f ca="1">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</f>
        <v>錠剤</v>
      </c>
      <c r="AC415" s="27" cm="1">
        <f t="array" aca="1" ref="AC415" ca="1">OFFSET(
   INDIRECT("'" &amp; AB415 &amp; "'!A4"),
   MATCH(B415, INDIRECT("'" &amp; AB415 &amp; "'!C5:C1000"), 0),
   MATCH("合計", INDIRECT("'" &amp; AB415 &amp; "'!4:4"), 0) - 1
)</f>
        <v>172</v>
      </c>
    </row>
    <row r="416" spans="1:29">
      <c r="A416" s="40">
        <f>元データ!P413</f>
        <v>352</v>
      </c>
      <c r="B416" s="27">
        <f t="shared" si="6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IF(AA416="非採用",0,IF(OFFSET(マスタ非採用削除!E$4,統合マスタ!$A416,0)="","",OFFSET(マスタ非採用削除!E$4,統合マスタ!$A416,0)))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  <c r="AB416" s="27" t="str">
        <f ca="1">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</f>
        <v>錠剤</v>
      </c>
      <c r="AC416" s="27" cm="1">
        <f t="array" aca="1" ref="AC416" ca="1">OFFSET(
   INDIRECT("'" &amp; AB416 &amp; "'!A4"),
   MATCH(B416, INDIRECT("'" &amp; AB416 &amp; "'!C5:C1000"), 0),
   MATCH("合計", INDIRECT("'" &amp; AB416 &amp; "'!4:4"), 0) - 1
)</f>
        <v>173</v>
      </c>
    </row>
    <row r="417" spans="1:29">
      <c r="A417" s="40">
        <f>元データ!P414</f>
        <v>353</v>
      </c>
      <c r="B417" s="27">
        <f t="shared" si="6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IF(AA417="非採用",0,IF(OFFSET(マスタ非採用削除!E$4,統合マスタ!$A417,0)="","",OFFSET(マスタ非採用削除!E$4,統合マスタ!$A417,0)))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  <c r="AB417" s="27" t="str">
        <f ca="1">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</f>
        <v>注射</v>
      </c>
      <c r="AC417" s="27" cm="1">
        <f t="array" aca="1" ref="AC417" ca="1">OFFSET(
   INDIRECT("'" &amp; AB417 &amp; "'!A4"),
   MATCH(B417, INDIRECT("'" &amp; AB417 &amp; "'!C5:C1000"), 0),
   MATCH("合計", INDIRECT("'" &amp; AB417 &amp; "'!4:4"), 0) - 1
)</f>
        <v>0</v>
      </c>
    </row>
    <row r="418" spans="1:29">
      <c r="A418" s="40">
        <f>元データ!P415</f>
        <v>354</v>
      </c>
      <c r="B418" s="27">
        <f t="shared" si="6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IF(AA418="非採用",0,IF(OFFSET(マスタ非採用削除!E$4,統合マスタ!$A418,0)="","",OFFSET(マスタ非採用削除!E$4,統合マスタ!$A418,0)))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/>
      <c r="AB418" s="27" t="str">
        <f ca="1">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</f>
        <v>錠剤</v>
      </c>
      <c r="AC418" s="27" cm="1">
        <f t="array" aca="1" ref="AC418" ca="1">OFFSET(
   INDIRECT("'" &amp; AB418 &amp; "'!A4"),
   MATCH(B418, INDIRECT("'" &amp; AB418 &amp; "'!C5:C1000"), 0),
   MATCH("合計", INDIRECT("'" &amp; AB418 &amp; "'!4:4"), 0) - 1
)</f>
        <v>174</v>
      </c>
    </row>
    <row r="419" spans="1:29">
      <c r="A419" s="40">
        <f>元データ!P416</f>
        <v>354</v>
      </c>
      <c r="B419" s="27">
        <f t="shared" si="6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IF(AA419="非採用",0,IF(OFFSET(マスタ非採用削除!E$4,統合マスタ!$A419,0)="","",OFFSET(マスタ非採用削除!E$4,統合マスタ!$A419,0)))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/>
      <c r="AB419" s="27" t="str">
        <f ca="1">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</f>
        <v>錠剤</v>
      </c>
      <c r="AC419" s="27" cm="1">
        <f t="array" aca="1" ref="AC419" ca="1">OFFSET(
   INDIRECT("'" &amp; AB419 &amp; "'!A4"),
   MATCH(B419, INDIRECT("'" &amp; AB419 &amp; "'!C5:C1000"), 0),
   MATCH("合計", INDIRECT("'" &amp; AB419 &amp; "'!4:4"), 0) - 1
)</f>
        <v>175</v>
      </c>
    </row>
    <row r="420" spans="1:29">
      <c r="A420" s="40">
        <f>元データ!P417</f>
        <v>355</v>
      </c>
      <c r="B420" s="27">
        <f t="shared" si="6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IF(AA420="非採用",0,IF(OFFSET(マスタ非採用削除!E$4,統合マスタ!$A420,0)="","",OFFSET(マスタ非採用削除!E$4,統合マスタ!$A420,0)))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/>
      <c r="AB420" s="27" t="str">
        <f ca="1">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</f>
        <v>錠剤</v>
      </c>
      <c r="AC420" s="27" cm="1">
        <f t="array" aca="1" ref="AC420" ca="1">OFFSET(
   INDIRECT("'" &amp; AB420 &amp; "'!A4"),
   MATCH(B420, INDIRECT("'" &amp; AB420 &amp; "'!C5:C1000"), 0),
   MATCH("合計", INDIRECT("'" &amp; AB420 &amp; "'!4:4"), 0) - 1
)</f>
        <v>176</v>
      </c>
    </row>
    <row r="421" spans="1:29">
      <c r="A421" s="40">
        <f>元データ!P418</f>
        <v>356</v>
      </c>
      <c r="B421" s="27">
        <f t="shared" si="6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IF(AA421="非採用",0,IF(OFFSET(マスタ非採用削除!E$4,統合マスタ!$A421,0)="","",OFFSET(マスタ非採用削除!E$4,統合マスタ!$A421,0)))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/>
      <c r="AB421" s="27" t="str">
        <f ca="1">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</f>
        <v>錠剤</v>
      </c>
      <c r="AC421" s="27" cm="1">
        <f t="array" aca="1" ref="AC421" ca="1">OFFSET(
   INDIRECT("'" &amp; AB421 &amp; "'!A4"),
   MATCH(B421, INDIRECT("'" &amp; AB421 &amp; "'!C5:C1000"), 0),
   MATCH("合計", INDIRECT("'" &amp; AB421 &amp; "'!4:4"), 0) - 1
)</f>
        <v>177</v>
      </c>
    </row>
    <row r="422" spans="1:29">
      <c r="A422" s="40">
        <f>元データ!P419</f>
        <v>358</v>
      </c>
      <c r="B422" s="27">
        <f t="shared" si="6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IF(AA422="非採用",0,IF(OFFSET(マスタ非採用削除!E$4,統合マスタ!$A422,0)="","",OFFSET(マスタ非採用削除!E$4,統合マスタ!$A422,0)))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  <c r="AB422" s="27" t="str">
        <f ca="1">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</f>
        <v>臨時</v>
      </c>
      <c r="AC422" s="27" cm="1">
        <f t="array" aca="1" ref="AC422" ca="1">OFFSET(
   INDIRECT("'" &amp; AB422 &amp; "'!A4"),
   MATCH(B422, INDIRECT("'" &amp; AB422 &amp; "'!C5:C1000"), 0),
   MATCH("合計", INDIRECT("'" &amp; AB422 &amp; "'!4:4"), 0) - 1
)</f>
        <v>0</v>
      </c>
    </row>
    <row r="423" spans="1:29">
      <c r="A423" s="40">
        <f>元データ!P420</f>
        <v>359</v>
      </c>
      <c r="B423" s="27">
        <f t="shared" si="6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IF(AA423="非採用",0,IF(OFFSET(マスタ非採用削除!E$4,統合マスタ!$A423,0)="","",OFFSET(マスタ非採用削除!E$4,統合マスタ!$A423,0)))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  <c r="AB423" s="27" t="str">
        <f ca="1">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</f>
        <v>臨時</v>
      </c>
      <c r="AC423" s="27" cm="1">
        <f t="array" aca="1" ref="AC423" ca="1">OFFSET(
   INDIRECT("'" &amp; AB423 &amp; "'!A4"),
   MATCH(B423, INDIRECT("'" &amp; AB423 &amp; "'!C5:C1000"), 0),
   MATCH("合計", INDIRECT("'" &amp; AB423 &amp; "'!4:4"), 0) - 1
)</f>
        <v>0</v>
      </c>
    </row>
    <row r="424" spans="1:29">
      <c r="A424" s="40">
        <f>元データ!P421</f>
        <v>360</v>
      </c>
      <c r="B424" s="27">
        <f t="shared" si="6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IF(AA424="非採用",0,IF(OFFSET(マスタ非採用削除!E$4,統合マスタ!$A424,0)="","",OFFSET(マスタ非採用削除!E$4,統合マスタ!$A424,0)))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  <c r="AB424" s="27" t="str">
        <f ca="1">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</f>
        <v>臨時</v>
      </c>
      <c r="AC424" s="27" cm="1">
        <f t="array" aca="1" ref="AC424" ca="1">OFFSET(
   INDIRECT("'" &amp; AB424 &amp; "'!A4"),
   MATCH(B424, INDIRECT("'" &amp; AB424 &amp; "'!C5:C1000"), 0),
   MATCH("合計", INDIRECT("'" &amp; AB424 &amp; "'!4:4"), 0) - 1
)</f>
        <v>0</v>
      </c>
    </row>
    <row r="425" spans="1:29">
      <c r="A425" s="40">
        <f>元データ!P422</f>
        <v>361</v>
      </c>
      <c r="B425" s="27">
        <f t="shared" si="6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IF(AA425="非採用",0,IF(OFFSET(マスタ非採用削除!E$4,統合マスタ!$A425,0)="","",OFFSET(マスタ非採用削除!E$4,統合マスタ!$A425,0)))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  <c r="AB425" s="27" t="str">
        <f ca="1">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</f>
        <v>臨時</v>
      </c>
      <c r="AC425" s="27" cm="1">
        <f t="array" aca="1" ref="AC425" ca="1">OFFSET(
   INDIRECT("'" &amp; AB425 &amp; "'!A4"),
   MATCH(B425, INDIRECT("'" &amp; AB425 &amp; "'!C5:C1000"), 0),
   MATCH("合計", INDIRECT("'" &amp; AB425 &amp; "'!4:4"), 0) - 1
)</f>
        <v>0</v>
      </c>
    </row>
    <row r="426" spans="1:29">
      <c r="A426" s="40">
        <f>元データ!P423</f>
        <v>362</v>
      </c>
      <c r="B426" s="27">
        <f t="shared" si="6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IF(AA426="非採用",0,IF(OFFSET(マスタ非採用削除!E$4,統合マスタ!$A426,0)="","",OFFSET(マスタ非採用削除!E$4,統合マスタ!$A426,0)))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/>
      <c r="AB426" s="27" t="str">
        <f ca="1">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</f>
        <v>錠剤</v>
      </c>
      <c r="AC426" s="27" cm="1">
        <f t="array" aca="1" ref="AC426" ca="1">OFFSET(
   INDIRECT("'" &amp; AB426 &amp; "'!A4"),
   MATCH(B426, INDIRECT("'" &amp; AB426 &amp; "'!C5:C1000"), 0),
   MATCH("合計", INDIRECT("'" &amp; AB426 &amp; "'!4:4"), 0) - 1
)</f>
        <v>178</v>
      </c>
    </row>
    <row r="427" spans="1:29">
      <c r="A427" s="40">
        <f>元データ!P424</f>
        <v>363</v>
      </c>
      <c r="B427" s="27">
        <f t="shared" si="6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IF(AA427="非採用",0,IF(OFFSET(マスタ非採用削除!E$4,統合マスタ!$A427,0)="","",OFFSET(マスタ非採用削除!E$4,統合マスタ!$A427,0)))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/>
      <c r="AB427" s="27" t="str">
        <f ca="1">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</f>
        <v>錠剤</v>
      </c>
      <c r="AC427" s="27" cm="1">
        <f t="array" aca="1" ref="AC427" ca="1">OFFSET(
   INDIRECT("'" &amp; AB427 &amp; "'!A4"),
   MATCH(B427, INDIRECT("'" &amp; AB427 &amp; "'!C5:C1000"), 0),
   MATCH("合計", INDIRECT("'" &amp; AB427 &amp; "'!4:4"), 0) - 1
)</f>
        <v>179</v>
      </c>
    </row>
    <row r="428" spans="1:29">
      <c r="A428" s="40" t="str">
        <f>元データ!P425</f>
        <v>非採用</v>
      </c>
      <c r="B428" s="27">
        <f t="shared" si="6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IF(AA428="非採用",0,IF(OFFSET(マスタ非採用削除!E$4,統合マスタ!$A428,0)="","",OFFSET(マスタ非採用削除!E$4,統合マスタ!$A428,0)))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4068</v>
      </c>
      <c r="AB428" s="27" t="str">
        <f ca="1">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</f>
        <v>無し</v>
      </c>
      <c r="AC428" s="27" t="e" cm="1">
        <f t="array" aca="1" ref="AC428" ca="1">OFFSET(
   INDIRECT("'" &amp; AB428 &amp; "'!A4"),
   MATCH(B428, INDIRECT("'" &amp; AB428 &amp; "'!C5:C1000"), 0),
   MATCH("合計", INDIRECT("'" &amp; AB428 &amp; "'!4:4"), 0) - 1
)</f>
        <v>#REF!</v>
      </c>
    </row>
    <row r="429" spans="1:29">
      <c r="A429" s="40">
        <f>元データ!P426</f>
        <v>366</v>
      </c>
      <c r="B429" s="27">
        <f t="shared" si="6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IF(AA429="非採用",0,IF(OFFSET(マスタ非採用削除!E$4,統合マスタ!$A429,0)="","",OFFSET(マスタ非採用削除!E$4,統合マスタ!$A429,0)))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/>
      <c r="AB429" s="27" t="str">
        <f ca="1">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</f>
        <v>錠剤</v>
      </c>
      <c r="AC429" s="27" cm="1">
        <f t="array" aca="1" ref="AC429" ca="1">OFFSET(
   INDIRECT("'" &amp; AB429 &amp; "'!A4"),
   MATCH(B429, INDIRECT("'" &amp; AB429 &amp; "'!C5:C1000"), 0),
   MATCH("合計", INDIRECT("'" &amp; AB429 &amp; "'!4:4"), 0) - 1
)</f>
        <v>180</v>
      </c>
    </row>
    <row r="430" spans="1:29">
      <c r="A430" s="40">
        <f>元データ!P427</f>
        <v>367</v>
      </c>
      <c r="B430" s="27">
        <f t="shared" si="6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IF(AA430="非採用",0,IF(OFFSET(マスタ非採用削除!E$4,統合マスタ!$A430,0)="","",OFFSET(マスタ非採用削除!E$4,統合マスタ!$A430,0)))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  <c r="AB430" s="27" t="str">
        <f ca="1">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</f>
        <v>無し</v>
      </c>
      <c r="AC430" s="27" t="e" cm="1">
        <f t="array" aca="1" ref="AC430" ca="1">OFFSET(
   INDIRECT("'" &amp; AB430 &amp; "'!A4"),
   MATCH(B430, INDIRECT("'" &amp; AB430 &amp; "'!C5:C1000"), 0),
   MATCH("合計", INDIRECT("'" &amp; AB430 &amp; "'!4:4"), 0) - 1
)</f>
        <v>#REF!</v>
      </c>
    </row>
    <row r="431" spans="1:29">
      <c r="A431" s="40">
        <f>元データ!P428</f>
        <v>368</v>
      </c>
      <c r="B431" s="27">
        <f t="shared" si="6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IF(AA431="非採用",0,IF(OFFSET(マスタ非採用削除!E$4,統合マスタ!$A431,0)="","",OFFSET(マスタ非採用削除!E$4,統合マスタ!$A431,0)))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  <c r="AB431" s="27" t="str">
        <f ca="1">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</f>
        <v>錠剤</v>
      </c>
      <c r="AC431" s="27" cm="1">
        <f t="array" aca="1" ref="AC431" ca="1">OFFSET(
   INDIRECT("'" &amp; AB431 &amp; "'!A4"),
   MATCH(B431, INDIRECT("'" &amp; AB431 &amp; "'!C5:C1000"), 0),
   MATCH("合計", INDIRECT("'" &amp; AB431 &amp; "'!4:4"), 0) - 1
)</f>
        <v>181</v>
      </c>
    </row>
    <row r="432" spans="1:29">
      <c r="A432" s="40">
        <f>元データ!P429</f>
        <v>370</v>
      </c>
      <c r="B432" s="27">
        <f t="shared" si="6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IF(AA432="非採用",0,IF(OFFSET(マスタ非採用削除!E$4,統合マスタ!$A432,0)="","",OFFSET(マスタ非採用削除!E$4,統合マスタ!$A432,0)))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/>
      <c r="AB432" s="27" t="str">
        <f ca="1">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</f>
        <v>錠剤</v>
      </c>
      <c r="AC432" s="27" cm="1">
        <f t="array" aca="1" ref="AC432" ca="1">OFFSET(
   INDIRECT("'" &amp; AB432 &amp; "'!A4"),
   MATCH(B432, INDIRECT("'" &amp; AB432 &amp; "'!C5:C1000"), 0),
   MATCH("合計", INDIRECT("'" &amp; AB432 &amp; "'!4:4"), 0) - 1
)</f>
        <v>182</v>
      </c>
    </row>
    <row r="433" spans="1:29">
      <c r="A433" s="40">
        <f>元データ!P430</f>
        <v>371</v>
      </c>
      <c r="B433" s="27">
        <f t="shared" si="6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IF(AA433="非採用",0,IF(OFFSET(マスタ非採用削除!E$4,統合マスタ!$A433,0)="","",OFFSET(マスタ非採用削除!E$4,統合マスタ!$A433,0)))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/>
      <c r="AB433" s="27" t="str">
        <f ca="1">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</f>
        <v>錠剤</v>
      </c>
      <c r="AC433" s="27" cm="1">
        <f t="array" aca="1" ref="AC433" ca="1">OFFSET(
   INDIRECT("'" &amp; AB433 &amp; "'!A4"),
   MATCH(B433, INDIRECT("'" &amp; AB433 &amp; "'!C5:C1000"), 0),
   MATCH("合計", INDIRECT("'" &amp; AB433 &amp; "'!4:4"), 0) - 1
)</f>
        <v>183</v>
      </c>
    </row>
    <row r="434" spans="1:29">
      <c r="A434" s="40">
        <f>元データ!P431</f>
        <v>372</v>
      </c>
      <c r="B434" s="27">
        <f t="shared" si="6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IF(AA434="非採用",0,IF(OFFSET(マスタ非採用削除!E$4,統合マスタ!$A434,0)="","",OFFSET(マスタ非採用削除!E$4,統合マスタ!$A434,0)))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  <c r="AB434" s="27" t="str">
        <f ca="1">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</f>
        <v>外用剤</v>
      </c>
      <c r="AC434" s="27" t="e" cm="1">
        <f t="array" aca="1" ref="AC434" ca="1">OFFSET(
   INDIRECT("'" &amp; AB434 &amp; "'!A4"),
   MATCH(B434, INDIRECT("'" &amp; AB434 &amp; "'!C5:C1000"), 0),
   MATCH("合計", INDIRECT("'" &amp; AB434 &amp; "'!4:4"), 0) - 1
)</f>
        <v>#REF!</v>
      </c>
    </row>
    <row r="435" spans="1:29">
      <c r="A435" s="40">
        <f>元データ!P432</f>
        <v>373</v>
      </c>
      <c r="B435" s="27">
        <f t="shared" si="6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IF(AA435="非採用",0,IF(OFFSET(マスタ非採用削除!E$4,統合マスタ!$A435,0)="","",OFFSET(マスタ非採用削除!E$4,統合マスタ!$A435,0)))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  <c r="AB435" s="27" t="str">
        <f ca="1">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</f>
        <v>外用剤</v>
      </c>
      <c r="AC435" s="27" t="e" cm="1">
        <f t="array" aca="1" ref="AC435" ca="1">OFFSET(
   INDIRECT("'" &amp; AB435 &amp; "'!A4"),
   MATCH(B435, INDIRECT("'" &amp; AB435 &amp; "'!C5:C1000"), 0),
   MATCH("合計", INDIRECT("'" &amp; AB435 &amp; "'!4:4"), 0) - 1
)</f>
        <v>#REF!</v>
      </c>
    </row>
    <row r="436" spans="1:29">
      <c r="A436" s="40">
        <f>元データ!P433</f>
        <v>374</v>
      </c>
      <c r="B436" s="27">
        <f t="shared" si="6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IF(AA436="非採用",0,IF(OFFSET(マスタ非採用削除!E$4,統合マスタ!$A436,0)="","",OFFSET(マスタ非採用削除!E$4,統合マスタ!$A436,0)))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  <c r="AB436" s="27" t="str">
        <f ca="1">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</f>
        <v>錠剤</v>
      </c>
      <c r="AC436" s="27" cm="1">
        <f t="array" aca="1" ref="AC436" ca="1">OFFSET(
   INDIRECT("'" &amp; AB436 &amp; "'!A4"),
   MATCH(B436, INDIRECT("'" &amp; AB436 &amp; "'!C5:C1000"), 0),
   MATCH("合計", INDIRECT("'" &amp; AB436 &amp; "'!4:4"), 0) - 1
)</f>
        <v>184</v>
      </c>
    </row>
    <row r="437" spans="1:29">
      <c r="A437" s="40">
        <f>元データ!P434</f>
        <v>375</v>
      </c>
      <c r="B437" s="27">
        <f t="shared" si="6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IF(AA437="非採用",0,IF(OFFSET(マスタ非採用削除!E$4,統合マスタ!$A437,0)="","",OFFSET(マスタ非採用削除!E$4,統合マスタ!$A437,0)))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  <c r="AB437" s="27" t="str">
        <f ca="1">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</f>
        <v>無し</v>
      </c>
      <c r="AC437" s="27" t="e" cm="1">
        <f t="array" aca="1" ref="AC437" ca="1">OFFSET(
   INDIRECT("'" &amp; AB437 &amp; "'!A4"),
   MATCH(B437, INDIRECT("'" &amp; AB437 &amp; "'!C5:C1000"), 0),
   MATCH("合計", INDIRECT("'" &amp; AB437 &amp; "'!4:4"), 0) - 1
)</f>
        <v>#REF!</v>
      </c>
    </row>
    <row r="438" spans="1:29">
      <c r="A438" s="40">
        <f>元データ!P435</f>
        <v>377</v>
      </c>
      <c r="B438" s="27">
        <f t="shared" si="6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IF(AA438="非採用",0,IF(OFFSET(マスタ非採用削除!E$4,統合マスタ!$A438,0)="","",OFFSET(マスタ非採用削除!E$4,統合マスタ!$A438,0)))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  <c r="AB438" s="27" t="str">
        <f ca="1">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</f>
        <v>臨時</v>
      </c>
      <c r="AC438" s="27" cm="1">
        <f t="array" aca="1" ref="AC438" ca="1">OFFSET(
   INDIRECT("'" &amp; AB438 &amp; "'!A4"),
   MATCH(B438, INDIRECT("'" &amp; AB438 &amp; "'!C5:C1000"), 0),
   MATCH("合計", INDIRECT("'" &amp; AB438 &amp; "'!4:4"), 0) - 1
)</f>
        <v>0</v>
      </c>
    </row>
    <row r="439" spans="1:29">
      <c r="A439" s="40">
        <f>元データ!P436</f>
        <v>378</v>
      </c>
      <c r="B439" s="27">
        <f t="shared" si="6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IF(AA439="非採用",0,IF(OFFSET(マスタ非採用削除!E$4,統合マスタ!$A439,0)="","",OFFSET(マスタ非採用削除!E$4,統合マスタ!$A439,0)))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  <c r="AB439" s="27" t="str">
        <f ca="1">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</f>
        <v>臨時</v>
      </c>
      <c r="AC439" s="27" cm="1">
        <f t="array" aca="1" ref="AC439" ca="1">OFFSET(
   INDIRECT("'" &amp; AB439 &amp; "'!A4"),
   MATCH(B439, INDIRECT("'" &amp; AB439 &amp; "'!C5:C1000"), 0),
   MATCH("合計", INDIRECT("'" &amp; AB439 &amp; "'!4:4"), 0) - 1
)</f>
        <v>0</v>
      </c>
    </row>
    <row r="440" spans="1:29">
      <c r="A440" s="40">
        <f>元データ!P437</f>
        <v>380</v>
      </c>
      <c r="B440" s="27">
        <f t="shared" si="6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IF(AA440="非採用",0,IF(OFFSET(マスタ非採用削除!E$4,統合マスタ!$A440,0)="","",OFFSET(マスタ非採用削除!E$4,統合マスタ!$A440,0)))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/>
      <c r="AB440" s="27" t="str">
        <f ca="1">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</f>
        <v>錠剤</v>
      </c>
      <c r="AC440" s="27" cm="1">
        <f t="array" aca="1" ref="AC440" ca="1">OFFSET(
   INDIRECT("'" &amp; AB440 &amp; "'!A4"),
   MATCH(B440, INDIRECT("'" &amp; AB440 &amp; "'!C5:C1000"), 0),
   MATCH("合計", INDIRECT("'" &amp; AB440 &amp; "'!4:4"), 0) - 1
)</f>
        <v>185</v>
      </c>
    </row>
    <row r="441" spans="1:29">
      <c r="A441" s="40">
        <f>元データ!P438</f>
        <v>379</v>
      </c>
      <c r="B441" s="27">
        <f t="shared" si="6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IF(AA441="非採用",0,IF(OFFSET(マスタ非採用削除!E$4,統合マスタ!$A441,0)="","",OFFSET(マスタ非採用削除!E$4,統合マスタ!$A441,0)))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/>
      <c r="AB441" s="27" t="str">
        <f ca="1">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</f>
        <v>錠剤</v>
      </c>
      <c r="AC441" s="27" cm="1">
        <f t="array" aca="1" ref="AC441" ca="1">OFFSET(
   INDIRECT("'" &amp; AB441 &amp; "'!A4"),
   MATCH(B441, INDIRECT("'" &amp; AB441 &amp; "'!C5:C1000"), 0),
   MATCH("合計", INDIRECT("'" &amp; AB441 &amp; "'!4:4"), 0) - 1
)</f>
        <v>186</v>
      </c>
    </row>
    <row r="442" spans="1:29">
      <c r="A442" s="40" t="str">
        <f>元データ!P439</f>
        <v>非採用</v>
      </c>
      <c r="B442" s="27">
        <f t="shared" si="6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IF(AA442="非採用",0,IF(OFFSET(マスタ非採用削除!E$4,統合マスタ!$A442,0)="","",OFFSET(マスタ非採用削除!E$4,統合マスタ!$A442,0)))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">
        <v>4214</v>
      </c>
      <c r="AB442" s="27" t="str">
        <f ca="1">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</f>
        <v>無し</v>
      </c>
      <c r="AC442" s="27" t="e" cm="1">
        <f t="array" aca="1" ref="AC442" ca="1">OFFSET(
   INDIRECT("'" &amp; AB442 &amp; "'!A4"),
   MATCH(B442, INDIRECT("'" &amp; AB442 &amp; "'!C5:C1000"), 0),
   MATCH("合計", INDIRECT("'" &amp; AB442 &amp; "'!4:4"), 0) - 1
)</f>
        <v>#REF!</v>
      </c>
    </row>
    <row r="443" spans="1:29">
      <c r="A443" s="40">
        <f>元データ!P440</f>
        <v>382</v>
      </c>
      <c r="B443" s="27">
        <f t="shared" si="6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IF(AA443="非採用",0,IF(OFFSET(マスタ非採用削除!E$4,統合マスタ!$A443,0)="","",OFFSET(マスタ非採用削除!E$4,統合マスタ!$A443,0)))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  <c r="AB443" s="27" t="str">
        <f ca="1">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</f>
        <v>錠剤</v>
      </c>
      <c r="AC443" s="27" cm="1">
        <f t="array" aca="1" ref="AC443" ca="1">OFFSET(
   INDIRECT("'" &amp; AB443 &amp; "'!A4"),
   MATCH(B443, INDIRECT("'" &amp; AB443 &amp; "'!C5:C1000"), 0),
   MATCH("合計", INDIRECT("'" &amp; AB443 &amp; "'!4:4"), 0) - 1
)</f>
        <v>187</v>
      </c>
    </row>
    <row r="444" spans="1:29">
      <c r="A444" s="40">
        <f>元データ!P441</f>
        <v>383</v>
      </c>
      <c r="B444" s="27">
        <f t="shared" si="6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IF(AA444="非採用",0,IF(OFFSET(マスタ非採用削除!E$4,統合マスタ!$A444,0)="","",OFFSET(マスタ非採用削除!E$4,統合マスタ!$A444,0)))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  <c r="AB444" s="27" t="str">
        <f ca="1">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</f>
        <v>臨時</v>
      </c>
      <c r="AC444" s="27" cm="1">
        <f t="array" aca="1" ref="AC444" ca="1">OFFSET(
   INDIRECT("'" &amp; AB444 &amp; "'!A4"),
   MATCH(B444, INDIRECT("'" &amp; AB444 &amp; "'!C5:C1000"), 0),
   MATCH("合計", INDIRECT("'" &amp; AB444 &amp; "'!4:4"), 0) - 1
)</f>
        <v>0</v>
      </c>
    </row>
    <row r="445" spans="1:29">
      <c r="A445" s="40">
        <f>元データ!P442</f>
        <v>384</v>
      </c>
      <c r="B445" s="27">
        <f t="shared" si="6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IF(AA445="非採用",0,IF(OFFSET(マスタ非採用削除!E$4,統合マスタ!$A445,0)="","",OFFSET(マスタ非採用削除!E$4,統合マスタ!$A445,0)))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/>
      <c r="AB445" s="27" t="str">
        <f ca="1">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</f>
        <v>錠剤</v>
      </c>
      <c r="AC445" s="27" cm="1">
        <f t="array" aca="1" ref="AC445" ca="1">OFFSET(
   INDIRECT("'" &amp; AB445 &amp; "'!A4"),
   MATCH(B445, INDIRECT("'" &amp; AB445 &amp; "'!C5:C1000"), 0),
   MATCH("合計", INDIRECT("'" &amp; AB445 &amp; "'!4:4"), 0) - 1
)</f>
        <v>188</v>
      </c>
    </row>
    <row r="446" spans="1:29">
      <c r="A446" s="40">
        <f>元データ!P443</f>
        <v>386</v>
      </c>
      <c r="B446" s="27">
        <f t="shared" si="6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IF(AA446="非採用",0,IF(OFFSET(マスタ非採用削除!E$4,統合マスタ!$A446,0)="","",OFFSET(マスタ非採用削除!E$4,統合マスタ!$A446,0)))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  <c r="AB446" s="27" t="str">
        <f ca="1">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</f>
        <v>注射</v>
      </c>
      <c r="AC446" s="27" cm="1">
        <f t="array" aca="1" ref="AC446" ca="1">OFFSET(
   INDIRECT("'" &amp; AB446 &amp; "'!A4"),
   MATCH(B446, INDIRECT("'" &amp; AB446 &amp; "'!C5:C1000"), 0),
   MATCH("合計", INDIRECT("'" &amp; AB446 &amp; "'!4:4"), 0) - 1
)</f>
        <v>0</v>
      </c>
    </row>
    <row r="447" spans="1:29">
      <c r="A447" s="40">
        <f>元データ!P444</f>
        <v>385</v>
      </c>
      <c r="B447" s="27">
        <f t="shared" si="6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IF(AA447="非採用",0,IF(OFFSET(マスタ非採用削除!E$4,統合マスタ!$A447,0)="","",OFFSET(マスタ非採用削除!E$4,統合マスタ!$A447,0)))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  <c r="AB447" s="27" t="str">
        <f ca="1">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</f>
        <v>注射</v>
      </c>
      <c r="AC447" s="27" cm="1">
        <f t="array" aca="1" ref="AC447" ca="1">OFFSET(
   INDIRECT("'" &amp; AB447 &amp; "'!A4"),
   MATCH(B447, INDIRECT("'" &amp; AB447 &amp; "'!C5:C1000"), 0),
   MATCH("合計", INDIRECT("'" &amp; AB447 &amp; "'!4:4"), 0) - 1
)</f>
        <v>0</v>
      </c>
    </row>
    <row r="448" spans="1:29">
      <c r="A448" s="40">
        <f>元データ!P445</f>
        <v>387</v>
      </c>
      <c r="B448" s="27">
        <f t="shared" si="6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IF(AA448="非採用",0,IF(OFFSET(マスタ非採用削除!E$4,統合マスタ!$A448,0)="","",OFFSET(マスタ非採用削除!E$4,統合マスタ!$A448,0)))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  <c r="AB448" s="27" t="str">
        <f ca="1">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</f>
        <v>外用剤</v>
      </c>
      <c r="AC448" s="27" t="e" cm="1">
        <f t="array" aca="1" ref="AC448" ca="1">OFFSET(
   INDIRECT("'" &amp; AB448 &amp; "'!A4"),
   MATCH(B448, INDIRECT("'" &amp; AB448 &amp; "'!C5:C1000"), 0),
   MATCH("合計", INDIRECT("'" &amp; AB448 &amp; "'!4:4"), 0) - 1
)</f>
        <v>#REF!</v>
      </c>
    </row>
    <row r="449" spans="1:29">
      <c r="A449" s="40">
        <f>元データ!P446</f>
        <v>388</v>
      </c>
      <c r="B449" s="27">
        <f t="shared" si="6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IF(AA449="非採用",0,IF(OFFSET(マスタ非採用削除!E$4,統合マスタ!$A449,0)="","",OFFSET(マスタ非採用削除!E$4,統合マスタ!$A449,0)))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/>
      <c r="AB449" s="27" t="str">
        <f ca="1">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</f>
        <v>錠剤</v>
      </c>
      <c r="AC449" s="27" cm="1">
        <f t="array" aca="1" ref="AC449" ca="1">OFFSET(
   INDIRECT("'" &amp; AB449 &amp; "'!A4"),
   MATCH(B449, INDIRECT("'" &amp; AB449 &amp; "'!C5:C1000"), 0),
   MATCH("合計", INDIRECT("'" &amp; AB449 &amp; "'!4:4"), 0) - 1
)</f>
        <v>189</v>
      </c>
    </row>
    <row r="450" spans="1:29">
      <c r="A450" s="40">
        <f>元データ!P447</f>
        <v>389</v>
      </c>
      <c r="B450" s="27">
        <f t="shared" si="6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IF(AA450="非採用",0,IF(OFFSET(マスタ非採用削除!E$4,統合マスタ!$A450,0)="","",OFFSET(マスタ非採用削除!E$4,統合マスタ!$A450,0)))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/>
      <c r="AB450" s="27" t="str">
        <f ca="1">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</f>
        <v>錠剤</v>
      </c>
      <c r="AC450" s="27" cm="1">
        <f t="array" aca="1" ref="AC450" ca="1">OFFSET(
   INDIRECT("'" &amp; AB450 &amp; "'!A4"),
   MATCH(B450, INDIRECT("'" &amp; AB450 &amp; "'!C5:C1000"), 0),
   MATCH("合計", INDIRECT("'" &amp; AB450 &amp; "'!4:4"), 0) - 1
)</f>
        <v>190</v>
      </c>
    </row>
    <row r="451" spans="1:29">
      <c r="A451" s="40">
        <f>元データ!P448</f>
        <v>389</v>
      </c>
      <c r="B451" s="27">
        <f t="shared" si="6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IF(AA451="非採用",0,IF(OFFSET(マスタ非採用削除!E$4,統合マスタ!$A451,0)="","",OFFSET(マスタ非採用削除!E$4,統合マスタ!$A451,0)))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/>
      <c r="AB451" s="27" t="str">
        <f ca="1">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</f>
        <v>錠剤</v>
      </c>
      <c r="AC451" s="27" cm="1">
        <f t="array" aca="1" ref="AC451" ca="1">OFFSET(
   INDIRECT("'" &amp; AB451 &amp; "'!A4"),
   MATCH(B451, INDIRECT("'" &amp; AB451 &amp; "'!C5:C1000"), 0),
   MATCH("合計", INDIRECT("'" &amp; AB451 &amp; "'!4:4"), 0) - 1
)</f>
        <v>191</v>
      </c>
    </row>
    <row r="452" spans="1:29">
      <c r="A452" s="40" t="str">
        <f>元データ!P449</f>
        <v>非採用</v>
      </c>
      <c r="B452" s="27">
        <f t="shared" si="6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IF(AA452="非採用",0,IF(OFFSET(マスタ非採用削除!E$4,統合マスタ!$A452,0)="","",OFFSET(マスタ非採用削除!E$4,統合マスタ!$A452,0)))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4068</v>
      </c>
      <c r="AB452" s="27" t="str">
        <f ca="1">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</f>
        <v>無し</v>
      </c>
      <c r="AC452" s="27" t="e" cm="1">
        <f t="array" aca="1" ref="AC452" ca="1">OFFSET(
   INDIRECT("'" &amp; AB452 &amp; "'!A4"),
   MATCH(B452, INDIRECT("'" &amp; AB452 &amp; "'!C5:C1000"), 0),
   MATCH("合計", INDIRECT("'" &amp; AB452 &amp; "'!4:4"), 0) - 1
)</f>
        <v>#REF!</v>
      </c>
    </row>
    <row r="453" spans="1:29">
      <c r="A453" s="40">
        <f>元データ!P450</f>
        <v>390</v>
      </c>
      <c r="B453" s="27">
        <f t="shared" si="6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IF(AA453="非採用",0,IF(OFFSET(マスタ非採用削除!E$4,統合マスタ!$A453,0)="","",OFFSET(マスタ非採用削除!E$4,統合マスタ!$A453,0)))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  <c r="AB453" s="27" t="str">
        <f ca="1">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</f>
        <v>臨時</v>
      </c>
      <c r="AC453" s="27" cm="1">
        <f t="array" aca="1" ref="AC453" ca="1">OFFSET(
   INDIRECT("'" &amp; AB453 &amp; "'!A4"),
   MATCH(B453, INDIRECT("'" &amp; AB453 &amp; "'!C5:C1000"), 0),
   MATCH("合計", INDIRECT("'" &amp; AB453 &amp; "'!4:4"), 0) - 1
)</f>
        <v>0</v>
      </c>
    </row>
    <row r="454" spans="1:29">
      <c r="A454" s="40">
        <f>元データ!P451</f>
        <v>391</v>
      </c>
      <c r="B454" s="27">
        <f t="shared" si="6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IF(AA454="非採用",0,IF(OFFSET(マスタ非採用削除!E$4,統合マスタ!$A454,0)="","",OFFSET(マスタ非採用削除!E$4,統合マスタ!$A454,0)))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  <c r="AB454" s="27" t="str">
        <f ca="1">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</f>
        <v>注射</v>
      </c>
      <c r="AC454" s="27" cm="1">
        <f t="array" aca="1" ref="AC454" ca="1">OFFSET(
   INDIRECT("'" &amp; AB454 &amp; "'!A4"),
   MATCH(B454, INDIRECT("'" &amp; AB454 &amp; "'!C5:C1000"), 0),
   MATCH("合計", INDIRECT("'" &amp; AB454 &amp; "'!4:4"), 0) - 1
)</f>
        <v>0</v>
      </c>
    </row>
    <row r="455" spans="1:29">
      <c r="A455" s="40">
        <f>元データ!P452</f>
        <v>399</v>
      </c>
      <c r="B455" s="27">
        <f t="shared" ref="B455:B518" si="7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IF(AA455="非採用",0,IF(OFFSET(マスタ非採用削除!E$4,統合マスタ!$A455,0)="","",OFFSET(マスタ非採用削除!E$4,統合マスタ!$A455,0)))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  <c r="AB455" s="27" t="str">
        <f ca="1">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</f>
        <v>臨時</v>
      </c>
      <c r="AC455" s="27" cm="1">
        <f t="array" aca="1" ref="AC455" ca="1">OFFSET(
   INDIRECT("'" &amp; AB455 &amp; "'!A4"),
   MATCH(B455, INDIRECT("'" &amp; AB455 &amp; "'!C5:C1000"), 0),
   MATCH("合計", INDIRECT("'" &amp; AB455 &amp; "'!4:4"), 0) - 1
)</f>
        <v>0</v>
      </c>
    </row>
    <row r="456" spans="1:29">
      <c r="A456" s="40">
        <f>元データ!P453</f>
        <v>392</v>
      </c>
      <c r="B456" s="27">
        <f t="shared" si="7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IF(AA456="非採用",0,IF(OFFSET(マスタ非採用削除!E$4,統合マスタ!$A456,0)="","",OFFSET(マスタ非採用削除!E$4,統合マスタ!$A456,0)))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/>
      <c r="AB456" s="27" t="str">
        <f ca="1">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</f>
        <v>錠剤</v>
      </c>
      <c r="AC456" s="27" cm="1">
        <f t="array" aca="1" ref="AC456" ca="1">OFFSET(
   INDIRECT("'" &amp; AB456 &amp; "'!A4"),
   MATCH(B456, INDIRECT("'" &amp; AB456 &amp; "'!C5:C1000"), 0),
   MATCH("合計", INDIRECT("'" &amp; AB456 &amp; "'!4:4"), 0) - 1
)</f>
        <v>192</v>
      </c>
    </row>
    <row r="457" spans="1:29">
      <c r="A457" s="40">
        <f>元データ!P454</f>
        <v>393</v>
      </c>
      <c r="B457" s="27">
        <f t="shared" si="7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IF(AA457="非採用",0,IF(OFFSET(マスタ非採用削除!E$4,統合マスタ!$A457,0)="","",OFFSET(マスタ非採用削除!E$4,統合マスタ!$A457,0)))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/>
      <c r="AB457" s="27" t="str">
        <f ca="1">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</f>
        <v>錠剤</v>
      </c>
      <c r="AC457" s="27" cm="1">
        <f t="array" aca="1" ref="AC457" ca="1">OFFSET(
   INDIRECT("'" &amp; AB457 &amp; "'!A4"),
   MATCH(B457, INDIRECT("'" &amp; AB457 &amp; "'!C5:C1000"), 0),
   MATCH("合計", INDIRECT("'" &amp; AB457 &amp; "'!4:4"), 0) - 1
)</f>
        <v>193</v>
      </c>
    </row>
    <row r="458" spans="1:29">
      <c r="A458" s="40">
        <f>元データ!P455</f>
        <v>393</v>
      </c>
      <c r="B458" s="27">
        <f t="shared" si="7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IF(AA458="非採用",0,IF(OFFSET(マスタ非採用削除!E$4,統合マスタ!$A458,0)="","",OFFSET(マスタ非採用削除!E$4,統合マスタ!$A458,0)))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/>
      <c r="AB458" s="27" t="str">
        <f ca="1">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</f>
        <v>錠剤</v>
      </c>
      <c r="AC458" s="27" cm="1">
        <f t="array" aca="1" ref="AC458" ca="1">OFFSET(
   INDIRECT("'" &amp; AB458 &amp; "'!A4"),
   MATCH(B458, INDIRECT("'" &amp; AB458 &amp; "'!C5:C1000"), 0),
   MATCH("合計", INDIRECT("'" &amp; AB458 &amp; "'!4:4"), 0) - 1
)</f>
        <v>194</v>
      </c>
    </row>
    <row r="459" spans="1:29">
      <c r="A459" s="40">
        <f>元データ!P456</f>
        <v>397</v>
      </c>
      <c r="B459" s="27">
        <f t="shared" si="7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IF(AA459="非採用",0,IF(OFFSET(マスタ非採用削除!E$4,統合マスタ!$A459,0)="","",OFFSET(マスタ非採用削除!E$4,統合マスタ!$A459,0)))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/>
      <c r="AB459" s="27" t="str">
        <f ca="1">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</f>
        <v>錠剤</v>
      </c>
      <c r="AC459" s="27" cm="1">
        <f t="array" aca="1" ref="AC459" ca="1">OFFSET(
   INDIRECT("'" &amp; AB459 &amp; "'!A4"),
   MATCH(B459, INDIRECT("'" &amp; AB459 &amp; "'!C5:C1000"), 0),
   MATCH("合計", INDIRECT("'" &amp; AB459 &amp; "'!4:4"), 0) - 1
)</f>
        <v>195</v>
      </c>
    </row>
    <row r="460" spans="1:29">
      <c r="A460" s="40">
        <f>元データ!P457</f>
        <v>398</v>
      </c>
      <c r="B460" s="27">
        <f t="shared" si="7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IF(AA460="非採用",0,IF(OFFSET(マスタ非採用削除!E$4,統合マスタ!$A460,0)="","",OFFSET(マスタ非採用削除!E$4,統合マスタ!$A460,0)))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  <c r="AB460" s="27" t="str">
        <f ca="1">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</f>
        <v>錠剤</v>
      </c>
      <c r="AC460" s="27" cm="1">
        <f t="array" aca="1" ref="AC460" ca="1">OFFSET(
   INDIRECT("'" &amp; AB460 &amp; "'!A4"),
   MATCH(B460, INDIRECT("'" &amp; AB460 &amp; "'!C5:C1000"), 0),
   MATCH("合計", INDIRECT("'" &amp; AB460 &amp; "'!4:4"), 0) - 1
)</f>
        <v>196</v>
      </c>
    </row>
    <row r="461" spans="1:29">
      <c r="A461" s="40">
        <f>元データ!P458</f>
        <v>400</v>
      </c>
      <c r="B461" s="27">
        <f t="shared" si="7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IF(AA461="非採用",0,IF(OFFSET(マスタ非採用削除!E$4,統合マスタ!$A461,0)="","",OFFSET(マスタ非採用削除!E$4,統合マスタ!$A461,0)))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  <c r="AB461" s="27" t="str">
        <f ca="1">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</f>
        <v>注射</v>
      </c>
      <c r="AC461" s="27" cm="1">
        <f t="array" aca="1" ref="AC461" ca="1">OFFSET(
   INDIRECT("'" &amp; AB461 &amp; "'!A4"),
   MATCH(B461, INDIRECT("'" &amp; AB461 &amp; "'!C5:C1000"), 0),
   MATCH("合計", INDIRECT("'" &amp; AB461 &amp; "'!4:4"), 0) - 1
)</f>
        <v>0</v>
      </c>
    </row>
    <row r="462" spans="1:29">
      <c r="A462" s="40">
        <f>元データ!P459</f>
        <v>401</v>
      </c>
      <c r="B462" s="27">
        <f t="shared" si="7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IF(AA462="非採用",0,IF(OFFSET(マスタ非採用削除!E$4,統合マスタ!$A462,0)="","",OFFSET(マスタ非採用削除!E$4,統合マスタ!$A462,0)))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  <c r="AB462" s="27" t="str">
        <f ca="1">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</f>
        <v>錠剤</v>
      </c>
      <c r="AC462" s="27" cm="1">
        <f t="array" aca="1" ref="AC462" ca="1">OFFSET(
   INDIRECT("'" &amp; AB462 &amp; "'!A4"),
   MATCH(B462, INDIRECT("'" &amp; AB462 &amp; "'!C5:C1000"), 0),
   MATCH("合計", INDIRECT("'" &amp; AB462 &amp; "'!4:4"), 0) - 1
)</f>
        <v>197</v>
      </c>
    </row>
    <row r="463" spans="1:29">
      <c r="A463" s="40">
        <f>元データ!P460</f>
        <v>572</v>
      </c>
      <c r="B463" s="27">
        <f t="shared" si="7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IF(AA463="非採用",0,IF(OFFSET(マスタ非採用削除!E$4,統合マスタ!$A463,0)="","",OFFSET(マスタ非採用削除!E$4,統合マスタ!$A463,0)))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  <c r="AB463" s="27" t="str">
        <f ca="1">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</f>
        <v>臨時</v>
      </c>
      <c r="AC463" s="27" cm="1">
        <f t="array" aca="1" ref="AC463" ca="1">OFFSET(
   INDIRECT("'" &amp; AB463 &amp; "'!A4"),
   MATCH(B463, INDIRECT("'" &amp; AB463 &amp; "'!C5:C1000"), 0),
   MATCH("合計", INDIRECT("'" &amp; AB463 &amp; "'!4:4"), 0) - 1
)</f>
        <v>0</v>
      </c>
    </row>
    <row r="464" spans="1:29">
      <c r="A464" s="40">
        <f>元データ!P461</f>
        <v>403</v>
      </c>
      <c r="B464" s="27">
        <f t="shared" si="7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IF(AA464="非採用",0,IF(OFFSET(マスタ非採用削除!E$4,統合マスタ!$A464,0)="","",OFFSET(マスタ非採用削除!E$4,統合マスタ!$A464,0)))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  <c r="AB464" s="27" t="str">
        <f ca="1">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</f>
        <v>無し</v>
      </c>
      <c r="AC464" s="27" t="e" cm="1">
        <f t="array" aca="1" ref="AC464" ca="1">OFFSET(
   INDIRECT("'" &amp; AB464 &amp; "'!A4"),
   MATCH(B464, INDIRECT("'" &amp; AB464 &amp; "'!C5:C1000"), 0),
   MATCH("合計", INDIRECT("'" &amp; AB464 &amp; "'!4:4"), 0) - 1
)</f>
        <v>#REF!</v>
      </c>
    </row>
    <row r="465" spans="1:29">
      <c r="A465" s="40">
        <f>元データ!P462</f>
        <v>402</v>
      </c>
      <c r="B465" s="27">
        <f t="shared" si="7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IF(AA465="非採用",0,IF(OFFSET(マスタ非採用削除!E$4,統合マスタ!$A465,0)="","",OFFSET(マスタ非採用削除!E$4,統合マスタ!$A465,0)))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/>
      <c r="AB465" s="27" t="str">
        <f ca="1">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</f>
        <v>錠剤</v>
      </c>
      <c r="AC465" s="27" cm="1">
        <f t="array" aca="1" ref="AC465" ca="1">OFFSET(
   INDIRECT("'" &amp; AB465 &amp; "'!A4"),
   MATCH(B465, INDIRECT("'" &amp; AB465 &amp; "'!C5:C1000"), 0),
   MATCH("合計", INDIRECT("'" &amp; AB465 &amp; "'!4:4"), 0) - 1
)</f>
        <v>198</v>
      </c>
    </row>
    <row r="466" spans="1:29">
      <c r="A466" s="40">
        <f>元データ!P463</f>
        <v>404</v>
      </c>
      <c r="B466" s="27">
        <f t="shared" si="7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IF(AA466="非採用",0,IF(OFFSET(マスタ非採用削除!E$4,統合マスタ!$A466,0)="","",OFFSET(マスタ非採用削除!E$4,統合マスタ!$A466,0)))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  <c r="AB466" s="27" t="str">
        <f ca="1">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</f>
        <v>注射</v>
      </c>
      <c r="AC466" s="27" cm="1">
        <f t="array" aca="1" ref="AC466" ca="1">OFFSET(
   INDIRECT("'" &amp; AB466 &amp; "'!A4"),
   MATCH(B466, INDIRECT("'" &amp; AB466 &amp; "'!C5:C1000"), 0),
   MATCH("合計", INDIRECT("'" &amp; AB466 &amp; "'!4:4"), 0) - 1
)</f>
        <v>0</v>
      </c>
    </row>
    <row r="467" spans="1:29">
      <c r="A467" s="40">
        <f>元データ!P464</f>
        <v>405</v>
      </c>
      <c r="B467" s="27">
        <f t="shared" si="7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IF(AA467="非採用",0,IF(OFFSET(マスタ非採用削除!E$4,統合マスタ!$A467,0)="","",OFFSET(マスタ非採用削除!E$4,統合マスタ!$A467,0)))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/>
      <c r="AB467" s="27" t="str">
        <f ca="1">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</f>
        <v>錠剤</v>
      </c>
      <c r="AC467" s="27" cm="1">
        <f t="array" aca="1" ref="AC467" ca="1">OFFSET(
   INDIRECT("'" &amp; AB467 &amp; "'!A4"),
   MATCH(B467, INDIRECT("'" &amp; AB467 &amp; "'!C5:C1000"), 0),
   MATCH("合計", INDIRECT("'" &amp; AB467 &amp; "'!4:4"), 0) - 1
)</f>
        <v>199</v>
      </c>
    </row>
    <row r="468" spans="1:29">
      <c r="A468" s="40">
        <f>元データ!P465</f>
        <v>405</v>
      </c>
      <c r="B468" s="27">
        <f t="shared" si="7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IF(AA468="非採用",0,IF(OFFSET(マスタ非採用削除!E$4,統合マスタ!$A468,0)="","",OFFSET(マスタ非採用削除!E$4,統合マスタ!$A468,0)))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/>
      <c r="AB468" s="27" t="str">
        <f ca="1">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</f>
        <v>錠剤</v>
      </c>
      <c r="AC468" s="27" cm="1">
        <f t="array" aca="1" ref="AC468" ca="1">OFFSET(
   INDIRECT("'" &amp; AB468 &amp; "'!A4"),
   MATCH(B468, INDIRECT("'" &amp; AB468 &amp; "'!C5:C1000"), 0),
   MATCH("合計", INDIRECT("'" &amp; AB468 &amp; "'!4:4"), 0) - 1
)</f>
        <v>200</v>
      </c>
    </row>
    <row r="469" spans="1:29">
      <c r="A469" s="40">
        <f>元データ!P466</f>
        <v>410</v>
      </c>
      <c r="B469" s="27">
        <f t="shared" si="7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IF(AA469="非採用",0,IF(OFFSET(マスタ非採用削除!E$4,統合マスタ!$A469,0)="","",OFFSET(マスタ非採用削除!E$4,統合マスタ!$A469,0)))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  <c r="AB469" s="27" t="str">
        <f ca="1">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</f>
        <v>散剤</v>
      </c>
      <c r="AC469" s="27" cm="1">
        <f t="array" aca="1" ref="AC469" ca="1">OFFSET(
   INDIRECT("'" &amp; AB469 &amp; "'!A4"),
   MATCH(B469, INDIRECT("'" &amp; AB469 &amp; "'!C5:C1000"), 0),
   MATCH("合計", INDIRECT("'" &amp; AB469 &amp; "'!4:4"), 0) - 1
)</f>
        <v>2300</v>
      </c>
    </row>
    <row r="470" spans="1:29">
      <c r="A470" s="40">
        <f>元データ!P467</f>
        <v>406</v>
      </c>
      <c r="B470" s="27">
        <f t="shared" si="7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IF(AA470="非採用",0,IF(OFFSET(マスタ非採用削除!E$4,統合マスタ!$A470,0)="","",OFFSET(マスタ非採用削除!E$4,統合マスタ!$A470,0)))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/>
      <c r="AB470" s="27" t="str">
        <f ca="1">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</f>
        <v>錠剤</v>
      </c>
      <c r="AC470" s="27" cm="1">
        <f t="array" aca="1" ref="AC470" ca="1">OFFSET(
   INDIRECT("'" &amp; AB470 &amp; "'!A4"),
   MATCH(B470, INDIRECT("'" &amp; AB470 &amp; "'!C5:C1000"), 0),
   MATCH("合計", INDIRECT("'" &amp; AB470 &amp; "'!4:4"), 0) - 1
)</f>
        <v>201</v>
      </c>
    </row>
    <row r="471" spans="1:29">
      <c r="A471" s="40">
        <f>元データ!P468</f>
        <v>408</v>
      </c>
      <c r="B471" s="27">
        <f t="shared" si="7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IF(AA471="非採用",0,IF(OFFSET(マスタ非採用削除!E$4,統合マスタ!$A471,0)="","",OFFSET(マスタ非採用削除!E$4,統合マスタ!$A471,0)))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/>
      <c r="AB471" s="27" t="str">
        <f ca="1">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</f>
        <v>錠剤</v>
      </c>
      <c r="AC471" s="27" cm="1">
        <f t="array" aca="1" ref="AC471" ca="1">OFFSET(
   INDIRECT("'" &amp; AB471 &amp; "'!A4"),
   MATCH(B471, INDIRECT("'" &amp; AB471 &amp; "'!C5:C1000"), 0),
   MATCH("合計", INDIRECT("'" &amp; AB471 &amp; "'!4:4"), 0) - 1
)</f>
        <v>202</v>
      </c>
    </row>
    <row r="472" spans="1:29">
      <c r="A472" s="40">
        <f>元データ!P469</f>
        <v>407</v>
      </c>
      <c r="B472" s="27">
        <f t="shared" si="7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IF(AA472="非採用",0,IF(OFFSET(マスタ非採用削除!E$4,統合マスタ!$A472,0)="","",OFFSET(マスタ非採用削除!E$4,統合マスタ!$A472,0)))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/>
      <c r="AB472" s="27" t="str">
        <f ca="1">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</f>
        <v>錠剤</v>
      </c>
      <c r="AC472" s="27" cm="1">
        <f t="array" aca="1" ref="AC472" ca="1">OFFSET(
   INDIRECT("'" &amp; AB472 &amp; "'!A4"),
   MATCH(B472, INDIRECT("'" &amp; AB472 &amp; "'!C5:C1000"), 0),
   MATCH("合計", INDIRECT("'" &amp; AB472 &amp; "'!4:4"), 0) - 1
)</f>
        <v>203</v>
      </c>
    </row>
    <row r="473" spans="1:29">
      <c r="A473" s="40">
        <f>元データ!P470</f>
        <v>407</v>
      </c>
      <c r="B473" s="27">
        <f t="shared" si="7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IF(AA473="非採用",0,IF(OFFSET(マスタ非採用削除!E$4,統合マスタ!$A473,0)="","",OFFSET(マスタ非採用削除!E$4,統合マスタ!$A473,0)))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/>
      <c r="AB473" s="27" t="str">
        <f ca="1">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</f>
        <v>錠剤</v>
      </c>
      <c r="AC473" s="27" cm="1">
        <f t="array" aca="1" ref="AC473" ca="1">OFFSET(
   INDIRECT("'" &amp; AB473 &amp; "'!A4"),
   MATCH(B473, INDIRECT("'" &amp; AB473 &amp; "'!C5:C1000"), 0),
   MATCH("合計", INDIRECT("'" &amp; AB473 &amp; "'!4:4"), 0) - 1
)</f>
        <v>204</v>
      </c>
    </row>
    <row r="474" spans="1:29">
      <c r="A474" s="40">
        <f>元データ!P471</f>
        <v>409</v>
      </c>
      <c r="B474" s="27">
        <f t="shared" si="7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IF(AA474="非採用",0,IF(OFFSET(マスタ非採用削除!E$4,統合マスタ!$A474,0)="","",OFFSET(マスタ非採用削除!E$4,統合マスタ!$A474,0)))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/>
      <c r="AB474" s="27" t="str">
        <f ca="1">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</f>
        <v>錠剤</v>
      </c>
      <c r="AC474" s="27" cm="1">
        <f t="array" aca="1" ref="AC474" ca="1">OFFSET(
   INDIRECT("'" &amp; AB474 &amp; "'!A4"),
   MATCH(B474, INDIRECT("'" &amp; AB474 &amp; "'!C5:C1000"), 0),
   MATCH("合計", INDIRECT("'" &amp; AB474 &amp; "'!4:4"), 0) - 1
)</f>
        <v>205</v>
      </c>
    </row>
    <row r="475" spans="1:29">
      <c r="A475" s="40">
        <f>元データ!P472</f>
        <v>412</v>
      </c>
      <c r="B475" s="27">
        <f t="shared" si="7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IF(AA475="非採用",0,IF(OFFSET(マスタ非採用削除!E$4,統合マスタ!$A475,0)="","",OFFSET(マスタ非採用削除!E$4,統合マスタ!$A475,0)))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  <c r="AB475" s="27" t="str">
        <f ca="1">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</f>
        <v>注射</v>
      </c>
      <c r="AC475" s="27" cm="1">
        <f t="array" aca="1" ref="AC475" ca="1">OFFSET(
   INDIRECT("'" &amp; AB475 &amp; "'!A4"),
   MATCH(B475, INDIRECT("'" &amp; AB475 &amp; "'!C5:C1000"), 0),
   MATCH("合計", INDIRECT("'" &amp; AB475 &amp; "'!4:4"), 0) - 1
)</f>
        <v>0</v>
      </c>
    </row>
    <row r="476" spans="1:29">
      <c r="A476" s="40">
        <f>元データ!P473</f>
        <v>411</v>
      </c>
      <c r="B476" s="27">
        <f t="shared" si="7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IF(AA476="非採用",0,IF(OFFSET(マスタ非採用削除!E$4,統合マスタ!$A476,0)="","",OFFSET(マスタ非採用削除!E$4,統合マスタ!$A476,0)))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  <c r="AB476" s="27" t="str">
        <f ca="1">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</f>
        <v>注射</v>
      </c>
      <c r="AC476" s="27" cm="1">
        <f t="array" aca="1" ref="AC476" ca="1">OFFSET(
   INDIRECT("'" &amp; AB476 &amp; "'!A4"),
   MATCH(B476, INDIRECT("'" &amp; AB476 &amp; "'!C5:C1000"), 0),
   MATCH("合計", INDIRECT("'" &amp; AB476 &amp; "'!4:4"), 0) - 1
)</f>
        <v>0</v>
      </c>
    </row>
    <row r="477" spans="1:29">
      <c r="A477" s="40">
        <f>元データ!P474</f>
        <v>413</v>
      </c>
      <c r="B477" s="27">
        <f t="shared" si="7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IF(AA477="非採用",0,IF(OFFSET(マスタ非採用削除!E$4,統合マスタ!$A477,0)="","",OFFSET(マスタ非採用削除!E$4,統合マスタ!$A477,0)))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  <c r="AB477" s="27" t="str">
        <f ca="1">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</f>
        <v>注射</v>
      </c>
      <c r="AC477" s="27" cm="1">
        <f t="array" aca="1" ref="AC477" ca="1">OFFSET(
   INDIRECT("'" &amp; AB477 &amp; "'!A4"),
   MATCH(B477, INDIRECT("'" &amp; AB477 &amp; "'!C5:C1000"), 0),
   MATCH("合計", INDIRECT("'" &amp; AB477 &amp; "'!4:4"), 0) - 1
)</f>
        <v>0</v>
      </c>
    </row>
    <row r="478" spans="1:29">
      <c r="A478" s="40">
        <f>元データ!P475</f>
        <v>416</v>
      </c>
      <c r="B478" s="27">
        <f t="shared" si="7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IF(AA478="非採用",0,IF(OFFSET(マスタ非採用削除!E$4,統合マスタ!$A478,0)="","",OFFSET(マスタ非採用削除!E$4,統合マスタ!$A478,0)))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  <c r="AB478" s="27" t="str">
        <f ca="1">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</f>
        <v>注射</v>
      </c>
      <c r="AC478" s="27" cm="1">
        <f t="array" aca="1" ref="AC478" ca="1">OFFSET(
   INDIRECT("'" &amp; AB478 &amp; "'!A4"),
   MATCH(B478, INDIRECT("'" &amp; AB478 &amp; "'!C5:C1000"), 0),
   MATCH("合計", INDIRECT("'" &amp; AB478 &amp; "'!4:4"), 0) - 1
)</f>
        <v>0</v>
      </c>
    </row>
    <row r="479" spans="1:29">
      <c r="A479" s="40">
        <f>元データ!P476</f>
        <v>414</v>
      </c>
      <c r="B479" s="27">
        <f t="shared" si="7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IF(AA479="非採用",0,IF(OFFSET(マスタ非採用削除!E$4,統合マスタ!$A479,0)="","",OFFSET(マスタ非採用削除!E$4,統合マスタ!$A479,0)))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  <c r="AB479" s="27" t="str">
        <f ca="1">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</f>
        <v>散剤</v>
      </c>
      <c r="AC479" s="27" cm="1">
        <f t="array" aca="1" ref="AC479" ca="1">OFFSET(
   INDIRECT("'" &amp; AB479 &amp; "'!A4"),
   MATCH(B479, INDIRECT("'" &amp; AB479 &amp; "'!C5:C1000"), 0),
   MATCH("合計", INDIRECT("'" &amp; AB479 &amp; "'!4:4"), 0) - 1
)</f>
        <v>2400</v>
      </c>
    </row>
    <row r="480" spans="1:29">
      <c r="A480" s="40">
        <f>元データ!P477</f>
        <v>415</v>
      </c>
      <c r="B480" s="27">
        <f t="shared" si="7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IF(AA480="非採用",0,IF(OFFSET(マスタ非採用削除!E$4,統合マスタ!$A480,0)="","",OFFSET(マスタ非採用削除!E$4,統合マスタ!$A480,0)))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/>
      <c r="AB480" s="27" t="str">
        <f ca="1">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</f>
        <v>錠剤</v>
      </c>
      <c r="AC480" s="27" cm="1">
        <f t="array" aca="1" ref="AC480" ca="1">OFFSET(
   INDIRECT("'" &amp; AB480 &amp; "'!A4"),
   MATCH(B480, INDIRECT("'" &amp; AB480 &amp; "'!C5:C1000"), 0),
   MATCH("合計", INDIRECT("'" &amp; AB480 &amp; "'!4:4"), 0) - 1
)</f>
        <v>206</v>
      </c>
    </row>
    <row r="481" spans="1:29">
      <c r="A481" s="40">
        <f>元データ!P478</f>
        <v>415</v>
      </c>
      <c r="B481" s="27">
        <f t="shared" si="7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IF(AA481="非採用",0,IF(OFFSET(マスタ非採用削除!E$4,統合マスタ!$A481,0)="","",OFFSET(マスタ非採用削除!E$4,統合マスタ!$A481,0)))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/>
      <c r="AB481" s="27" t="str">
        <f ca="1">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</f>
        <v>錠剤</v>
      </c>
      <c r="AC481" s="27" cm="1">
        <f t="array" aca="1" ref="AC481" ca="1">OFFSET(
   INDIRECT("'" &amp; AB481 &amp; "'!A4"),
   MATCH(B481, INDIRECT("'" &amp; AB481 &amp; "'!C5:C1000"), 0),
   MATCH("合計", INDIRECT("'" &amp; AB481 &amp; "'!4:4"), 0) - 1
)</f>
        <v>207</v>
      </c>
    </row>
    <row r="482" spans="1:29">
      <c r="A482" s="40">
        <f>元データ!P479</f>
        <v>423</v>
      </c>
      <c r="B482" s="27">
        <f t="shared" si="7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IF(AA482="非採用",0,IF(OFFSET(マスタ非採用削除!E$4,統合マスタ!$A482,0)="","",OFFSET(マスタ非採用削除!E$4,統合マスタ!$A482,0)))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  <c r="AB482" s="27" t="str">
        <f ca="1">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</f>
        <v>臨時</v>
      </c>
      <c r="AC482" s="27" cm="1">
        <f t="array" aca="1" ref="AC482" ca="1">OFFSET(
   INDIRECT("'" &amp; AB482 &amp; "'!A4"),
   MATCH(B482, INDIRECT("'" &amp; AB482 &amp; "'!C5:C1000"), 0),
   MATCH("合計", INDIRECT("'" &amp; AB482 &amp; "'!4:4"), 0) - 1
)</f>
        <v>0</v>
      </c>
    </row>
    <row r="483" spans="1:29">
      <c r="A483" s="40">
        <f>元データ!P480</f>
        <v>417</v>
      </c>
      <c r="B483" s="27">
        <f t="shared" si="7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IF(AA483="非採用",0,IF(OFFSET(マスタ非採用削除!E$4,統合マスタ!$A483,0)="","",OFFSET(マスタ非採用削除!E$4,統合マスタ!$A483,0)))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  <c r="AB483" s="27" t="str">
        <f ca="1">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</f>
        <v>外用剤</v>
      </c>
      <c r="AC483" s="27" t="e" cm="1">
        <f t="array" aca="1" ref="AC483" ca="1">OFFSET(
   INDIRECT("'" &amp; AB483 &amp; "'!A4"),
   MATCH(B483, INDIRECT("'" &amp; AB483 &amp; "'!C5:C1000"), 0),
   MATCH("合計", INDIRECT("'" &amp; AB483 &amp; "'!4:4"), 0) - 1
)</f>
        <v>#REF!</v>
      </c>
    </row>
    <row r="484" spans="1:29">
      <c r="A484" s="40">
        <f>元データ!P481</f>
        <v>424</v>
      </c>
      <c r="B484" s="27">
        <f t="shared" si="7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IF(AA484="非採用",0,IF(OFFSET(マスタ非採用削除!E$4,統合マスタ!$A484,0)="","",OFFSET(マスタ非採用削除!E$4,統合マスタ!$A484,0)))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  <c r="AB484" s="27" t="str">
        <f ca="1">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</f>
        <v>臨時</v>
      </c>
      <c r="AC484" s="27" cm="1">
        <f t="array" aca="1" ref="AC484" ca="1">OFFSET(
   INDIRECT("'" &amp; AB484 &amp; "'!A4"),
   MATCH(B484, INDIRECT("'" &amp; AB484 &amp; "'!C5:C1000"), 0),
   MATCH("合計", INDIRECT("'" &amp; AB484 &amp; "'!4:4"), 0) - 1
)</f>
        <v>0</v>
      </c>
    </row>
    <row r="485" spans="1:29">
      <c r="A485" s="40" t="str">
        <f>元データ!P482</f>
        <v>非採用</v>
      </c>
      <c r="B485" s="27">
        <f t="shared" si="7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IF(AA485="非採用",0,IF(OFFSET(マスタ非採用削除!E$4,統合マスタ!$A485,0)="","",OFFSET(マスタ非採用削除!E$4,統合マスタ!$A485,0)))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">
        <v>4214</v>
      </c>
      <c r="AB485" s="27" t="str">
        <f ca="1">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</f>
        <v>無し</v>
      </c>
      <c r="AC485" s="27" t="e" cm="1">
        <f t="array" aca="1" ref="AC485" ca="1">OFFSET(
   INDIRECT("'" &amp; AB485 &amp; "'!A4"),
   MATCH(B485, INDIRECT("'" &amp; AB485 &amp; "'!C5:C1000"), 0),
   MATCH("合計", INDIRECT("'" &amp; AB485 &amp; "'!4:4"), 0) - 1
)</f>
        <v>#REF!</v>
      </c>
    </row>
    <row r="486" spans="1:29">
      <c r="A486" s="40">
        <f>元データ!P483</f>
        <v>419</v>
      </c>
      <c r="B486" s="27">
        <f t="shared" si="7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IF(AA486="非採用",0,IF(OFFSET(マスタ非採用削除!E$4,統合マスタ!$A486,0)="","",OFFSET(マスタ非採用削除!E$4,統合マスタ!$A486,0)))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/>
      <c r="AB486" s="27" t="str">
        <f ca="1">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</f>
        <v>錠剤</v>
      </c>
      <c r="AC486" s="27" cm="1">
        <f t="array" aca="1" ref="AC486" ca="1">OFFSET(
   INDIRECT("'" &amp; AB486 &amp; "'!A4"),
   MATCH(B486, INDIRECT("'" &amp; AB486 &amp; "'!C5:C1000"), 0),
   MATCH("合計", INDIRECT("'" &amp; AB486 &amp; "'!4:4"), 0) - 1
)</f>
        <v>208</v>
      </c>
    </row>
    <row r="487" spans="1:29">
      <c r="A487" s="40">
        <f>元データ!P484</f>
        <v>419</v>
      </c>
      <c r="B487" s="27">
        <f t="shared" si="7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IF(AA487="非採用",0,IF(OFFSET(マスタ非採用削除!E$4,統合マスタ!$A487,0)="","",OFFSET(マスタ非採用削除!E$4,統合マスタ!$A487,0)))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/>
      <c r="AB487" s="27" t="str">
        <f ca="1">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</f>
        <v>錠剤</v>
      </c>
      <c r="AC487" s="27" cm="1">
        <f t="array" aca="1" ref="AC487" ca="1">OFFSET(
   INDIRECT("'" &amp; AB487 &amp; "'!A4"),
   MATCH(B487, INDIRECT("'" &amp; AB487 &amp; "'!C5:C1000"), 0),
   MATCH("合計", INDIRECT("'" &amp; AB487 &amp; "'!4:4"), 0) - 1
)</f>
        <v>209</v>
      </c>
    </row>
    <row r="488" spans="1:29">
      <c r="A488" s="40">
        <f>元データ!P485</f>
        <v>418</v>
      </c>
      <c r="B488" s="27">
        <f t="shared" si="7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IF(AA488="非採用",0,IF(OFFSET(マスタ非採用削除!E$4,統合マスタ!$A488,0)="","",OFFSET(マスタ非採用削除!E$4,統合マスタ!$A488,0)))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  <c r="AB488" s="27" t="str">
        <f ca="1">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</f>
        <v>散剤</v>
      </c>
      <c r="AC488" s="27" cm="1">
        <f t="array" aca="1" ref="AC488" ca="1">OFFSET(
   INDIRECT("'" &amp; AB488 &amp; "'!A4"),
   MATCH(B488, INDIRECT("'" &amp; AB488 &amp; "'!C5:C1000"), 0),
   MATCH("合計", INDIRECT("'" &amp; AB488 &amp; "'!4:4"), 0) - 1
)</f>
        <v>25</v>
      </c>
    </row>
    <row r="489" spans="1:29">
      <c r="A489" s="40">
        <f>元データ!P486</f>
        <v>418</v>
      </c>
      <c r="B489" s="27">
        <f t="shared" si="7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IF(AA489="非採用",0,IF(OFFSET(マスタ非採用削除!E$4,統合マスタ!$A489,0)="","",OFFSET(マスタ非採用削除!E$4,統合マスタ!$A489,0)))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  <c r="AB489" s="27" t="str">
        <f ca="1">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</f>
        <v>散剤</v>
      </c>
      <c r="AC489" s="27" cm="1">
        <f t="array" aca="1" ref="AC489" ca="1">OFFSET(
   INDIRECT("'" &amp; AB489 &amp; "'!A4"),
   MATCH(B489, INDIRECT("'" &amp; AB489 &amp; "'!C5:C1000"), 0),
   MATCH("合計", INDIRECT("'" &amp; AB489 &amp; "'!4:4"), 0) - 1
)</f>
        <v>26</v>
      </c>
    </row>
    <row r="490" spans="1:29">
      <c r="A490" s="40">
        <f>元データ!P487</f>
        <v>418</v>
      </c>
      <c r="B490" s="27">
        <f t="shared" si="7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IF(AA490="非採用",0,IF(OFFSET(マスタ非採用削除!E$4,統合マスタ!$A490,0)="","",OFFSET(マスタ非採用削除!E$4,統合マスタ!$A490,0)))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  <c r="AB490" s="27" t="str">
        <f ca="1">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</f>
        <v>散剤</v>
      </c>
      <c r="AC490" s="27" t="e" cm="1">
        <f t="array" aca="1" ref="AC490" ca="1">OFFSET(
   INDIRECT("'" &amp; AB490 &amp; "'!A4"),
   MATCH(B490, INDIRECT("'" &amp; AB490 &amp; "'!C5:C1000"), 0),
   MATCH("合計", INDIRECT("'" &amp; AB490 &amp; "'!4:4"), 0) - 1
)</f>
        <v>#VALUE!</v>
      </c>
    </row>
    <row r="491" spans="1:29">
      <c r="A491" s="40">
        <f>元データ!P488</f>
        <v>420</v>
      </c>
      <c r="B491" s="27">
        <f t="shared" si="7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IF(AA491="非採用",0,IF(OFFSET(マスタ非採用削除!E$4,統合マスタ!$A491,0)="","",OFFSET(マスタ非採用削除!E$4,統合マスタ!$A491,0)))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  <c r="AB491" s="27" t="str">
        <f ca="1">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</f>
        <v>臨時</v>
      </c>
      <c r="AC491" s="27" cm="1">
        <f t="array" aca="1" ref="AC491" ca="1">OFFSET(
   INDIRECT("'" &amp; AB491 &amp; "'!A4"),
   MATCH(B491, INDIRECT("'" &amp; AB491 &amp; "'!C5:C1000"), 0),
   MATCH("合計", INDIRECT("'" &amp; AB491 &amp; "'!4:4"), 0) - 1
)</f>
        <v>0</v>
      </c>
    </row>
    <row r="492" spans="1:29">
      <c r="A492" s="40">
        <f>元データ!P489</f>
        <v>421</v>
      </c>
      <c r="B492" s="27">
        <f t="shared" si="7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IF(AA492="非採用",0,IF(OFFSET(マスタ非採用削除!E$4,統合マスタ!$A492,0)="","",OFFSET(マスタ非採用削除!E$4,統合マスタ!$A492,0)))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/>
      <c r="AB492" s="27" t="str">
        <f ca="1">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</f>
        <v>錠剤</v>
      </c>
      <c r="AC492" s="27" cm="1">
        <f t="array" aca="1" ref="AC492" ca="1">OFFSET(
   INDIRECT("'" &amp; AB492 &amp; "'!A4"),
   MATCH(B492, INDIRECT("'" &amp; AB492 &amp; "'!C5:C1000"), 0),
   MATCH("合計", INDIRECT("'" &amp; AB492 &amp; "'!4:4"), 0) - 1
)</f>
        <v>210</v>
      </c>
    </row>
    <row r="493" spans="1:29">
      <c r="A493" s="40">
        <f>元データ!P490</f>
        <v>421</v>
      </c>
      <c r="B493" s="27">
        <f t="shared" si="7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IF(AA493="非採用",0,IF(OFFSET(マスタ非採用削除!E$4,統合マスタ!$A493,0)="","",OFFSET(マスタ非採用削除!E$4,統合マスタ!$A493,0)))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/>
      <c r="AB493" s="27" t="str">
        <f ca="1">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</f>
        <v>錠剤</v>
      </c>
      <c r="AC493" s="27" cm="1">
        <f t="array" aca="1" ref="AC493" ca="1">OFFSET(
   INDIRECT("'" &amp; AB493 &amp; "'!A4"),
   MATCH(B493, INDIRECT("'" &amp; AB493 &amp; "'!C5:C1000"), 0),
   MATCH("合計", INDIRECT("'" &amp; AB493 &amp; "'!4:4"), 0) - 1
)</f>
        <v>211</v>
      </c>
    </row>
    <row r="494" spans="1:29">
      <c r="A494" s="40">
        <f>元データ!P491</f>
        <v>422</v>
      </c>
      <c r="B494" s="27">
        <f t="shared" si="7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IF(AA494="非採用",0,IF(OFFSET(マスタ非採用削除!E$4,統合マスタ!$A494,0)="","",OFFSET(マスタ非採用削除!E$4,統合マスタ!$A494,0)))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  <c r="AB494" s="27" t="str">
        <f ca="1">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</f>
        <v>無し</v>
      </c>
      <c r="AC494" s="27" t="e" cm="1">
        <f t="array" aca="1" ref="AC494" ca="1">OFFSET(
   INDIRECT("'" &amp; AB494 &amp; "'!A4"),
   MATCH(B494, INDIRECT("'" &amp; AB494 &amp; "'!C5:C1000"), 0),
   MATCH("合計", INDIRECT("'" &amp; AB494 &amp; "'!4:4"), 0) - 1
)</f>
        <v>#REF!</v>
      </c>
    </row>
    <row r="495" spans="1:29">
      <c r="A495" s="40">
        <f>元データ!P492</f>
        <v>426</v>
      </c>
      <c r="B495" s="27">
        <f t="shared" si="7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IF(AA495="非採用",0,IF(OFFSET(マスタ非採用削除!E$4,統合マスタ!$A495,0)="","",OFFSET(マスタ非採用削除!E$4,統合マスタ!$A495,0)))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  <c r="AB495" s="27" t="str">
        <f ca="1">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</f>
        <v>臨時</v>
      </c>
      <c r="AC495" s="27" cm="1">
        <f t="array" aca="1" ref="AC495" ca="1">OFFSET(
   INDIRECT("'" &amp; AB495 &amp; "'!A4"),
   MATCH(B495, INDIRECT("'" &amp; AB495 &amp; "'!C5:C1000"), 0),
   MATCH("合計", INDIRECT("'" &amp; AB495 &amp; "'!4:4"), 0) - 1
)</f>
        <v>0</v>
      </c>
    </row>
    <row r="496" spans="1:29">
      <c r="A496" s="40">
        <f>元データ!P493</f>
        <v>425</v>
      </c>
      <c r="B496" s="27">
        <f t="shared" si="7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IF(AA496="非採用",0,IF(OFFSET(マスタ非採用削除!E$4,統合マスタ!$A496,0)="","",OFFSET(マスタ非採用削除!E$4,統合マスタ!$A496,0)))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  <c r="AB496" s="27" t="str">
        <f ca="1">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</f>
        <v>臨時</v>
      </c>
      <c r="AC496" s="27" cm="1">
        <f t="array" aca="1" ref="AC496" ca="1">OFFSET(
   INDIRECT("'" &amp; AB496 &amp; "'!A4"),
   MATCH(B496, INDIRECT("'" &amp; AB496 &amp; "'!C5:C1000"), 0),
   MATCH("合計", INDIRECT("'" &amp; AB496 &amp; "'!4:4"), 0) - 1
)</f>
        <v>0</v>
      </c>
    </row>
    <row r="497" spans="1:29">
      <c r="A497" s="40">
        <f>元データ!P494</f>
        <v>428</v>
      </c>
      <c r="B497" s="27">
        <f t="shared" si="7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IF(AA497="非採用",0,IF(OFFSET(マスタ非採用削除!E$4,統合マスタ!$A497,0)="","",OFFSET(マスタ非採用削除!E$4,統合マスタ!$A497,0)))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/>
      <c r="AB497" s="27" t="str">
        <f ca="1">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</f>
        <v>錠剤</v>
      </c>
      <c r="AC497" s="27" cm="1">
        <f t="array" aca="1" ref="AC497" ca="1">OFFSET(
   INDIRECT("'" &amp; AB497 &amp; "'!A4"),
   MATCH(B497, INDIRECT("'" &amp; AB497 &amp; "'!C5:C1000"), 0),
   MATCH("合計", INDIRECT("'" &amp; AB497 &amp; "'!4:4"), 0) - 1
)</f>
        <v>212</v>
      </c>
    </row>
    <row r="498" spans="1:29">
      <c r="A498" s="40">
        <f>元データ!P495</f>
        <v>427</v>
      </c>
      <c r="B498" s="27">
        <f t="shared" si="7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IF(AA498="非採用",0,IF(OFFSET(マスタ非採用削除!E$4,統合マスタ!$A498,0)="","",OFFSET(マスタ非採用削除!E$4,統合マスタ!$A498,0)))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  <c r="AB498" s="27" t="str">
        <f ca="1">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</f>
        <v>錠剤</v>
      </c>
      <c r="AC498" s="27" cm="1">
        <f t="array" aca="1" ref="AC498" ca="1">OFFSET(
   INDIRECT("'" &amp; AB498 &amp; "'!A4"),
   MATCH(B498, INDIRECT("'" &amp; AB498 &amp; "'!C5:C1000"), 0),
   MATCH("合計", INDIRECT("'" &amp; AB498 &amp; "'!4:4"), 0) - 1
)</f>
        <v>213</v>
      </c>
    </row>
    <row r="499" spans="1:29">
      <c r="A499" s="40">
        <f>元データ!P496</f>
        <v>429</v>
      </c>
      <c r="B499" s="27">
        <f t="shared" si="7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IF(AA499="非採用",0,IF(OFFSET(マスタ非採用削除!E$4,統合マスタ!$A499,0)="","",OFFSET(マスタ非採用削除!E$4,統合マスタ!$A499,0)))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  <c r="AB499" s="27" t="str">
        <f ca="1">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</f>
        <v>外用剤</v>
      </c>
      <c r="AC499" s="27" t="e" cm="1">
        <f t="array" aca="1" ref="AC499" ca="1">OFFSET(
   INDIRECT("'" &amp; AB499 &amp; "'!A4"),
   MATCH(B499, INDIRECT("'" &amp; AB499 &amp; "'!C5:C1000"), 0),
   MATCH("合計", INDIRECT("'" &amp; AB499 &amp; "'!4:4"), 0) - 1
)</f>
        <v>#REF!</v>
      </c>
    </row>
    <row r="500" spans="1:29">
      <c r="A500" s="40">
        <f>元データ!P497</f>
        <v>430</v>
      </c>
      <c r="B500" s="27">
        <f t="shared" si="7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IF(AA500="非採用",0,IF(OFFSET(マスタ非採用削除!E$4,統合マスタ!$A500,0)="","",OFFSET(マスタ非採用削除!E$4,統合マスタ!$A500,0)))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  <c r="AB500" s="27" t="str">
        <f ca="1">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</f>
        <v>錠剤</v>
      </c>
      <c r="AC500" s="27" cm="1">
        <f t="array" aca="1" ref="AC500" ca="1">OFFSET(
   INDIRECT("'" &amp; AB500 &amp; "'!A4"),
   MATCH(B500, INDIRECT("'" &amp; AB500 &amp; "'!C5:C1000"), 0),
   MATCH("合計", INDIRECT("'" &amp; AB500 &amp; "'!4:4"), 0) - 1
)</f>
        <v>214</v>
      </c>
    </row>
    <row r="501" spans="1:29">
      <c r="A501" s="40">
        <f>元データ!P498</f>
        <v>432</v>
      </c>
      <c r="B501" s="27">
        <f t="shared" si="7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IF(AA501="非採用",0,IF(OFFSET(マスタ非採用削除!E$4,統合マスタ!$A501,0)="","",OFFSET(マスタ非採用削除!E$4,統合マスタ!$A501,0)))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  <c r="AB501" s="27" t="str">
        <f ca="1">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</f>
        <v>臨時</v>
      </c>
      <c r="AC501" s="27" cm="1">
        <f t="array" aca="1" ref="AC501" ca="1">OFFSET(
   INDIRECT("'" &amp; AB501 &amp; "'!A4"),
   MATCH(B501, INDIRECT("'" &amp; AB501 &amp; "'!C5:C1000"), 0),
   MATCH("合計", INDIRECT("'" &amp; AB501 &amp; "'!4:4"), 0) - 1
)</f>
        <v>0</v>
      </c>
    </row>
    <row r="502" spans="1:29">
      <c r="A502" s="40">
        <f>元データ!P499</f>
        <v>432</v>
      </c>
      <c r="B502" s="27">
        <f t="shared" si="7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IF(AA502="非採用",0,IF(OFFSET(マスタ非採用削除!E$4,統合マスタ!$A502,0)="","",OFFSET(マスタ非採用削除!E$4,統合マスタ!$A502,0)))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  <c r="AB502" s="27" t="str">
        <f ca="1">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</f>
        <v>臨時</v>
      </c>
      <c r="AC502" s="27" cm="1">
        <f t="array" aca="1" ref="AC502" ca="1">OFFSET(
   INDIRECT("'" &amp; AB502 &amp; "'!A4"),
   MATCH(B502, INDIRECT("'" &amp; AB502 &amp; "'!C5:C1000"), 0),
   MATCH("合計", INDIRECT("'" &amp; AB502 &amp; "'!4:4"), 0) - 1
)</f>
        <v>0</v>
      </c>
    </row>
    <row r="503" spans="1:29">
      <c r="A503" s="40">
        <f>元データ!P500</f>
        <v>431</v>
      </c>
      <c r="B503" s="27">
        <f t="shared" si="7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IF(AA503="非採用",0,IF(OFFSET(マスタ非採用削除!E$4,統合マスタ!$A503,0)="","",OFFSET(マスタ非採用削除!E$4,統合マスタ!$A503,0)))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  <c r="AB503" s="27" t="str">
        <f ca="1">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</f>
        <v>臨時</v>
      </c>
      <c r="AC503" s="27" cm="1">
        <f t="array" aca="1" ref="AC503" ca="1">OFFSET(
   INDIRECT("'" &amp; AB503 &amp; "'!A4"),
   MATCH(B503, INDIRECT("'" &amp; AB503 &amp; "'!C5:C1000"), 0),
   MATCH("合計", INDIRECT("'" &amp; AB503 &amp; "'!4:4"), 0) - 1
)</f>
        <v>0</v>
      </c>
    </row>
    <row r="504" spans="1:29">
      <c r="A504" s="40">
        <f>元データ!P501</f>
        <v>431</v>
      </c>
      <c r="B504" s="27">
        <f t="shared" si="7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IF(AA504="非採用",0,IF(OFFSET(マスタ非採用削除!E$4,統合マスタ!$A504,0)="","",OFFSET(マスタ非採用削除!E$4,統合マスタ!$A504,0)))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  <c r="AB504" s="27" t="str">
        <f ca="1">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</f>
        <v>臨時</v>
      </c>
      <c r="AC504" s="27" cm="1">
        <f t="array" aca="1" ref="AC504" ca="1">OFFSET(
   INDIRECT("'" &amp; AB504 &amp; "'!A4"),
   MATCH(B504, INDIRECT("'" &amp; AB504 &amp; "'!C5:C1000"), 0),
   MATCH("合計", INDIRECT("'" &amp; AB504 &amp; "'!4:4"), 0) - 1
)</f>
        <v>0</v>
      </c>
    </row>
    <row r="505" spans="1:29">
      <c r="A505" s="40">
        <f>元データ!P502</f>
        <v>433</v>
      </c>
      <c r="B505" s="27">
        <f t="shared" si="7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IF(AA505="非採用",0,IF(OFFSET(マスタ非採用削除!E$4,統合マスタ!$A505,0)="","",OFFSET(マスタ非採用削除!E$4,統合マスタ!$A505,0)))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/>
      <c r="AB505" s="27" t="str">
        <f ca="1">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</f>
        <v>錠剤</v>
      </c>
      <c r="AC505" s="27" cm="1">
        <f t="array" aca="1" ref="AC505" ca="1">OFFSET(
   INDIRECT("'" &amp; AB505 &amp; "'!A4"),
   MATCH(B505, INDIRECT("'" &amp; AB505 &amp; "'!C5:C1000"), 0),
   MATCH("合計", INDIRECT("'" &amp; AB505 &amp; "'!4:4"), 0) - 1
)</f>
        <v>215</v>
      </c>
    </row>
    <row r="506" spans="1:29">
      <c r="A506" s="40">
        <f>元データ!P503</f>
        <v>433</v>
      </c>
      <c r="B506" s="27">
        <f t="shared" si="7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IF(AA506="非採用",0,IF(OFFSET(マスタ非採用削除!E$4,統合マスタ!$A506,0)="","",OFFSET(マスタ非採用削除!E$4,統合マスタ!$A506,0)))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/>
      <c r="AB506" s="27" t="str">
        <f ca="1">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</f>
        <v>錠剤</v>
      </c>
      <c r="AC506" s="27" cm="1">
        <f t="array" aca="1" ref="AC506" ca="1">OFFSET(
   INDIRECT("'" &amp; AB506 &amp; "'!A4"),
   MATCH(B506, INDIRECT("'" &amp; AB506 &amp; "'!C5:C1000"), 0),
   MATCH("合計", INDIRECT("'" &amp; AB506 &amp; "'!4:4"), 0) - 1
)</f>
        <v>216</v>
      </c>
    </row>
    <row r="507" spans="1:29">
      <c r="A507" s="40" t="str">
        <f>元データ!P504</f>
        <v>非採用</v>
      </c>
      <c r="B507" s="27">
        <f t="shared" si="7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IF(AA507="非採用",0,IF(OFFSET(マスタ非採用削除!E$4,統合マスタ!$A507,0)="","",OFFSET(マスタ非採用削除!E$4,統合マスタ!$A507,0)))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">
        <v>4214</v>
      </c>
      <c r="AB507" s="27" t="str">
        <f ca="1">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</f>
        <v>無し</v>
      </c>
      <c r="AC507" s="27" t="e" cm="1">
        <f t="array" aca="1" ref="AC507" ca="1">OFFSET(
   INDIRECT("'" &amp; AB507 &amp; "'!A4"),
   MATCH(B507, INDIRECT("'" &amp; AB507 &amp; "'!C5:C1000"), 0),
   MATCH("合計", INDIRECT("'" &amp; AB507 &amp; "'!4:4"), 0) - 1
)</f>
        <v>#REF!</v>
      </c>
    </row>
    <row r="508" spans="1:29">
      <c r="A508" s="40">
        <f>元データ!P505</f>
        <v>435</v>
      </c>
      <c r="B508" s="27">
        <f t="shared" si="7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IF(AA508="非採用",0,IF(OFFSET(マスタ非採用削除!E$4,統合マスタ!$A508,0)="","",OFFSET(マスタ非採用削除!E$4,統合マスタ!$A508,0)))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/>
      <c r="AB508" s="27" t="str">
        <f ca="1">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</f>
        <v>錠剤</v>
      </c>
      <c r="AC508" s="27" cm="1">
        <f t="array" aca="1" ref="AC508" ca="1">OFFSET(
   INDIRECT("'" &amp; AB508 &amp; "'!A4"),
   MATCH(B508, INDIRECT("'" &amp; AB508 &amp; "'!C5:C1000"), 0),
   MATCH("合計", INDIRECT("'" &amp; AB508 &amp; "'!4:4"), 0) - 1
)</f>
        <v>217</v>
      </c>
    </row>
    <row r="509" spans="1:29">
      <c r="A509" s="40">
        <f>元データ!P506</f>
        <v>435</v>
      </c>
      <c r="B509" s="27">
        <f t="shared" si="7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IF(AA509="非採用",0,IF(OFFSET(マスタ非採用削除!E$4,統合マスタ!$A509,0)="","",OFFSET(マスタ非採用削除!E$4,統合マスタ!$A509,0)))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/>
      <c r="AB509" s="27" t="str">
        <f ca="1">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</f>
        <v>錠剤</v>
      </c>
      <c r="AC509" s="27" cm="1">
        <f t="array" aca="1" ref="AC509" ca="1">OFFSET(
   INDIRECT("'" &amp; AB509 &amp; "'!A4"),
   MATCH(B509, INDIRECT("'" &amp; AB509 &amp; "'!C5:C1000"), 0),
   MATCH("合計", INDIRECT("'" &amp; AB509 &amp; "'!4:4"), 0) - 1
)</f>
        <v>218</v>
      </c>
    </row>
    <row r="510" spans="1:29">
      <c r="A510" s="40" t="str">
        <f>元データ!P507</f>
        <v>非採用</v>
      </c>
      <c r="B510" s="27">
        <f t="shared" si="7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IF(AA510="非採用",0,IF(OFFSET(マスタ非採用削除!E$4,統合マスタ!$A510,0)="","",OFFSET(マスタ非採用削除!E$4,統合マスタ!$A510,0)))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4068</v>
      </c>
      <c r="AB510" s="27" t="str">
        <f ca="1">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</f>
        <v>無し</v>
      </c>
      <c r="AC510" s="27" t="e" cm="1">
        <f t="array" aca="1" ref="AC510" ca="1">OFFSET(
   INDIRECT("'" &amp; AB510 &amp; "'!A4"),
   MATCH(B510, INDIRECT("'" &amp; AB510 &amp; "'!C5:C1000"), 0),
   MATCH("合計", INDIRECT("'" &amp; AB510 &amp; "'!4:4"), 0) - 1
)</f>
        <v>#REF!</v>
      </c>
    </row>
    <row r="511" spans="1:29">
      <c r="A511" s="40" t="str">
        <f>元データ!P508</f>
        <v>非採用</v>
      </c>
      <c r="B511" s="27">
        <f t="shared" si="7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IF(AA511="非採用",0,IF(OFFSET(マスタ非採用削除!E$4,統合マスタ!$A511,0)="","",OFFSET(マスタ非採用削除!E$4,統合マスタ!$A511,0)))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4068</v>
      </c>
      <c r="AB511" s="27" t="str">
        <f ca="1">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</f>
        <v>無し</v>
      </c>
      <c r="AC511" s="27" t="e" cm="1">
        <f t="array" aca="1" ref="AC511" ca="1">OFFSET(
   INDIRECT("'" &amp; AB511 &amp; "'!A4"),
   MATCH(B511, INDIRECT("'" &amp; AB511 &amp; "'!C5:C1000"), 0),
   MATCH("合計", INDIRECT("'" &amp; AB511 &amp; "'!4:4"), 0) - 1
)</f>
        <v>#REF!</v>
      </c>
    </row>
    <row r="512" spans="1:29">
      <c r="A512" s="40">
        <f>元データ!P509</f>
        <v>436</v>
      </c>
      <c r="B512" s="27">
        <f t="shared" si="7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IF(AA512="非採用",0,IF(OFFSET(マスタ非採用削除!E$4,統合マスタ!$A512,0)="","",OFFSET(マスタ非採用削除!E$4,統合マスタ!$A512,0)))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  <c r="AB512" s="27" t="str">
        <f ca="1">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</f>
        <v>臨時</v>
      </c>
      <c r="AC512" s="27" cm="1">
        <f t="array" aca="1" ref="AC512" ca="1">OFFSET(
   INDIRECT("'" &amp; AB512 &amp; "'!A4"),
   MATCH(B512, INDIRECT("'" &amp; AB512 &amp; "'!C5:C1000"), 0),
   MATCH("合計", INDIRECT("'" &amp; AB512 &amp; "'!4:4"), 0) - 1
)</f>
        <v>0</v>
      </c>
    </row>
    <row r="513" spans="1:29">
      <c r="A513" s="40">
        <f>元データ!P510</f>
        <v>437</v>
      </c>
      <c r="B513" s="27">
        <f t="shared" si="7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IF(AA513="非採用",0,IF(OFFSET(マスタ非採用削除!E$4,統合マスタ!$A513,0)="","",OFFSET(マスタ非採用削除!E$4,統合マスタ!$A513,0)))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  <c r="AB513" s="27" t="str">
        <f ca="1">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</f>
        <v>臨時</v>
      </c>
      <c r="AC513" s="27" cm="1">
        <f t="array" aca="1" ref="AC513" ca="1">OFFSET(
   INDIRECT("'" &amp; AB513 &amp; "'!A4"),
   MATCH(B513, INDIRECT("'" &amp; AB513 &amp; "'!C5:C1000"), 0),
   MATCH("合計", INDIRECT("'" &amp; AB513 &amp; "'!4:4"), 0) - 1
)</f>
        <v>0</v>
      </c>
    </row>
    <row r="514" spans="1:29">
      <c r="A514" s="40">
        <f>元データ!P511</f>
        <v>438</v>
      </c>
      <c r="B514" s="27">
        <f t="shared" si="7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IF(AA514="非採用",0,IF(OFFSET(マスタ非採用削除!E$4,統合マスタ!$A514,0)="","",OFFSET(マスタ非採用削除!E$4,統合マスタ!$A514,0)))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  <c r="AB514" s="27" t="str">
        <f ca="1">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</f>
        <v>注射</v>
      </c>
      <c r="AC514" s="27" cm="1">
        <f t="array" aca="1" ref="AC514" ca="1">OFFSET(
   INDIRECT("'" &amp; AB514 &amp; "'!A4"),
   MATCH(B514, INDIRECT("'" &amp; AB514 &amp; "'!C5:C1000"), 0),
   MATCH("合計", INDIRECT("'" &amp; AB514 &amp; "'!4:4"), 0) - 1
)</f>
        <v>0</v>
      </c>
    </row>
    <row r="515" spans="1:29">
      <c r="A515" s="40" t="str">
        <f>元データ!P512</f>
        <v>非採用</v>
      </c>
      <c r="B515" s="27">
        <f t="shared" si="7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IF(AA515="非採用",0,IF(OFFSET(マスタ非採用削除!E$4,統合マスタ!$A515,0)="","",OFFSET(マスタ非採用削除!E$4,統合マスタ!$A515,0)))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4068</v>
      </c>
      <c r="AB515" s="27" t="str">
        <f ca="1">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</f>
        <v>無し</v>
      </c>
      <c r="AC515" s="27" t="e" cm="1">
        <f t="array" aca="1" ref="AC515" ca="1">OFFSET(
   INDIRECT("'" &amp; AB515 &amp; "'!A4"),
   MATCH(B515, INDIRECT("'" &amp; AB515 &amp; "'!C5:C1000"), 0),
   MATCH("合計", INDIRECT("'" &amp; AB515 &amp; "'!4:4"), 0) - 1
)</f>
        <v>#REF!</v>
      </c>
    </row>
    <row r="516" spans="1:29">
      <c r="A516" s="40">
        <f>元データ!P513</f>
        <v>439</v>
      </c>
      <c r="B516" s="27">
        <f t="shared" si="7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IF(AA516="非採用",0,IF(OFFSET(マスタ非採用削除!E$4,統合マスタ!$A516,0)="","",OFFSET(マスタ非採用削除!E$4,統合マスタ!$A516,0)))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  <c r="AB516" s="27" t="str">
        <f ca="1">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</f>
        <v>臨時</v>
      </c>
      <c r="AC516" s="27" cm="1">
        <f t="array" aca="1" ref="AC516" ca="1">OFFSET(
   INDIRECT("'" &amp; AB516 &amp; "'!A4"),
   MATCH(B516, INDIRECT("'" &amp; AB516 &amp; "'!C5:C1000"), 0),
   MATCH("合計", INDIRECT("'" &amp; AB516 &amp; "'!4:4"), 0) - 1
)</f>
        <v>0</v>
      </c>
    </row>
    <row r="517" spans="1:29">
      <c r="A517" s="40">
        <f>元データ!P514</f>
        <v>0</v>
      </c>
      <c r="B517" s="27">
        <f t="shared" si="7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str">
        <f ca="1">IF(OFFSET(マスタ非採用削除!A$4,統合マスタ!$A517,0)="","",OFFSET(マスタ非採用削除!A$4,統合マスタ!$A517,0))</f>
        <v>コード(区分値)</v>
      </c>
      <c r="O517" s="53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3" t="str">
        <f ca="1">IF(OFFSET(マスタ非採用削除!D$4,統合マスタ!$A517,0)="","",OFFSET(マスタ非採用削除!D$4,統合マスタ!$A517,0))</f>
        <v>ホストコード</v>
      </c>
      <c r="R517" s="27" t="str">
        <f ca="1">IF(AA517="非採用",0,IF(OFFSET(マスタ非採用削除!E$4,統合マスタ!$A517,0)="","",OFFSET(マスタ非採用削除!E$4,統合マスタ!$A517,0)))</f>
        <v>採用区分（区分値）(区分値)</v>
      </c>
      <c r="S517" s="53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3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3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場所</v>
      </c>
      <c r="AA517" s="27"/>
      <c r="AB517" s="27" t="str">
        <f ca="1">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</f>
        <v>無し</v>
      </c>
      <c r="AC517" s="27" t="e" cm="1">
        <f t="array" aca="1" ref="AC517" ca="1">OFFSET(
   INDIRECT("'" &amp; AB517 &amp; "'!A4"),
   MATCH(B517, INDIRECT("'" &amp; AB517 &amp; "'!C5:C1000"), 0),
   MATCH("合計", INDIRECT("'" &amp; AB517 &amp; "'!4:4"), 0) - 1
)</f>
        <v>#REF!</v>
      </c>
    </row>
    <row r="518" spans="1:29">
      <c r="A518" s="40">
        <f>元データ!P515</f>
        <v>440</v>
      </c>
      <c r="B518" s="27">
        <f t="shared" si="7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IF(AA518="非採用",0,IF(OFFSET(マスタ非採用削除!E$4,統合マスタ!$A518,0)="","",OFFSET(マスタ非採用削除!E$4,統合マスタ!$A518,0)))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/>
      <c r="AB518" s="27" t="str">
        <f ca="1">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</f>
        <v>錠剤</v>
      </c>
      <c r="AC518" s="27" cm="1">
        <f t="array" aca="1" ref="AC518" ca="1">OFFSET(
   INDIRECT("'" &amp; AB518 &amp; "'!A4"),
   MATCH(B518, INDIRECT("'" &amp; AB518 &amp; "'!C5:C1000"), 0),
   MATCH("合計", INDIRECT("'" &amp; AB518 &amp; "'!4:4"), 0) - 1
)</f>
        <v>219</v>
      </c>
    </row>
    <row r="519" spans="1:29">
      <c r="A519" s="40">
        <f>元データ!P516</f>
        <v>440</v>
      </c>
      <c r="B519" s="27">
        <f t="shared" ref="B519:B582" si="8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IF(AA519="非採用",0,IF(OFFSET(マスタ非採用削除!E$4,統合マスタ!$A519,0)="","",OFFSET(マスタ非採用削除!E$4,統合マスタ!$A519,0)))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/>
      <c r="AB519" s="27" t="str">
        <f ca="1">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</f>
        <v>錠剤</v>
      </c>
      <c r="AC519" s="27" cm="1">
        <f t="array" aca="1" ref="AC519" ca="1">OFFSET(
   INDIRECT("'" &amp; AB519 &amp; "'!A4"),
   MATCH(B519, INDIRECT("'" &amp; AB519 &amp; "'!C5:C1000"), 0),
   MATCH("合計", INDIRECT("'" &amp; AB519 &amp; "'!4:4"), 0) - 1
)</f>
        <v>220</v>
      </c>
    </row>
    <row r="520" spans="1:29">
      <c r="A520" s="40">
        <f>元データ!P517</f>
        <v>441</v>
      </c>
      <c r="B520" s="27">
        <f t="shared" si="8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IF(AA520="非採用",0,IF(OFFSET(マスタ非採用削除!E$4,統合マスタ!$A520,0)="","",OFFSET(マスタ非採用削除!E$4,統合マスタ!$A520,0)))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  <c r="AB520" s="27" t="str">
        <f ca="1">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</f>
        <v>外用剤</v>
      </c>
      <c r="AC520" s="27" t="e" cm="1">
        <f t="array" aca="1" ref="AC520" ca="1">OFFSET(
   INDIRECT("'" &amp; AB520 &amp; "'!A4"),
   MATCH(B520, INDIRECT("'" &amp; AB520 &amp; "'!C5:C1000"), 0),
   MATCH("合計", INDIRECT("'" &amp; AB520 &amp; "'!4:4"), 0) - 1
)</f>
        <v>#REF!</v>
      </c>
    </row>
    <row r="521" spans="1:29">
      <c r="A521" s="40">
        <f>元データ!P518</f>
        <v>445</v>
      </c>
      <c r="B521" s="27">
        <f t="shared" si="8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IF(AA521="非採用",0,IF(OFFSET(マスタ非採用削除!E$4,統合マスタ!$A521,0)="","",OFFSET(マスタ非採用削除!E$4,統合マスタ!$A521,0)))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  <c r="AB521" s="27" t="str">
        <f ca="1">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</f>
        <v>無し</v>
      </c>
      <c r="AC521" s="27" t="e" cm="1">
        <f t="array" aca="1" ref="AC521" ca="1">OFFSET(
   INDIRECT("'" &amp; AB521 &amp; "'!A4"),
   MATCH(B521, INDIRECT("'" &amp; AB521 &amp; "'!C5:C1000"), 0),
   MATCH("合計", INDIRECT("'" &amp; AB521 &amp; "'!4:4"), 0) - 1
)</f>
        <v>#REF!</v>
      </c>
    </row>
    <row r="522" spans="1:29">
      <c r="A522" s="40">
        <f>元データ!P519</f>
        <v>443</v>
      </c>
      <c r="B522" s="27">
        <f t="shared" si="8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IF(AA522="非採用",0,IF(OFFSET(マスタ非採用削除!E$4,統合マスタ!$A522,0)="","",OFFSET(マスタ非採用削除!E$4,統合マスタ!$A522,0)))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/>
      <c r="AB522" s="27" t="str">
        <f ca="1">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</f>
        <v>錠剤</v>
      </c>
      <c r="AC522" s="27" cm="1">
        <f t="array" aca="1" ref="AC522" ca="1">OFFSET(
   INDIRECT("'" &amp; AB522 &amp; "'!A4"),
   MATCH(B522, INDIRECT("'" &amp; AB522 &amp; "'!C5:C1000"), 0),
   MATCH("合計", INDIRECT("'" &amp; AB522 &amp; "'!4:4"), 0) - 1
)</f>
        <v>221</v>
      </c>
    </row>
    <row r="523" spans="1:29">
      <c r="A523" s="40">
        <f>元データ!P520</f>
        <v>443</v>
      </c>
      <c r="B523" s="27">
        <f t="shared" si="8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IF(AA523="非採用",0,IF(OFFSET(マスタ非採用削除!E$4,統合マスタ!$A523,0)="","",OFFSET(マスタ非採用削除!E$4,統合マスタ!$A523,0)))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/>
      <c r="AB523" s="27" t="str">
        <f ca="1">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</f>
        <v>錠剤</v>
      </c>
      <c r="AC523" s="27" cm="1">
        <f t="array" aca="1" ref="AC523" ca="1">OFFSET(
   INDIRECT("'" &amp; AB523 &amp; "'!A4"),
   MATCH(B523, INDIRECT("'" &amp; AB523 &amp; "'!C5:C1000"), 0),
   MATCH("合計", INDIRECT("'" &amp; AB523 &amp; "'!4:4"), 0) - 1
)</f>
        <v>222</v>
      </c>
    </row>
    <row r="524" spans="1:29">
      <c r="A524" s="40">
        <f>元データ!P521</f>
        <v>444</v>
      </c>
      <c r="B524" s="27">
        <f t="shared" si="8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IF(AA524="非採用",0,IF(OFFSET(マスタ非採用削除!E$4,統合マスタ!$A524,0)="","",OFFSET(マスタ非採用削除!E$4,統合マスタ!$A524,0)))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/>
      <c r="AB524" s="27" t="str">
        <f ca="1">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</f>
        <v>錠剤</v>
      </c>
      <c r="AC524" s="27" cm="1">
        <f t="array" aca="1" ref="AC524" ca="1">OFFSET(
   INDIRECT("'" &amp; AB524 &amp; "'!A4"),
   MATCH(B524, INDIRECT("'" &amp; AB524 &amp; "'!C5:C1000"), 0),
   MATCH("合計", INDIRECT("'" &amp; AB524 &amp; "'!4:4"), 0) - 1
)</f>
        <v>223</v>
      </c>
    </row>
    <row r="525" spans="1:29">
      <c r="A525" s="40">
        <f>元データ!P522</f>
        <v>442</v>
      </c>
      <c r="B525" s="27">
        <f t="shared" si="8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IF(AA525="非採用",0,IF(OFFSET(マスタ非採用削除!E$4,統合マスタ!$A525,0)="","",OFFSET(マスタ非採用削除!E$4,統合マスタ!$A525,0)))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/>
      <c r="AB525" s="27" t="str">
        <f ca="1">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</f>
        <v>錠剤</v>
      </c>
      <c r="AC525" s="27" cm="1">
        <f t="array" aca="1" ref="AC525" ca="1">OFFSET(
   INDIRECT("'" &amp; AB525 &amp; "'!A4"),
   MATCH(B525, INDIRECT("'" &amp; AB525 &amp; "'!C5:C1000"), 0),
   MATCH("合計", INDIRECT("'" &amp; AB525 &amp; "'!4:4"), 0) - 1
)</f>
        <v>224</v>
      </c>
    </row>
    <row r="526" spans="1:29">
      <c r="A526" s="40">
        <f>元データ!P523</f>
        <v>442</v>
      </c>
      <c r="B526" s="27">
        <f t="shared" si="8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IF(AA526="非採用",0,IF(OFFSET(マスタ非採用削除!E$4,統合マスタ!$A526,0)="","",OFFSET(マスタ非採用削除!E$4,統合マスタ!$A526,0)))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/>
      <c r="AB526" s="27" t="str">
        <f ca="1">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</f>
        <v>錠剤</v>
      </c>
      <c r="AC526" s="27" cm="1">
        <f t="array" aca="1" ref="AC526" ca="1">OFFSET(
   INDIRECT("'" &amp; AB526 &amp; "'!A4"),
   MATCH(B526, INDIRECT("'" &amp; AB526 &amp; "'!C5:C1000"), 0),
   MATCH("合計", INDIRECT("'" &amp; AB526 &amp; "'!4:4"), 0) - 1
)</f>
        <v>225</v>
      </c>
    </row>
    <row r="527" spans="1:29">
      <c r="A527" s="40">
        <f>元データ!P524</f>
        <v>446</v>
      </c>
      <c r="B527" s="27">
        <f t="shared" si="8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IF(AA527="非採用",0,IF(OFFSET(マスタ非採用削除!E$4,統合マスタ!$A527,0)="","",OFFSET(マスタ非採用削除!E$4,統合マスタ!$A527,0)))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  <c r="AB527" s="27" t="str">
        <f ca="1">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</f>
        <v>臨時</v>
      </c>
      <c r="AC527" s="27" cm="1">
        <f t="array" aca="1" ref="AC527" ca="1">OFFSET(
   INDIRECT("'" &amp; AB527 &amp; "'!A4"),
   MATCH(B527, INDIRECT("'" &amp; AB527 &amp; "'!C5:C1000"), 0),
   MATCH("合計", INDIRECT("'" &amp; AB527 &amp; "'!4:4"), 0) - 1
)</f>
        <v>0</v>
      </c>
    </row>
    <row r="528" spans="1:29">
      <c r="A528" s="40">
        <f>元データ!P525</f>
        <v>447</v>
      </c>
      <c r="B528" s="27">
        <f t="shared" si="8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IF(AA528="非採用",0,IF(OFFSET(マスタ非採用削除!E$4,統合マスタ!$A528,0)="","",OFFSET(マスタ非採用削除!E$4,統合マスタ!$A528,0)))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/>
      <c r="AB528" s="27" t="str">
        <f ca="1">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</f>
        <v>錠剤</v>
      </c>
      <c r="AC528" s="27" cm="1">
        <f t="array" aca="1" ref="AC528" ca="1">OFFSET(
   INDIRECT("'" &amp; AB528 &amp; "'!A4"),
   MATCH(B528, INDIRECT("'" &amp; AB528 &amp; "'!C5:C1000"), 0),
   MATCH("合計", INDIRECT("'" &amp; AB528 &amp; "'!4:4"), 0) - 1
)</f>
        <v>226</v>
      </c>
    </row>
    <row r="529" spans="1:29">
      <c r="A529" s="40">
        <f>元データ!P526</f>
        <v>447</v>
      </c>
      <c r="B529" s="27">
        <f t="shared" si="8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IF(AA529="非採用",0,IF(OFFSET(マスタ非採用削除!E$4,統合マスタ!$A529,0)="","",OFFSET(マスタ非採用削除!E$4,統合マスタ!$A529,0)))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/>
      <c r="AB529" s="27" t="str">
        <f ca="1">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</f>
        <v>錠剤</v>
      </c>
      <c r="AC529" s="27" cm="1">
        <f t="array" aca="1" ref="AC529" ca="1">OFFSET(
   INDIRECT("'" &amp; AB529 &amp; "'!A4"),
   MATCH(B529, INDIRECT("'" &amp; AB529 &amp; "'!C5:C1000"), 0),
   MATCH("合計", INDIRECT("'" &amp; AB529 &amp; "'!4:4"), 0) - 1
)</f>
        <v>227</v>
      </c>
    </row>
    <row r="530" spans="1:29">
      <c r="A530" s="40">
        <f>元データ!P527</f>
        <v>448</v>
      </c>
      <c r="B530" s="27">
        <f t="shared" si="8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IF(AA530="非採用",0,IF(OFFSET(マスタ非採用削除!E$4,統合マスタ!$A530,0)="","",OFFSET(マスタ非採用削除!E$4,統合マスタ!$A530,0)))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  <c r="AB530" s="27" t="str">
        <f ca="1">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</f>
        <v>注射</v>
      </c>
      <c r="AC530" s="27" cm="1">
        <f t="array" aca="1" ref="AC530" ca="1">OFFSET(
   INDIRECT("'" &amp; AB530 &amp; "'!A4"),
   MATCH(B530, INDIRECT("'" &amp; AB530 &amp; "'!C5:C1000"), 0),
   MATCH("合計", INDIRECT("'" &amp; AB530 &amp; "'!4:4"), 0) - 1
)</f>
        <v>0</v>
      </c>
    </row>
    <row r="531" spans="1:29">
      <c r="A531" s="40">
        <f>元データ!P528</f>
        <v>449</v>
      </c>
      <c r="B531" s="27">
        <f t="shared" si="8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IF(AA531="非採用",0,IF(OFFSET(マスタ非採用削除!E$4,統合マスタ!$A531,0)="","",OFFSET(マスタ非採用削除!E$4,統合マスタ!$A531,0)))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  <c r="AB531" s="27" t="str">
        <f ca="1">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</f>
        <v>錠剤</v>
      </c>
      <c r="AC531" s="27" cm="1">
        <f t="array" aca="1" ref="AC531" ca="1">OFFSET(
   INDIRECT("'" &amp; AB531 &amp; "'!A4"),
   MATCH(B531, INDIRECT("'" &amp; AB531 &amp; "'!C5:C1000"), 0),
   MATCH("合計", INDIRECT("'" &amp; AB531 &amp; "'!4:4"), 0) - 1
)</f>
        <v>228</v>
      </c>
    </row>
    <row r="532" spans="1:29">
      <c r="A532" s="40">
        <f>元データ!P529</f>
        <v>451</v>
      </c>
      <c r="B532" s="27">
        <f t="shared" si="8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IF(AA532="非採用",0,IF(OFFSET(マスタ非採用削除!E$4,統合マスタ!$A532,0)="","",OFFSET(マスタ非採用削除!E$4,統合マスタ!$A532,0)))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  <c r="AB532" s="27" t="str">
        <f ca="1">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</f>
        <v>錠剤</v>
      </c>
      <c r="AC532" s="27" cm="1">
        <f t="array" aca="1" ref="AC532" ca="1">OFFSET(
   INDIRECT("'" &amp; AB532 &amp; "'!A4"),
   MATCH(B532, INDIRECT("'" &amp; AB532 &amp; "'!C5:C1000"), 0),
   MATCH("合計", INDIRECT("'" &amp; AB532 &amp; "'!4:4"), 0) - 1
)</f>
        <v>229</v>
      </c>
    </row>
    <row r="533" spans="1:29">
      <c r="A533" s="40">
        <f>元データ!P530</f>
        <v>452</v>
      </c>
      <c r="B533" s="27">
        <f t="shared" si="8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IF(AA533="非採用",0,IF(OFFSET(マスタ非採用削除!E$4,統合マスタ!$A533,0)="","",OFFSET(マスタ非採用削除!E$4,統合マスタ!$A533,0)))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  <c r="AB533" s="27" t="str">
        <f ca="1">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</f>
        <v>注射</v>
      </c>
      <c r="AC533" s="27" cm="1">
        <f t="array" aca="1" ref="AC533" ca="1">OFFSET(
   INDIRECT("'" &amp; AB533 &amp; "'!A4"),
   MATCH(B533, INDIRECT("'" &amp; AB533 &amp; "'!C5:C1000"), 0),
   MATCH("合計", INDIRECT("'" &amp; AB533 &amp; "'!4:4"), 0) - 1
)</f>
        <v>0</v>
      </c>
    </row>
    <row r="534" spans="1:29">
      <c r="A534" s="40">
        <f>元データ!P531</f>
        <v>454</v>
      </c>
      <c r="B534" s="27">
        <f t="shared" si="8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IF(AA534="非採用",0,IF(OFFSET(マスタ非採用削除!E$4,統合マスタ!$A534,0)="","",OFFSET(マスタ非採用削除!E$4,統合マスタ!$A534,0)))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  <c r="AB534" s="27" t="str">
        <f ca="1">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</f>
        <v>臨時</v>
      </c>
      <c r="AC534" s="27" cm="1">
        <f t="array" aca="1" ref="AC534" ca="1">OFFSET(
   INDIRECT("'" &amp; AB534 &amp; "'!A4"),
   MATCH(B534, INDIRECT("'" &amp; AB534 &amp; "'!C5:C1000"), 0),
   MATCH("合計", INDIRECT("'" &amp; AB534 &amp; "'!4:4"), 0) - 1
)</f>
        <v>0</v>
      </c>
    </row>
    <row r="535" spans="1:29">
      <c r="A535" s="40">
        <f>元データ!P532</f>
        <v>455</v>
      </c>
      <c r="B535" s="27">
        <f t="shared" si="8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IF(AA535="非採用",0,IF(OFFSET(マスタ非採用削除!E$4,統合マスタ!$A535,0)="","",OFFSET(マスタ非採用削除!E$4,統合マスタ!$A535,0)))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  <c r="AB535" s="27" t="str">
        <f ca="1">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</f>
        <v>注射</v>
      </c>
      <c r="AC535" s="27" cm="1">
        <f t="array" aca="1" ref="AC535" ca="1">OFFSET(
   INDIRECT("'" &amp; AB535 &amp; "'!A4"),
   MATCH(B535, INDIRECT("'" &amp; AB535 &amp; "'!C5:C1000"), 0),
   MATCH("合計", INDIRECT("'" &amp; AB535 &amp; "'!4:4"), 0) - 1
)</f>
        <v>0</v>
      </c>
    </row>
    <row r="536" spans="1:29">
      <c r="A536" s="40">
        <f>元データ!P533</f>
        <v>453</v>
      </c>
      <c r="B536" s="27">
        <f t="shared" si="8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IF(AA536="非採用",0,IF(OFFSET(マスタ非採用削除!E$4,統合マスタ!$A536,0)="","",OFFSET(マスタ非採用削除!E$4,統合マスタ!$A536,0)))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/>
      <c r="AB536" s="27" t="str">
        <f ca="1">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</f>
        <v>散剤</v>
      </c>
      <c r="AC536" s="27" cm="1">
        <f t="array" aca="1" ref="AC536" ca="1">OFFSET(
   INDIRECT("'" &amp; AB536 &amp; "'!A4"),
   MATCH(B536, INDIRECT("'" &amp; AB536 &amp; "'!C5:C1000"), 0),
   MATCH("合計", INDIRECT("'" &amp; AB536 &amp; "'!4:4"), 0) - 1
)</f>
        <v>14000</v>
      </c>
    </row>
    <row r="537" spans="1:29">
      <c r="A537" s="40">
        <f>元データ!P534</f>
        <v>456</v>
      </c>
      <c r="B537" s="27">
        <f t="shared" si="8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IF(AA537="非採用",0,IF(OFFSET(マスタ非採用削除!E$4,統合マスタ!$A537,0)="","",OFFSET(マスタ非採用削除!E$4,統合マスタ!$A537,0)))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/>
      <c r="AB537" s="27" t="str">
        <f ca="1">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</f>
        <v>錠剤</v>
      </c>
      <c r="AC537" s="27" cm="1">
        <f t="array" aca="1" ref="AC537" ca="1">OFFSET(
   INDIRECT("'" &amp; AB537 &amp; "'!A4"),
   MATCH(B537, INDIRECT("'" &amp; AB537 &amp; "'!C5:C1000"), 0),
   MATCH("合計", INDIRECT("'" &amp; AB537 &amp; "'!4:4"), 0) - 1
)</f>
        <v>230</v>
      </c>
    </row>
    <row r="538" spans="1:29">
      <c r="A538" s="40">
        <f>元データ!P535</f>
        <v>458</v>
      </c>
      <c r="B538" s="27">
        <f t="shared" si="8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IF(AA538="非採用",0,IF(OFFSET(マスタ非採用削除!E$4,統合マスタ!$A538,0)="","",OFFSET(マスタ非採用削除!E$4,統合マスタ!$A538,0)))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  <c r="AB538" s="27" t="str">
        <f ca="1">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</f>
        <v>錠剤</v>
      </c>
      <c r="AC538" s="27" cm="1">
        <f t="array" aca="1" ref="AC538" ca="1">OFFSET(
   INDIRECT("'" &amp; AB538 &amp; "'!A4"),
   MATCH(B538, INDIRECT("'" &amp; AB538 &amp; "'!C5:C1000"), 0),
   MATCH("合計", INDIRECT("'" &amp; AB538 &amp; "'!4:4"), 0) - 1
)</f>
        <v>231</v>
      </c>
    </row>
    <row r="539" spans="1:29">
      <c r="A539" s="40">
        <f>元データ!P536</f>
        <v>457</v>
      </c>
      <c r="B539" s="27">
        <f t="shared" si="8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IF(AA539="非採用",0,IF(OFFSET(マスタ非採用削除!E$4,統合マスタ!$A539,0)="","",OFFSET(マスタ非採用削除!E$4,統合マスタ!$A539,0)))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/>
      <c r="AB539" s="27" t="str">
        <f ca="1">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</f>
        <v>錠剤</v>
      </c>
      <c r="AC539" s="27" cm="1">
        <f t="array" aca="1" ref="AC539" ca="1">OFFSET(
   INDIRECT("'" &amp; AB539 &amp; "'!A4"),
   MATCH(B539, INDIRECT("'" &amp; AB539 &amp; "'!C5:C1000"), 0),
   MATCH("合計", INDIRECT("'" &amp; AB539 &amp; "'!4:4"), 0) - 1
)</f>
        <v>232</v>
      </c>
    </row>
    <row r="540" spans="1:29">
      <c r="A540" s="40">
        <f>元データ!P537</f>
        <v>457</v>
      </c>
      <c r="B540" s="27">
        <f t="shared" si="8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IF(AA540="非採用",0,IF(OFFSET(マスタ非採用削除!E$4,統合マスタ!$A540,0)="","",OFFSET(マスタ非採用削除!E$4,統合マスタ!$A540,0)))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/>
      <c r="AB540" s="27" t="str">
        <f ca="1">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</f>
        <v>錠剤</v>
      </c>
      <c r="AC540" s="27" cm="1">
        <f t="array" aca="1" ref="AC540" ca="1">OFFSET(
   INDIRECT("'" &amp; AB540 &amp; "'!A4"),
   MATCH(B540, INDIRECT("'" &amp; AB540 &amp; "'!C5:C1000"), 0),
   MATCH("合計", INDIRECT("'" &amp; AB540 &amp; "'!4:4"), 0) - 1
)</f>
        <v>233</v>
      </c>
    </row>
    <row r="541" spans="1:29">
      <c r="A541" s="40" t="str">
        <f>元データ!P538</f>
        <v>非採用</v>
      </c>
      <c r="B541" s="27">
        <f t="shared" si="8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IF(AA541="非採用",0,IF(OFFSET(マスタ非採用削除!E$4,統合マスタ!$A541,0)="","",OFFSET(マスタ非採用削除!E$4,統合マスタ!$A541,0)))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">
        <v>4214</v>
      </c>
      <c r="AB541" s="27" t="str">
        <f ca="1">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</f>
        <v>無し</v>
      </c>
      <c r="AC541" s="27" t="e" cm="1">
        <f t="array" aca="1" ref="AC541" ca="1">OFFSET(
   INDIRECT("'" &amp; AB541 &amp; "'!A4"),
   MATCH(B541, INDIRECT("'" &amp; AB541 &amp; "'!C5:C1000"), 0),
   MATCH("合計", INDIRECT("'" &amp; AB541 &amp; "'!4:4"), 0) - 1
)</f>
        <v>#REF!</v>
      </c>
    </row>
    <row r="542" spans="1:29">
      <c r="A542" s="40">
        <f>元データ!P539</f>
        <v>459</v>
      </c>
      <c r="B542" s="27">
        <f t="shared" si="8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IF(AA542="非採用",0,IF(OFFSET(マスタ非採用削除!E$4,統合マスタ!$A542,0)="","",OFFSET(マスタ非採用削除!E$4,統合マスタ!$A542,0)))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/>
      <c r="AB542" s="27" t="str">
        <f ca="1">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</f>
        <v>錠剤</v>
      </c>
      <c r="AC542" s="27" cm="1">
        <f t="array" aca="1" ref="AC542" ca="1">OFFSET(
   INDIRECT("'" &amp; AB542 &amp; "'!A4"),
   MATCH(B542, INDIRECT("'" &amp; AB542 &amp; "'!C5:C1000"), 0),
   MATCH("合計", INDIRECT("'" &amp; AB542 &amp; "'!4:4"), 0) - 1
)</f>
        <v>234</v>
      </c>
    </row>
    <row r="543" spans="1:29">
      <c r="A543" s="40">
        <f>元データ!P540</f>
        <v>0</v>
      </c>
      <c r="B543" s="27">
        <f t="shared" si="8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コード(区分値)</v>
      </c>
      <c r="O543" s="53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3" t="str">
        <f ca="1">IF(OFFSET(マスタ非採用削除!D$4,統合マスタ!$A543,0)="","",OFFSET(マスタ非採用削除!D$4,統合マスタ!$A543,0))</f>
        <v>ホストコード</v>
      </c>
      <c r="R543" s="27" t="str">
        <f ca="1">IF(AA543="非採用",0,IF(OFFSET(マスタ非採用削除!E$4,統合マスタ!$A543,0)="","",OFFSET(マスタ非採用削除!E$4,統合マスタ!$A543,0)))</f>
        <v>採用区分（区分値）(区分値)</v>
      </c>
      <c r="S543" s="53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3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3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場所</v>
      </c>
      <c r="AA543" s="27"/>
      <c r="AB543" s="27" t="str">
        <f ca="1">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</f>
        <v>無し</v>
      </c>
      <c r="AC543" s="27" t="e" cm="1">
        <f t="array" aca="1" ref="AC543" ca="1">OFFSET(
   INDIRECT("'" &amp; AB543 &amp; "'!A4"),
   MATCH(B543, INDIRECT("'" &amp; AB543 &amp; "'!C5:C1000"), 0),
   MATCH("合計", INDIRECT("'" &amp; AB543 &amp; "'!4:4"), 0) - 1
)</f>
        <v>#REF!</v>
      </c>
    </row>
    <row r="544" spans="1:29">
      <c r="A544" s="40">
        <f>元データ!P541</f>
        <v>0</v>
      </c>
      <c r="B544" s="27">
        <f t="shared" si="8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コード(区分値)</v>
      </c>
      <c r="O544" s="53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3" t="str">
        <f ca="1">IF(OFFSET(マスタ非採用削除!D$4,統合マスタ!$A544,0)="","",OFFSET(マスタ非採用削除!D$4,統合マスタ!$A544,0))</f>
        <v>ホストコード</v>
      </c>
      <c r="R544" s="27" t="str">
        <f ca="1">IF(AA544="非採用",0,IF(OFFSET(マスタ非採用削除!E$4,統合マスタ!$A544,0)="","",OFFSET(マスタ非採用削除!E$4,統合マスタ!$A544,0)))</f>
        <v>採用区分（区分値）(区分値)</v>
      </c>
      <c r="S544" s="53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3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3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場所</v>
      </c>
      <c r="AA544" s="27"/>
      <c r="AB544" s="27" t="str">
        <f ca="1">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</f>
        <v>無し</v>
      </c>
      <c r="AC544" s="27" t="e" cm="1">
        <f t="array" aca="1" ref="AC544" ca="1">OFFSET(
   INDIRECT("'" &amp; AB544 &amp; "'!A4"),
   MATCH(B544, INDIRECT("'" &amp; AB544 &amp; "'!C5:C1000"), 0),
   MATCH("合計", INDIRECT("'" &amp; AB544 &amp; "'!4:4"), 0) - 1
)</f>
        <v>#REF!</v>
      </c>
    </row>
    <row r="545" spans="1:29">
      <c r="A545" s="40">
        <f>元データ!P542</f>
        <v>0</v>
      </c>
      <c r="B545" s="27">
        <f t="shared" si="8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コード(区分値)</v>
      </c>
      <c r="O545" s="53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3" t="str">
        <f ca="1">IF(OFFSET(マスタ非採用削除!D$4,統合マスタ!$A545,0)="","",OFFSET(マスタ非採用削除!D$4,統合マスタ!$A545,0))</f>
        <v>ホストコード</v>
      </c>
      <c r="R545" s="27" t="str">
        <f ca="1">IF(AA545="非採用",0,IF(OFFSET(マスタ非採用削除!E$4,統合マスタ!$A545,0)="","",OFFSET(マスタ非採用削除!E$4,統合マスタ!$A545,0)))</f>
        <v>採用区分（区分値）(区分値)</v>
      </c>
      <c r="S545" s="53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3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3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場所</v>
      </c>
      <c r="AA545" s="27"/>
      <c r="AB545" s="27" t="str">
        <f ca="1">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</f>
        <v>無し</v>
      </c>
      <c r="AC545" s="27" t="e" cm="1">
        <f t="array" aca="1" ref="AC545" ca="1">OFFSET(
   INDIRECT("'" &amp; AB545 &amp; "'!A4"),
   MATCH(B545, INDIRECT("'" &amp; AB545 &amp; "'!C5:C1000"), 0),
   MATCH("合計", INDIRECT("'" &amp; AB545 &amp; "'!4:4"), 0) - 1
)</f>
        <v>#REF!</v>
      </c>
    </row>
    <row r="546" spans="1:29">
      <c r="A546" s="40" t="str">
        <f>元データ!P543</f>
        <v>非採用</v>
      </c>
      <c r="B546" s="27">
        <f t="shared" si="8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IF(AA546="非採用",0,IF(OFFSET(マスタ非採用削除!E$4,統合マスタ!$A546,0)="","",OFFSET(マスタ非採用削除!E$4,統合マスタ!$A546,0)))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">
        <v>4214</v>
      </c>
      <c r="AB546" s="27" t="str">
        <f ca="1">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</f>
        <v>無し</v>
      </c>
      <c r="AC546" s="27" t="e" cm="1">
        <f t="array" aca="1" ref="AC546" ca="1">OFFSET(
   INDIRECT("'" &amp; AB546 &amp; "'!A4"),
   MATCH(B546, INDIRECT("'" &amp; AB546 &amp; "'!C5:C1000"), 0),
   MATCH("合計", INDIRECT("'" &amp; AB546 &amp; "'!4:4"), 0) - 1
)</f>
        <v>#REF!</v>
      </c>
    </row>
    <row r="547" spans="1:29">
      <c r="A547" s="40">
        <f>元データ!P544</f>
        <v>466</v>
      </c>
      <c r="B547" s="27">
        <f t="shared" si="8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IF(AA547="非採用",0,IF(OFFSET(マスタ非採用削除!E$4,統合マスタ!$A547,0)="","",OFFSET(マスタ非採用削除!E$4,統合マスタ!$A547,0)))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  <c r="AB547" s="27" t="str">
        <f ca="1">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</f>
        <v>注射</v>
      </c>
      <c r="AC547" s="27" cm="1">
        <f t="array" aca="1" ref="AC547" ca="1">OFFSET(
   INDIRECT("'" &amp; AB547 &amp; "'!A4"),
   MATCH(B547, INDIRECT("'" &amp; AB547 &amp; "'!C5:C1000"), 0),
   MATCH("合計", INDIRECT("'" &amp; AB547 &amp; "'!4:4"), 0) - 1
)</f>
        <v>0</v>
      </c>
    </row>
    <row r="548" spans="1:29">
      <c r="A548" s="40">
        <f>元データ!P545</f>
        <v>464</v>
      </c>
      <c r="B548" s="27">
        <f t="shared" si="8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IF(AA548="非採用",0,IF(OFFSET(マスタ非採用削除!E$4,統合マスタ!$A548,0)="","",OFFSET(マスタ非採用削除!E$4,統合マスタ!$A548,0)))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/>
      <c r="AB548" s="27" t="str">
        <f ca="1">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</f>
        <v>注射</v>
      </c>
      <c r="AC548" s="27" cm="1">
        <f t="array" aca="1" ref="AC548" ca="1">OFFSET(
   INDIRECT("'" &amp; AB548 &amp; "'!A4"),
   MATCH(B548, INDIRECT("'" &amp; AB548 &amp; "'!C5:C1000"), 0),
   MATCH("合計", INDIRECT("'" &amp; AB548 &amp; "'!4:4"), 0) - 1
)</f>
        <v>0</v>
      </c>
    </row>
    <row r="549" spans="1:29">
      <c r="A549" s="40">
        <f>元データ!P546</f>
        <v>468</v>
      </c>
      <c r="B549" s="27">
        <f t="shared" si="8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IF(AA549="非採用",0,IF(OFFSET(マスタ非採用削除!E$4,統合マスタ!$A549,0)="","",OFFSET(マスタ非採用削除!E$4,統合マスタ!$A549,0)))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  <c r="AB549" s="27" t="str">
        <f ca="1">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</f>
        <v>臨時</v>
      </c>
      <c r="AC549" s="27" cm="1">
        <f t="array" aca="1" ref="AC549" ca="1">OFFSET(
   INDIRECT("'" &amp; AB549 &amp; "'!A4"),
   MATCH(B549, INDIRECT("'" &amp; AB549 &amp; "'!C5:C1000"), 0),
   MATCH("合計", INDIRECT("'" &amp; AB549 &amp; "'!4:4"), 0) - 1
)</f>
        <v>0</v>
      </c>
    </row>
    <row r="550" spans="1:29">
      <c r="A550" s="40">
        <f>元データ!P547</f>
        <v>467</v>
      </c>
      <c r="B550" s="27">
        <f t="shared" si="8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IF(AA550="非採用",0,IF(OFFSET(マスタ非採用削除!E$4,統合マスタ!$A550,0)="","",OFFSET(マスタ非採用削除!E$4,統合マスタ!$A550,0)))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  <c r="AB550" s="27" t="str">
        <f ca="1">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</f>
        <v>臨時</v>
      </c>
      <c r="AC550" s="27" cm="1">
        <f t="array" aca="1" ref="AC550" ca="1">OFFSET(
   INDIRECT("'" &amp; AB550 &amp; "'!A4"),
   MATCH(B550, INDIRECT("'" &amp; AB550 &amp; "'!C5:C1000"), 0),
   MATCH("合計", INDIRECT("'" &amp; AB550 &amp; "'!4:4"), 0) - 1
)</f>
        <v>0</v>
      </c>
    </row>
    <row r="551" spans="1:29">
      <c r="A551" s="40">
        <f>元データ!P548</f>
        <v>471</v>
      </c>
      <c r="B551" s="27">
        <f t="shared" si="8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IF(AA551="非採用",0,IF(OFFSET(マスタ非採用削除!E$4,統合マスタ!$A551,0)="","",OFFSET(マスタ非採用削除!E$4,統合マスタ!$A551,0)))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/>
      <c r="AB551" s="27" t="str">
        <f ca="1">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</f>
        <v>錠剤</v>
      </c>
      <c r="AC551" s="27" cm="1">
        <f t="array" aca="1" ref="AC551" ca="1">OFFSET(
   INDIRECT("'" &amp; AB551 &amp; "'!A4"),
   MATCH(B551, INDIRECT("'" &amp; AB551 &amp; "'!C5:C1000"), 0),
   MATCH("合計", INDIRECT("'" &amp; AB551 &amp; "'!4:4"), 0) - 1
)</f>
        <v>235</v>
      </c>
    </row>
    <row r="552" spans="1:29">
      <c r="A552" s="40">
        <f>元データ!P549</f>
        <v>471</v>
      </c>
      <c r="B552" s="27">
        <f t="shared" si="8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IF(AA552="非採用",0,IF(OFFSET(マスタ非採用削除!E$4,統合マスタ!$A552,0)="","",OFFSET(マスタ非採用削除!E$4,統合マスタ!$A552,0)))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/>
      <c r="AB552" s="27" t="str">
        <f ca="1">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</f>
        <v>錠剤</v>
      </c>
      <c r="AC552" s="27" cm="1">
        <f t="array" aca="1" ref="AC552" ca="1">OFFSET(
   INDIRECT("'" &amp; AB552 &amp; "'!A4"),
   MATCH(B552, INDIRECT("'" &amp; AB552 &amp; "'!C5:C1000"), 0),
   MATCH("合計", INDIRECT("'" &amp; AB552 &amp; "'!4:4"), 0) - 1
)</f>
        <v>236</v>
      </c>
    </row>
    <row r="553" spans="1:29">
      <c r="A553" s="40">
        <f>元データ!P550</f>
        <v>472</v>
      </c>
      <c r="B553" s="27">
        <f t="shared" si="8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IF(AA553="非採用",0,IF(OFFSET(マスタ非採用削除!E$4,統合マスタ!$A553,0)="","",OFFSET(マスタ非採用削除!E$4,統合マスタ!$A553,0)))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  <c r="AB553" s="27" t="str">
        <f ca="1">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</f>
        <v>臨時</v>
      </c>
      <c r="AC553" s="27" cm="1">
        <f t="array" aca="1" ref="AC553" ca="1">OFFSET(
   INDIRECT("'" &amp; AB553 &amp; "'!A4"),
   MATCH(B553, INDIRECT("'" &amp; AB553 &amp; "'!C5:C1000"), 0),
   MATCH("合計", INDIRECT("'" &amp; AB553 &amp; "'!4:4"), 0) - 1
)</f>
        <v>0</v>
      </c>
    </row>
    <row r="554" spans="1:29">
      <c r="A554" s="40">
        <f>元データ!P551</f>
        <v>473</v>
      </c>
      <c r="B554" s="27">
        <f t="shared" si="8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IF(AA554="非採用",0,IF(OFFSET(マスタ非採用削除!E$4,統合マスタ!$A554,0)="","",OFFSET(マスタ非採用削除!E$4,統合マスタ!$A554,0)))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  <c r="AB554" s="27" t="str">
        <f ca="1">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</f>
        <v>外用剤</v>
      </c>
      <c r="AC554" s="27" t="e" cm="1">
        <f t="array" aca="1" ref="AC554" ca="1">OFFSET(
   INDIRECT("'" &amp; AB554 &amp; "'!A4"),
   MATCH(B554, INDIRECT("'" &amp; AB554 &amp; "'!C5:C1000"), 0),
   MATCH("合計", INDIRECT("'" &amp; AB554 &amp; "'!4:4"), 0) - 1
)</f>
        <v>#REF!</v>
      </c>
    </row>
    <row r="555" spans="1:29">
      <c r="A555" s="40">
        <f>元データ!P552</f>
        <v>475</v>
      </c>
      <c r="B555" s="27">
        <f t="shared" si="8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IF(AA555="非採用",0,IF(OFFSET(マスタ非採用削除!E$4,統合マスタ!$A555,0)="","",OFFSET(マスタ非採用削除!E$4,統合マスタ!$A555,0)))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  <c r="AB555" s="27" t="str">
        <f ca="1">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</f>
        <v>注射</v>
      </c>
      <c r="AC555" s="27" cm="1">
        <f t="array" aca="1" ref="AC555" ca="1">OFFSET(
   INDIRECT("'" &amp; AB555 &amp; "'!A4"),
   MATCH(B555, INDIRECT("'" &amp; AB555 &amp; "'!C5:C1000"), 0),
   MATCH("合計", INDIRECT("'" &amp; AB555 &amp; "'!4:4"), 0) - 1
)</f>
        <v>0</v>
      </c>
    </row>
    <row r="556" spans="1:29">
      <c r="A556" s="40">
        <f>元データ!P553</f>
        <v>476</v>
      </c>
      <c r="B556" s="27">
        <f t="shared" si="8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IF(AA556="非採用",0,IF(OFFSET(マスタ非採用削除!E$4,統合マスタ!$A556,0)="","",OFFSET(マスタ非採用削除!E$4,統合マスタ!$A556,0)))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  <c r="AB556" s="27" t="str">
        <f ca="1">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</f>
        <v>臨時</v>
      </c>
      <c r="AC556" s="27" cm="1">
        <f t="array" aca="1" ref="AC556" ca="1">OFFSET(
   INDIRECT("'" &amp; AB556 &amp; "'!A4"),
   MATCH(B556, INDIRECT("'" &amp; AB556 &amp; "'!C5:C1000"), 0),
   MATCH("合計", INDIRECT("'" &amp; AB556 &amp; "'!4:4"), 0) - 1
)</f>
        <v>0</v>
      </c>
    </row>
    <row r="557" spans="1:29">
      <c r="A557" s="40">
        <f>元データ!P554</f>
        <v>477</v>
      </c>
      <c r="B557" s="27">
        <f t="shared" si="8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IF(AA557="非採用",0,IF(OFFSET(マスタ非採用削除!E$4,統合マスタ!$A557,0)="","",OFFSET(マスタ非採用削除!E$4,統合マスタ!$A557,0)))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  <c r="AB557" s="27" t="str">
        <f ca="1">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</f>
        <v>臨時</v>
      </c>
      <c r="AC557" s="27" cm="1">
        <f t="array" aca="1" ref="AC557" ca="1">OFFSET(
   INDIRECT("'" &amp; AB557 &amp; "'!A4"),
   MATCH(B557, INDIRECT("'" &amp; AB557 &amp; "'!C5:C1000"), 0),
   MATCH("合計", INDIRECT("'" &amp; AB557 &amp; "'!4:4"), 0) - 1
)</f>
        <v>0</v>
      </c>
    </row>
    <row r="558" spans="1:29">
      <c r="A558" s="40">
        <f>元データ!P555</f>
        <v>479</v>
      </c>
      <c r="B558" s="27">
        <f t="shared" si="8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IF(AA558="非採用",0,IF(OFFSET(マスタ非採用削除!E$4,統合マスタ!$A558,0)="","",OFFSET(マスタ非採用削除!E$4,統合マスタ!$A558,0)))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  <c r="AB558" s="27" t="str">
        <f ca="1">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</f>
        <v>注射</v>
      </c>
      <c r="AC558" s="27" cm="1">
        <f t="array" aca="1" ref="AC558" ca="1">OFFSET(
   INDIRECT("'" &amp; AB558 &amp; "'!A4"),
   MATCH(B558, INDIRECT("'" &amp; AB558 &amp; "'!C5:C1000"), 0),
   MATCH("合計", INDIRECT("'" &amp; AB558 &amp; "'!4:4"), 0) - 1
)</f>
        <v>0</v>
      </c>
    </row>
    <row r="559" spans="1:29">
      <c r="A559" s="40">
        <f>元データ!P556</f>
        <v>480</v>
      </c>
      <c r="B559" s="27">
        <f t="shared" si="8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IF(AA559="非採用",0,IF(OFFSET(マスタ非採用削除!E$4,統合マスタ!$A559,0)="","",OFFSET(マスタ非採用削除!E$4,統合マスタ!$A559,0)))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  <c r="AB559" s="27" t="str">
        <f ca="1">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</f>
        <v>錠剤</v>
      </c>
      <c r="AC559" s="27" cm="1">
        <f t="array" aca="1" ref="AC559" ca="1">OFFSET(
   INDIRECT("'" &amp; AB559 &amp; "'!A4"),
   MATCH(B559, INDIRECT("'" &amp; AB559 &amp; "'!C5:C1000"), 0),
   MATCH("合計", INDIRECT("'" &amp; AB559 &amp; "'!4:4"), 0) - 1
)</f>
        <v>237</v>
      </c>
    </row>
    <row r="560" spans="1:29">
      <c r="A560" s="40">
        <f>元データ!P557</f>
        <v>480</v>
      </c>
      <c r="B560" s="27">
        <f t="shared" si="8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IF(AA560="非採用",0,IF(OFFSET(マスタ非採用削除!E$4,統合マスタ!$A560,0)="","",OFFSET(マスタ非採用削除!E$4,統合マスタ!$A560,0)))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  <c r="AB560" s="27" t="str">
        <f ca="1">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</f>
        <v>錠剤</v>
      </c>
      <c r="AC560" s="27" cm="1">
        <f t="array" aca="1" ref="AC560" ca="1">OFFSET(
   INDIRECT("'" &amp; AB560 &amp; "'!A4"),
   MATCH(B560, INDIRECT("'" &amp; AB560 &amp; "'!C5:C1000"), 0),
   MATCH("合計", INDIRECT("'" &amp; AB560 &amp; "'!4:4"), 0) - 1
)</f>
        <v>238</v>
      </c>
    </row>
    <row r="561" spans="1:29">
      <c r="A561" s="40">
        <f>元データ!P558</f>
        <v>481</v>
      </c>
      <c r="B561" s="27">
        <f t="shared" si="8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IF(AA561="非採用",0,IF(OFFSET(マスタ非採用削除!E$4,統合マスタ!$A561,0)="","",OFFSET(マスタ非採用削除!E$4,統合マスタ!$A561,0)))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  <c r="AB561" s="27" t="str">
        <f ca="1">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</f>
        <v>錠剤</v>
      </c>
      <c r="AC561" s="27" cm="1">
        <f t="array" aca="1" ref="AC561" ca="1">OFFSET(
   INDIRECT("'" &amp; AB561 &amp; "'!A4"),
   MATCH(B561, INDIRECT("'" &amp; AB561 &amp; "'!C5:C1000"), 0),
   MATCH("合計", INDIRECT("'" &amp; AB561 &amp; "'!4:4"), 0) - 1
)</f>
        <v>239</v>
      </c>
    </row>
    <row r="562" spans="1:29">
      <c r="A562" s="40">
        <f>元データ!P559</f>
        <v>481</v>
      </c>
      <c r="B562" s="27">
        <f t="shared" si="8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IF(AA562="非採用",0,IF(OFFSET(マスタ非採用削除!E$4,統合マスタ!$A562,0)="","",OFFSET(マスタ非採用削除!E$4,統合マスタ!$A562,0)))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  <c r="AB562" s="27" t="str">
        <f ca="1">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</f>
        <v>錠剤</v>
      </c>
      <c r="AC562" s="27" cm="1">
        <f t="array" aca="1" ref="AC562" ca="1">OFFSET(
   INDIRECT("'" &amp; AB562 &amp; "'!A4"),
   MATCH(B562, INDIRECT("'" &amp; AB562 &amp; "'!C5:C1000"), 0),
   MATCH("合計", INDIRECT("'" &amp; AB562 &amp; "'!4:4"), 0) - 1
)</f>
        <v>240</v>
      </c>
    </row>
    <row r="563" spans="1:29">
      <c r="A563" s="40">
        <f>元データ!P560</f>
        <v>482</v>
      </c>
      <c r="B563" s="27">
        <f t="shared" si="8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IF(AA563="非採用",0,IF(OFFSET(マスタ非採用削除!E$4,統合マスタ!$A563,0)="","",OFFSET(マスタ非採用削除!E$4,統合マスタ!$A563,0)))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  <c r="AB563" s="27" t="str">
        <f ca="1">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</f>
        <v>臨時</v>
      </c>
      <c r="AC563" s="27" cm="1">
        <f t="array" aca="1" ref="AC563" ca="1">OFFSET(
   INDIRECT("'" &amp; AB563 &amp; "'!A4"),
   MATCH(B563, INDIRECT("'" &amp; AB563 &amp; "'!C5:C1000"), 0),
   MATCH("合計", INDIRECT("'" &amp; AB563 &amp; "'!4:4"), 0) - 1
)</f>
        <v>0</v>
      </c>
    </row>
    <row r="564" spans="1:29">
      <c r="A564" s="40">
        <f>元データ!P561</f>
        <v>483</v>
      </c>
      <c r="B564" s="27">
        <f t="shared" si="8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IF(AA564="非採用",0,IF(OFFSET(マスタ非採用削除!E$4,統合マスタ!$A564,0)="","",OFFSET(マスタ非採用削除!E$4,統合マスタ!$A564,0)))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  <c r="AB564" s="27" t="str">
        <f ca="1">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</f>
        <v>臨時</v>
      </c>
      <c r="AC564" s="27" cm="1">
        <f t="array" aca="1" ref="AC564" ca="1">OFFSET(
   INDIRECT("'" &amp; AB564 &amp; "'!A4"),
   MATCH(B564, INDIRECT("'" &amp; AB564 &amp; "'!C5:C1000"), 0),
   MATCH("合計", INDIRECT("'" &amp; AB564 &amp; "'!4:4"), 0) - 1
)</f>
        <v>0</v>
      </c>
    </row>
    <row r="565" spans="1:29">
      <c r="A565" s="40">
        <f>元データ!P562</f>
        <v>484</v>
      </c>
      <c r="B565" s="27">
        <f t="shared" si="8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IF(AA565="非採用",0,IF(OFFSET(マスタ非採用削除!E$4,統合マスタ!$A565,0)="","",OFFSET(マスタ非採用削除!E$4,統合マスタ!$A565,0)))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  <c r="AB565" s="27" t="str">
        <f ca="1">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</f>
        <v>臨時</v>
      </c>
      <c r="AC565" s="27" cm="1">
        <f t="array" aca="1" ref="AC565" ca="1">OFFSET(
   INDIRECT("'" &amp; AB565 &amp; "'!A4"),
   MATCH(B565, INDIRECT("'" &amp; AB565 &amp; "'!C5:C1000"), 0),
   MATCH("合計", INDIRECT("'" &amp; AB565 &amp; "'!4:4"), 0) - 1
)</f>
        <v>0</v>
      </c>
    </row>
    <row r="566" spans="1:29">
      <c r="A566" s="40">
        <f>元データ!P563</f>
        <v>485</v>
      </c>
      <c r="B566" s="27">
        <f t="shared" si="8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IF(AA566="非採用",0,IF(OFFSET(マスタ非採用削除!E$4,統合マスタ!$A566,0)="","",OFFSET(マスタ非採用削除!E$4,統合マスタ!$A566,0)))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/>
      <c r="AB566" s="27" t="str">
        <f ca="1">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</f>
        <v>錠剤</v>
      </c>
      <c r="AC566" s="27" cm="1">
        <f t="array" aca="1" ref="AC566" ca="1">OFFSET(
   INDIRECT("'" &amp; AB566 &amp; "'!A4"),
   MATCH(B566, INDIRECT("'" &amp; AB566 &amp; "'!C5:C1000"), 0),
   MATCH("合計", INDIRECT("'" &amp; AB566 &amp; "'!4:4"), 0) - 1
)</f>
        <v>241</v>
      </c>
    </row>
    <row r="567" spans="1:29">
      <c r="A567" s="40">
        <f>元データ!P564</f>
        <v>487</v>
      </c>
      <c r="B567" s="27">
        <f t="shared" si="8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IF(AA567="非採用",0,IF(OFFSET(マスタ非採用削除!E$4,統合マスタ!$A567,0)="","",OFFSET(マスタ非採用削除!E$4,統合マスタ!$A567,0)))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  <c r="AB567" s="27" t="str">
        <f ca="1">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</f>
        <v>外用剤</v>
      </c>
      <c r="AC567" s="27" t="e" cm="1">
        <f t="array" aca="1" ref="AC567" ca="1">OFFSET(
   INDIRECT("'" &amp; AB567 &amp; "'!A4"),
   MATCH(B567, INDIRECT("'" &amp; AB567 &amp; "'!C5:C1000"), 0),
   MATCH("合計", INDIRECT("'" &amp; AB567 &amp; "'!4:4"), 0) - 1
)</f>
        <v>#REF!</v>
      </c>
    </row>
    <row r="568" spans="1:29">
      <c r="A568" s="40">
        <f>元データ!P565</f>
        <v>489</v>
      </c>
      <c r="B568" s="27">
        <f t="shared" si="8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IF(AA568="非採用",0,IF(OFFSET(マスタ非採用削除!E$4,統合マスタ!$A568,0)="","",OFFSET(マスタ非採用削除!E$4,統合マスタ!$A568,0)))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  <c r="AB568" s="27" t="str">
        <f ca="1">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</f>
        <v>散剤</v>
      </c>
      <c r="AC568" s="27" cm="1">
        <f t="array" aca="1" ref="AC568" ca="1">OFFSET(
   INDIRECT("'" &amp; AB568 &amp; "'!A4"),
   MATCH(B568, INDIRECT("'" &amp; AB568 &amp; "'!C5:C1000"), 0),
   MATCH("合計", INDIRECT("'" &amp; AB568 &amp; "'!4:4"), 0) - 1
)</f>
        <v>2900</v>
      </c>
    </row>
    <row r="569" spans="1:29">
      <c r="A569" s="40">
        <f>元データ!P566</f>
        <v>488</v>
      </c>
      <c r="B569" s="27">
        <f t="shared" si="8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IF(AA569="非採用",0,IF(OFFSET(マスタ非採用削除!E$4,統合マスタ!$A569,0)="","",OFFSET(マスタ非採用削除!E$4,統合マスタ!$A569,0)))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/>
      <c r="AB569" s="27" t="str">
        <f ca="1">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</f>
        <v>錠剤</v>
      </c>
      <c r="AC569" s="27" cm="1">
        <f t="array" aca="1" ref="AC569" ca="1">OFFSET(
   INDIRECT("'" &amp; AB569 &amp; "'!A4"),
   MATCH(B569, INDIRECT("'" &amp; AB569 &amp; "'!C5:C1000"), 0),
   MATCH("合計", INDIRECT("'" &amp; AB569 &amp; "'!4:4"), 0) - 1
)</f>
        <v>242</v>
      </c>
    </row>
    <row r="570" spans="1:29">
      <c r="A570" s="40">
        <f>元データ!P567</f>
        <v>0</v>
      </c>
      <c r="B570" s="27">
        <f t="shared" si="8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str">
        <f ca="1">IF(OFFSET(マスタ非採用削除!A$4,統合マスタ!$A570,0)="","",OFFSET(マスタ非採用削除!A$4,統合マスタ!$A570,0))</f>
        <v>コード(区分値)</v>
      </c>
      <c r="O570" s="53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3" t="str">
        <f ca="1">IF(OFFSET(マスタ非採用削除!D$4,統合マスタ!$A570,0)="","",OFFSET(マスタ非採用削除!D$4,統合マスタ!$A570,0))</f>
        <v>ホストコード</v>
      </c>
      <c r="R570" s="27" t="str">
        <f ca="1">IF(AA570="非採用",0,IF(OFFSET(マスタ非採用削除!E$4,統合マスタ!$A570,0)="","",OFFSET(マスタ非採用削除!E$4,統合マスタ!$A570,0)))</f>
        <v>採用区分（区分値）(区分値)</v>
      </c>
      <c r="S570" s="53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3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3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場所</v>
      </c>
      <c r="AA570" s="27"/>
      <c r="AB570" s="27" t="str">
        <f ca="1">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</f>
        <v>無し</v>
      </c>
      <c r="AC570" s="27" t="e" cm="1">
        <f t="array" aca="1" ref="AC570" ca="1">OFFSET(
   INDIRECT("'" &amp; AB570 &amp; "'!A4"),
   MATCH(B570, INDIRECT("'" &amp; AB570 &amp; "'!C5:C1000"), 0),
   MATCH("合計", INDIRECT("'" &amp; AB570 &amp; "'!4:4"), 0) - 1
)</f>
        <v>#REF!</v>
      </c>
    </row>
    <row r="571" spans="1:29">
      <c r="A571" s="40">
        <f>元データ!P568</f>
        <v>490</v>
      </c>
      <c r="B571" s="27">
        <f t="shared" si="8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IF(AA571="非採用",0,IF(OFFSET(マスタ非採用削除!E$4,統合マスタ!$A571,0)="","",OFFSET(マスタ非採用削除!E$4,統合マスタ!$A571,0)))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  <c r="AB571" s="27" t="str">
        <f ca="1">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</f>
        <v>注射</v>
      </c>
      <c r="AC571" s="27" cm="1">
        <f t="array" aca="1" ref="AC571" ca="1">OFFSET(
   INDIRECT("'" &amp; AB571 &amp; "'!A4"),
   MATCH(B571, INDIRECT("'" &amp; AB571 &amp; "'!C5:C1000"), 0),
   MATCH("合計", INDIRECT("'" &amp; AB571 &amp; "'!4:4"), 0) - 1
)</f>
        <v>0</v>
      </c>
    </row>
    <row r="572" spans="1:29">
      <c r="A572" s="40">
        <f>元データ!P569</f>
        <v>491</v>
      </c>
      <c r="B572" s="27">
        <f t="shared" si="8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IF(AA572="非採用",0,IF(OFFSET(マスタ非採用削除!E$4,統合マスタ!$A572,0)="","",OFFSET(マスタ非採用削除!E$4,統合マスタ!$A572,0)))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/>
      <c r="AB572" s="27" t="str">
        <f ca="1">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</f>
        <v>錠剤</v>
      </c>
      <c r="AC572" s="27" cm="1">
        <f t="array" aca="1" ref="AC572" ca="1">OFFSET(
   INDIRECT("'" &amp; AB572 &amp; "'!A4"),
   MATCH(B572, INDIRECT("'" &amp; AB572 &amp; "'!C5:C1000"), 0),
   MATCH("合計", INDIRECT("'" &amp; AB572 &amp; "'!4:4"), 0) - 1
)</f>
        <v>243</v>
      </c>
    </row>
    <row r="573" spans="1:29">
      <c r="A573" s="40">
        <f>元データ!P570</f>
        <v>491</v>
      </c>
      <c r="B573" s="27">
        <f t="shared" si="8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IF(AA573="非採用",0,IF(OFFSET(マスタ非採用削除!E$4,統合マスタ!$A573,0)="","",OFFSET(マスタ非採用削除!E$4,統合マスタ!$A573,0)))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/>
      <c r="AB573" s="27" t="str">
        <f ca="1">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</f>
        <v>錠剤</v>
      </c>
      <c r="AC573" s="27" cm="1">
        <f t="array" aca="1" ref="AC573" ca="1">OFFSET(
   INDIRECT("'" &amp; AB573 &amp; "'!A4"),
   MATCH(B573, INDIRECT("'" &amp; AB573 &amp; "'!C5:C1000"), 0),
   MATCH("合計", INDIRECT("'" &amp; AB573 &amp; "'!4:4"), 0) - 1
)</f>
        <v>244</v>
      </c>
    </row>
    <row r="574" spans="1:29">
      <c r="A574" s="40">
        <f>元データ!P571</f>
        <v>496</v>
      </c>
      <c r="B574" s="27">
        <f t="shared" si="8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IF(AA574="非採用",0,IF(OFFSET(マスタ非採用削除!E$4,統合マスタ!$A574,0)="","",OFFSET(マスタ非採用削除!E$4,統合マスタ!$A574,0)))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  <c r="AB574" s="27" t="str">
        <f ca="1">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</f>
        <v>臨時</v>
      </c>
      <c r="AC574" s="27" cm="1">
        <f t="array" aca="1" ref="AC574" ca="1">OFFSET(
   INDIRECT("'" &amp; AB574 &amp; "'!A4"),
   MATCH(B574, INDIRECT("'" &amp; AB574 &amp; "'!C5:C1000"), 0),
   MATCH("合計", INDIRECT("'" &amp; AB574 &amp; "'!4:4"), 0) - 1
)</f>
        <v>0</v>
      </c>
    </row>
    <row r="575" spans="1:29">
      <c r="A575" s="40">
        <f>元データ!P572</f>
        <v>495</v>
      </c>
      <c r="B575" s="27">
        <f t="shared" si="8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IF(AA575="非採用",0,IF(OFFSET(マスタ非採用削除!E$4,統合マスタ!$A575,0)="","",OFFSET(マスタ非採用削除!E$4,統合マスタ!$A575,0)))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  <c r="AB575" s="27" t="str">
        <f ca="1">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</f>
        <v>散剤</v>
      </c>
      <c r="AC575" s="27" cm="1">
        <f t="array" aca="1" ref="AC575" ca="1">OFFSET(
   INDIRECT("'" &amp; AB575 &amp; "'!A4"),
   MATCH(B575, INDIRECT("'" &amp; AB575 &amp; "'!C5:C1000"), 0),
   MATCH("合計", INDIRECT("'" &amp; AB575 &amp; "'!4:4"), 0) - 1
)</f>
        <v>3000</v>
      </c>
    </row>
    <row r="576" spans="1:29">
      <c r="A576" s="40">
        <f>元データ!P573</f>
        <v>492</v>
      </c>
      <c r="B576" s="27">
        <f t="shared" si="8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IF(AA576="非採用",0,IF(OFFSET(マスタ非採用削除!E$4,統合マスタ!$A576,0)="","",OFFSET(マスタ非採用削除!E$4,統合マスタ!$A576,0)))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/>
      <c r="AB576" s="27" t="str">
        <f ca="1">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</f>
        <v>錠剤</v>
      </c>
      <c r="AC576" s="27" cm="1">
        <f t="array" aca="1" ref="AC576" ca="1">OFFSET(
   INDIRECT("'" &amp; AB576 &amp; "'!A4"),
   MATCH(B576, INDIRECT("'" &amp; AB576 &amp; "'!C5:C1000"), 0),
   MATCH("合計", INDIRECT("'" &amp; AB576 &amp; "'!4:4"), 0) - 1
)</f>
        <v>245</v>
      </c>
    </row>
    <row r="577" spans="1:29">
      <c r="A577" s="40">
        <f>元データ!P574</f>
        <v>493</v>
      </c>
      <c r="B577" s="27">
        <f t="shared" si="8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IF(AA577="非採用",0,IF(OFFSET(マスタ非採用削除!E$4,統合マスタ!$A577,0)="","",OFFSET(マスタ非採用削除!E$4,統合マスタ!$A577,0)))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/>
      <c r="AB577" s="27" t="str">
        <f ca="1">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</f>
        <v>錠剤</v>
      </c>
      <c r="AC577" s="27" cm="1">
        <f t="array" aca="1" ref="AC577" ca="1">OFFSET(
   INDIRECT("'" &amp; AB577 &amp; "'!A4"),
   MATCH(B577, INDIRECT("'" &amp; AB577 &amp; "'!C5:C1000"), 0),
   MATCH("合計", INDIRECT("'" &amp; AB577 &amp; "'!4:4"), 0) - 1
)</f>
        <v>246</v>
      </c>
    </row>
    <row r="578" spans="1:29">
      <c r="A578" s="40">
        <f>元データ!P575</f>
        <v>493</v>
      </c>
      <c r="B578" s="27">
        <f t="shared" si="8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IF(AA578="非採用",0,IF(OFFSET(マスタ非採用削除!E$4,統合マスタ!$A578,0)="","",OFFSET(マスタ非採用削除!E$4,統合マスタ!$A578,0)))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/>
      <c r="AB578" s="27" t="str">
        <f ca="1">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</f>
        <v>錠剤</v>
      </c>
      <c r="AC578" s="27" cm="1">
        <f t="array" aca="1" ref="AC578" ca="1">OFFSET(
   INDIRECT("'" &amp; AB578 &amp; "'!A4"),
   MATCH(B578, INDIRECT("'" &amp; AB578 &amp; "'!C5:C1000"), 0),
   MATCH("合計", INDIRECT("'" &amp; AB578 &amp; "'!4:4"), 0) - 1
)</f>
        <v>247</v>
      </c>
    </row>
    <row r="579" spans="1:29">
      <c r="A579" s="40">
        <f>元データ!P576</f>
        <v>494</v>
      </c>
      <c r="B579" s="27">
        <f t="shared" si="8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IF(AA579="非採用",0,IF(OFFSET(マスタ非採用削除!E$4,統合マスタ!$A579,0)="","",OFFSET(マスタ非採用削除!E$4,統合マスタ!$A579,0)))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/>
      <c r="AB579" s="27" t="str">
        <f ca="1">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</f>
        <v>錠剤</v>
      </c>
      <c r="AC579" s="27" cm="1">
        <f t="array" aca="1" ref="AC579" ca="1">OFFSET(
   INDIRECT("'" &amp; AB579 &amp; "'!A4"),
   MATCH(B579, INDIRECT("'" &amp; AB579 &amp; "'!C5:C1000"), 0),
   MATCH("合計", INDIRECT("'" &amp; AB579 &amp; "'!4:4"), 0) - 1
)</f>
        <v>248</v>
      </c>
    </row>
    <row r="580" spans="1:29">
      <c r="A580" s="40">
        <f>元データ!P577</f>
        <v>494</v>
      </c>
      <c r="B580" s="27">
        <f t="shared" si="8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IF(AA580="非採用",0,IF(OFFSET(マスタ非採用削除!E$4,統合マスタ!$A580,0)="","",OFFSET(マスタ非採用削除!E$4,統合マスタ!$A580,0)))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/>
      <c r="AB580" s="27" t="str">
        <f ca="1">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</f>
        <v>錠剤</v>
      </c>
      <c r="AC580" s="27" cm="1">
        <f t="array" aca="1" ref="AC580" ca="1">OFFSET(
   INDIRECT("'" &amp; AB580 &amp; "'!A4"),
   MATCH(B580, INDIRECT("'" &amp; AB580 &amp; "'!C5:C1000"), 0),
   MATCH("合計", INDIRECT("'" &amp; AB580 &amp; "'!4:4"), 0) - 1
)</f>
        <v>249</v>
      </c>
    </row>
    <row r="581" spans="1:29">
      <c r="A581" s="40">
        <f>元データ!P578</f>
        <v>497</v>
      </c>
      <c r="B581" s="27">
        <f t="shared" si="8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IF(AA581="非採用",0,IF(OFFSET(マスタ非採用削除!E$4,統合マスタ!$A581,0)="","",OFFSET(マスタ非採用削除!E$4,統合マスタ!$A581,0)))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  <c r="AB581" s="27" t="str">
        <f ca="1">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</f>
        <v>錠剤</v>
      </c>
      <c r="AC581" s="27" cm="1">
        <f t="array" aca="1" ref="AC581" ca="1">OFFSET(
   INDIRECT("'" &amp; AB581 &amp; "'!A4"),
   MATCH(B581, INDIRECT("'" &amp; AB581 &amp; "'!C5:C1000"), 0),
   MATCH("合計", INDIRECT("'" &amp; AB581 &amp; "'!4:4"), 0) - 1
)</f>
        <v>250</v>
      </c>
    </row>
    <row r="582" spans="1:29">
      <c r="A582" s="40">
        <f>元データ!P579</f>
        <v>497</v>
      </c>
      <c r="B582" s="27">
        <f t="shared" si="8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IF(AA582="非採用",0,IF(OFFSET(マスタ非採用削除!E$4,統合マスタ!$A582,0)="","",OFFSET(マスタ非採用削除!E$4,統合マスタ!$A582,0)))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  <c r="AB582" s="27" t="str">
        <f ca="1">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</f>
        <v>錠剤</v>
      </c>
      <c r="AC582" s="27" cm="1">
        <f t="array" aca="1" ref="AC582" ca="1">OFFSET(
   INDIRECT("'" &amp; AB582 &amp; "'!A4"),
   MATCH(B582, INDIRECT("'" &amp; AB582 &amp; "'!C5:C1000"), 0),
   MATCH("合計", INDIRECT("'" &amp; AB582 &amp; "'!4:4"), 0) - 1
)</f>
        <v>251</v>
      </c>
    </row>
    <row r="583" spans="1:29">
      <c r="A583" s="40">
        <f>元データ!P580</f>
        <v>498</v>
      </c>
      <c r="B583" s="27">
        <f t="shared" ref="B583:B646" si="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IF(AA583="非採用",0,IF(OFFSET(マスタ非採用削除!E$4,統合マスタ!$A583,0)="","",OFFSET(マスタ非採用削除!E$4,統合マスタ!$A583,0)))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  <c r="AB583" s="27" t="str">
        <f ca="1">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</f>
        <v>錠剤</v>
      </c>
      <c r="AC583" s="27" cm="1">
        <f t="array" aca="1" ref="AC583" ca="1">OFFSET(
   INDIRECT("'" &amp; AB583 &amp; "'!A4"),
   MATCH(B583, INDIRECT("'" &amp; AB583 &amp; "'!C5:C1000"), 0),
   MATCH("合計", INDIRECT("'" &amp; AB583 &amp; "'!4:4"), 0) - 1
)</f>
        <v>252</v>
      </c>
    </row>
    <row r="584" spans="1:29">
      <c r="A584" s="40">
        <f>元データ!P581</f>
        <v>502</v>
      </c>
      <c r="B584" s="27">
        <f t="shared" si="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IF(AA584="非採用",0,IF(OFFSET(マスタ非採用削除!E$4,統合マスタ!$A584,0)="","",OFFSET(マスタ非採用削除!E$4,統合マスタ!$A584,0)))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  <c r="AB584" s="27" t="str">
        <f ca="1">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</f>
        <v>外用剤</v>
      </c>
      <c r="AC584" s="27" t="e" cm="1">
        <f t="array" aca="1" ref="AC584" ca="1">OFFSET(
   INDIRECT("'" &amp; AB584 &amp; "'!A4"),
   MATCH(B584, INDIRECT("'" &amp; AB584 &amp; "'!C5:C1000"), 0),
   MATCH("合計", INDIRECT("'" &amp; AB584 &amp; "'!4:4"), 0) - 1
)</f>
        <v>#REF!</v>
      </c>
    </row>
    <row r="585" spans="1:29">
      <c r="A585" s="40">
        <f>元データ!P582</f>
        <v>500</v>
      </c>
      <c r="B585" s="27">
        <f t="shared" si="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IF(AA585="非採用",0,IF(OFFSET(マスタ非採用削除!E$4,統合マスタ!$A585,0)="","",OFFSET(マスタ非採用削除!E$4,統合マスタ!$A585,0)))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  <c r="AB585" s="27" t="str">
        <f ca="1">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</f>
        <v>錠剤</v>
      </c>
      <c r="AC585" s="27" cm="1">
        <f t="array" aca="1" ref="AC585" ca="1">OFFSET(
   INDIRECT("'" &amp; AB585 &amp; "'!A4"),
   MATCH(B585, INDIRECT("'" &amp; AB585 &amp; "'!C5:C1000"), 0),
   MATCH("合計", INDIRECT("'" &amp; AB585 &amp; "'!4:4"), 0) - 1
)</f>
        <v>253</v>
      </c>
    </row>
    <row r="586" spans="1:29">
      <c r="A586" s="40">
        <f>元データ!P583</f>
        <v>503</v>
      </c>
      <c r="B586" s="27">
        <f t="shared" si="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IF(AA586="非採用",0,IF(OFFSET(マスタ非採用削除!E$4,統合マスタ!$A586,0)="","",OFFSET(マスタ非採用削除!E$4,統合マスタ!$A586,0)))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  <c r="AB586" s="27" t="str">
        <f ca="1">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</f>
        <v>注射</v>
      </c>
      <c r="AC586" s="27" cm="1">
        <f t="array" aca="1" ref="AC586" ca="1">OFFSET(
   INDIRECT("'" &amp; AB586 &amp; "'!A4"),
   MATCH(B586, INDIRECT("'" &amp; AB586 &amp; "'!C5:C1000"), 0),
   MATCH("合計", INDIRECT("'" &amp; AB586 &amp; "'!4:4"), 0) - 1
)</f>
        <v>0</v>
      </c>
    </row>
    <row r="587" spans="1:29">
      <c r="A587" s="40">
        <f>元データ!P584</f>
        <v>499</v>
      </c>
      <c r="B587" s="27">
        <f t="shared" si="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IF(AA587="非採用",0,IF(OFFSET(マスタ非採用削除!E$4,統合マスタ!$A587,0)="","",OFFSET(マスタ非採用削除!E$4,統合マスタ!$A587,0)))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  <c r="AB587" s="27" t="str">
        <f ca="1">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</f>
        <v>錠剤</v>
      </c>
      <c r="AC587" s="27" cm="1">
        <f t="array" aca="1" ref="AC587" ca="1">OFFSET(
   INDIRECT("'" &amp; AB587 &amp; "'!A4"),
   MATCH(B587, INDIRECT("'" &amp; AB587 &amp; "'!C5:C1000"), 0),
   MATCH("合計", INDIRECT("'" &amp; AB587 &amp; "'!4:4"), 0) - 1
)</f>
        <v>254</v>
      </c>
    </row>
    <row r="588" spans="1:29">
      <c r="A588" s="40">
        <f>元データ!P585</f>
        <v>505</v>
      </c>
      <c r="B588" s="27">
        <f t="shared" si="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IF(AA588="非採用",0,IF(OFFSET(マスタ非採用削除!E$4,統合マスタ!$A588,0)="","",OFFSET(マスタ非採用削除!E$4,統合マスタ!$A588,0)))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/>
      <c r="AB588" s="27" t="str">
        <f ca="1">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</f>
        <v>錠剤</v>
      </c>
      <c r="AC588" s="27" cm="1">
        <f t="array" aca="1" ref="AC588" ca="1">OFFSET(
   INDIRECT("'" &amp; AB588 &amp; "'!A4"),
   MATCH(B588, INDIRECT("'" &amp; AB588 &amp; "'!C5:C1000"), 0),
   MATCH("合計", INDIRECT("'" &amp; AB588 &amp; "'!4:4"), 0) - 1
)</f>
        <v>255</v>
      </c>
    </row>
    <row r="589" spans="1:29">
      <c r="A589" s="40">
        <f>元データ!P586</f>
        <v>506</v>
      </c>
      <c r="B589" s="27">
        <f t="shared" si="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IF(AA589="非採用",0,IF(OFFSET(マスタ非採用削除!E$4,統合マスタ!$A589,0)="","",OFFSET(マスタ非採用削除!E$4,統合マスタ!$A589,0)))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  <c r="AB589" s="27" t="str">
        <f ca="1">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</f>
        <v>注射</v>
      </c>
      <c r="AC589" s="27" cm="1">
        <f t="array" aca="1" ref="AC589" ca="1">OFFSET(
   INDIRECT("'" &amp; AB589 &amp; "'!A4"),
   MATCH(B589, INDIRECT("'" &amp; AB589 &amp; "'!C5:C1000"), 0),
   MATCH("合計", INDIRECT("'" &amp; AB589 &amp; "'!4:4"), 0) - 1
)</f>
        <v>0</v>
      </c>
    </row>
    <row r="590" spans="1:29">
      <c r="A590" s="40">
        <f>元データ!P587</f>
        <v>507</v>
      </c>
      <c r="B590" s="27">
        <f t="shared" si="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IF(AA590="非採用",0,IF(OFFSET(マスタ非採用削除!E$4,統合マスタ!$A590,0)="","",OFFSET(マスタ非採用削除!E$4,統合マスタ!$A590,0)))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  <c r="AB590" s="27" t="str">
        <f ca="1">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</f>
        <v>臨時</v>
      </c>
      <c r="AC590" s="27" cm="1">
        <f t="array" aca="1" ref="AC590" ca="1">OFFSET(
   INDIRECT("'" &amp; AB590 &amp; "'!A4"),
   MATCH(B590, INDIRECT("'" &amp; AB590 &amp; "'!C5:C1000"), 0),
   MATCH("合計", INDIRECT("'" &amp; AB590 &amp; "'!4:4"), 0) - 1
)</f>
        <v>0</v>
      </c>
    </row>
    <row r="591" spans="1:29">
      <c r="A591" s="40">
        <f>元データ!P588</f>
        <v>508</v>
      </c>
      <c r="B591" s="27">
        <f t="shared" si="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IF(AA591="非採用",0,IF(OFFSET(マスタ非採用削除!E$4,統合マスタ!$A591,0)="","",OFFSET(マスタ非採用削除!E$4,統合マスタ!$A591,0)))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/>
      <c r="AB591" s="27" t="str">
        <f ca="1">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</f>
        <v>錠剤</v>
      </c>
      <c r="AC591" s="27" cm="1">
        <f t="array" aca="1" ref="AC591" ca="1">OFFSET(
   INDIRECT("'" &amp; AB591 &amp; "'!A4"),
   MATCH(B591, INDIRECT("'" &amp; AB591 &amp; "'!C5:C1000"), 0),
   MATCH("合計", INDIRECT("'" &amp; AB591 &amp; "'!4:4"), 0) - 1
)</f>
        <v>256</v>
      </c>
    </row>
    <row r="592" spans="1:29">
      <c r="A592" s="40">
        <f>元データ!P589</f>
        <v>509</v>
      </c>
      <c r="B592" s="27">
        <f t="shared" si="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IF(AA592="非採用",0,IF(OFFSET(マスタ非採用削除!E$4,統合マスタ!$A592,0)="","",OFFSET(マスタ非採用削除!E$4,統合マスタ!$A592,0)))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  <c r="AB592" s="27" t="str">
        <f ca="1">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</f>
        <v>臨時</v>
      </c>
      <c r="AC592" s="27" cm="1">
        <f t="array" aca="1" ref="AC592" ca="1">OFFSET(
   INDIRECT("'" &amp; AB592 &amp; "'!A4"),
   MATCH(B592, INDIRECT("'" &amp; AB592 &amp; "'!C5:C1000"), 0),
   MATCH("合計", INDIRECT("'" &amp; AB592 &amp; "'!4:4"), 0) - 1
)</f>
        <v>0</v>
      </c>
    </row>
    <row r="593" spans="1:29">
      <c r="A593" s="40" t="str">
        <f>元データ!P590</f>
        <v>非採用</v>
      </c>
      <c r="B593" s="27">
        <f t="shared" si="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IF(AA593="非採用",0,IF(OFFSET(マスタ非採用削除!E$4,統合マスタ!$A593,0)="","",OFFSET(マスタ非採用削除!E$4,統合マスタ!$A593,0)))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4068</v>
      </c>
      <c r="AB593" s="27" t="str">
        <f ca="1">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</f>
        <v>無し</v>
      </c>
      <c r="AC593" s="27" t="e" cm="1">
        <f t="array" aca="1" ref="AC593" ca="1">OFFSET(
   INDIRECT("'" &amp; AB593 &amp; "'!A4"),
   MATCH(B593, INDIRECT("'" &amp; AB593 &amp; "'!C5:C1000"), 0),
   MATCH("合計", INDIRECT("'" &amp; AB593 &amp; "'!4:4"), 0) - 1
)</f>
        <v>#REF!</v>
      </c>
    </row>
    <row r="594" spans="1:29">
      <c r="A594" s="40">
        <f>元データ!P591</f>
        <v>510</v>
      </c>
      <c r="B594" s="27">
        <f t="shared" si="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IF(AA594="非採用",0,IF(OFFSET(マスタ非採用削除!E$4,統合マスタ!$A594,0)="","",OFFSET(マスタ非採用削除!E$4,統合マスタ!$A594,0)))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  <c r="AB594" s="27" t="str">
        <f ca="1">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</f>
        <v>外用剤</v>
      </c>
      <c r="AC594" s="27" t="e" cm="1">
        <f t="array" aca="1" ref="AC594" ca="1">OFFSET(
   INDIRECT("'" &amp; AB594 &amp; "'!A4"),
   MATCH(B594, INDIRECT("'" &amp; AB594 &amp; "'!C5:C1000"), 0),
   MATCH("合計", INDIRECT("'" &amp; AB594 &amp; "'!4:4"), 0) - 1
)</f>
        <v>#REF!</v>
      </c>
    </row>
    <row r="595" spans="1:29">
      <c r="A595" s="40">
        <f>元データ!P592</f>
        <v>513</v>
      </c>
      <c r="B595" s="27">
        <f t="shared" si="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IF(AA595="非採用",0,IF(OFFSET(マスタ非採用削除!E$4,統合マスタ!$A595,0)="","",OFFSET(マスタ非採用削除!E$4,統合マスタ!$A595,0)))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  <c r="AB595" s="27" t="str">
        <f ca="1">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</f>
        <v>注射</v>
      </c>
      <c r="AC595" s="27" cm="1">
        <f t="array" aca="1" ref="AC595" ca="1">OFFSET(
   INDIRECT("'" &amp; AB595 &amp; "'!A4"),
   MATCH(B595, INDIRECT("'" &amp; AB595 &amp; "'!C5:C1000"), 0),
   MATCH("合計", INDIRECT("'" &amp; AB595 &amp; "'!4:4"), 0) - 1
)</f>
        <v>0</v>
      </c>
    </row>
    <row r="596" spans="1:29">
      <c r="A596" s="40">
        <f>元データ!P593</f>
        <v>512</v>
      </c>
      <c r="B596" s="27">
        <f t="shared" si="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IF(AA596="非採用",0,IF(OFFSET(マスタ非採用削除!E$4,統合マスタ!$A596,0)="","",OFFSET(マスタ非採用削除!E$4,統合マスタ!$A596,0)))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  <c r="AB596" s="27" t="str">
        <f ca="1">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</f>
        <v>注射</v>
      </c>
      <c r="AC596" s="27" cm="1">
        <f t="array" aca="1" ref="AC596" ca="1">OFFSET(
   INDIRECT("'" &amp; AB596 &amp; "'!A4"),
   MATCH(B596, INDIRECT("'" &amp; AB596 &amp; "'!C5:C1000"), 0),
   MATCH("合計", INDIRECT("'" &amp; AB596 &amp; "'!4:4"), 0) - 1
)</f>
        <v>0</v>
      </c>
    </row>
    <row r="597" spans="1:29">
      <c r="A597" s="40">
        <f>元データ!P594</f>
        <v>515</v>
      </c>
      <c r="B597" s="27">
        <f t="shared" si="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IF(AA597="非採用",0,IF(OFFSET(マスタ非採用削除!E$4,統合マスタ!$A597,0)="","",OFFSET(マスタ非採用削除!E$4,統合マスタ!$A597,0)))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  <c r="AB597" s="27" t="str">
        <f ca="1">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</f>
        <v>無し</v>
      </c>
      <c r="AC597" s="27" t="e" cm="1">
        <f t="array" aca="1" ref="AC597" ca="1">OFFSET(
   INDIRECT("'" &amp; AB597 &amp; "'!A4"),
   MATCH(B597, INDIRECT("'" &amp; AB597 &amp; "'!C5:C1000"), 0),
   MATCH("合計", INDIRECT("'" &amp; AB597 &amp; "'!4:4"), 0) - 1
)</f>
        <v>#REF!</v>
      </c>
    </row>
    <row r="598" spans="1:29">
      <c r="A598" s="40">
        <f>元データ!P595</f>
        <v>514</v>
      </c>
      <c r="B598" s="27">
        <f t="shared" si="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IF(AA598="非採用",0,IF(OFFSET(マスタ非採用削除!E$4,統合マスタ!$A598,0)="","",OFFSET(マスタ非採用削除!E$4,統合マスタ!$A598,0)))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  <c r="AB598" s="27" t="str">
        <f ca="1">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</f>
        <v>無し</v>
      </c>
      <c r="AC598" s="27" t="e" cm="1">
        <f t="array" aca="1" ref="AC598" ca="1">OFFSET(
   INDIRECT("'" &amp; AB598 &amp; "'!A4"),
   MATCH(B598, INDIRECT("'" &amp; AB598 &amp; "'!C5:C1000"), 0),
   MATCH("合計", INDIRECT("'" &amp; AB598 &amp; "'!4:4"), 0) - 1
)</f>
        <v>#REF!</v>
      </c>
    </row>
    <row r="599" spans="1:29">
      <c r="A599" s="40">
        <f>元データ!P596</f>
        <v>516</v>
      </c>
      <c r="B599" s="27">
        <f t="shared" si="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IF(AA599="非採用",0,IF(OFFSET(マスタ非採用削除!E$4,統合マスタ!$A599,0)="","",OFFSET(マスタ非採用削除!E$4,統合マスタ!$A599,0)))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  <c r="AB599" s="27" t="str">
        <f ca="1">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</f>
        <v>外用剤</v>
      </c>
      <c r="AC599" s="27" t="e" cm="1">
        <f t="array" aca="1" ref="AC599" ca="1">OFFSET(
   INDIRECT("'" &amp; AB599 &amp; "'!A4"),
   MATCH(B599, INDIRECT("'" &amp; AB599 &amp; "'!C5:C1000"), 0),
   MATCH("合計", INDIRECT("'" &amp; AB599 &amp; "'!4:4"), 0) - 1
)</f>
        <v>#REF!</v>
      </c>
    </row>
    <row r="600" spans="1:29">
      <c r="A600" s="40">
        <f>元データ!P597</f>
        <v>517</v>
      </c>
      <c r="B600" s="27">
        <f t="shared" si="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IF(AA600="非採用",0,IF(OFFSET(マスタ非採用削除!E$4,統合マスタ!$A600,0)="","",OFFSET(マスタ非採用削除!E$4,統合マスタ!$A600,0)))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  <c r="AB600" s="27" t="str">
        <f ca="1">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</f>
        <v>注射</v>
      </c>
      <c r="AC600" s="27" cm="1">
        <f t="array" aca="1" ref="AC600" ca="1">OFFSET(
   INDIRECT("'" &amp; AB600 &amp; "'!A4"),
   MATCH(B600, INDIRECT("'" &amp; AB600 &amp; "'!C5:C1000"), 0),
   MATCH("合計", INDIRECT("'" &amp; AB600 &amp; "'!4:4"), 0) - 1
)</f>
        <v>0</v>
      </c>
    </row>
    <row r="601" spans="1:29">
      <c r="A601" s="40">
        <f>元データ!P598</f>
        <v>518</v>
      </c>
      <c r="B601" s="27">
        <f t="shared" si="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IF(AA601="非採用",0,IF(OFFSET(マスタ非採用削除!E$4,統合マスタ!$A601,0)="","",OFFSET(マスタ非採用削除!E$4,統合マスタ!$A601,0)))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  <c r="AB601" s="27" t="str">
        <f ca="1">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</f>
        <v>臨時</v>
      </c>
      <c r="AC601" s="27" cm="1">
        <f t="array" aca="1" ref="AC601" ca="1">OFFSET(
   INDIRECT("'" &amp; AB601 &amp; "'!A4"),
   MATCH(B601, INDIRECT("'" &amp; AB601 &amp; "'!C5:C1000"), 0),
   MATCH("合計", INDIRECT("'" &amp; AB601 &amp; "'!4:4"), 0) - 1
)</f>
        <v>0</v>
      </c>
    </row>
    <row r="602" spans="1:29">
      <c r="A602" s="40">
        <f>元データ!P599</f>
        <v>519</v>
      </c>
      <c r="B602" s="27">
        <f t="shared" si="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IF(AA602="非採用",0,IF(OFFSET(マスタ非採用削除!E$4,統合マスタ!$A602,0)="","",OFFSET(マスタ非採用削除!E$4,統合マスタ!$A602,0)))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  <c r="AB602" s="27" t="str">
        <f ca="1">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</f>
        <v>外用剤</v>
      </c>
      <c r="AC602" s="27" t="e" cm="1">
        <f t="array" aca="1" ref="AC602" ca="1">OFFSET(
   INDIRECT("'" &amp; AB602 &amp; "'!A4"),
   MATCH(B602, INDIRECT("'" &amp; AB602 &amp; "'!C5:C1000"), 0),
   MATCH("合計", INDIRECT("'" &amp; AB602 &amp; "'!4:4"), 0) - 1
)</f>
        <v>#REF!</v>
      </c>
    </row>
    <row r="603" spans="1:29">
      <c r="A603" s="40">
        <f>元データ!P600</f>
        <v>520</v>
      </c>
      <c r="B603" s="27">
        <f t="shared" si="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IF(AA603="非採用",0,IF(OFFSET(マスタ非採用削除!E$4,統合マスタ!$A603,0)="","",OFFSET(マスタ非採用削除!E$4,統合マスタ!$A603,0)))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  <c r="AB603" s="27" t="str">
        <f ca="1">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</f>
        <v>外用剤</v>
      </c>
      <c r="AC603" s="27" t="e" cm="1">
        <f t="array" aca="1" ref="AC603" ca="1">OFFSET(
   INDIRECT("'" &amp; AB603 &amp; "'!A4"),
   MATCH(B603, INDIRECT("'" &amp; AB603 &amp; "'!C5:C1000"), 0),
   MATCH("合計", INDIRECT("'" &amp; AB603 &amp; "'!4:4"), 0) - 1
)</f>
        <v>#REF!</v>
      </c>
    </row>
    <row r="604" spans="1:29">
      <c r="A604" s="40">
        <f>元データ!P601</f>
        <v>521</v>
      </c>
      <c r="B604" s="27">
        <f t="shared" si="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IF(AA604="非採用",0,IF(OFFSET(マスタ非採用削除!E$4,統合マスタ!$A604,0)="","",OFFSET(マスタ非採用削除!E$4,統合マスタ!$A604,0)))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  <c r="AB604" s="27" t="str">
        <f ca="1">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</f>
        <v>錠剤</v>
      </c>
      <c r="AC604" s="27" cm="1">
        <f t="array" aca="1" ref="AC604" ca="1">OFFSET(
   INDIRECT("'" &amp; AB604 &amp; "'!A4"),
   MATCH(B604, INDIRECT("'" &amp; AB604 &amp; "'!C5:C1000"), 0),
   MATCH("合計", INDIRECT("'" &amp; AB604 &amp; "'!4:4"), 0) - 1
)</f>
        <v>257</v>
      </c>
    </row>
    <row r="605" spans="1:29">
      <c r="A605" s="40">
        <f>元データ!P602</f>
        <v>522</v>
      </c>
      <c r="B605" s="27">
        <f t="shared" si="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IF(AA605="非採用",0,IF(OFFSET(マスタ非採用削除!E$4,統合マスタ!$A605,0)="","",OFFSET(マスタ非採用削除!E$4,統合マスタ!$A605,0)))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  <c r="AB605" s="27" t="str">
        <f ca="1">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</f>
        <v>錠剤</v>
      </c>
      <c r="AC605" s="27" cm="1">
        <f t="array" aca="1" ref="AC605" ca="1">OFFSET(
   INDIRECT("'" &amp; AB605 &amp; "'!A4"),
   MATCH(B605, INDIRECT("'" &amp; AB605 &amp; "'!C5:C1000"), 0),
   MATCH("合計", INDIRECT("'" &amp; AB605 &amp; "'!4:4"), 0) - 1
)</f>
        <v>258</v>
      </c>
    </row>
    <row r="606" spans="1:29">
      <c r="A606" s="40">
        <f>元データ!P603</f>
        <v>523</v>
      </c>
      <c r="B606" s="27">
        <f t="shared" si="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IF(AA606="非採用",0,IF(OFFSET(マスタ非採用削除!E$4,統合マスタ!$A606,0)="","",OFFSET(マスタ非採用削除!E$4,統合マスタ!$A606,0)))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  <c r="AB606" s="27" t="str">
        <f ca="1">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</f>
        <v>錠剤</v>
      </c>
      <c r="AC606" s="27" cm="1">
        <f t="array" aca="1" ref="AC606" ca="1">OFFSET(
   INDIRECT("'" &amp; AB606 &amp; "'!A4"),
   MATCH(B606, INDIRECT("'" &amp; AB606 &amp; "'!C5:C1000"), 0),
   MATCH("合計", INDIRECT("'" &amp; AB606 &amp; "'!4:4"), 0) - 1
)</f>
        <v>259</v>
      </c>
    </row>
    <row r="607" spans="1:29">
      <c r="A607" s="40">
        <f>元データ!P604</f>
        <v>524</v>
      </c>
      <c r="B607" s="27">
        <f t="shared" si="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IF(AA607="非採用",0,IF(OFFSET(マスタ非採用削除!E$4,統合マスタ!$A607,0)="","",OFFSET(マスタ非採用削除!E$4,統合マスタ!$A607,0)))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  <c r="AB607" s="27" t="str">
        <f ca="1">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</f>
        <v>注射</v>
      </c>
      <c r="AC607" s="27" cm="1">
        <f t="array" aca="1" ref="AC607" ca="1">OFFSET(
   INDIRECT("'" &amp; AB607 &amp; "'!A4"),
   MATCH(B607, INDIRECT("'" &amp; AB607 &amp; "'!C5:C1000"), 0),
   MATCH("合計", INDIRECT("'" &amp; AB607 &amp; "'!4:4"), 0) - 1
)</f>
        <v>0</v>
      </c>
    </row>
    <row r="608" spans="1:29">
      <c r="A608" s="40">
        <f>元データ!P605</f>
        <v>526</v>
      </c>
      <c r="B608" s="27">
        <f t="shared" si="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IF(AA608="非採用",0,IF(OFFSET(マスタ非採用削除!E$4,統合マスタ!$A608,0)="","",OFFSET(マスタ非採用削除!E$4,統合マスタ!$A608,0)))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  <c r="AB608" s="27" t="str">
        <f ca="1">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</f>
        <v>無し</v>
      </c>
      <c r="AC608" s="27" t="e" cm="1">
        <f t="array" aca="1" ref="AC608" ca="1">OFFSET(
   INDIRECT("'" &amp; AB608 &amp; "'!A4"),
   MATCH(B608, INDIRECT("'" &amp; AB608 &amp; "'!C5:C1000"), 0),
   MATCH("合計", INDIRECT("'" &amp; AB608 &amp; "'!4:4"), 0) - 1
)</f>
        <v>#REF!</v>
      </c>
    </row>
    <row r="609" spans="1:29">
      <c r="A609" s="40">
        <f>元データ!P606</f>
        <v>525</v>
      </c>
      <c r="B609" s="27">
        <f t="shared" si="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IF(AA609="非採用",0,IF(OFFSET(マスタ非採用削除!E$4,統合マスタ!$A609,0)="","",OFFSET(マスタ非採用削除!E$4,統合マスタ!$A609,0)))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/>
      <c r="AB609" s="27" t="str">
        <f ca="1">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</f>
        <v>錠剤</v>
      </c>
      <c r="AC609" s="27" cm="1">
        <f t="array" aca="1" ref="AC609" ca="1">OFFSET(
   INDIRECT("'" &amp; AB609 &amp; "'!A4"),
   MATCH(B609, INDIRECT("'" &amp; AB609 &amp; "'!C5:C1000"), 0),
   MATCH("合計", INDIRECT("'" &amp; AB609 &amp; "'!4:4"), 0) - 1
)</f>
        <v>260</v>
      </c>
    </row>
    <row r="610" spans="1:29">
      <c r="A610" s="40">
        <f>元データ!P607</f>
        <v>525</v>
      </c>
      <c r="B610" s="27">
        <f t="shared" si="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IF(AA610="非採用",0,IF(OFFSET(マスタ非採用削除!E$4,統合マスタ!$A610,0)="","",OFFSET(マスタ非採用削除!E$4,統合マスタ!$A610,0)))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/>
      <c r="AB610" s="27" t="str">
        <f ca="1">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</f>
        <v>錠剤</v>
      </c>
      <c r="AC610" s="27" cm="1">
        <f t="array" aca="1" ref="AC610" ca="1">OFFSET(
   INDIRECT("'" &amp; AB610 &amp; "'!A4"),
   MATCH(B610, INDIRECT("'" &amp; AB610 &amp; "'!C5:C1000"), 0),
   MATCH("合計", INDIRECT("'" &amp; AB610 &amp; "'!4:4"), 0) - 1
)</f>
        <v>261</v>
      </c>
    </row>
    <row r="611" spans="1:29">
      <c r="A611" s="40">
        <f>元データ!P608</f>
        <v>527</v>
      </c>
      <c r="B611" s="27">
        <f t="shared" si="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IF(AA611="非採用",0,IF(OFFSET(マスタ非採用削除!E$4,統合マスタ!$A611,0)="","",OFFSET(マスタ非採用削除!E$4,統合マスタ!$A611,0)))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  <c r="AB611" s="27" t="str">
        <f ca="1">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</f>
        <v>臨時</v>
      </c>
      <c r="AC611" s="27" cm="1">
        <f t="array" aca="1" ref="AC611" ca="1">OFFSET(
   INDIRECT("'" &amp; AB611 &amp; "'!A4"),
   MATCH(B611, INDIRECT("'" &amp; AB611 &amp; "'!C5:C1000"), 0),
   MATCH("合計", INDIRECT("'" &amp; AB611 &amp; "'!4:4"), 0) - 1
)</f>
        <v>0</v>
      </c>
    </row>
    <row r="612" spans="1:29">
      <c r="A612" s="40">
        <f>元データ!P609</f>
        <v>528</v>
      </c>
      <c r="B612" s="27">
        <f t="shared" si="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IF(AA612="非採用",0,IF(OFFSET(マスタ非採用削除!E$4,統合マスタ!$A612,0)="","",OFFSET(マスタ非採用削除!E$4,統合マスタ!$A612,0)))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  <c r="AB612" s="27" t="str">
        <f ca="1">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</f>
        <v>注射</v>
      </c>
      <c r="AC612" s="27" cm="1">
        <f t="array" aca="1" ref="AC612" ca="1">OFFSET(
   INDIRECT("'" &amp; AB612 &amp; "'!A4"),
   MATCH(B612, INDIRECT("'" &amp; AB612 &amp; "'!C5:C1000"), 0),
   MATCH("合計", INDIRECT("'" &amp; AB612 &amp; "'!4:4"), 0) - 1
)</f>
        <v>0</v>
      </c>
    </row>
    <row r="613" spans="1:29">
      <c r="A613" s="40">
        <f>元データ!P610</f>
        <v>529</v>
      </c>
      <c r="B613" s="27">
        <f t="shared" si="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IF(AA613="非採用",0,IF(OFFSET(マスタ非採用削除!E$4,統合マスタ!$A613,0)="","",OFFSET(マスタ非採用削除!E$4,統合マスタ!$A613,0)))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  <c r="AB613" s="27" t="str">
        <f ca="1">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</f>
        <v>外用剤</v>
      </c>
      <c r="AC613" s="27" t="e" cm="1">
        <f t="array" aca="1" ref="AC613" ca="1">OFFSET(
   INDIRECT("'" &amp; AB613 &amp; "'!A4"),
   MATCH(B613, INDIRECT("'" &amp; AB613 &amp; "'!C5:C1000"), 0),
   MATCH("合計", INDIRECT("'" &amp; AB613 &amp; "'!4:4"), 0) - 1
)</f>
        <v>#REF!</v>
      </c>
    </row>
    <row r="614" spans="1:29">
      <c r="A614" s="40">
        <f>元データ!P611</f>
        <v>540</v>
      </c>
      <c r="B614" s="27">
        <f t="shared" si="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IF(AA614="非採用",0,IF(OFFSET(マスタ非採用削除!E$4,統合マスタ!$A614,0)="","",OFFSET(マスタ非採用削除!E$4,統合マスタ!$A614,0)))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  <c r="AB614" s="27" t="str">
        <f ca="1">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</f>
        <v>臨時</v>
      </c>
      <c r="AC614" s="27" cm="1">
        <f t="array" aca="1" ref="AC614" ca="1">OFFSET(
   INDIRECT("'" &amp; AB614 &amp; "'!A4"),
   MATCH(B614, INDIRECT("'" &amp; AB614 &amp; "'!C5:C1000"), 0),
   MATCH("合計", INDIRECT("'" &amp; AB614 &amp; "'!4:4"), 0) - 1
)</f>
        <v>0</v>
      </c>
    </row>
    <row r="615" spans="1:29">
      <c r="A615" s="40">
        <f>元データ!P612</f>
        <v>530</v>
      </c>
      <c r="B615" s="27">
        <f t="shared" si="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IF(AA615="非採用",0,IF(OFFSET(マスタ非採用削除!E$4,統合マスタ!$A615,0)="","",OFFSET(マスタ非採用削除!E$4,統合マスタ!$A615,0)))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/>
      <c r="AB615" s="27" t="str">
        <f ca="1">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</f>
        <v>錠剤</v>
      </c>
      <c r="AC615" s="27" cm="1">
        <f t="array" aca="1" ref="AC615" ca="1">OFFSET(
   INDIRECT("'" &amp; AB615 &amp; "'!A4"),
   MATCH(B615, INDIRECT("'" &amp; AB615 &amp; "'!C5:C1000"), 0),
   MATCH("合計", INDIRECT("'" &amp; AB615 &amp; "'!4:4"), 0) - 1
)</f>
        <v>262</v>
      </c>
    </row>
    <row r="616" spans="1:29">
      <c r="A616" s="40">
        <f>元データ!P613</f>
        <v>530</v>
      </c>
      <c r="B616" s="27">
        <f t="shared" si="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IF(AA616="非採用",0,IF(OFFSET(マスタ非採用削除!E$4,統合マスタ!$A616,0)="","",OFFSET(マスタ非採用削除!E$4,統合マスタ!$A616,0)))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/>
      <c r="AB616" s="27" t="str">
        <f ca="1">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</f>
        <v>錠剤</v>
      </c>
      <c r="AC616" s="27" cm="1">
        <f t="array" aca="1" ref="AC616" ca="1">OFFSET(
   INDIRECT("'" &amp; AB616 &amp; "'!A4"),
   MATCH(B616, INDIRECT("'" &amp; AB616 &amp; "'!C5:C1000"), 0),
   MATCH("合計", INDIRECT("'" &amp; AB616 &amp; "'!4:4"), 0) - 1
)</f>
        <v>263</v>
      </c>
    </row>
    <row r="617" spans="1:29">
      <c r="A617" s="40">
        <f>元データ!P614</f>
        <v>531</v>
      </c>
      <c r="B617" s="27">
        <f t="shared" si="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IF(AA617="非採用",0,IF(OFFSET(マスタ非採用削除!E$4,統合マスタ!$A617,0)="","",OFFSET(マスタ非採用削除!E$4,統合マスタ!$A617,0)))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  <c r="AB617" s="27" t="str">
        <f ca="1">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</f>
        <v>注射</v>
      </c>
      <c r="AC617" s="27" cm="1">
        <f t="array" aca="1" ref="AC617" ca="1">OFFSET(
   INDIRECT("'" &amp; AB617 &amp; "'!A4"),
   MATCH(B617, INDIRECT("'" &amp; AB617 &amp; "'!C5:C1000"), 0),
   MATCH("合計", INDIRECT("'" &amp; AB617 &amp; "'!4:4"), 0) - 1
)</f>
        <v>0</v>
      </c>
    </row>
    <row r="618" spans="1:29">
      <c r="A618" s="40">
        <f>元データ!P615</f>
        <v>532</v>
      </c>
      <c r="B618" s="27">
        <f t="shared" si="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IF(AA618="非採用",0,IF(OFFSET(マスタ非採用削除!E$4,統合マスタ!$A618,0)="","",OFFSET(マスタ非採用削除!E$4,統合マスタ!$A618,0)))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  <c r="AB618" s="27" t="str">
        <f ca="1">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</f>
        <v>注射</v>
      </c>
      <c r="AC618" s="27" cm="1">
        <f t="array" aca="1" ref="AC618" ca="1">OFFSET(
   INDIRECT("'" &amp; AB618 &amp; "'!A4"),
   MATCH(B618, INDIRECT("'" &amp; AB618 &amp; "'!C5:C1000"), 0),
   MATCH("合計", INDIRECT("'" &amp; AB618 &amp; "'!4:4"), 0) - 1
)</f>
        <v>0</v>
      </c>
    </row>
    <row r="619" spans="1:29">
      <c r="A619" s="40">
        <f>元データ!P616</f>
        <v>533</v>
      </c>
      <c r="B619" s="27">
        <f t="shared" si="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IF(AA619="非採用",0,IF(OFFSET(マスタ非採用削除!E$4,統合マスタ!$A619,0)="","",OFFSET(マスタ非採用削除!E$4,統合マスタ!$A619,0)))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  <c r="AB619" s="27" t="str">
        <f ca="1">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</f>
        <v>臨時</v>
      </c>
      <c r="AC619" s="27" cm="1">
        <f t="array" aca="1" ref="AC619" ca="1">OFFSET(
   INDIRECT("'" &amp; AB619 &amp; "'!A4"),
   MATCH(B619, INDIRECT("'" &amp; AB619 &amp; "'!C5:C1000"), 0),
   MATCH("合計", INDIRECT("'" &amp; AB619 &amp; "'!4:4"), 0) - 1
)</f>
        <v>0</v>
      </c>
    </row>
    <row r="620" spans="1:29">
      <c r="A620" s="40">
        <f>元データ!P617</f>
        <v>534</v>
      </c>
      <c r="B620" s="27">
        <f t="shared" si="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IF(AA620="非採用",0,IF(OFFSET(マスタ非採用削除!E$4,統合マスタ!$A620,0)="","",OFFSET(マスタ非採用削除!E$4,統合マスタ!$A620,0)))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  <c r="AB620" s="27" t="str">
        <f ca="1">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</f>
        <v>注射</v>
      </c>
      <c r="AC620" s="27" cm="1">
        <f t="array" aca="1" ref="AC620" ca="1">OFFSET(
   INDIRECT("'" &amp; AB620 &amp; "'!A4"),
   MATCH(B620, INDIRECT("'" &amp; AB620 &amp; "'!C5:C1000"), 0),
   MATCH("合計", INDIRECT("'" &amp; AB620 &amp; "'!4:4"), 0) - 1
)</f>
        <v>0</v>
      </c>
    </row>
    <row r="621" spans="1:29">
      <c r="A621" s="40">
        <f>元データ!P618</f>
        <v>535</v>
      </c>
      <c r="B621" s="27">
        <f t="shared" si="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IF(AA621="非採用",0,IF(OFFSET(マスタ非採用削除!E$4,統合マスタ!$A621,0)="","",OFFSET(マスタ非採用削除!E$4,統合マスタ!$A621,0)))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  <c r="AB621" s="27" t="str">
        <f ca="1">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</f>
        <v>注射</v>
      </c>
      <c r="AC621" s="27" cm="1">
        <f t="array" aca="1" ref="AC621" ca="1">OFFSET(
   INDIRECT("'" &amp; AB621 &amp; "'!A4"),
   MATCH(B621, INDIRECT("'" &amp; AB621 &amp; "'!C5:C1000"), 0),
   MATCH("合計", INDIRECT("'" &amp; AB621 &amp; "'!4:4"), 0) - 1
)</f>
        <v>0</v>
      </c>
    </row>
    <row r="622" spans="1:29">
      <c r="A622" s="40">
        <f>元データ!P619</f>
        <v>536</v>
      </c>
      <c r="B622" s="27">
        <f t="shared" si="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IF(AA622="非採用",0,IF(OFFSET(マスタ非採用削除!E$4,統合マスタ!$A622,0)="","",OFFSET(マスタ非採用削除!E$4,統合マスタ!$A622,0)))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  <c r="AB622" s="27" t="str">
        <f ca="1">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</f>
        <v>無し</v>
      </c>
      <c r="AC622" s="27" t="e" cm="1">
        <f t="array" aca="1" ref="AC622" ca="1">OFFSET(
   INDIRECT("'" &amp; AB622 &amp; "'!A4"),
   MATCH(B622, INDIRECT("'" &amp; AB622 &amp; "'!C5:C1000"), 0),
   MATCH("合計", INDIRECT("'" &amp; AB622 &amp; "'!4:4"), 0) - 1
)</f>
        <v>#REF!</v>
      </c>
    </row>
    <row r="623" spans="1:29">
      <c r="A623" s="40">
        <f>元データ!P620</f>
        <v>0</v>
      </c>
      <c r="B623" s="27">
        <f t="shared" si="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str">
        <f ca="1">IF(OFFSET(マスタ非採用削除!A$4,統合マスタ!$A623,0)="","",OFFSET(マスタ非採用削除!A$4,統合マスタ!$A623,0))</f>
        <v>コード(区分値)</v>
      </c>
      <c r="O623" s="53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3" t="str">
        <f ca="1">IF(OFFSET(マスタ非採用削除!D$4,統合マスタ!$A623,0)="","",OFFSET(マスタ非採用削除!D$4,統合マスタ!$A623,0))</f>
        <v>ホストコード</v>
      </c>
      <c r="R623" s="27" t="str">
        <f ca="1">IF(AA623="非採用",0,IF(OFFSET(マスタ非採用削除!E$4,統合マスタ!$A623,0)="","",OFFSET(マスタ非採用削除!E$4,統合マスタ!$A623,0)))</f>
        <v>採用区分（区分値）(区分値)</v>
      </c>
      <c r="S623" s="53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3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3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場所</v>
      </c>
      <c r="AA623" s="27"/>
      <c r="AB623" s="27" t="str">
        <f ca="1">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</f>
        <v>無し</v>
      </c>
      <c r="AC623" s="27" t="e" cm="1">
        <f t="array" aca="1" ref="AC623" ca="1">OFFSET(
   INDIRECT("'" &amp; AB623 &amp; "'!A4"),
   MATCH(B623, INDIRECT("'" &amp; AB623 &amp; "'!C5:C1000"), 0),
   MATCH("合計", INDIRECT("'" &amp; AB623 &amp; "'!4:4"), 0) - 1
)</f>
        <v>#REF!</v>
      </c>
    </row>
    <row r="624" spans="1:29">
      <c r="A624" s="40">
        <f>元データ!P621</f>
        <v>538</v>
      </c>
      <c r="B624" s="27">
        <f t="shared" si="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IF(AA624="非採用",0,IF(OFFSET(マスタ非採用削除!E$4,統合マスタ!$A624,0)="","",OFFSET(マスタ非採用削除!E$4,統合マスタ!$A624,0)))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  <c r="AB624" s="27" t="str">
        <f ca="1">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</f>
        <v>臨時</v>
      </c>
      <c r="AC624" s="27" cm="1">
        <f t="array" aca="1" ref="AC624" ca="1">OFFSET(
   INDIRECT("'" &amp; AB624 &amp; "'!A4"),
   MATCH(B624, INDIRECT("'" &amp; AB624 &amp; "'!C5:C1000"), 0),
   MATCH("合計", INDIRECT("'" &amp; AB624 &amp; "'!4:4"), 0) - 1
)</f>
        <v>0</v>
      </c>
    </row>
    <row r="625" spans="1:29">
      <c r="A625" s="40">
        <f>元データ!P622</f>
        <v>539</v>
      </c>
      <c r="B625" s="27">
        <f t="shared" si="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IF(AA625="非採用",0,IF(OFFSET(マスタ非採用削除!E$4,統合マスタ!$A625,0)="","",OFFSET(マスタ非採用削除!E$4,統合マスタ!$A625,0)))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  <c r="AB625" s="27" t="str">
        <f ca="1">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</f>
        <v>無し</v>
      </c>
      <c r="AC625" s="27" t="e" cm="1">
        <f t="array" aca="1" ref="AC625" ca="1">OFFSET(
   INDIRECT("'" &amp; AB625 &amp; "'!A4"),
   MATCH(B625, INDIRECT("'" &amp; AB625 &amp; "'!C5:C1000"), 0),
   MATCH("合計", INDIRECT("'" &amp; AB625 &amp; "'!4:4"), 0) - 1
)</f>
        <v>#REF!</v>
      </c>
    </row>
    <row r="626" spans="1:29">
      <c r="A626" s="40">
        <f>元データ!P623</f>
        <v>541</v>
      </c>
      <c r="B626" s="27">
        <f t="shared" si="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IF(AA626="非採用",0,IF(OFFSET(マスタ非採用削除!E$4,統合マスタ!$A626,0)="","",OFFSET(マスタ非採用削除!E$4,統合マスタ!$A626,0)))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  <c r="AB626" s="27" t="str">
        <f ca="1">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</f>
        <v>臨時</v>
      </c>
      <c r="AC626" s="27" cm="1">
        <f t="array" aca="1" ref="AC626" ca="1">OFFSET(
   INDIRECT("'" &amp; AB626 &amp; "'!A4"),
   MATCH(B626, INDIRECT("'" &amp; AB626 &amp; "'!C5:C1000"), 0),
   MATCH("合計", INDIRECT("'" &amp; AB626 &amp; "'!4:4"), 0) - 1
)</f>
        <v>0</v>
      </c>
    </row>
    <row r="627" spans="1:29">
      <c r="A627" s="40">
        <f>元データ!P624</f>
        <v>542</v>
      </c>
      <c r="B627" s="27">
        <f t="shared" si="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IF(AA627="非採用",0,IF(OFFSET(マスタ非採用削除!E$4,統合マスタ!$A627,0)="","",OFFSET(マスタ非採用削除!E$4,統合マスタ!$A627,0)))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  <c r="AB627" s="27" t="str">
        <f ca="1">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</f>
        <v>臨時</v>
      </c>
      <c r="AC627" s="27" cm="1">
        <f t="array" aca="1" ref="AC627" ca="1">OFFSET(
   INDIRECT("'" &amp; AB627 &amp; "'!A4"),
   MATCH(B627, INDIRECT("'" &amp; AB627 &amp; "'!C5:C1000"), 0),
   MATCH("合計", INDIRECT("'" &amp; AB627 &amp; "'!4:4"), 0) - 1
)</f>
        <v>0</v>
      </c>
    </row>
    <row r="628" spans="1:29">
      <c r="A628" s="40">
        <f>元データ!P625</f>
        <v>548</v>
      </c>
      <c r="B628" s="27">
        <f t="shared" si="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IF(AA628="非採用",0,IF(OFFSET(マスタ非採用削除!E$4,統合マスタ!$A628,0)="","",OFFSET(マスタ非採用削除!E$4,統合マスタ!$A628,0)))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  <c r="AB628" s="27" t="str">
        <f ca="1">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</f>
        <v>散剤</v>
      </c>
      <c r="AC628" s="27" cm="1">
        <f t="array" aca="1" ref="AC628" ca="1">OFFSET(
   INDIRECT("'" &amp; AB628 &amp; "'!A4"),
   MATCH(B628, INDIRECT("'" &amp; AB628 &amp; "'!C5:C1000"), 0),
   MATCH("合計", INDIRECT("'" &amp; AB628 &amp; "'!4:4"), 0) - 1
)</f>
        <v>12400</v>
      </c>
    </row>
    <row r="629" spans="1:29">
      <c r="A629" s="40">
        <f>元データ!P626</f>
        <v>548</v>
      </c>
      <c r="B629" s="27">
        <f t="shared" si="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IF(AA629="非採用",0,IF(OFFSET(マスタ非採用削除!E$4,統合マスタ!$A629,0)="","",OFFSET(マスタ非採用削除!E$4,統合マスタ!$A629,0)))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  <c r="AB629" s="27" t="str">
        <f ca="1">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</f>
        <v>散剤</v>
      </c>
      <c r="AC629" s="27" cm="1">
        <f t="array" aca="1" ref="AC629" ca="1">OFFSET(
   INDIRECT("'" &amp; AB629 &amp; "'!A4"),
   MATCH(B629, INDIRECT("'" &amp; AB629 &amp; "'!C5:C1000"), 0),
   MATCH("合計", INDIRECT("'" &amp; AB629 &amp; "'!4:4"), 0) - 1
)</f>
        <v>32000</v>
      </c>
    </row>
    <row r="630" spans="1:29">
      <c r="A630" s="40">
        <f>元データ!P627</f>
        <v>543</v>
      </c>
      <c r="B630" s="27">
        <f t="shared" si="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IF(AA630="非採用",0,IF(OFFSET(マスタ非採用削除!E$4,統合マスタ!$A630,0)="","",OFFSET(マスタ非採用削除!E$4,統合マスタ!$A630,0)))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  <c r="AB630" s="27" t="str">
        <f ca="1">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</f>
        <v>外用剤</v>
      </c>
      <c r="AC630" s="27" t="e" cm="1">
        <f t="array" aca="1" ref="AC630" ca="1">OFFSET(
   INDIRECT("'" &amp; AB630 &amp; "'!A4"),
   MATCH(B630, INDIRECT("'" &amp; AB630 &amp; "'!C5:C1000"), 0),
   MATCH("合計", INDIRECT("'" &amp; AB630 &amp; "'!4:4"), 0) - 1
)</f>
        <v>#REF!</v>
      </c>
    </row>
    <row r="631" spans="1:29">
      <c r="A631" s="40">
        <f>元データ!P628</f>
        <v>545</v>
      </c>
      <c r="B631" s="27">
        <f t="shared" si="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IF(AA631="非採用",0,IF(OFFSET(マスタ非採用削除!E$4,統合マスタ!$A631,0)="","",OFFSET(マスタ非採用削除!E$4,統合マスタ!$A631,0)))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/>
      <c r="AB631" s="27" t="str">
        <f ca="1">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</f>
        <v>錠剤</v>
      </c>
      <c r="AC631" s="27" cm="1">
        <f t="array" aca="1" ref="AC631" ca="1">OFFSET(
   INDIRECT("'" &amp; AB631 &amp; "'!A4"),
   MATCH(B631, INDIRECT("'" &amp; AB631 &amp; "'!C5:C1000"), 0),
   MATCH("合計", INDIRECT("'" &amp; AB631 &amp; "'!4:4"), 0) - 1
)</f>
        <v>264</v>
      </c>
    </row>
    <row r="632" spans="1:29">
      <c r="A632" s="40">
        <f>元データ!P629</f>
        <v>544</v>
      </c>
      <c r="B632" s="27">
        <f t="shared" si="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IF(AA632="非採用",0,IF(OFFSET(マスタ非採用削除!E$4,統合マスタ!$A632,0)="","",OFFSET(マスタ非採用削除!E$4,統合マスタ!$A632,0)))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/>
      <c r="AB632" s="27" t="str">
        <f ca="1">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</f>
        <v>錠剤</v>
      </c>
      <c r="AC632" s="27" cm="1">
        <f t="array" aca="1" ref="AC632" ca="1">OFFSET(
   INDIRECT("'" &amp; AB632 &amp; "'!A4"),
   MATCH(B632, INDIRECT("'" &amp; AB632 &amp; "'!C5:C1000"), 0),
   MATCH("合計", INDIRECT("'" &amp; AB632 &amp; "'!4:4"), 0) - 1
)</f>
        <v>265</v>
      </c>
    </row>
    <row r="633" spans="1:29">
      <c r="A633" s="40">
        <f>元データ!P630</f>
        <v>544</v>
      </c>
      <c r="B633" s="27">
        <f t="shared" si="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IF(AA633="非採用",0,IF(OFFSET(マスタ非採用削除!E$4,統合マスタ!$A633,0)="","",OFFSET(マスタ非採用削除!E$4,統合マスタ!$A633,0)))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/>
      <c r="AB633" s="27" t="str">
        <f ca="1">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</f>
        <v>錠剤</v>
      </c>
      <c r="AC633" s="27" cm="1">
        <f t="array" aca="1" ref="AC633" ca="1">OFFSET(
   INDIRECT("'" &amp; AB633 &amp; "'!A4"),
   MATCH(B633, INDIRECT("'" &amp; AB633 &amp; "'!C5:C1000"), 0),
   MATCH("合計", INDIRECT("'" &amp; AB633 &amp; "'!4:4"), 0) - 1
)</f>
        <v>266</v>
      </c>
    </row>
    <row r="634" spans="1:29">
      <c r="A634" s="40">
        <f>元データ!P631</f>
        <v>546</v>
      </c>
      <c r="B634" s="27">
        <f t="shared" si="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IF(AA634="非採用",0,IF(OFFSET(マスタ非採用削除!E$4,統合マスタ!$A634,0)="","",OFFSET(マスタ非採用削除!E$4,統合マスタ!$A634,0)))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/>
      <c r="AB634" s="27" t="str">
        <f ca="1">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</f>
        <v>錠剤</v>
      </c>
      <c r="AC634" s="27" cm="1">
        <f t="array" aca="1" ref="AC634" ca="1">OFFSET(
   INDIRECT("'" &amp; AB634 &amp; "'!A4"),
   MATCH(B634, INDIRECT("'" &amp; AB634 &amp; "'!C5:C1000"), 0),
   MATCH("合計", INDIRECT("'" &amp; AB634 &amp; "'!4:4"), 0) - 1
)</f>
        <v>267</v>
      </c>
    </row>
    <row r="635" spans="1:29">
      <c r="A635" s="40">
        <f>元データ!P632</f>
        <v>546</v>
      </c>
      <c r="B635" s="27">
        <f t="shared" si="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IF(AA635="非採用",0,IF(OFFSET(マスタ非採用削除!E$4,統合マスタ!$A635,0)="","",OFFSET(マスタ非採用削除!E$4,統合マスタ!$A635,0)))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/>
      <c r="AB635" s="27" t="str">
        <f ca="1">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</f>
        <v>錠剤</v>
      </c>
      <c r="AC635" s="27" cm="1">
        <f t="array" aca="1" ref="AC635" ca="1">OFFSET(
   INDIRECT("'" &amp; AB635 &amp; "'!A4"),
   MATCH(B635, INDIRECT("'" &amp; AB635 &amp; "'!C5:C1000"), 0),
   MATCH("合計", INDIRECT("'" &amp; AB635 &amp; "'!4:4"), 0) - 1
)</f>
        <v>268</v>
      </c>
    </row>
    <row r="636" spans="1:29">
      <c r="A636" s="40">
        <f>元データ!P633</f>
        <v>547</v>
      </c>
      <c r="B636" s="27">
        <f t="shared" si="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IF(AA636="非採用",0,IF(OFFSET(マスタ非採用削除!E$4,統合マスタ!$A636,0)="","",OFFSET(マスタ非採用削除!E$4,統合マスタ!$A636,0)))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/>
      <c r="AB636" s="27" t="str">
        <f ca="1">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</f>
        <v>錠剤</v>
      </c>
      <c r="AC636" s="27" cm="1">
        <f t="array" aca="1" ref="AC636" ca="1">OFFSET(
   INDIRECT("'" &amp; AB636 &amp; "'!A4"),
   MATCH(B636, INDIRECT("'" &amp; AB636 &amp; "'!C5:C1000"), 0),
   MATCH("合計", INDIRECT("'" &amp; AB636 &amp; "'!4:4"), 0) - 1
)</f>
        <v>269</v>
      </c>
    </row>
    <row r="637" spans="1:29">
      <c r="A637" s="40">
        <f>元データ!P634</f>
        <v>547</v>
      </c>
      <c r="B637" s="27">
        <f t="shared" si="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IF(AA637="非採用",0,IF(OFFSET(マスタ非採用削除!E$4,統合マスタ!$A637,0)="","",OFFSET(マスタ非採用削除!E$4,統合マスタ!$A637,0)))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/>
      <c r="AB637" s="27" t="str">
        <f ca="1">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</f>
        <v>錠剤</v>
      </c>
      <c r="AC637" s="27" cm="1">
        <f t="array" aca="1" ref="AC637" ca="1">OFFSET(
   INDIRECT("'" &amp; AB637 &amp; "'!A4"),
   MATCH(B637, INDIRECT("'" &amp; AB637 &amp; "'!C5:C1000"), 0),
   MATCH("合計", INDIRECT("'" &amp; AB637 &amp; "'!4:4"), 0) - 1
)</f>
        <v>270</v>
      </c>
    </row>
    <row r="638" spans="1:29">
      <c r="A638" s="40" t="str">
        <f>元データ!P635</f>
        <v>非採用</v>
      </c>
      <c r="B638" s="27">
        <f t="shared" si="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IF(AA638="非採用",0,IF(OFFSET(マスタ非採用削除!E$4,統合マスタ!$A638,0)="","",OFFSET(マスタ非採用削除!E$4,統合マスタ!$A638,0)))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">
        <v>4062</v>
      </c>
      <c r="AB638" s="27" t="str">
        <f ca="1">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</f>
        <v>無し</v>
      </c>
      <c r="AC638" s="27" t="e" cm="1">
        <f t="array" aca="1" ref="AC638" ca="1">OFFSET(
   INDIRECT("'" &amp; AB638 &amp; "'!A4"),
   MATCH(B638, INDIRECT("'" &amp; AB638 &amp; "'!C5:C1000"), 0),
   MATCH("合計", INDIRECT("'" &amp; AB638 &amp; "'!4:4"), 0) - 1
)</f>
        <v>#REF!</v>
      </c>
    </row>
    <row r="639" spans="1:29">
      <c r="A639" s="40">
        <f>元データ!P636</f>
        <v>549</v>
      </c>
      <c r="B639" s="27">
        <f t="shared" si="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IF(AA639="非採用",0,IF(OFFSET(マスタ非採用削除!E$4,統合マスタ!$A639,0)="","",OFFSET(マスタ非採用削除!E$4,統合マスタ!$A639,0)))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/>
      <c r="AB639" s="27" t="str">
        <f ca="1">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</f>
        <v>錠剤</v>
      </c>
      <c r="AC639" s="27" cm="1">
        <f t="array" aca="1" ref="AC639" ca="1">OFFSET(
   INDIRECT("'" &amp; AB639 &amp; "'!A4"),
   MATCH(B639, INDIRECT("'" &amp; AB639 &amp; "'!C5:C1000"), 0),
   MATCH("合計", INDIRECT("'" &amp; AB639 &amp; "'!4:4"), 0) - 1
)</f>
        <v>271</v>
      </c>
    </row>
    <row r="640" spans="1:29">
      <c r="A640" s="40">
        <f>元データ!P637</f>
        <v>550</v>
      </c>
      <c r="B640" s="27">
        <f t="shared" si="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IF(AA640="非採用",0,IF(OFFSET(マスタ非採用削除!E$4,統合マスタ!$A640,0)="","",OFFSET(マスタ非採用削除!E$4,統合マスタ!$A640,0)))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/>
      <c r="AB640" s="27" t="str">
        <f ca="1">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</f>
        <v>錠剤</v>
      </c>
      <c r="AC640" s="27" cm="1">
        <f t="array" aca="1" ref="AC640" ca="1">OFFSET(
   INDIRECT("'" &amp; AB640 &amp; "'!A4"),
   MATCH(B640, INDIRECT("'" &amp; AB640 &amp; "'!C5:C1000"), 0),
   MATCH("合計", INDIRECT("'" &amp; AB640 &amp; "'!4:4"), 0) - 1
)</f>
        <v>272</v>
      </c>
    </row>
    <row r="641" spans="1:29">
      <c r="A641" s="40">
        <f>元データ!P638</f>
        <v>552</v>
      </c>
      <c r="B641" s="27">
        <f t="shared" si="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IF(AA641="非採用",0,IF(OFFSET(マスタ非採用削除!E$4,統合マスタ!$A641,0)="","",OFFSET(マスタ非採用削除!E$4,統合マスタ!$A641,0)))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  <c r="AB641" s="27" t="str">
        <f ca="1">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</f>
        <v>臨時</v>
      </c>
      <c r="AC641" s="27" cm="1">
        <f t="array" aca="1" ref="AC641" ca="1">OFFSET(
   INDIRECT("'" &amp; AB641 &amp; "'!A4"),
   MATCH(B641, INDIRECT("'" &amp; AB641 &amp; "'!C5:C1000"), 0),
   MATCH("合計", INDIRECT("'" &amp; AB641 &amp; "'!4:4"), 0) - 1
)</f>
        <v>0</v>
      </c>
    </row>
    <row r="642" spans="1:29">
      <c r="A642" s="40">
        <f>元データ!P639</f>
        <v>553</v>
      </c>
      <c r="B642" s="27">
        <f t="shared" si="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IF(AA642="非採用",0,IF(OFFSET(マスタ非採用削除!E$4,統合マスタ!$A642,0)="","",OFFSET(マスタ非採用削除!E$4,統合マスタ!$A642,0)))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  <c r="AB642" s="27" t="str">
        <f ca="1">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</f>
        <v>錠剤</v>
      </c>
      <c r="AC642" s="27" cm="1">
        <f t="array" aca="1" ref="AC642" ca="1">OFFSET(
   INDIRECT("'" &amp; AB642 &amp; "'!A4"),
   MATCH(B642, INDIRECT("'" &amp; AB642 &amp; "'!C5:C1000"), 0),
   MATCH("合計", INDIRECT("'" &amp; AB642 &amp; "'!4:4"), 0) - 1
)</f>
        <v>273</v>
      </c>
    </row>
    <row r="643" spans="1:29">
      <c r="A643" s="40">
        <f>元データ!P640</f>
        <v>554</v>
      </c>
      <c r="B643" s="27">
        <f t="shared" si="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IF(AA643="非採用",0,IF(OFFSET(マスタ非採用削除!E$4,統合マスタ!$A643,0)="","",OFFSET(マスタ非採用削除!E$4,統合マスタ!$A643,0)))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/>
      <c r="AB643" s="27" t="str">
        <f ca="1">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</f>
        <v>錠剤</v>
      </c>
      <c r="AC643" s="27" cm="1">
        <f t="array" aca="1" ref="AC643" ca="1">OFFSET(
   INDIRECT("'" &amp; AB643 &amp; "'!A4"),
   MATCH(B643, INDIRECT("'" &amp; AB643 &amp; "'!C5:C1000"), 0),
   MATCH("合計", INDIRECT("'" &amp; AB643 &amp; "'!4:4"), 0) - 1
)</f>
        <v>274</v>
      </c>
    </row>
    <row r="644" spans="1:29">
      <c r="A644" s="40">
        <f>元データ!P641</f>
        <v>556</v>
      </c>
      <c r="B644" s="27">
        <f t="shared" si="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IF(AA644="非採用",0,IF(OFFSET(マスタ非採用削除!E$4,統合マスタ!$A644,0)="","",OFFSET(マスタ非採用削除!E$4,統合マスタ!$A644,0)))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  <c r="AB644" s="27" t="str">
        <f ca="1">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</f>
        <v>注射</v>
      </c>
      <c r="AC644" s="27" cm="1">
        <f t="array" aca="1" ref="AC644" ca="1">OFFSET(
   INDIRECT("'" &amp; AB644 &amp; "'!A4"),
   MATCH(B644, INDIRECT("'" &amp; AB644 &amp; "'!C5:C1000"), 0),
   MATCH("合計", INDIRECT("'" &amp; AB644 &amp; "'!4:4"), 0) - 1
)</f>
        <v>0</v>
      </c>
    </row>
    <row r="645" spans="1:29">
      <c r="A645" s="40">
        <f>元データ!P642</f>
        <v>557</v>
      </c>
      <c r="B645" s="27">
        <f t="shared" si="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IF(AA645="非採用",0,IF(OFFSET(マスタ非採用削除!E$4,統合マスタ!$A645,0)="","",OFFSET(マスタ非採用削除!E$4,統合マスタ!$A645,0)))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  <c r="AB645" s="27" t="str">
        <f ca="1">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</f>
        <v>錠剤</v>
      </c>
      <c r="AC645" s="27" cm="1">
        <f t="array" aca="1" ref="AC645" ca="1">OFFSET(
   INDIRECT("'" &amp; AB645 &amp; "'!A4"),
   MATCH(B645, INDIRECT("'" &amp; AB645 &amp; "'!C5:C1000"), 0),
   MATCH("合計", INDIRECT("'" &amp; AB645 &amp; "'!4:4"), 0) - 1
)</f>
        <v>275</v>
      </c>
    </row>
    <row r="646" spans="1:29">
      <c r="A646" s="40">
        <f>元データ!P643</f>
        <v>558</v>
      </c>
      <c r="B646" s="27">
        <f t="shared" si="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IF(AA646="非採用",0,IF(OFFSET(マスタ非採用削除!E$4,統合マスタ!$A646,0)="","",OFFSET(マスタ非採用削除!E$4,統合マスタ!$A646,0)))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/>
      <c r="AB646" s="27" t="str">
        <f ca="1">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</f>
        <v>錠剤</v>
      </c>
      <c r="AC646" s="27" cm="1">
        <f t="array" aca="1" ref="AC646" ca="1">OFFSET(
   INDIRECT("'" &amp; AB646 &amp; "'!A4"),
   MATCH(B646, INDIRECT("'" &amp; AB646 &amp; "'!C5:C1000"), 0),
   MATCH("合計", INDIRECT("'" &amp; AB646 &amp; "'!4:4"), 0) - 1
)</f>
        <v>276</v>
      </c>
    </row>
    <row r="647" spans="1:29">
      <c r="A647" s="40">
        <f>元データ!P644</f>
        <v>558</v>
      </c>
      <c r="B647" s="27">
        <f t="shared" ref="B647:B710" si="10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IF(AA647="非採用",0,IF(OFFSET(マスタ非採用削除!E$4,統合マスタ!$A647,0)="","",OFFSET(マスタ非採用削除!E$4,統合マスタ!$A647,0)))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/>
      <c r="AB647" s="27" t="str">
        <f ca="1">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</f>
        <v>錠剤</v>
      </c>
      <c r="AC647" s="27" cm="1">
        <f t="array" aca="1" ref="AC647" ca="1">OFFSET(
   INDIRECT("'" &amp; AB647 &amp; "'!A4"),
   MATCH(B647, INDIRECT("'" &amp; AB647 &amp; "'!C5:C1000"), 0),
   MATCH("合計", INDIRECT("'" &amp; AB647 &amp; "'!4:4"), 0) - 1
)</f>
        <v>277</v>
      </c>
    </row>
    <row r="648" spans="1:29">
      <c r="A648" s="40">
        <f>元データ!P645</f>
        <v>559</v>
      </c>
      <c r="B648" s="27">
        <f t="shared" si="10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IF(AA648="非採用",0,IF(OFFSET(マスタ非採用削除!E$4,統合マスタ!$A648,0)="","",OFFSET(マスタ非採用削除!E$4,統合マスタ!$A648,0)))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  <c r="AB648" s="27" t="str">
        <f ca="1">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</f>
        <v>臨時</v>
      </c>
      <c r="AC648" s="27" cm="1">
        <f t="array" aca="1" ref="AC648" ca="1">OFFSET(
   INDIRECT("'" &amp; AB648 &amp; "'!A4"),
   MATCH(B648, INDIRECT("'" &amp; AB648 &amp; "'!C5:C1000"), 0),
   MATCH("合計", INDIRECT("'" &amp; AB648 &amp; "'!4:4"), 0) - 1
)</f>
        <v>0</v>
      </c>
    </row>
    <row r="649" spans="1:29">
      <c r="A649" s="40">
        <f>元データ!P646</f>
        <v>560</v>
      </c>
      <c r="B649" s="27">
        <f t="shared" si="10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IF(AA649="非採用",0,IF(OFFSET(マスタ非採用削除!E$4,統合マスタ!$A649,0)="","",OFFSET(マスタ非採用削除!E$4,統合マスタ!$A649,0)))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/>
      <c r="AB649" s="27" t="str">
        <f ca="1">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</f>
        <v>錠剤</v>
      </c>
      <c r="AC649" s="27" cm="1">
        <f t="array" aca="1" ref="AC649" ca="1">OFFSET(
   INDIRECT("'" &amp; AB649 &amp; "'!A4"),
   MATCH(B649, INDIRECT("'" &amp; AB649 &amp; "'!C5:C1000"), 0),
   MATCH("合計", INDIRECT("'" &amp; AB649 &amp; "'!4:4"), 0) - 1
)</f>
        <v>278</v>
      </c>
    </row>
    <row r="650" spans="1:29">
      <c r="A650" s="40">
        <f>元データ!P647</f>
        <v>561</v>
      </c>
      <c r="B650" s="27">
        <f t="shared" si="10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IF(AA650="非採用",0,IF(OFFSET(マスタ非採用削除!E$4,統合マスタ!$A650,0)="","",OFFSET(マスタ非採用削除!E$4,統合マスタ!$A650,0)))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  <c r="AB650" s="27" t="str">
        <f ca="1">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</f>
        <v>注射</v>
      </c>
      <c r="AC650" s="27" cm="1">
        <f t="array" aca="1" ref="AC650" ca="1">OFFSET(
   INDIRECT("'" &amp; AB650 &amp; "'!A4"),
   MATCH(B650, INDIRECT("'" &amp; AB650 &amp; "'!C5:C1000"), 0),
   MATCH("合計", INDIRECT("'" &amp; AB650 &amp; "'!4:4"), 0) - 1
)</f>
        <v>0</v>
      </c>
    </row>
    <row r="651" spans="1:29">
      <c r="A651" s="40">
        <f>元データ!P648</f>
        <v>562</v>
      </c>
      <c r="B651" s="27">
        <f t="shared" si="10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IF(AA651="非採用",0,IF(OFFSET(マスタ非採用削除!E$4,統合マスタ!$A651,0)="","",OFFSET(マスタ非採用削除!E$4,統合マスタ!$A651,0)))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  <c r="AB651" s="27" t="str">
        <f ca="1">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</f>
        <v>無し</v>
      </c>
      <c r="AC651" s="27" t="e" cm="1">
        <f t="array" aca="1" ref="AC651" ca="1">OFFSET(
   INDIRECT("'" &amp; AB651 &amp; "'!A4"),
   MATCH(B651, INDIRECT("'" &amp; AB651 &amp; "'!C5:C1000"), 0),
   MATCH("合計", INDIRECT("'" &amp; AB651 &amp; "'!4:4"), 0) - 1
)</f>
        <v>#REF!</v>
      </c>
    </row>
    <row r="652" spans="1:29">
      <c r="A652" s="40">
        <f>元データ!P649</f>
        <v>563</v>
      </c>
      <c r="B652" s="27">
        <f t="shared" si="10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IF(AA652="非採用",0,IF(OFFSET(マスタ非採用削除!E$4,統合マスタ!$A652,0)="","",OFFSET(マスタ非採用削除!E$4,統合マスタ!$A652,0)))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/>
      <c r="AB652" s="27" t="str">
        <f ca="1">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</f>
        <v>錠剤</v>
      </c>
      <c r="AC652" s="27" cm="1">
        <f t="array" aca="1" ref="AC652" ca="1">OFFSET(
   INDIRECT("'" &amp; AB652 &amp; "'!A4"),
   MATCH(B652, INDIRECT("'" &amp; AB652 &amp; "'!C5:C1000"), 0),
   MATCH("合計", INDIRECT("'" &amp; AB652 &amp; "'!4:4"), 0) - 1
)</f>
        <v>279</v>
      </c>
    </row>
    <row r="653" spans="1:29">
      <c r="A653" s="40">
        <f>元データ!P650</f>
        <v>563</v>
      </c>
      <c r="B653" s="27">
        <f t="shared" si="10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IF(AA653="非採用",0,IF(OFFSET(マスタ非採用削除!E$4,統合マスタ!$A653,0)="","",OFFSET(マスタ非採用削除!E$4,統合マスタ!$A653,0)))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/>
      <c r="AB653" s="27" t="str">
        <f ca="1">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</f>
        <v>錠剤</v>
      </c>
      <c r="AC653" s="27" cm="1">
        <f t="array" aca="1" ref="AC653" ca="1">OFFSET(
   INDIRECT("'" &amp; AB653 &amp; "'!A4"),
   MATCH(B653, INDIRECT("'" &amp; AB653 &amp; "'!C5:C1000"), 0),
   MATCH("合計", INDIRECT("'" &amp; AB653 &amp; "'!4:4"), 0) - 1
)</f>
        <v>280</v>
      </c>
    </row>
    <row r="654" spans="1:29">
      <c r="A654" s="40">
        <f>元データ!P651</f>
        <v>564</v>
      </c>
      <c r="B654" s="27">
        <f t="shared" si="10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IF(AA654="非採用",0,IF(OFFSET(マスタ非採用削除!E$4,統合マスタ!$A654,0)="","",OFFSET(マスタ非採用削除!E$4,統合マスタ!$A654,0)))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  <c r="AB654" s="27" t="str">
        <f ca="1">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</f>
        <v>臨時</v>
      </c>
      <c r="AC654" s="27" cm="1">
        <f t="array" aca="1" ref="AC654" ca="1">OFFSET(
   INDIRECT("'" &amp; AB654 &amp; "'!A4"),
   MATCH(B654, INDIRECT("'" &amp; AB654 &amp; "'!C5:C1000"), 0),
   MATCH("合計", INDIRECT("'" &amp; AB654 &amp; "'!4:4"), 0) - 1
)</f>
        <v>0</v>
      </c>
    </row>
    <row r="655" spans="1:29">
      <c r="A655" s="40">
        <f>元データ!P652</f>
        <v>565</v>
      </c>
      <c r="B655" s="27">
        <f t="shared" si="10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IF(AA655="非採用",0,IF(OFFSET(マスタ非採用削除!E$4,統合マスタ!$A655,0)="","",OFFSET(マスタ非採用削除!E$4,統合マスタ!$A655,0)))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/>
      <c r="AB655" s="27" t="str">
        <f ca="1">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</f>
        <v>錠剤</v>
      </c>
      <c r="AC655" s="27" cm="1">
        <f t="array" aca="1" ref="AC655" ca="1">OFFSET(
   INDIRECT("'" &amp; AB655 &amp; "'!A4"),
   MATCH(B655, INDIRECT("'" &amp; AB655 &amp; "'!C5:C1000"), 0),
   MATCH("合計", INDIRECT("'" &amp; AB655 &amp; "'!4:4"), 0) - 1
)</f>
        <v>281</v>
      </c>
    </row>
    <row r="656" spans="1:29">
      <c r="A656" s="40">
        <f>元データ!P653</f>
        <v>566</v>
      </c>
      <c r="B656" s="27">
        <f t="shared" si="10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IF(AA656="非採用",0,IF(OFFSET(マスタ非採用削除!E$4,統合マスタ!$A656,0)="","",OFFSET(マスタ非採用削除!E$4,統合マスタ!$A656,0)))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  <c r="AB656" s="27" t="str">
        <f ca="1">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</f>
        <v>外用剤</v>
      </c>
      <c r="AC656" s="27" t="e" cm="1">
        <f t="array" aca="1" ref="AC656" ca="1">OFFSET(
   INDIRECT("'" &amp; AB656 &amp; "'!A4"),
   MATCH(B656, INDIRECT("'" &amp; AB656 &amp; "'!C5:C1000"), 0),
   MATCH("合計", INDIRECT("'" &amp; AB656 &amp; "'!4:4"), 0) - 1
)</f>
        <v>#REF!</v>
      </c>
    </row>
    <row r="657" spans="1:29">
      <c r="A657" s="40">
        <f>元データ!P654</f>
        <v>568</v>
      </c>
      <c r="B657" s="27">
        <f t="shared" si="10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IF(AA657="非採用",0,IF(OFFSET(マスタ非採用削除!E$4,統合マスタ!$A657,0)="","",OFFSET(マスタ非採用削除!E$4,統合マスタ!$A657,0)))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/>
      <c r="AB657" s="27" t="str">
        <f ca="1">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</f>
        <v>錠剤</v>
      </c>
      <c r="AC657" s="27" cm="1">
        <f t="array" aca="1" ref="AC657" ca="1">OFFSET(
   INDIRECT("'" &amp; AB657 &amp; "'!A4"),
   MATCH(B657, INDIRECT("'" &amp; AB657 &amp; "'!C5:C1000"), 0),
   MATCH("合計", INDIRECT("'" &amp; AB657 &amp; "'!4:4"), 0) - 1
)</f>
        <v>282</v>
      </c>
    </row>
    <row r="658" spans="1:29">
      <c r="A658" s="40">
        <f>元データ!P655</f>
        <v>568</v>
      </c>
      <c r="B658" s="27">
        <f t="shared" si="10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IF(AA658="非採用",0,IF(OFFSET(マスタ非採用削除!E$4,統合マスタ!$A658,0)="","",OFFSET(マスタ非採用削除!E$4,統合マスタ!$A658,0)))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/>
      <c r="AB658" s="27" t="str">
        <f ca="1">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</f>
        <v>錠剤</v>
      </c>
      <c r="AC658" s="27" cm="1">
        <f t="array" aca="1" ref="AC658" ca="1">OFFSET(
   INDIRECT("'" &amp; AB658 &amp; "'!A4"),
   MATCH(B658, INDIRECT("'" &amp; AB658 &amp; "'!C5:C1000"), 0),
   MATCH("合計", INDIRECT("'" &amp; AB658 &amp; "'!4:4"), 0) - 1
)</f>
        <v>283</v>
      </c>
    </row>
    <row r="659" spans="1:29">
      <c r="A659" s="40">
        <f>元データ!P656</f>
        <v>567</v>
      </c>
      <c r="B659" s="27">
        <f t="shared" si="10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IF(AA659="非採用",0,IF(OFFSET(マスタ非採用削除!E$4,統合マスタ!$A659,0)="","",OFFSET(マスタ非採用削除!E$4,統合マスタ!$A659,0)))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/>
      <c r="AB659" s="27" t="str">
        <f ca="1">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</f>
        <v>錠剤</v>
      </c>
      <c r="AC659" s="27" cm="1">
        <f t="array" aca="1" ref="AC659" ca="1">OFFSET(
   INDIRECT("'" &amp; AB659 &amp; "'!A4"),
   MATCH(B659, INDIRECT("'" &amp; AB659 &amp; "'!C5:C1000"), 0),
   MATCH("合計", INDIRECT("'" &amp; AB659 &amp; "'!4:4"), 0) - 1
)</f>
        <v>284</v>
      </c>
    </row>
    <row r="660" spans="1:29">
      <c r="A660" s="40">
        <f>元データ!P657</f>
        <v>567</v>
      </c>
      <c r="B660" s="27">
        <f t="shared" si="10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IF(AA660="非採用",0,IF(OFFSET(マスタ非採用削除!E$4,統合マスタ!$A660,0)="","",OFFSET(マスタ非採用削除!E$4,統合マスタ!$A660,0)))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/>
      <c r="AB660" s="27" t="str">
        <f ca="1">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</f>
        <v>錠剤</v>
      </c>
      <c r="AC660" s="27" cm="1">
        <f t="array" aca="1" ref="AC660" ca="1">OFFSET(
   INDIRECT("'" &amp; AB660 &amp; "'!A4"),
   MATCH(B660, INDIRECT("'" &amp; AB660 &amp; "'!C5:C1000"), 0),
   MATCH("合計", INDIRECT("'" &amp; AB660 &amp; "'!4:4"), 0) - 1
)</f>
        <v>285</v>
      </c>
    </row>
    <row r="661" spans="1:29">
      <c r="A661" s="40">
        <f>元データ!P658</f>
        <v>569</v>
      </c>
      <c r="B661" s="27">
        <f t="shared" si="10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IF(AA661="非採用",0,IF(OFFSET(マスタ非採用削除!E$4,統合マスタ!$A661,0)="","",OFFSET(マスタ非採用削除!E$4,統合マスタ!$A661,0)))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  <c r="AB661" s="27" t="str">
        <f ca="1">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</f>
        <v>臨時</v>
      </c>
      <c r="AC661" s="27" cm="1">
        <f t="array" aca="1" ref="AC661" ca="1">OFFSET(
   INDIRECT("'" &amp; AB661 &amp; "'!A4"),
   MATCH(B661, INDIRECT("'" &amp; AB661 &amp; "'!C5:C1000"), 0),
   MATCH("合計", INDIRECT("'" &amp; AB661 &amp; "'!4:4"), 0) - 1
)</f>
        <v>0</v>
      </c>
    </row>
    <row r="662" spans="1:29">
      <c r="A662" s="40">
        <f>元データ!P659</f>
        <v>570</v>
      </c>
      <c r="B662" s="27">
        <f t="shared" si="10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IF(AA662="非採用",0,IF(OFFSET(マスタ非採用削除!E$4,統合マスタ!$A662,0)="","",OFFSET(マスタ非採用削除!E$4,統合マスタ!$A662,0)))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  <c r="AB662" s="27" t="str">
        <f ca="1">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</f>
        <v>臨時</v>
      </c>
      <c r="AC662" s="27" cm="1">
        <f t="array" aca="1" ref="AC662" ca="1">OFFSET(
   INDIRECT("'" &amp; AB662 &amp; "'!A4"),
   MATCH(B662, INDIRECT("'" &amp; AB662 &amp; "'!C5:C1000"), 0),
   MATCH("合計", INDIRECT("'" &amp; AB662 &amp; "'!4:4"), 0) - 1
)</f>
        <v>0</v>
      </c>
    </row>
    <row r="663" spans="1:29">
      <c r="A663" s="40">
        <f>元データ!P660</f>
        <v>571</v>
      </c>
      <c r="B663" s="27">
        <f t="shared" si="10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IF(AA663="非採用",0,IF(OFFSET(マスタ非採用削除!E$4,統合マスタ!$A663,0)="","",OFFSET(マスタ非採用削除!E$4,統合マスタ!$A663,0)))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  <c r="AB663" s="27" t="str">
        <f ca="1">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</f>
        <v>注射</v>
      </c>
      <c r="AC663" s="27" cm="1">
        <f t="array" aca="1" ref="AC663" ca="1">OFFSET(
   INDIRECT("'" &amp; AB663 &amp; "'!A4"),
   MATCH(B663, INDIRECT("'" &amp; AB663 &amp; "'!C5:C1000"), 0),
   MATCH("合計", INDIRECT("'" &amp; AB663 &amp; "'!4:4"), 0) - 1
)</f>
        <v>0</v>
      </c>
    </row>
    <row r="664" spans="1:29">
      <c r="A664" s="40">
        <f>元データ!P661</f>
        <v>574</v>
      </c>
      <c r="B664" s="27">
        <f t="shared" si="10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IF(AA664="非採用",0,IF(OFFSET(マスタ非採用削除!E$4,統合マスタ!$A664,0)="","",OFFSET(マスタ非採用削除!E$4,統合マスタ!$A664,0)))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  <c r="AB664" s="27" t="str">
        <f ca="1">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</f>
        <v>散剤</v>
      </c>
      <c r="AC664" s="27" cm="1">
        <f t="array" aca="1" ref="AC664" ca="1">OFFSET(
   INDIRECT("'" &amp; AB664 &amp; "'!A4"),
   MATCH(B664, INDIRECT("'" &amp; AB664 &amp; "'!C5:C1000"), 0),
   MATCH("合計", INDIRECT("'" &amp; AB664 &amp; "'!4:4"), 0) - 1
)</f>
        <v>3300</v>
      </c>
    </row>
    <row r="665" spans="1:29">
      <c r="A665" s="40">
        <f>元データ!P662</f>
        <v>573</v>
      </c>
      <c r="B665" s="27">
        <f t="shared" si="10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IF(AA665="非採用",0,IF(OFFSET(マスタ非採用削除!E$4,統合マスタ!$A665,0)="","",OFFSET(マスタ非採用削除!E$4,統合マスタ!$A665,0)))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/>
      <c r="AB665" s="27" t="str">
        <f ca="1">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</f>
        <v>錠剤</v>
      </c>
      <c r="AC665" s="27" cm="1">
        <f t="array" aca="1" ref="AC665" ca="1">OFFSET(
   INDIRECT("'" &amp; AB665 &amp; "'!A4"),
   MATCH(B665, INDIRECT("'" &amp; AB665 &amp; "'!C5:C1000"), 0),
   MATCH("合計", INDIRECT("'" &amp; AB665 &amp; "'!4:4"), 0) - 1
)</f>
        <v>286</v>
      </c>
    </row>
    <row r="666" spans="1:29">
      <c r="A666" s="40">
        <f>元データ!P663</f>
        <v>573</v>
      </c>
      <c r="B666" s="27">
        <f t="shared" si="10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IF(AA666="非採用",0,IF(OFFSET(マスタ非採用削除!E$4,統合マスタ!$A666,0)="","",OFFSET(マスタ非採用削除!E$4,統合マスタ!$A666,0)))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/>
      <c r="AB666" s="27" t="str">
        <f ca="1">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</f>
        <v>錠剤</v>
      </c>
      <c r="AC666" s="27" cm="1">
        <f t="array" aca="1" ref="AC666" ca="1">OFFSET(
   INDIRECT("'" &amp; AB666 &amp; "'!A4"),
   MATCH(B666, INDIRECT("'" &amp; AB666 &amp; "'!C5:C1000"), 0),
   MATCH("合計", INDIRECT("'" &amp; AB666 &amp; "'!4:4"), 0) - 1
)</f>
        <v>287</v>
      </c>
    </row>
    <row r="667" spans="1:29">
      <c r="A667" s="40">
        <f>元データ!P664</f>
        <v>575</v>
      </c>
      <c r="B667" s="27">
        <f t="shared" si="10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IF(AA667="非採用",0,IF(OFFSET(マスタ非採用削除!E$4,統合マスタ!$A667,0)="","",OFFSET(マスタ非採用削除!E$4,統合マスタ!$A667,0)))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  <c r="AB667" s="27" t="str">
        <f ca="1">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</f>
        <v>錠剤</v>
      </c>
      <c r="AC667" s="27" cm="1">
        <f t="array" aca="1" ref="AC667" ca="1">OFFSET(
   INDIRECT("'" &amp; AB667 &amp; "'!A4"),
   MATCH(B667, INDIRECT("'" &amp; AB667 &amp; "'!C5:C1000"), 0),
   MATCH("合計", INDIRECT("'" &amp; AB667 &amp; "'!4:4"), 0) - 1
)</f>
        <v>288</v>
      </c>
    </row>
    <row r="668" spans="1:29">
      <c r="A668" s="40">
        <f>元データ!P665</f>
        <v>576</v>
      </c>
      <c r="B668" s="27">
        <f t="shared" si="10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IF(AA668="非採用",0,IF(OFFSET(マスタ非採用削除!E$4,統合マスタ!$A668,0)="","",OFFSET(マスタ非採用削除!E$4,統合マスタ!$A668,0)))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  <c r="AB668" s="27" t="str">
        <f ca="1">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</f>
        <v>散剤</v>
      </c>
      <c r="AC668" s="27" t="e" cm="1">
        <f t="array" aca="1" ref="AC668" ca="1">OFFSET(
   INDIRECT("'" &amp; AB668 &amp; "'!A4"),
   MATCH(B668, INDIRECT("'" &amp; AB668 &amp; "'!C5:C1000"), 0),
   MATCH("合計", INDIRECT("'" &amp; AB668 &amp; "'!4:4"), 0) - 1
)</f>
        <v>#VALUE!</v>
      </c>
    </row>
    <row r="669" spans="1:29">
      <c r="A669" s="40">
        <f>元データ!P666</f>
        <v>579</v>
      </c>
      <c r="B669" s="27">
        <f t="shared" si="10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IF(AA669="非採用",0,IF(OFFSET(マスタ非採用削除!E$4,統合マスタ!$A669,0)="","",OFFSET(マスタ非採用削除!E$4,統合マスタ!$A669,0)))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/>
      <c r="AB669" s="27" t="str">
        <f ca="1">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</f>
        <v>錠剤</v>
      </c>
      <c r="AC669" s="27" cm="1">
        <f t="array" aca="1" ref="AC669" ca="1">OFFSET(
   INDIRECT("'" &amp; AB669 &amp; "'!A4"),
   MATCH(B669, INDIRECT("'" &amp; AB669 &amp; "'!C5:C1000"), 0),
   MATCH("合計", INDIRECT("'" &amp; AB669 &amp; "'!4:4"), 0) - 1
)</f>
        <v>289</v>
      </c>
    </row>
    <row r="670" spans="1:29">
      <c r="A670" s="40">
        <f>元データ!P667</f>
        <v>577</v>
      </c>
      <c r="B670" s="27">
        <f t="shared" si="10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IF(AA670="非採用",0,IF(OFFSET(マスタ非採用削除!E$4,統合マスタ!$A670,0)="","",OFFSET(マスタ非採用削除!E$4,統合マスタ!$A670,0)))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  <c r="AB670" s="27" t="str">
        <f ca="1">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</f>
        <v>無し</v>
      </c>
      <c r="AC670" s="27" t="e" cm="1">
        <f t="array" aca="1" ref="AC670" ca="1">OFFSET(
   INDIRECT("'" &amp; AB670 &amp; "'!A4"),
   MATCH(B670, INDIRECT("'" &amp; AB670 &amp; "'!C5:C1000"), 0),
   MATCH("合計", INDIRECT("'" &amp; AB670 &amp; "'!4:4"), 0) - 1
)</f>
        <v>#REF!</v>
      </c>
    </row>
    <row r="671" spans="1:29">
      <c r="A671" s="40" t="str">
        <f>元データ!P668</f>
        <v>非採用</v>
      </c>
      <c r="B671" s="27">
        <f t="shared" si="10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IF(AA671="非採用",0,IF(OFFSET(マスタ非採用削除!E$4,統合マスタ!$A671,0)="","",OFFSET(マスタ非採用削除!E$4,統合マスタ!$A671,0)))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4068</v>
      </c>
      <c r="AB671" s="27" t="str">
        <f ca="1">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</f>
        <v>無し</v>
      </c>
      <c r="AC671" s="27" t="e" cm="1">
        <f t="array" aca="1" ref="AC671" ca="1">OFFSET(
   INDIRECT("'" &amp; AB671 &amp; "'!A4"),
   MATCH(B671, INDIRECT("'" &amp; AB671 &amp; "'!C5:C1000"), 0),
   MATCH("合計", INDIRECT("'" &amp; AB671 &amp; "'!4:4"), 0) - 1
)</f>
        <v>#REF!</v>
      </c>
    </row>
    <row r="672" spans="1:29">
      <c r="A672" s="40">
        <f>元データ!P669</f>
        <v>578</v>
      </c>
      <c r="B672" s="27">
        <f t="shared" si="10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IF(AA672="非採用",0,IF(OFFSET(マスタ非採用削除!E$4,統合マスタ!$A672,0)="","",OFFSET(マスタ非採用削除!E$4,統合マスタ!$A672,0)))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  <c r="AB672" s="27" t="str">
        <f ca="1">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</f>
        <v>臨時</v>
      </c>
      <c r="AC672" s="27" cm="1">
        <f t="array" aca="1" ref="AC672" ca="1">OFFSET(
   INDIRECT("'" &amp; AB672 &amp; "'!A4"),
   MATCH(B672, INDIRECT("'" &amp; AB672 &amp; "'!C5:C1000"), 0),
   MATCH("合計", INDIRECT("'" &amp; AB672 &amp; "'!4:4"), 0) - 1
)</f>
        <v>0</v>
      </c>
    </row>
    <row r="673" spans="1:29">
      <c r="A673" s="40">
        <f>元データ!P670</f>
        <v>580</v>
      </c>
      <c r="B673" s="27">
        <f t="shared" si="10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IF(AA673="非採用",0,IF(OFFSET(マスタ非採用削除!E$4,統合マスタ!$A673,0)="","",OFFSET(マスタ非採用削除!E$4,統合マスタ!$A673,0)))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  <c r="AB673" s="27" t="str">
        <f ca="1">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</f>
        <v>臨時</v>
      </c>
      <c r="AC673" s="27" cm="1">
        <f t="array" aca="1" ref="AC673" ca="1">OFFSET(
   INDIRECT("'" &amp; AB673 &amp; "'!A4"),
   MATCH(B673, INDIRECT("'" &amp; AB673 &amp; "'!C5:C1000"), 0),
   MATCH("合計", INDIRECT("'" &amp; AB673 &amp; "'!4:4"), 0) - 1
)</f>
        <v>0</v>
      </c>
    </row>
    <row r="674" spans="1:29">
      <c r="A674" s="40">
        <f>元データ!P671</f>
        <v>582</v>
      </c>
      <c r="B674" s="27">
        <f t="shared" si="10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IF(AA674="非採用",0,IF(OFFSET(マスタ非採用削除!E$4,統合マスタ!$A674,0)="","",OFFSET(マスタ非採用削除!E$4,統合マスタ!$A674,0)))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  <c r="AB674" s="27" t="str">
        <f ca="1">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</f>
        <v>無し</v>
      </c>
      <c r="AC674" s="27" t="e" cm="1">
        <f t="array" aca="1" ref="AC674" ca="1">OFFSET(
   INDIRECT("'" &amp; AB674 &amp; "'!A4"),
   MATCH(B674, INDIRECT("'" &amp; AB674 &amp; "'!C5:C1000"), 0),
   MATCH("合計", INDIRECT("'" &amp; AB674 &amp; "'!4:4"), 0) - 1
)</f>
        <v>#REF!</v>
      </c>
    </row>
    <row r="675" spans="1:29">
      <c r="A675" s="40">
        <f>元データ!P672</f>
        <v>583</v>
      </c>
      <c r="B675" s="27">
        <f t="shared" si="10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IF(AA675="非採用",0,IF(OFFSET(マスタ非採用削除!E$4,統合マスタ!$A675,0)="","",OFFSET(マスタ非採用削除!E$4,統合マスタ!$A675,0)))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  <c r="AB675" s="27" t="str">
        <f ca="1">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</f>
        <v>無し</v>
      </c>
      <c r="AC675" s="27" t="e" cm="1">
        <f t="array" aca="1" ref="AC675" ca="1">OFFSET(
   INDIRECT("'" &amp; AB675 &amp; "'!A4"),
   MATCH(B675, INDIRECT("'" &amp; AB675 &amp; "'!C5:C1000"), 0),
   MATCH("合計", INDIRECT("'" &amp; AB675 &amp; "'!4:4"), 0) - 1
)</f>
        <v>#REF!</v>
      </c>
    </row>
    <row r="676" spans="1:29">
      <c r="A676" s="40">
        <f>元データ!P673</f>
        <v>586</v>
      </c>
      <c r="B676" s="27">
        <f t="shared" si="10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IF(AA676="非採用",0,IF(OFFSET(マスタ非採用削除!E$4,統合マスタ!$A676,0)="","",OFFSET(マスタ非採用削除!E$4,統合マスタ!$A676,0)))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  <c r="AB676" s="27" t="str">
        <f ca="1">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</f>
        <v>無し</v>
      </c>
      <c r="AC676" s="27" t="e" cm="1">
        <f t="array" aca="1" ref="AC676" ca="1">OFFSET(
   INDIRECT("'" &amp; AB676 &amp; "'!A4"),
   MATCH(B676, INDIRECT("'" &amp; AB676 &amp; "'!C5:C1000"), 0),
   MATCH("合計", INDIRECT("'" &amp; AB676 &amp; "'!4:4"), 0) - 1
)</f>
        <v>#REF!</v>
      </c>
    </row>
    <row r="677" spans="1:29">
      <c r="A677" s="40">
        <f>元データ!P674</f>
        <v>585</v>
      </c>
      <c r="B677" s="27">
        <f t="shared" si="10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IF(AA677="非採用",0,IF(OFFSET(マスタ非採用削除!E$4,統合マスタ!$A677,0)="","",OFFSET(マスタ非採用削除!E$4,統合マスタ!$A677,0)))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  <c r="AB677" s="27" t="str">
        <f ca="1">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</f>
        <v>無し</v>
      </c>
      <c r="AC677" s="27" t="e" cm="1">
        <f t="array" aca="1" ref="AC677" ca="1">OFFSET(
   INDIRECT("'" &amp; AB677 &amp; "'!A4"),
   MATCH(B677, INDIRECT("'" &amp; AB677 &amp; "'!C5:C1000"), 0),
   MATCH("合計", INDIRECT("'" &amp; AB677 &amp; "'!4:4"), 0) - 1
)</f>
        <v>#REF!</v>
      </c>
    </row>
    <row r="678" spans="1:29">
      <c r="A678" s="40">
        <f>元データ!P675</f>
        <v>584</v>
      </c>
      <c r="B678" s="27">
        <f t="shared" si="10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IF(AA678="非採用",0,IF(OFFSET(マスタ非採用削除!E$4,統合マスタ!$A678,0)="","",OFFSET(マスタ非採用削除!E$4,統合マスタ!$A678,0)))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  <c r="AB678" s="27" t="str">
        <f ca="1">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</f>
        <v>臨時</v>
      </c>
      <c r="AC678" s="27" cm="1">
        <f t="array" aca="1" ref="AC678" ca="1">OFFSET(
   INDIRECT("'" &amp; AB678 &amp; "'!A4"),
   MATCH(B678, INDIRECT("'" &amp; AB678 &amp; "'!C5:C1000"), 0),
   MATCH("合計", INDIRECT("'" &amp; AB678 &amp; "'!4:4"), 0) - 1
)</f>
        <v>0</v>
      </c>
    </row>
    <row r="679" spans="1:29">
      <c r="A679" s="40">
        <f>元データ!P676</f>
        <v>587</v>
      </c>
      <c r="B679" s="27">
        <f t="shared" si="10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IF(AA679="非採用",0,IF(OFFSET(マスタ非採用削除!E$4,統合マスタ!$A679,0)="","",OFFSET(マスタ非採用削除!E$4,統合マスタ!$A679,0)))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  <c r="AB679" s="27" t="str">
        <f ca="1">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</f>
        <v>臨時</v>
      </c>
      <c r="AC679" s="27" cm="1">
        <f t="array" aca="1" ref="AC679" ca="1">OFFSET(
   INDIRECT("'" &amp; AB679 &amp; "'!A4"),
   MATCH(B679, INDIRECT("'" &amp; AB679 &amp; "'!C5:C1000"), 0),
   MATCH("合計", INDIRECT("'" &amp; AB679 &amp; "'!4:4"), 0) - 1
)</f>
        <v>0</v>
      </c>
    </row>
    <row r="680" spans="1:29">
      <c r="A680" s="40">
        <f>元データ!P677</f>
        <v>587</v>
      </c>
      <c r="B680" s="27">
        <f t="shared" si="10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IF(AA680="非採用",0,IF(OFFSET(マスタ非採用削除!E$4,統合マスタ!$A680,0)="","",OFFSET(マスタ非採用削除!E$4,統合マスタ!$A680,0)))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  <c r="AB680" s="27" t="str">
        <f ca="1">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</f>
        <v>臨時</v>
      </c>
      <c r="AC680" s="27" cm="1">
        <f t="array" aca="1" ref="AC680" ca="1">OFFSET(
   INDIRECT("'" &amp; AB680 &amp; "'!A4"),
   MATCH(B680, INDIRECT("'" &amp; AB680 &amp; "'!C5:C1000"), 0),
   MATCH("合計", INDIRECT("'" &amp; AB680 &amp; "'!4:4"), 0) - 1
)</f>
        <v>0</v>
      </c>
    </row>
    <row r="681" spans="1:29">
      <c r="A681" s="40">
        <f>元データ!P678</f>
        <v>588</v>
      </c>
      <c r="B681" s="27">
        <f t="shared" si="10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IF(AA681="非採用",0,IF(OFFSET(マスタ非採用削除!E$4,統合マスタ!$A681,0)="","",OFFSET(マスタ非採用削除!E$4,統合マスタ!$A681,0)))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  <c r="AB681" s="27" t="str">
        <f ca="1">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</f>
        <v>注射</v>
      </c>
      <c r="AC681" s="27" cm="1">
        <f t="array" aca="1" ref="AC681" ca="1">OFFSET(
   INDIRECT("'" &amp; AB681 &amp; "'!A4"),
   MATCH(B681, INDIRECT("'" &amp; AB681 &amp; "'!C5:C1000"), 0),
   MATCH("合計", INDIRECT("'" &amp; AB681 &amp; "'!4:4"), 0) - 1
)</f>
        <v>0</v>
      </c>
    </row>
    <row r="682" spans="1:29">
      <c r="A682" s="40">
        <f>元データ!P679</f>
        <v>589</v>
      </c>
      <c r="B682" s="27">
        <f t="shared" si="10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IF(AA682="非採用",0,IF(OFFSET(マスタ非採用削除!E$4,統合マスタ!$A682,0)="","",OFFSET(マスタ非採用削除!E$4,統合マスタ!$A682,0)))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  <c r="AB682" s="27" t="str">
        <f ca="1">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</f>
        <v>外用剤</v>
      </c>
      <c r="AC682" s="27" t="e" cm="1">
        <f t="array" aca="1" ref="AC682" ca="1">OFFSET(
   INDIRECT("'" &amp; AB682 &amp; "'!A4"),
   MATCH(B682, INDIRECT("'" &amp; AB682 &amp; "'!C5:C1000"), 0),
   MATCH("合計", INDIRECT("'" &amp; AB682 &amp; "'!4:4"), 0) - 1
)</f>
        <v>#REF!</v>
      </c>
    </row>
    <row r="683" spans="1:29">
      <c r="A683" s="40">
        <f>元データ!P680</f>
        <v>590</v>
      </c>
      <c r="B683" s="27">
        <f t="shared" si="10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IF(AA683="非採用",0,IF(OFFSET(マスタ非採用削除!E$4,統合マスタ!$A683,0)="","",OFFSET(マスタ非採用削除!E$4,統合マスタ!$A683,0)))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/>
      <c r="AB683" s="27" t="str">
        <f ca="1">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</f>
        <v>錠剤</v>
      </c>
      <c r="AC683" s="27" cm="1">
        <f t="array" aca="1" ref="AC683" ca="1">OFFSET(
   INDIRECT("'" &amp; AB683 &amp; "'!A4"),
   MATCH(B683, INDIRECT("'" &amp; AB683 &amp; "'!C5:C1000"), 0),
   MATCH("合計", INDIRECT("'" &amp; AB683 &amp; "'!4:4"), 0) - 1
)</f>
        <v>290</v>
      </c>
    </row>
    <row r="684" spans="1:29">
      <c r="A684" s="40">
        <f>元データ!P681</f>
        <v>590</v>
      </c>
      <c r="B684" s="27">
        <f t="shared" si="10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IF(AA684="非採用",0,IF(OFFSET(マスタ非採用削除!E$4,統合マスタ!$A684,0)="","",OFFSET(マスタ非採用削除!E$4,統合マスタ!$A684,0)))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/>
      <c r="AB684" s="27" t="str">
        <f ca="1">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</f>
        <v>錠剤</v>
      </c>
      <c r="AC684" s="27" cm="1">
        <f t="array" aca="1" ref="AC684" ca="1">OFFSET(
   INDIRECT("'" &amp; AB684 &amp; "'!A4"),
   MATCH(B684, INDIRECT("'" &amp; AB684 &amp; "'!C5:C1000"), 0),
   MATCH("合計", INDIRECT("'" &amp; AB684 &amp; "'!4:4"), 0) - 1
)</f>
        <v>291</v>
      </c>
    </row>
    <row r="685" spans="1:29">
      <c r="A685" s="40">
        <f>元データ!P682</f>
        <v>591</v>
      </c>
      <c r="B685" s="27">
        <f t="shared" si="10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IF(AA685="非採用",0,IF(OFFSET(マスタ非採用削除!E$4,統合マスタ!$A685,0)="","",OFFSET(マスタ非採用削除!E$4,統合マスタ!$A685,0)))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/>
      <c r="AB685" s="27" t="str">
        <f ca="1">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</f>
        <v>錠剤</v>
      </c>
      <c r="AC685" s="27" cm="1">
        <f t="array" aca="1" ref="AC685" ca="1">OFFSET(
   INDIRECT("'" &amp; AB685 &amp; "'!A4"),
   MATCH(B685, INDIRECT("'" &amp; AB685 &amp; "'!C5:C1000"), 0),
   MATCH("合計", INDIRECT("'" &amp; AB685 &amp; "'!4:4"), 0) - 1
)</f>
        <v>292</v>
      </c>
    </row>
    <row r="686" spans="1:29">
      <c r="A686" s="40">
        <f>元データ!P683</f>
        <v>591</v>
      </c>
      <c r="B686" s="27">
        <f t="shared" si="10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IF(AA686="非採用",0,IF(OFFSET(マスタ非採用削除!E$4,統合マスタ!$A686,0)="","",OFFSET(マスタ非採用削除!E$4,統合マスタ!$A686,0)))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/>
      <c r="AB686" s="27" t="str">
        <f ca="1">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</f>
        <v>錠剤</v>
      </c>
      <c r="AC686" s="27" cm="1">
        <f t="array" aca="1" ref="AC686" ca="1">OFFSET(
   INDIRECT("'" &amp; AB686 &amp; "'!A4"),
   MATCH(B686, INDIRECT("'" &amp; AB686 &amp; "'!C5:C1000"), 0),
   MATCH("合計", INDIRECT("'" &amp; AB686 &amp; "'!4:4"), 0) - 1
)</f>
        <v>293</v>
      </c>
    </row>
    <row r="687" spans="1:29">
      <c r="A687" s="40">
        <f>元データ!P684</f>
        <v>592</v>
      </c>
      <c r="B687" s="27">
        <f t="shared" si="10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IF(AA687="非採用",0,IF(OFFSET(マスタ非採用削除!E$4,統合マスタ!$A687,0)="","",OFFSET(マスタ非採用削除!E$4,統合マスタ!$A687,0)))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  <c r="AB687" s="27" t="str">
        <f ca="1">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</f>
        <v>臨時</v>
      </c>
      <c r="AC687" s="27" cm="1">
        <f t="array" aca="1" ref="AC687" ca="1">OFFSET(
   INDIRECT("'" &amp; AB687 &amp; "'!A4"),
   MATCH(B687, INDIRECT("'" &amp; AB687 &amp; "'!C5:C1000"), 0),
   MATCH("合計", INDIRECT("'" &amp; AB687 &amp; "'!4:4"), 0) - 1
)</f>
        <v>0</v>
      </c>
    </row>
    <row r="688" spans="1:29">
      <c r="A688" s="40">
        <f>元データ!P685</f>
        <v>593</v>
      </c>
      <c r="B688" s="27">
        <f t="shared" si="10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IF(AA688="非採用",0,IF(OFFSET(マスタ非採用削除!E$4,統合マスタ!$A688,0)="","",OFFSET(マスタ非採用削除!E$4,統合マスタ!$A688,0)))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/>
      <c r="AB688" s="27" t="str">
        <f ca="1">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</f>
        <v>錠剤</v>
      </c>
      <c r="AC688" s="27" cm="1">
        <f t="array" aca="1" ref="AC688" ca="1">OFFSET(
   INDIRECT("'" &amp; AB688 &amp; "'!A4"),
   MATCH(B688, INDIRECT("'" &amp; AB688 &amp; "'!C5:C1000"), 0),
   MATCH("合計", INDIRECT("'" &amp; AB688 &amp; "'!4:4"), 0) - 1
)</f>
        <v>294</v>
      </c>
    </row>
    <row r="689" spans="1:29">
      <c r="A689" s="40">
        <f>元データ!P686</f>
        <v>593</v>
      </c>
      <c r="B689" s="27">
        <f t="shared" si="10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IF(AA689="非採用",0,IF(OFFSET(マスタ非採用削除!E$4,統合マスタ!$A689,0)="","",OFFSET(マスタ非採用削除!E$4,統合マスタ!$A689,0)))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/>
      <c r="AB689" s="27" t="str">
        <f ca="1">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</f>
        <v>錠剤</v>
      </c>
      <c r="AC689" s="27" cm="1">
        <f t="array" aca="1" ref="AC689" ca="1">OFFSET(
   INDIRECT("'" &amp; AB689 &amp; "'!A4"),
   MATCH(B689, INDIRECT("'" &amp; AB689 &amp; "'!C5:C1000"), 0),
   MATCH("合計", INDIRECT("'" &amp; AB689 &amp; "'!4:4"), 0) - 1
)</f>
        <v>295</v>
      </c>
    </row>
    <row r="690" spans="1:29">
      <c r="A690" s="40">
        <f>元データ!P687</f>
        <v>595</v>
      </c>
      <c r="B690" s="27">
        <f t="shared" si="10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IF(AA690="非採用",0,IF(OFFSET(マスタ非採用削除!E$4,統合マスタ!$A690,0)="","",OFFSET(マスタ非採用削除!E$4,統合マスタ!$A690,0)))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/>
      <c r="AB690" s="27" t="str">
        <f ca="1">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</f>
        <v>錠剤</v>
      </c>
      <c r="AC690" s="27" cm="1">
        <f t="array" aca="1" ref="AC690" ca="1">OFFSET(
   INDIRECT("'" &amp; AB690 &amp; "'!A4"),
   MATCH(B690, INDIRECT("'" &amp; AB690 &amp; "'!C5:C1000"), 0),
   MATCH("合計", INDIRECT("'" &amp; AB690 &amp; "'!4:4"), 0) - 1
)</f>
        <v>296</v>
      </c>
    </row>
    <row r="691" spans="1:29">
      <c r="A691" s="40">
        <f>元データ!P688</f>
        <v>595</v>
      </c>
      <c r="B691" s="27">
        <f t="shared" si="10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IF(AA691="非採用",0,IF(OFFSET(マスタ非採用削除!E$4,統合マスタ!$A691,0)="","",OFFSET(マスタ非採用削除!E$4,統合マスタ!$A691,0)))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/>
      <c r="AB691" s="27" t="str">
        <f ca="1">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</f>
        <v>錠剤</v>
      </c>
      <c r="AC691" s="27" cm="1">
        <f t="array" aca="1" ref="AC691" ca="1">OFFSET(
   INDIRECT("'" &amp; AB691 &amp; "'!A4"),
   MATCH(B691, INDIRECT("'" &amp; AB691 &amp; "'!C5:C1000"), 0),
   MATCH("合計", INDIRECT("'" &amp; AB691 &amp; "'!4:4"), 0) - 1
)</f>
        <v>297</v>
      </c>
    </row>
    <row r="692" spans="1:29">
      <c r="A692" s="40">
        <f>元データ!P689</f>
        <v>594</v>
      </c>
      <c r="B692" s="27">
        <f t="shared" si="10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IF(AA692="非採用",0,IF(OFFSET(マスタ非採用削除!E$4,統合マスタ!$A692,0)="","",OFFSET(マスタ非採用削除!E$4,統合マスタ!$A692,0)))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/>
      <c r="AB692" s="27" t="str">
        <f ca="1">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</f>
        <v>錠剤</v>
      </c>
      <c r="AC692" s="27" cm="1">
        <f t="array" aca="1" ref="AC692" ca="1">OFFSET(
   INDIRECT("'" &amp; AB692 &amp; "'!A4"),
   MATCH(B692, INDIRECT("'" &amp; AB692 &amp; "'!C5:C1000"), 0),
   MATCH("合計", INDIRECT("'" &amp; AB692 &amp; "'!4:4"), 0) - 1
)</f>
        <v>298</v>
      </c>
    </row>
    <row r="693" spans="1:29">
      <c r="A693" s="40">
        <f>元データ!P690</f>
        <v>594</v>
      </c>
      <c r="B693" s="27">
        <f t="shared" si="10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IF(AA693="非採用",0,IF(OFFSET(マスタ非採用削除!E$4,統合マスタ!$A693,0)="","",OFFSET(マスタ非採用削除!E$4,統合マスタ!$A693,0)))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/>
      <c r="AB693" s="27" t="str">
        <f ca="1">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</f>
        <v>錠剤</v>
      </c>
      <c r="AC693" s="27" cm="1">
        <f t="array" aca="1" ref="AC693" ca="1">OFFSET(
   INDIRECT("'" &amp; AB693 &amp; "'!A4"),
   MATCH(B693, INDIRECT("'" &amp; AB693 &amp; "'!C5:C1000"), 0),
   MATCH("合計", INDIRECT("'" &amp; AB693 &amp; "'!4:4"), 0) - 1
)</f>
        <v>299</v>
      </c>
    </row>
    <row r="694" spans="1:29">
      <c r="A694" s="40">
        <f>元データ!P691</f>
        <v>596</v>
      </c>
      <c r="B694" s="27">
        <f t="shared" si="10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IF(AA694="非採用",0,IF(OFFSET(マスタ非採用削除!E$4,統合マスタ!$A694,0)="","",OFFSET(マスタ非採用削除!E$4,統合マスタ!$A694,0)))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/>
      <c r="AB694" s="27" t="str">
        <f ca="1">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</f>
        <v>錠剤</v>
      </c>
      <c r="AC694" s="27" cm="1">
        <f t="array" aca="1" ref="AC694" ca="1">OFFSET(
   INDIRECT("'" &amp; AB694 &amp; "'!A4"),
   MATCH(B694, INDIRECT("'" &amp; AB694 &amp; "'!C5:C1000"), 0),
   MATCH("合計", INDIRECT("'" &amp; AB694 &amp; "'!4:4"), 0) - 1
)</f>
        <v>300</v>
      </c>
    </row>
    <row r="695" spans="1:29">
      <c r="A695" s="40">
        <f>元データ!P692</f>
        <v>596</v>
      </c>
      <c r="B695" s="27">
        <f t="shared" si="10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IF(AA695="非採用",0,IF(OFFSET(マスタ非採用削除!E$4,統合マスタ!$A695,0)="","",OFFSET(マスタ非採用削除!E$4,統合マスタ!$A695,0)))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/>
      <c r="AB695" s="27" t="str">
        <f ca="1">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</f>
        <v>錠剤</v>
      </c>
      <c r="AC695" s="27" cm="1">
        <f t="array" aca="1" ref="AC695" ca="1">OFFSET(
   INDIRECT("'" &amp; AB695 &amp; "'!A4"),
   MATCH(B695, INDIRECT("'" &amp; AB695 &amp; "'!C5:C1000"), 0),
   MATCH("合計", INDIRECT("'" &amp; AB695 &amp; "'!4:4"), 0) - 1
)</f>
        <v>301</v>
      </c>
    </row>
    <row r="696" spans="1:29">
      <c r="A696" s="40" t="str">
        <f>元データ!P693</f>
        <v>非採用</v>
      </c>
      <c r="B696" s="27">
        <f t="shared" si="10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IF(AA696="非採用",0,IF(OFFSET(マスタ非採用削除!E$4,統合マスタ!$A696,0)="","",OFFSET(マスタ非採用削除!E$4,統合マスタ!$A696,0)))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4068</v>
      </c>
      <c r="AB696" s="27" t="str">
        <f ca="1">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</f>
        <v>無し</v>
      </c>
      <c r="AC696" s="27" t="e" cm="1">
        <f t="array" aca="1" ref="AC696" ca="1">OFFSET(
   INDIRECT("'" &amp; AB696 &amp; "'!A4"),
   MATCH(B696, INDIRECT("'" &amp; AB696 &amp; "'!C5:C1000"), 0),
   MATCH("合計", INDIRECT("'" &amp; AB696 &amp; "'!4:4"), 0) - 1
)</f>
        <v>#REF!</v>
      </c>
    </row>
    <row r="697" spans="1:29">
      <c r="A697" s="40">
        <f>元データ!P694</f>
        <v>597</v>
      </c>
      <c r="B697" s="27">
        <f t="shared" si="10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IF(AA697="非採用",0,IF(OFFSET(マスタ非採用削除!E$4,統合マスタ!$A697,0)="","",OFFSET(マスタ非採用削除!E$4,統合マスタ!$A697,0)))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  <c r="AB697" s="27" t="str">
        <f ca="1">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</f>
        <v>臨時</v>
      </c>
      <c r="AC697" s="27" cm="1">
        <f t="array" aca="1" ref="AC697" ca="1">OFFSET(
   INDIRECT("'" &amp; AB697 &amp; "'!A4"),
   MATCH(B697, INDIRECT("'" &amp; AB697 &amp; "'!C5:C1000"), 0),
   MATCH("合計", INDIRECT("'" &amp; AB697 &amp; "'!4:4"), 0) - 1
)</f>
        <v>0</v>
      </c>
    </row>
    <row r="698" spans="1:29">
      <c r="A698" s="40">
        <f>元データ!P695</f>
        <v>619</v>
      </c>
      <c r="B698" s="27">
        <f t="shared" si="10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IF(AA698="非採用",0,IF(OFFSET(マスタ非採用削除!E$4,統合マスタ!$A698,0)="","",OFFSET(マスタ非採用削除!E$4,統合マスタ!$A698,0)))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  <c r="AB698" s="27" t="str">
        <f ca="1">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</f>
        <v>錠剤</v>
      </c>
      <c r="AC698" s="27" cm="1">
        <f t="array" aca="1" ref="AC698" ca="1">OFFSET(
   INDIRECT("'" &amp; AB698 &amp; "'!A4"),
   MATCH(B698, INDIRECT("'" &amp; AB698 &amp; "'!C5:C1000"), 0),
   MATCH("合計", INDIRECT("'" &amp; AB698 &amp; "'!4:4"), 0) - 1
)</f>
        <v>302</v>
      </c>
    </row>
    <row r="699" spans="1:29">
      <c r="A699" s="40">
        <f>元データ!P696</f>
        <v>598</v>
      </c>
      <c r="B699" s="27">
        <f t="shared" si="10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IF(AA699="非採用",0,IF(OFFSET(マスタ非採用削除!E$4,統合マスタ!$A699,0)="","",OFFSET(マスタ非採用削除!E$4,統合マスタ!$A699,0)))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  <c r="AB699" s="27" t="str">
        <f ca="1">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</f>
        <v>臨時</v>
      </c>
      <c r="AC699" s="27" cm="1">
        <f t="array" aca="1" ref="AC699" ca="1">OFFSET(
   INDIRECT("'" &amp; AB699 &amp; "'!A4"),
   MATCH(B699, INDIRECT("'" &amp; AB699 &amp; "'!C5:C1000"), 0),
   MATCH("合計", INDIRECT("'" &amp; AB699 &amp; "'!4:4"), 0) - 1
)</f>
        <v>0</v>
      </c>
    </row>
    <row r="700" spans="1:29">
      <c r="A700" s="40">
        <f>元データ!P697</f>
        <v>599</v>
      </c>
      <c r="B700" s="27">
        <f t="shared" si="10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IF(AA700="非採用",0,IF(OFFSET(マスタ非採用削除!E$4,統合マスタ!$A700,0)="","",OFFSET(マスタ非採用削除!E$4,統合マスタ!$A700,0)))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/>
      <c r="AB700" s="27" t="str">
        <f ca="1">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</f>
        <v>錠剤</v>
      </c>
      <c r="AC700" s="27" cm="1">
        <f t="array" aca="1" ref="AC700" ca="1">OFFSET(
   INDIRECT("'" &amp; AB700 &amp; "'!A4"),
   MATCH(B700, INDIRECT("'" &amp; AB700 &amp; "'!C5:C1000"), 0),
   MATCH("合計", INDIRECT("'" &amp; AB700 &amp; "'!4:4"), 0) - 1
)</f>
        <v>303</v>
      </c>
    </row>
    <row r="701" spans="1:29">
      <c r="A701" s="40">
        <f>元データ!P698</f>
        <v>600</v>
      </c>
      <c r="B701" s="27">
        <f t="shared" si="10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IF(AA701="非採用",0,IF(OFFSET(マスタ非採用削除!E$4,統合マスタ!$A701,0)="","",OFFSET(マスタ非採用削除!E$4,統合マスタ!$A701,0)))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  <c r="AB701" s="27" t="str">
        <f ca="1">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</f>
        <v>臨時</v>
      </c>
      <c r="AC701" s="27" cm="1">
        <f t="array" aca="1" ref="AC701" ca="1">OFFSET(
   INDIRECT("'" &amp; AB701 &amp; "'!A4"),
   MATCH(B701, INDIRECT("'" &amp; AB701 &amp; "'!C5:C1000"), 0),
   MATCH("合計", INDIRECT("'" &amp; AB701 &amp; "'!4:4"), 0) - 1
)</f>
        <v>0</v>
      </c>
    </row>
    <row r="702" spans="1:29">
      <c r="A702" s="40">
        <f>元データ!P699</f>
        <v>609</v>
      </c>
      <c r="B702" s="27">
        <f t="shared" si="10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IF(AA702="非採用",0,IF(OFFSET(マスタ非採用削除!E$4,統合マスタ!$A702,0)="","",OFFSET(マスタ非採用削除!E$4,統合マスタ!$A702,0)))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  <c r="AB702" s="27" t="str">
        <f ca="1">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</f>
        <v>注射</v>
      </c>
      <c r="AC702" s="27" cm="1">
        <f t="array" aca="1" ref="AC702" ca="1">OFFSET(
   INDIRECT("'" &amp; AB702 &amp; "'!A4"),
   MATCH(B702, INDIRECT("'" &amp; AB702 &amp; "'!C5:C1000"), 0),
   MATCH("合計", INDIRECT("'" &amp; AB702 &amp; "'!4:4"), 0) - 1
)</f>
        <v>0</v>
      </c>
    </row>
    <row r="703" spans="1:29">
      <c r="A703" s="40">
        <f>元データ!P700</f>
        <v>611</v>
      </c>
      <c r="B703" s="27">
        <f t="shared" si="10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IF(AA703="非採用",0,IF(OFFSET(マスタ非採用削除!E$4,統合マスタ!$A703,0)="","",OFFSET(マスタ非採用削除!E$4,統合マスタ!$A703,0)))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  <c r="AB703" s="27" t="str">
        <f ca="1">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</f>
        <v>注射</v>
      </c>
      <c r="AC703" s="27" cm="1">
        <f t="array" aca="1" ref="AC703" ca="1">OFFSET(
   INDIRECT("'" &amp; AB703 &amp; "'!A4"),
   MATCH(B703, INDIRECT("'" &amp; AB703 &amp; "'!C5:C1000"), 0),
   MATCH("合計", INDIRECT("'" &amp; AB703 &amp; "'!4:4"), 0) - 1
)</f>
        <v>0</v>
      </c>
    </row>
    <row r="704" spans="1:29">
      <c r="A704" s="40">
        <f>元データ!P701</f>
        <v>608</v>
      </c>
      <c r="B704" s="27">
        <f t="shared" si="10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IF(AA704="非採用",0,IF(OFFSET(マスタ非採用削除!E$4,統合マスタ!$A704,0)="","",OFFSET(マスタ非採用削除!E$4,統合マスタ!$A704,0)))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  <c r="AB704" s="27" t="str">
        <f ca="1">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</f>
        <v>散剤</v>
      </c>
      <c r="AC704" s="27" cm="1">
        <f t="array" aca="1" ref="AC704" ca="1">OFFSET(
   INDIRECT("'" &amp; AB704 &amp; "'!A4"),
   MATCH(B704, INDIRECT("'" &amp; AB704 &amp; "'!C5:C1000"), 0),
   MATCH("合計", INDIRECT("'" &amp; AB704 &amp; "'!4:4"), 0) - 1
)</f>
        <v>3500</v>
      </c>
    </row>
    <row r="705" spans="1:29">
      <c r="A705" s="40">
        <f>元データ!P702</f>
        <v>602</v>
      </c>
      <c r="B705" s="27">
        <f t="shared" si="10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IF(AA705="非採用",0,IF(OFFSET(マスタ非採用削除!E$4,統合マスタ!$A705,0)="","",OFFSET(マスタ非採用削除!E$4,統合マスタ!$A705,0)))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/>
      <c r="AB705" s="27" t="str">
        <f ca="1">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</f>
        <v>錠剤</v>
      </c>
      <c r="AC705" s="27" cm="1">
        <f t="array" aca="1" ref="AC705" ca="1">OFFSET(
   INDIRECT("'" &amp; AB705 &amp; "'!A4"),
   MATCH(B705, INDIRECT("'" &amp; AB705 &amp; "'!C5:C1000"), 0),
   MATCH("合計", INDIRECT("'" &amp; AB705 &amp; "'!4:4"), 0) - 1
)</f>
        <v>304</v>
      </c>
    </row>
    <row r="706" spans="1:29">
      <c r="A706" s="40">
        <f>元データ!P703</f>
        <v>602</v>
      </c>
      <c r="B706" s="27">
        <f t="shared" si="10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IF(AA706="非採用",0,IF(OFFSET(マスタ非採用削除!E$4,統合マスタ!$A706,0)="","",OFFSET(マスタ非採用削除!E$4,統合マスタ!$A706,0)))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/>
      <c r="AB706" s="27" t="str">
        <f ca="1">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</f>
        <v>錠剤</v>
      </c>
      <c r="AC706" s="27" cm="1">
        <f t="array" aca="1" ref="AC706" ca="1">OFFSET(
   INDIRECT("'" &amp; AB706 &amp; "'!A4"),
   MATCH(B706, INDIRECT("'" &amp; AB706 &amp; "'!C5:C1000"), 0),
   MATCH("合計", INDIRECT("'" &amp; AB706 &amp; "'!4:4"), 0) - 1
)</f>
        <v>305</v>
      </c>
    </row>
    <row r="707" spans="1:29">
      <c r="A707" s="40">
        <f>元データ!P704</f>
        <v>606</v>
      </c>
      <c r="B707" s="27">
        <f t="shared" si="10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IF(AA707="非採用",0,IF(OFFSET(マスタ非採用削除!E$4,統合マスタ!$A707,0)="","",OFFSET(マスタ非採用削除!E$4,統合マスタ!$A707,0)))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/>
      <c r="AB707" s="27" t="str">
        <f ca="1">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</f>
        <v>錠剤</v>
      </c>
      <c r="AC707" s="27" cm="1">
        <f t="array" aca="1" ref="AC707" ca="1">OFFSET(
   INDIRECT("'" &amp; AB707 &amp; "'!A4"),
   MATCH(B707, INDIRECT("'" &amp; AB707 &amp; "'!C5:C1000"), 0),
   MATCH("合計", INDIRECT("'" &amp; AB707 &amp; "'!4:4"), 0) - 1
)</f>
        <v>306</v>
      </c>
    </row>
    <row r="708" spans="1:29">
      <c r="A708" s="40">
        <f>元データ!P705</f>
        <v>606</v>
      </c>
      <c r="B708" s="27">
        <f t="shared" si="10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IF(AA708="非採用",0,IF(OFFSET(マスタ非採用削除!E$4,統合マスタ!$A708,0)="","",OFFSET(マスタ非採用削除!E$4,統合マスタ!$A708,0)))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/>
      <c r="AB708" s="27" t="str">
        <f ca="1">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</f>
        <v>錠剤</v>
      </c>
      <c r="AC708" s="27" cm="1">
        <f t="array" aca="1" ref="AC708" ca="1">OFFSET(
   INDIRECT("'" &amp; AB708 &amp; "'!A4"),
   MATCH(B708, INDIRECT("'" &amp; AB708 &amp; "'!C5:C1000"), 0),
   MATCH("合計", INDIRECT("'" &amp; AB708 &amp; "'!4:4"), 0) - 1
)</f>
        <v>307</v>
      </c>
    </row>
    <row r="709" spans="1:29">
      <c r="A709" s="40">
        <f>元データ!P706</f>
        <v>607</v>
      </c>
      <c r="B709" s="27">
        <f t="shared" si="10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IF(AA709="非採用",0,IF(OFFSET(マスタ非採用削除!E$4,統合マスタ!$A709,0)="","",OFFSET(マスタ非採用削除!E$4,統合マスタ!$A709,0)))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/>
      <c r="AB709" s="27" t="str">
        <f ca="1">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</f>
        <v>錠剤</v>
      </c>
      <c r="AC709" s="27" cm="1">
        <f t="array" aca="1" ref="AC709" ca="1">OFFSET(
   INDIRECT("'" &amp; AB709 &amp; "'!A4"),
   MATCH(B709, INDIRECT("'" &amp; AB709 &amp; "'!C5:C1000"), 0),
   MATCH("合計", INDIRECT("'" &amp; AB709 &amp; "'!4:4"), 0) - 1
)</f>
        <v>308</v>
      </c>
    </row>
    <row r="710" spans="1:29">
      <c r="A710" s="40">
        <f>元データ!P707</f>
        <v>607</v>
      </c>
      <c r="B710" s="27">
        <f t="shared" si="10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IF(AA710="非採用",0,IF(OFFSET(マスタ非採用削除!E$4,統合マスタ!$A710,0)="","",OFFSET(マスタ非採用削除!E$4,統合マスタ!$A710,0)))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/>
      <c r="AB710" s="27" t="str">
        <f ca="1">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</f>
        <v>錠剤</v>
      </c>
      <c r="AC710" s="27" cm="1">
        <f t="array" aca="1" ref="AC710" ca="1">OFFSET(
   INDIRECT("'" &amp; AB710 &amp; "'!A4"),
   MATCH(B710, INDIRECT("'" &amp; AB710 &amp; "'!C5:C1000"), 0),
   MATCH("合計", INDIRECT("'" &amp; AB710 &amp; "'!4:4"), 0) - 1
)</f>
        <v>309</v>
      </c>
    </row>
    <row r="711" spans="1:29">
      <c r="A711" s="40">
        <f>元データ!P708</f>
        <v>604</v>
      </c>
      <c r="B711" s="27">
        <f t="shared" ref="B711:B774" si="11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IF(AA711="非採用",0,IF(OFFSET(マスタ非採用削除!E$4,統合マスタ!$A711,0)="","",OFFSET(マスタ非採用削除!E$4,統合マスタ!$A711,0)))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  <c r="AB711" s="27" t="str">
        <f ca="1">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</f>
        <v>無し</v>
      </c>
      <c r="AC711" s="27" t="e" cm="1">
        <f t="array" aca="1" ref="AC711" ca="1">OFFSET(
   INDIRECT("'" &amp; AB711 &amp; "'!A4"),
   MATCH(B711, INDIRECT("'" &amp; AB711 &amp; "'!C5:C1000"), 0),
   MATCH("合計", INDIRECT("'" &amp; AB711 &amp; "'!4:4"), 0) - 1
)</f>
        <v>#REF!</v>
      </c>
    </row>
    <row r="712" spans="1:29">
      <c r="A712" s="40">
        <f>元データ!P709</f>
        <v>605</v>
      </c>
      <c r="B712" s="27">
        <f t="shared" si="11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IF(AA712="非採用",0,IF(OFFSET(マスタ非採用削除!E$4,統合マスタ!$A712,0)="","",OFFSET(マスタ非採用削除!E$4,統合マスタ!$A712,0)))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  <c r="AB712" s="27" t="str">
        <f ca="1">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</f>
        <v>無し</v>
      </c>
      <c r="AC712" s="27" t="e" cm="1">
        <f t="array" aca="1" ref="AC712" ca="1">OFFSET(
   INDIRECT("'" &amp; AB712 &amp; "'!A4"),
   MATCH(B712, INDIRECT("'" &amp; AB712 &amp; "'!C5:C1000"), 0),
   MATCH("合計", INDIRECT("'" &amp; AB712 &amp; "'!4:4"), 0) - 1
)</f>
        <v>#REF!</v>
      </c>
    </row>
    <row r="713" spans="1:29">
      <c r="A713" s="40">
        <f>元データ!P710</f>
        <v>603</v>
      </c>
      <c r="B713" s="27">
        <f t="shared" si="11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IF(AA713="非採用",0,IF(OFFSET(マスタ非採用削除!E$4,統合マスタ!$A713,0)="","",OFFSET(マスタ非採用削除!E$4,統合マスタ!$A713,0)))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  <c r="AB713" s="27" t="str">
        <f ca="1">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</f>
        <v>無し</v>
      </c>
      <c r="AC713" s="27" t="e" cm="1">
        <f t="array" aca="1" ref="AC713" ca="1">OFFSET(
   INDIRECT("'" &amp; AB713 &amp; "'!A4"),
   MATCH(B713, INDIRECT("'" &amp; AB713 &amp; "'!C5:C1000"), 0),
   MATCH("合計", INDIRECT("'" &amp; AB713 &amp; "'!4:4"), 0) - 1
)</f>
        <v>#REF!</v>
      </c>
    </row>
    <row r="714" spans="1:29">
      <c r="A714" s="40">
        <f>元データ!P711</f>
        <v>614</v>
      </c>
      <c r="B714" s="27">
        <f t="shared" si="11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IF(AA714="非採用",0,IF(OFFSET(マスタ非採用削除!E$4,統合マスタ!$A714,0)="","",OFFSET(マスタ非採用削除!E$4,統合マスタ!$A714,0)))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/>
      <c r="AB714" s="27" t="str">
        <f ca="1">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</f>
        <v>錠剤</v>
      </c>
      <c r="AC714" s="27" cm="1">
        <f t="array" aca="1" ref="AC714" ca="1">OFFSET(
   INDIRECT("'" &amp; AB714 &amp; "'!A4"),
   MATCH(B714, INDIRECT("'" &amp; AB714 &amp; "'!C5:C1000"), 0),
   MATCH("合計", INDIRECT("'" &amp; AB714 &amp; "'!4:4"), 0) - 1
)</f>
        <v>310</v>
      </c>
    </row>
    <row r="715" spans="1:29">
      <c r="A715" s="40">
        <f>元データ!P712</f>
        <v>614</v>
      </c>
      <c r="B715" s="27">
        <f t="shared" si="11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IF(AA715="非採用",0,IF(OFFSET(マスタ非採用削除!E$4,統合マスタ!$A715,0)="","",OFFSET(マスタ非採用削除!E$4,統合マスタ!$A715,0)))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/>
      <c r="AB715" s="27" t="str">
        <f ca="1">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</f>
        <v>錠剤</v>
      </c>
      <c r="AC715" s="27" cm="1">
        <f t="array" aca="1" ref="AC715" ca="1">OFFSET(
   INDIRECT("'" &amp; AB715 &amp; "'!A4"),
   MATCH(B715, INDIRECT("'" &amp; AB715 &amp; "'!C5:C1000"), 0),
   MATCH("合計", INDIRECT("'" &amp; AB715 &amp; "'!4:4"), 0) - 1
)</f>
        <v>311</v>
      </c>
    </row>
    <row r="716" spans="1:29">
      <c r="A716" s="40">
        <f>元データ!P713</f>
        <v>615</v>
      </c>
      <c r="B716" s="27">
        <f t="shared" si="11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IF(AA716="非採用",0,IF(OFFSET(マスタ非採用削除!E$4,統合マスタ!$A716,0)="","",OFFSET(マスタ非採用削除!E$4,統合マスタ!$A716,0)))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/>
      <c r="AB716" s="27" t="str">
        <f ca="1">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</f>
        <v>錠剤</v>
      </c>
      <c r="AC716" s="27" cm="1">
        <f t="array" aca="1" ref="AC716" ca="1">OFFSET(
   INDIRECT("'" &amp; AB716 &amp; "'!A4"),
   MATCH(B716, INDIRECT("'" &amp; AB716 &amp; "'!C5:C1000"), 0),
   MATCH("合計", INDIRECT("'" &amp; AB716 &amp; "'!4:4"), 0) - 1
)</f>
        <v>312</v>
      </c>
    </row>
    <row r="717" spans="1:29">
      <c r="A717" s="40">
        <f>元データ!P714</f>
        <v>615</v>
      </c>
      <c r="B717" s="27">
        <f t="shared" si="11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IF(AA717="非採用",0,IF(OFFSET(マスタ非採用削除!E$4,統合マスタ!$A717,0)="","",OFFSET(マスタ非採用削除!E$4,統合マスタ!$A717,0)))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/>
      <c r="AB717" s="27" t="str">
        <f ca="1">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</f>
        <v>錠剤</v>
      </c>
      <c r="AC717" s="27" cm="1">
        <f t="array" aca="1" ref="AC717" ca="1">OFFSET(
   INDIRECT("'" &amp; AB717 &amp; "'!A4"),
   MATCH(B717, INDIRECT("'" &amp; AB717 &amp; "'!C5:C1000"), 0),
   MATCH("合計", INDIRECT("'" &amp; AB717 &amp; "'!4:4"), 0) - 1
)</f>
        <v>313</v>
      </c>
    </row>
    <row r="718" spans="1:29">
      <c r="A718" s="40">
        <f>元データ!P715</f>
        <v>616</v>
      </c>
      <c r="B718" s="27">
        <f t="shared" si="11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IF(AA718="非採用",0,IF(OFFSET(マスタ非採用削除!E$4,統合マスタ!$A718,0)="","",OFFSET(マスタ非採用削除!E$4,統合マスタ!$A718,0)))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/>
      <c r="AB718" s="27" t="str">
        <f ca="1">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</f>
        <v>錠剤</v>
      </c>
      <c r="AC718" s="27" cm="1">
        <f t="array" aca="1" ref="AC718" ca="1">OFFSET(
   INDIRECT("'" &amp; AB718 &amp; "'!A4"),
   MATCH(B718, INDIRECT("'" &amp; AB718 &amp; "'!C5:C1000"), 0),
   MATCH("合計", INDIRECT("'" &amp; AB718 &amp; "'!4:4"), 0) - 1
)</f>
        <v>314</v>
      </c>
    </row>
    <row r="719" spans="1:29">
      <c r="A719" s="40">
        <f>元データ!P716</f>
        <v>616</v>
      </c>
      <c r="B719" s="27">
        <f t="shared" si="11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IF(AA719="非採用",0,IF(OFFSET(マスタ非採用削除!E$4,統合マスタ!$A719,0)="","",OFFSET(マスタ非採用削除!E$4,統合マスタ!$A719,0)))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/>
      <c r="AB719" s="27" t="str">
        <f ca="1">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</f>
        <v>錠剤</v>
      </c>
      <c r="AC719" s="27" cm="1">
        <f t="array" aca="1" ref="AC719" ca="1">OFFSET(
   INDIRECT("'" &amp; AB719 &amp; "'!A4"),
   MATCH(B719, INDIRECT("'" &amp; AB719 &amp; "'!C5:C1000"), 0),
   MATCH("合計", INDIRECT("'" &amp; AB719 &amp; "'!4:4"), 0) - 1
)</f>
        <v>315</v>
      </c>
    </row>
    <row r="720" spans="1:29">
      <c r="A720" s="40">
        <f>元データ!P717</f>
        <v>617</v>
      </c>
      <c r="B720" s="27">
        <f t="shared" si="11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IF(AA720="非採用",0,IF(OFFSET(マスタ非採用削除!E$4,統合マスタ!$A720,0)="","",OFFSET(マスタ非採用削除!E$4,統合マスタ!$A720,0)))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/>
      <c r="AB720" s="27" t="str">
        <f ca="1">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</f>
        <v>錠剤</v>
      </c>
      <c r="AC720" s="27" cm="1">
        <f t="array" aca="1" ref="AC720" ca="1">OFFSET(
   INDIRECT("'" &amp; AB720 &amp; "'!A4"),
   MATCH(B720, INDIRECT("'" &amp; AB720 &amp; "'!C5:C1000"), 0),
   MATCH("合計", INDIRECT("'" &amp; AB720 &amp; "'!4:4"), 0) - 1
)</f>
        <v>316</v>
      </c>
    </row>
    <row r="721" spans="1:29">
      <c r="A721" s="40">
        <f>元データ!P718</f>
        <v>617</v>
      </c>
      <c r="B721" s="27">
        <f t="shared" si="11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IF(AA721="非採用",0,IF(OFFSET(マスタ非採用削除!E$4,統合マスタ!$A721,0)="","",OFFSET(マスタ非採用削除!E$4,統合マスタ!$A721,0)))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/>
      <c r="AB721" s="27" t="str">
        <f ca="1">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</f>
        <v>錠剤</v>
      </c>
      <c r="AC721" s="27" cm="1">
        <f t="array" aca="1" ref="AC721" ca="1">OFFSET(
   INDIRECT("'" &amp; AB721 &amp; "'!A4"),
   MATCH(B721, INDIRECT("'" &amp; AB721 &amp; "'!C5:C1000"), 0),
   MATCH("合計", INDIRECT("'" &amp; AB721 &amp; "'!4:4"), 0) - 1
)</f>
        <v>317</v>
      </c>
    </row>
    <row r="722" spans="1:29">
      <c r="A722" s="40" t="str">
        <f>元データ!P719</f>
        <v>非採用</v>
      </c>
      <c r="B722" s="27">
        <f t="shared" si="11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IF(AA722="非採用",0,IF(OFFSET(マスタ非採用削除!E$4,統合マスタ!$A722,0)="","",OFFSET(マスタ非採用削除!E$4,統合マスタ!$A722,0)))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4068</v>
      </c>
      <c r="AB722" s="27" t="str">
        <f ca="1">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</f>
        <v>無し</v>
      </c>
      <c r="AC722" s="27" t="e" cm="1">
        <f t="array" aca="1" ref="AC722" ca="1">OFFSET(
   INDIRECT("'" &amp; AB722 &amp; "'!A4"),
   MATCH(B722, INDIRECT("'" &amp; AB722 &amp; "'!C5:C1000"), 0),
   MATCH("合計", INDIRECT("'" &amp; AB722 &amp; "'!4:4"), 0) - 1
)</f>
        <v>#REF!</v>
      </c>
    </row>
    <row r="723" spans="1:29">
      <c r="A723" s="40">
        <f>元データ!P720</f>
        <v>614</v>
      </c>
      <c r="B723" s="27">
        <f t="shared" si="11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IF(AA723="非採用",0,IF(OFFSET(マスタ非採用削除!E$4,統合マスタ!$A723,0)="","",OFFSET(マスタ非採用削除!E$4,統合マスタ!$A723,0)))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/>
      <c r="AB723" s="27" t="str">
        <f ca="1">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</f>
        <v>錠剤</v>
      </c>
      <c r="AC723" s="27" cm="1">
        <f t="array" aca="1" ref="AC723" ca="1">OFFSET(
   INDIRECT("'" &amp; AB723 &amp; "'!A4"),
   MATCH(B723, INDIRECT("'" &amp; AB723 &amp; "'!C5:C1000"), 0),
   MATCH("合計", INDIRECT("'" &amp; AB723 &amp; "'!4:4"), 0) - 1
)</f>
        <v>318</v>
      </c>
    </row>
    <row r="724" spans="1:29">
      <c r="A724" s="40">
        <f>元データ!P721</f>
        <v>615</v>
      </c>
      <c r="B724" s="27">
        <f t="shared" si="11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IF(AA724="非採用",0,IF(OFFSET(マスタ非採用削除!E$4,統合マスタ!$A724,0)="","",OFFSET(マスタ非採用削除!E$4,統合マスタ!$A724,0)))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/>
      <c r="AB724" s="27" t="str">
        <f ca="1">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</f>
        <v>錠剤</v>
      </c>
      <c r="AC724" s="27" cm="1">
        <f t="array" aca="1" ref="AC724" ca="1">OFFSET(
   INDIRECT("'" &amp; AB724 &amp; "'!A4"),
   MATCH(B724, INDIRECT("'" &amp; AB724 &amp; "'!C5:C1000"), 0),
   MATCH("合計", INDIRECT("'" &amp; AB724 &amp; "'!4:4"), 0) - 1
)</f>
        <v>319</v>
      </c>
    </row>
    <row r="725" spans="1:29">
      <c r="A725" s="40">
        <f>元データ!P722</f>
        <v>612</v>
      </c>
      <c r="B725" s="27">
        <f t="shared" si="11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IF(AA725="非採用",0,IF(OFFSET(マスタ非採用削除!E$4,統合マスタ!$A725,0)="","",OFFSET(マスタ非採用削除!E$4,統合マスタ!$A725,0)))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  <c r="AB725" s="27" t="str">
        <f ca="1">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</f>
        <v>無し</v>
      </c>
      <c r="AC725" s="27" t="e" cm="1">
        <f t="array" aca="1" ref="AC725" ca="1">OFFSET(
   INDIRECT("'" &amp; AB725 &amp; "'!A4"),
   MATCH(B725, INDIRECT("'" &amp; AB725 &amp; "'!C5:C1000"), 0),
   MATCH("合計", INDIRECT("'" &amp; AB725 &amp; "'!4:4"), 0) - 1
)</f>
        <v>#REF!</v>
      </c>
    </row>
    <row r="726" spans="1:29">
      <c r="A726" s="40">
        <f>元データ!P723</f>
        <v>613</v>
      </c>
      <c r="B726" s="27">
        <f t="shared" si="11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IF(AA726="非採用",0,IF(OFFSET(マスタ非採用削除!E$4,統合マスタ!$A726,0)="","",OFFSET(マスタ非採用削除!E$4,統合マスタ!$A726,0)))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  <c r="AB726" s="27" t="str">
        <f ca="1">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</f>
        <v>無し</v>
      </c>
      <c r="AC726" s="27" t="e" cm="1">
        <f t="array" aca="1" ref="AC726" ca="1">OFFSET(
   INDIRECT("'" &amp; AB726 &amp; "'!A4"),
   MATCH(B726, INDIRECT("'" &amp; AB726 &amp; "'!C5:C1000"), 0),
   MATCH("合計", INDIRECT("'" &amp; AB726 &amp; "'!4:4"), 0) - 1
)</f>
        <v>#REF!</v>
      </c>
    </row>
    <row r="727" spans="1:29">
      <c r="A727" s="40">
        <f>元データ!P724</f>
        <v>618</v>
      </c>
      <c r="B727" s="27">
        <f t="shared" si="11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IF(AA727="非採用",0,IF(OFFSET(マスタ非採用削除!E$4,統合マスタ!$A727,0)="","",OFFSET(マスタ非採用削除!E$4,統合マスタ!$A727,0)))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/>
      <c r="AB727" s="27" t="str">
        <f ca="1">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</f>
        <v>錠剤</v>
      </c>
      <c r="AC727" s="27" cm="1">
        <f t="array" aca="1" ref="AC727" ca="1">OFFSET(
   INDIRECT("'" &amp; AB727 &amp; "'!A4"),
   MATCH(B727, INDIRECT("'" &amp; AB727 &amp; "'!C5:C1000"), 0),
   MATCH("合計", INDIRECT("'" &amp; AB727 &amp; "'!4:4"), 0) - 1
)</f>
        <v>320</v>
      </c>
    </row>
    <row r="728" spans="1:29">
      <c r="A728" s="40">
        <f>元データ!P725</f>
        <v>620</v>
      </c>
      <c r="B728" s="27">
        <f t="shared" si="11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IF(AA728="非採用",0,IF(OFFSET(マスタ非採用削除!E$4,統合マスタ!$A728,0)="","",OFFSET(マスタ非採用削除!E$4,統合マスタ!$A728,0)))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  <c r="AB728" s="27" t="str">
        <f ca="1">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</f>
        <v>臨時</v>
      </c>
      <c r="AC728" s="27" cm="1">
        <f t="array" aca="1" ref="AC728" ca="1">OFFSET(
   INDIRECT("'" &amp; AB728 &amp; "'!A4"),
   MATCH(B728, INDIRECT("'" &amp; AB728 &amp; "'!C5:C1000"), 0),
   MATCH("合計", INDIRECT("'" &amp; AB728 &amp; "'!4:4"), 0) - 1
)</f>
        <v>0</v>
      </c>
    </row>
    <row r="729" spans="1:29">
      <c r="A729" s="40">
        <f>元データ!P726</f>
        <v>625</v>
      </c>
      <c r="B729" s="27">
        <f t="shared" si="11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IF(AA729="非採用",0,IF(OFFSET(マスタ非採用削除!E$4,統合マスタ!$A729,0)="","",OFFSET(マスタ非採用削除!E$4,統合マスタ!$A729,0)))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  <c r="AB729" s="27" t="str">
        <f ca="1">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</f>
        <v>錠剤</v>
      </c>
      <c r="AC729" s="27" cm="1">
        <f t="array" aca="1" ref="AC729" ca="1">OFFSET(
   INDIRECT("'" &amp; AB729 &amp; "'!A4"),
   MATCH(B729, INDIRECT("'" &amp; AB729 &amp; "'!C5:C1000"), 0),
   MATCH("合計", INDIRECT("'" &amp; AB729 &amp; "'!4:4"), 0) - 1
)</f>
        <v>321</v>
      </c>
    </row>
    <row r="730" spans="1:29">
      <c r="A730" s="40">
        <f>元データ!P727</f>
        <v>623</v>
      </c>
      <c r="B730" s="27">
        <f t="shared" si="11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IF(AA730="非採用",0,IF(OFFSET(マスタ非採用削除!E$4,統合マスタ!$A730,0)="","",OFFSET(マスタ非採用削除!E$4,統合マスタ!$A730,0)))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  <c r="AB730" s="27" t="str">
        <f ca="1">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</f>
        <v>外用剤</v>
      </c>
      <c r="AC730" s="27" t="e" cm="1">
        <f t="array" aca="1" ref="AC730" ca="1">OFFSET(
   INDIRECT("'" &amp; AB730 &amp; "'!A4"),
   MATCH(B730, INDIRECT("'" &amp; AB730 &amp; "'!C5:C1000"), 0),
   MATCH("合計", INDIRECT("'" &amp; AB730 &amp; "'!4:4"), 0) - 1
)</f>
        <v>#REF!</v>
      </c>
    </row>
    <row r="731" spans="1:29">
      <c r="A731" s="40">
        <f>元データ!P728</f>
        <v>624</v>
      </c>
      <c r="B731" s="27">
        <f t="shared" si="11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IF(AA731="非採用",0,IF(OFFSET(マスタ非採用削除!E$4,統合マスタ!$A731,0)="","",OFFSET(マスタ非採用削除!E$4,統合マスタ!$A731,0)))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  <c r="AB731" s="27" t="str">
        <f ca="1">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</f>
        <v>外用剤</v>
      </c>
      <c r="AC731" s="27" t="e" cm="1">
        <f t="array" aca="1" ref="AC731" ca="1">OFFSET(
   INDIRECT("'" &amp; AB731 &amp; "'!A4"),
   MATCH(B731, INDIRECT("'" &amp; AB731 &amp; "'!C5:C1000"), 0),
   MATCH("合計", INDIRECT("'" &amp; AB731 &amp; "'!4:4"), 0) - 1
)</f>
        <v>#REF!</v>
      </c>
    </row>
    <row r="732" spans="1:29">
      <c r="A732" s="40">
        <f>元データ!P729</f>
        <v>621</v>
      </c>
      <c r="B732" s="27">
        <f t="shared" si="11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IF(AA732="非採用",0,IF(OFFSET(マスタ非採用削除!E$4,統合マスタ!$A732,0)="","",OFFSET(マスタ非採用削除!E$4,統合マスタ!$A732,0)))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  <c r="AB732" s="27" t="str">
        <f ca="1">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</f>
        <v>外用剤</v>
      </c>
      <c r="AC732" s="27" t="e" cm="1">
        <f t="array" aca="1" ref="AC732" ca="1">OFFSET(
   INDIRECT("'" &amp; AB732 &amp; "'!A4"),
   MATCH(B732, INDIRECT("'" &amp; AB732 &amp; "'!C5:C1000"), 0),
   MATCH("合計", INDIRECT("'" &amp; AB732 &amp; "'!4:4"), 0) - 1
)</f>
        <v>#REF!</v>
      </c>
    </row>
    <row r="733" spans="1:29">
      <c r="A733" s="40">
        <f>元データ!P730</f>
        <v>622</v>
      </c>
      <c r="B733" s="27">
        <f t="shared" si="11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IF(AA733="非採用",0,IF(OFFSET(マスタ非採用削除!E$4,統合マスタ!$A733,0)="","",OFFSET(マスタ非採用削除!E$4,統合マスタ!$A733,0)))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  <c r="AB733" s="27" t="str">
        <f ca="1">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</f>
        <v>外用剤</v>
      </c>
      <c r="AC733" s="27" t="e" cm="1">
        <f t="array" aca="1" ref="AC733" ca="1">OFFSET(
   INDIRECT("'" &amp; AB733 &amp; "'!A4"),
   MATCH(B733, INDIRECT("'" &amp; AB733 &amp; "'!C5:C1000"), 0),
   MATCH("合計", INDIRECT("'" &amp; AB733 &amp; "'!4:4"), 0) - 1
)</f>
        <v>#REF!</v>
      </c>
    </row>
    <row r="734" spans="1:29">
      <c r="A734" s="40" t="str">
        <f>元データ!P731</f>
        <v>非採用</v>
      </c>
      <c r="B734" s="27">
        <f t="shared" si="11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IF(AA734="非採用",0,IF(OFFSET(マスタ非採用削除!E$4,統合マスタ!$A734,0)="","",OFFSET(マスタ非採用削除!E$4,統合マスタ!$A734,0)))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4068</v>
      </c>
      <c r="AB734" s="27" t="str">
        <f ca="1">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</f>
        <v>無し</v>
      </c>
      <c r="AC734" s="27" t="e" cm="1">
        <f t="array" aca="1" ref="AC734" ca="1">OFFSET(
   INDIRECT("'" &amp; AB734 &amp; "'!A4"),
   MATCH(B734, INDIRECT("'" &amp; AB734 &amp; "'!C5:C1000"), 0),
   MATCH("合計", INDIRECT("'" &amp; AB734 &amp; "'!4:4"), 0) - 1
)</f>
        <v>#REF!</v>
      </c>
    </row>
    <row r="735" spans="1:29">
      <c r="A735" s="40">
        <f>元データ!P732</f>
        <v>626</v>
      </c>
      <c r="B735" s="27">
        <f t="shared" si="11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IF(AA735="非採用",0,IF(OFFSET(マスタ非採用削除!E$4,統合マスタ!$A735,0)="","",OFFSET(マスタ非採用削除!E$4,統合マスタ!$A735,0)))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/>
      <c r="AB735" s="27" t="str">
        <f ca="1">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</f>
        <v>錠剤</v>
      </c>
      <c r="AC735" s="27" cm="1">
        <f t="array" aca="1" ref="AC735" ca="1">OFFSET(
   INDIRECT("'" &amp; AB735 &amp; "'!A4"),
   MATCH(B735, INDIRECT("'" &amp; AB735 &amp; "'!C5:C1000"), 0),
   MATCH("合計", INDIRECT("'" &amp; AB735 &amp; "'!4:4"), 0) - 1
)</f>
        <v>322</v>
      </c>
    </row>
    <row r="736" spans="1:29">
      <c r="A736" s="40">
        <f>元データ!P733</f>
        <v>626</v>
      </c>
      <c r="B736" s="27">
        <f t="shared" si="11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IF(AA736="非採用",0,IF(OFFSET(マスタ非採用削除!E$4,統合マスタ!$A736,0)="","",OFFSET(マスタ非採用削除!E$4,統合マスタ!$A736,0)))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/>
      <c r="AB736" s="27" t="str">
        <f ca="1">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</f>
        <v>錠剤</v>
      </c>
      <c r="AC736" s="27" cm="1">
        <f t="array" aca="1" ref="AC736" ca="1">OFFSET(
   INDIRECT("'" &amp; AB736 &amp; "'!A4"),
   MATCH(B736, INDIRECT("'" &amp; AB736 &amp; "'!C5:C1000"), 0),
   MATCH("合計", INDIRECT("'" &amp; AB736 &amp; "'!4:4"), 0) - 1
)</f>
        <v>323</v>
      </c>
    </row>
    <row r="737" spans="1:29">
      <c r="A737" s="40">
        <f>元データ!P734</f>
        <v>627</v>
      </c>
      <c r="B737" s="27">
        <f t="shared" si="11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IF(AA737="非採用",0,IF(OFFSET(マスタ非採用削除!E$4,統合マスタ!$A737,0)="","",OFFSET(マスタ非採用削除!E$4,統合マスタ!$A737,0)))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/>
      <c r="AB737" s="27" t="str">
        <f ca="1">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</f>
        <v>錠剤</v>
      </c>
      <c r="AC737" s="27" cm="1">
        <f t="array" aca="1" ref="AC737" ca="1">OFFSET(
   INDIRECT("'" &amp; AB737 &amp; "'!A4"),
   MATCH(B737, INDIRECT("'" &amp; AB737 &amp; "'!C5:C1000"), 0),
   MATCH("合計", INDIRECT("'" &amp; AB737 &amp; "'!4:4"), 0) - 1
)</f>
        <v>324</v>
      </c>
    </row>
    <row r="738" spans="1:29">
      <c r="A738" s="40">
        <f>元データ!P735</f>
        <v>627</v>
      </c>
      <c r="B738" s="27">
        <f t="shared" si="11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IF(AA738="非採用",0,IF(OFFSET(マスタ非採用削除!E$4,統合マスタ!$A738,0)="","",OFFSET(マスタ非採用削除!E$4,統合マスタ!$A738,0)))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/>
      <c r="AB738" s="27" t="str">
        <f ca="1">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</f>
        <v>錠剤</v>
      </c>
      <c r="AC738" s="27" cm="1">
        <f t="array" aca="1" ref="AC738" ca="1">OFFSET(
   INDIRECT("'" &amp; AB738 &amp; "'!A4"),
   MATCH(B738, INDIRECT("'" &amp; AB738 &amp; "'!C5:C1000"), 0),
   MATCH("合計", INDIRECT("'" &amp; AB738 &amp; "'!4:4"), 0) - 1
)</f>
        <v>325</v>
      </c>
    </row>
    <row r="739" spans="1:29">
      <c r="A739" s="40">
        <f>元データ!P736</f>
        <v>628</v>
      </c>
      <c r="B739" s="27">
        <f t="shared" si="11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IF(AA739="非採用",0,IF(OFFSET(マスタ非採用削除!E$4,統合マスタ!$A739,0)="","",OFFSET(マスタ非採用削除!E$4,統合マスタ!$A739,0)))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  <c r="AB739" s="27" t="str">
        <f ca="1">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</f>
        <v>臨時</v>
      </c>
      <c r="AC739" s="27" cm="1">
        <f t="array" aca="1" ref="AC739" ca="1">OFFSET(
   INDIRECT("'" &amp; AB739 &amp; "'!A4"),
   MATCH(B739, INDIRECT("'" &amp; AB739 &amp; "'!C5:C1000"), 0),
   MATCH("合計", INDIRECT("'" &amp; AB739 &amp; "'!4:4"), 0) - 1
)</f>
        <v>0</v>
      </c>
    </row>
    <row r="740" spans="1:29">
      <c r="A740" s="40">
        <f>元データ!P737</f>
        <v>629</v>
      </c>
      <c r="B740" s="27">
        <f t="shared" si="11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IF(AA740="非採用",0,IF(OFFSET(マスタ非採用削除!E$4,統合マスタ!$A740,0)="","",OFFSET(マスタ非採用削除!E$4,統合マスタ!$A740,0)))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/>
      <c r="AB740" s="27" t="str">
        <f ca="1">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</f>
        <v>錠剤</v>
      </c>
      <c r="AC740" s="27" cm="1">
        <f t="array" aca="1" ref="AC740" ca="1">OFFSET(
   INDIRECT("'" &amp; AB740 &amp; "'!A4"),
   MATCH(B740, INDIRECT("'" &amp; AB740 &amp; "'!C5:C1000"), 0),
   MATCH("合計", INDIRECT("'" &amp; AB740 &amp; "'!4:4"), 0) - 1
)</f>
        <v>326</v>
      </c>
    </row>
    <row r="741" spans="1:29">
      <c r="A741" s="40">
        <f>元データ!P738</f>
        <v>630</v>
      </c>
      <c r="B741" s="27">
        <f t="shared" si="11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IF(AA741="非採用",0,IF(OFFSET(マスタ非採用削除!E$4,統合マスタ!$A741,0)="","",OFFSET(マスタ非採用削除!E$4,統合マスタ!$A741,0)))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  <c r="AB741" s="27" t="str">
        <f ca="1">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</f>
        <v>臨時</v>
      </c>
      <c r="AC741" s="27" cm="1">
        <f t="array" aca="1" ref="AC741" ca="1">OFFSET(
   INDIRECT("'" &amp; AB741 &amp; "'!A4"),
   MATCH(B741, INDIRECT("'" &amp; AB741 &amp; "'!C5:C1000"), 0),
   MATCH("合計", INDIRECT("'" &amp; AB741 &amp; "'!4:4"), 0) - 1
)</f>
        <v>0</v>
      </c>
    </row>
    <row r="742" spans="1:29">
      <c r="A742" s="40">
        <f>元データ!P739</f>
        <v>631</v>
      </c>
      <c r="B742" s="27">
        <f t="shared" si="11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IF(AA742="非採用",0,IF(OFFSET(マスタ非採用削除!E$4,統合マスタ!$A742,0)="","",OFFSET(マスタ非採用削除!E$4,統合マスタ!$A742,0)))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  <c r="AB742" s="27" t="str">
        <f ca="1">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</f>
        <v>臨時</v>
      </c>
      <c r="AC742" s="27" cm="1">
        <f t="array" aca="1" ref="AC742" ca="1">OFFSET(
   INDIRECT("'" &amp; AB742 &amp; "'!A4"),
   MATCH(B742, INDIRECT("'" &amp; AB742 &amp; "'!C5:C1000"), 0),
   MATCH("合計", INDIRECT("'" &amp; AB742 &amp; "'!4:4"), 0) - 1
)</f>
        <v>0</v>
      </c>
    </row>
    <row r="743" spans="1:29">
      <c r="A743" s="40">
        <f>元データ!P740</f>
        <v>632</v>
      </c>
      <c r="B743" s="27">
        <f t="shared" si="11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IF(AA743="非採用",0,IF(OFFSET(マスタ非採用削除!E$4,統合マスタ!$A743,0)="","",OFFSET(マスタ非採用削除!E$4,統合マスタ!$A743,0)))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  <c r="AB743" s="27" t="str">
        <f ca="1">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</f>
        <v>錠剤</v>
      </c>
      <c r="AC743" s="27" cm="1">
        <f t="array" aca="1" ref="AC743" ca="1">OFFSET(
   INDIRECT("'" &amp; AB743 &amp; "'!A4"),
   MATCH(B743, INDIRECT("'" &amp; AB743 &amp; "'!C5:C1000"), 0),
   MATCH("合計", INDIRECT("'" &amp; AB743 &amp; "'!4:4"), 0) - 1
)</f>
        <v>327</v>
      </c>
    </row>
    <row r="744" spans="1:29">
      <c r="A744" s="40">
        <f>元データ!P741</f>
        <v>634</v>
      </c>
      <c r="B744" s="27">
        <f t="shared" si="11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IF(AA744="非採用",0,IF(OFFSET(マスタ非採用削除!E$4,統合マスタ!$A744,0)="","",OFFSET(マスタ非採用削除!E$4,統合マスタ!$A744,0)))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  <c r="AB744" s="27" t="str">
        <f ca="1">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</f>
        <v>外用剤</v>
      </c>
      <c r="AC744" s="27" t="e" cm="1">
        <f t="array" aca="1" ref="AC744" ca="1">OFFSET(
   INDIRECT("'" &amp; AB744 &amp; "'!A4"),
   MATCH(B744, INDIRECT("'" &amp; AB744 &amp; "'!C5:C1000"), 0),
   MATCH("合計", INDIRECT("'" &amp; AB744 &amp; "'!4:4"), 0) - 1
)</f>
        <v>#REF!</v>
      </c>
    </row>
    <row r="745" spans="1:29">
      <c r="A745" s="40">
        <f>元データ!P742</f>
        <v>636</v>
      </c>
      <c r="B745" s="27">
        <f t="shared" si="11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IF(AA745="非採用",0,IF(OFFSET(マスタ非採用削除!E$4,統合マスタ!$A745,0)="","",OFFSET(マスタ非採用削除!E$4,統合マスタ!$A745,0)))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  <c r="AB745" s="27" t="str">
        <f ca="1">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</f>
        <v>臨時</v>
      </c>
      <c r="AC745" s="27" cm="1">
        <f t="array" aca="1" ref="AC745" ca="1">OFFSET(
   INDIRECT("'" &amp; AB745 &amp; "'!A4"),
   MATCH(B745, INDIRECT("'" &amp; AB745 &amp; "'!C5:C1000"), 0),
   MATCH("合計", INDIRECT("'" &amp; AB745 &amp; "'!4:4"), 0) - 1
)</f>
        <v>0</v>
      </c>
    </row>
    <row r="746" spans="1:29">
      <c r="A746" s="40">
        <f>元データ!P743</f>
        <v>633</v>
      </c>
      <c r="B746" s="27">
        <f t="shared" si="11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IF(AA746="非採用",0,IF(OFFSET(マスタ非採用削除!E$4,統合マスタ!$A746,0)="","",OFFSET(マスタ非採用削除!E$4,統合マスタ!$A746,0)))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  <c r="AB746" s="27" t="str">
        <f ca="1">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</f>
        <v>外用剤</v>
      </c>
      <c r="AC746" s="27" t="e" cm="1">
        <f t="array" aca="1" ref="AC746" ca="1">OFFSET(
   INDIRECT("'" &amp; AB746 &amp; "'!A4"),
   MATCH(B746, INDIRECT("'" &amp; AB746 &amp; "'!C5:C1000"), 0),
   MATCH("合計", INDIRECT("'" &amp; AB746 &amp; "'!4:4"), 0) - 1
)</f>
        <v>#REF!</v>
      </c>
    </row>
    <row r="747" spans="1:29">
      <c r="A747" s="40">
        <f>元データ!P744</f>
        <v>637</v>
      </c>
      <c r="B747" s="27">
        <f t="shared" si="11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IF(AA747="非採用",0,IF(OFFSET(マスタ非採用削除!E$4,統合マスタ!$A747,0)="","",OFFSET(マスタ非採用削除!E$4,統合マスタ!$A747,0)))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/>
      <c r="AB747" s="27" t="str">
        <f ca="1">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</f>
        <v>錠剤</v>
      </c>
      <c r="AC747" s="27" cm="1">
        <f t="array" aca="1" ref="AC747" ca="1">OFFSET(
   INDIRECT("'" &amp; AB747 &amp; "'!A4"),
   MATCH(B747, INDIRECT("'" &amp; AB747 &amp; "'!C5:C1000"), 0),
   MATCH("合計", INDIRECT("'" &amp; AB747 &amp; "'!4:4"), 0) - 1
)</f>
        <v>328</v>
      </c>
    </row>
    <row r="748" spans="1:29">
      <c r="A748" s="40">
        <f>元データ!P745</f>
        <v>637</v>
      </c>
      <c r="B748" s="27">
        <f t="shared" si="11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IF(AA748="非採用",0,IF(OFFSET(マスタ非採用削除!E$4,統合マスタ!$A748,0)="","",OFFSET(マスタ非採用削除!E$4,統合マスタ!$A748,0)))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/>
      <c r="AB748" s="27" t="str">
        <f ca="1">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</f>
        <v>錠剤</v>
      </c>
      <c r="AC748" s="27" cm="1">
        <f t="array" aca="1" ref="AC748" ca="1">OFFSET(
   INDIRECT("'" &amp; AB748 &amp; "'!A4"),
   MATCH(B748, INDIRECT("'" &amp; AB748 &amp; "'!C5:C1000"), 0),
   MATCH("合計", INDIRECT("'" &amp; AB748 &amp; "'!4:4"), 0) - 1
)</f>
        <v>329</v>
      </c>
    </row>
    <row r="749" spans="1:29">
      <c r="A749" s="40">
        <f>元データ!P746</f>
        <v>638</v>
      </c>
      <c r="B749" s="27">
        <f t="shared" si="11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IF(AA749="非採用",0,IF(OFFSET(マスタ非採用削除!E$4,統合マスタ!$A749,0)="","",OFFSET(マスタ非採用削除!E$4,統合マスタ!$A749,0)))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/>
      <c r="AB749" s="27" t="str">
        <f ca="1">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</f>
        <v>錠剤</v>
      </c>
      <c r="AC749" s="27" cm="1">
        <f t="array" aca="1" ref="AC749" ca="1">OFFSET(
   INDIRECT("'" &amp; AB749 &amp; "'!A4"),
   MATCH(B749, INDIRECT("'" &amp; AB749 &amp; "'!C5:C1000"), 0),
   MATCH("合計", INDIRECT("'" &amp; AB749 &amp; "'!4:4"), 0) - 1
)</f>
        <v>330</v>
      </c>
    </row>
    <row r="750" spans="1:29">
      <c r="A750" s="40">
        <f>元データ!P747</f>
        <v>638</v>
      </c>
      <c r="B750" s="27">
        <f t="shared" si="11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IF(AA750="非採用",0,IF(OFFSET(マスタ非採用削除!E$4,統合マスタ!$A750,0)="","",OFFSET(マスタ非採用削除!E$4,統合マスタ!$A750,0)))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/>
      <c r="AB750" s="27" t="str">
        <f ca="1">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</f>
        <v>錠剤</v>
      </c>
      <c r="AC750" s="27" cm="1">
        <f t="array" aca="1" ref="AC750" ca="1">OFFSET(
   INDIRECT("'" &amp; AB750 &amp; "'!A4"),
   MATCH(B750, INDIRECT("'" &amp; AB750 &amp; "'!C5:C1000"), 0),
   MATCH("合計", INDIRECT("'" &amp; AB750 &amp; "'!4:4"), 0) - 1
)</f>
        <v>331</v>
      </c>
    </row>
    <row r="751" spans="1:29">
      <c r="A751" s="40">
        <f>元データ!P748</f>
        <v>641</v>
      </c>
      <c r="B751" s="27">
        <f t="shared" si="11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IF(AA751="非採用",0,IF(OFFSET(マスタ非採用削除!E$4,統合マスタ!$A751,0)="","",OFFSET(マスタ非採用削除!E$4,統合マスタ!$A751,0)))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/>
      <c r="AB751" s="27" t="str">
        <f ca="1">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</f>
        <v>錠剤</v>
      </c>
      <c r="AC751" s="27" cm="1">
        <f t="array" aca="1" ref="AC751" ca="1">OFFSET(
   INDIRECT("'" &amp; AB751 &amp; "'!A4"),
   MATCH(B751, INDIRECT("'" &amp; AB751 &amp; "'!C5:C1000"), 0),
   MATCH("合計", INDIRECT("'" &amp; AB751 &amp; "'!4:4"), 0) - 1
)</f>
        <v>332</v>
      </c>
    </row>
    <row r="752" spans="1:29">
      <c r="A752" s="40">
        <f>元データ!P749</f>
        <v>641</v>
      </c>
      <c r="B752" s="27">
        <f t="shared" si="11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IF(AA752="非採用",0,IF(OFFSET(マスタ非採用削除!E$4,統合マスタ!$A752,0)="","",OFFSET(マスタ非採用削除!E$4,統合マスタ!$A752,0)))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/>
      <c r="AB752" s="27" t="str">
        <f ca="1">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</f>
        <v>錠剤</v>
      </c>
      <c r="AC752" s="27" cm="1">
        <f t="array" aca="1" ref="AC752" ca="1">OFFSET(
   INDIRECT("'" &amp; AB752 &amp; "'!A4"),
   MATCH(B752, INDIRECT("'" &amp; AB752 &amp; "'!C5:C1000"), 0),
   MATCH("合計", INDIRECT("'" &amp; AB752 &amp; "'!4:4"), 0) - 1
)</f>
        <v>333</v>
      </c>
    </row>
    <row r="753" spans="1:29">
      <c r="A753" s="40">
        <f>元データ!P750</f>
        <v>639</v>
      </c>
      <c r="B753" s="27">
        <f t="shared" si="11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IF(AA753="非採用",0,IF(OFFSET(マスタ非採用削除!E$4,統合マスタ!$A753,0)="","",OFFSET(マスタ非採用削除!E$4,統合マスタ!$A753,0)))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/>
      <c r="AB753" s="27" t="str">
        <f ca="1">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</f>
        <v>錠剤</v>
      </c>
      <c r="AC753" s="27" cm="1">
        <f t="array" aca="1" ref="AC753" ca="1">OFFSET(
   INDIRECT("'" &amp; AB753 &amp; "'!A4"),
   MATCH(B753, INDIRECT("'" &amp; AB753 &amp; "'!C5:C1000"), 0),
   MATCH("合計", INDIRECT("'" &amp; AB753 &amp; "'!4:4"), 0) - 1
)</f>
        <v>334</v>
      </c>
    </row>
    <row r="754" spans="1:29">
      <c r="A754" s="40">
        <f>元データ!P751</f>
        <v>639</v>
      </c>
      <c r="B754" s="27">
        <f t="shared" si="11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IF(AA754="非採用",0,IF(OFFSET(マスタ非採用削除!E$4,統合マスタ!$A754,0)="","",OFFSET(マスタ非採用削除!E$4,統合マスタ!$A754,0)))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/>
      <c r="AB754" s="27" t="str">
        <f ca="1">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</f>
        <v>錠剤</v>
      </c>
      <c r="AC754" s="27" cm="1">
        <f t="array" aca="1" ref="AC754" ca="1">OFFSET(
   INDIRECT("'" &amp; AB754 &amp; "'!A4"),
   MATCH(B754, INDIRECT("'" &amp; AB754 &amp; "'!C5:C1000"), 0),
   MATCH("合計", INDIRECT("'" &amp; AB754 &amp; "'!4:4"), 0) - 1
)</f>
        <v>335</v>
      </c>
    </row>
    <row r="755" spans="1:29">
      <c r="A755" s="40">
        <f>元データ!P752</f>
        <v>640</v>
      </c>
      <c r="B755" s="27">
        <f t="shared" si="11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IF(AA755="非採用",0,IF(OFFSET(マスタ非採用削除!E$4,統合マスタ!$A755,0)="","",OFFSET(マスタ非採用削除!E$4,統合マスタ!$A755,0)))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/>
      <c r="AB755" s="27" t="str">
        <f ca="1">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</f>
        <v>錠剤</v>
      </c>
      <c r="AC755" s="27" cm="1">
        <f t="array" aca="1" ref="AC755" ca="1">OFFSET(
   INDIRECT("'" &amp; AB755 &amp; "'!A4"),
   MATCH(B755, INDIRECT("'" &amp; AB755 &amp; "'!C5:C1000"), 0),
   MATCH("合計", INDIRECT("'" &amp; AB755 &amp; "'!4:4"), 0) - 1
)</f>
        <v>336</v>
      </c>
    </row>
    <row r="756" spans="1:29">
      <c r="A756" s="40">
        <f>元データ!P753</f>
        <v>640</v>
      </c>
      <c r="B756" s="27">
        <f t="shared" si="11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IF(AA756="非採用",0,IF(OFFSET(マスタ非採用削除!E$4,統合マスタ!$A756,0)="","",OFFSET(マスタ非採用削除!E$4,統合マスタ!$A756,0)))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/>
      <c r="AB756" s="27" t="str">
        <f ca="1">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</f>
        <v>錠剤</v>
      </c>
      <c r="AC756" s="27" cm="1">
        <f t="array" aca="1" ref="AC756" ca="1">OFFSET(
   INDIRECT("'" &amp; AB756 &amp; "'!A4"),
   MATCH(B756, INDIRECT("'" &amp; AB756 &amp; "'!C5:C1000"), 0),
   MATCH("合計", INDIRECT("'" &amp; AB756 &amp; "'!4:4"), 0) - 1
)</f>
        <v>337</v>
      </c>
    </row>
    <row r="757" spans="1:29">
      <c r="A757" s="40">
        <f>元データ!P754</f>
        <v>642</v>
      </c>
      <c r="B757" s="27">
        <f t="shared" si="11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IF(AA757="非採用",0,IF(OFFSET(マスタ非採用削除!E$4,統合マスタ!$A757,0)="","",OFFSET(マスタ非採用削除!E$4,統合マスタ!$A757,0)))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/>
      <c r="AB757" s="27" t="str">
        <f ca="1">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</f>
        <v>錠剤</v>
      </c>
      <c r="AC757" s="27" cm="1">
        <f t="array" aca="1" ref="AC757" ca="1">OFFSET(
   INDIRECT("'" &amp; AB757 &amp; "'!A4"),
   MATCH(B757, INDIRECT("'" &amp; AB757 &amp; "'!C5:C1000"), 0),
   MATCH("合計", INDIRECT("'" &amp; AB757 &amp; "'!4:4"), 0) - 1
)</f>
        <v>338</v>
      </c>
    </row>
    <row r="758" spans="1:29">
      <c r="A758" s="40">
        <f>元データ!P755</f>
        <v>642</v>
      </c>
      <c r="B758" s="27">
        <f t="shared" si="11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IF(AA758="非採用",0,IF(OFFSET(マスタ非採用削除!E$4,統合マスタ!$A758,0)="","",OFFSET(マスタ非採用削除!E$4,統合マスタ!$A758,0)))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/>
      <c r="AB758" s="27" t="str">
        <f ca="1">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</f>
        <v>錠剤</v>
      </c>
      <c r="AC758" s="27" cm="1">
        <f t="array" aca="1" ref="AC758" ca="1">OFFSET(
   INDIRECT("'" &amp; AB758 &amp; "'!A4"),
   MATCH(B758, INDIRECT("'" &amp; AB758 &amp; "'!C5:C1000"), 0),
   MATCH("合計", INDIRECT("'" &amp; AB758 &amp; "'!4:4"), 0) - 1
)</f>
        <v>339</v>
      </c>
    </row>
    <row r="759" spans="1:29">
      <c r="A759" s="40">
        <f>元データ!P756</f>
        <v>643</v>
      </c>
      <c r="B759" s="27">
        <f t="shared" si="11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IF(AA759="非採用",0,IF(OFFSET(マスタ非採用削除!E$4,統合マスタ!$A759,0)="","",OFFSET(マスタ非採用削除!E$4,統合マスタ!$A759,0)))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/>
      <c r="AB759" s="27" t="str">
        <f ca="1">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</f>
        <v>錠剤</v>
      </c>
      <c r="AC759" s="27" cm="1">
        <f t="array" aca="1" ref="AC759" ca="1">OFFSET(
   INDIRECT("'" &amp; AB759 &amp; "'!A4"),
   MATCH(B759, INDIRECT("'" &amp; AB759 &amp; "'!C5:C1000"), 0),
   MATCH("合計", INDIRECT("'" &amp; AB759 &amp; "'!4:4"), 0) - 1
)</f>
        <v>340</v>
      </c>
    </row>
    <row r="760" spans="1:29">
      <c r="A760" s="40">
        <f>元データ!P757</f>
        <v>643</v>
      </c>
      <c r="B760" s="27">
        <f t="shared" si="11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IF(AA760="非採用",0,IF(OFFSET(マスタ非採用削除!E$4,統合マスタ!$A760,0)="","",OFFSET(マスタ非採用削除!E$4,統合マスタ!$A760,0)))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/>
      <c r="AB760" s="27" t="str">
        <f ca="1">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</f>
        <v>錠剤</v>
      </c>
      <c r="AC760" s="27" cm="1">
        <f t="array" aca="1" ref="AC760" ca="1">OFFSET(
   INDIRECT("'" &amp; AB760 &amp; "'!A4"),
   MATCH(B760, INDIRECT("'" &amp; AB760 &amp; "'!C5:C1000"), 0),
   MATCH("合計", INDIRECT("'" &amp; AB760 &amp; "'!4:4"), 0) - 1
)</f>
        <v>341</v>
      </c>
    </row>
    <row r="761" spans="1:29">
      <c r="A761" s="40">
        <f>元データ!P758</f>
        <v>645</v>
      </c>
      <c r="B761" s="27">
        <f t="shared" si="11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IF(AA761="非採用",0,IF(OFFSET(マスタ非採用削除!E$4,統合マスタ!$A761,0)="","",OFFSET(マスタ非採用削除!E$4,統合マスタ!$A761,0)))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/>
      <c r="AB761" s="27" t="str">
        <f ca="1">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</f>
        <v>錠剤</v>
      </c>
      <c r="AC761" s="27" cm="1">
        <f t="array" aca="1" ref="AC761" ca="1">OFFSET(
   INDIRECT("'" &amp; AB761 &amp; "'!A4"),
   MATCH(B761, INDIRECT("'" &amp; AB761 &amp; "'!C5:C1000"), 0),
   MATCH("合計", INDIRECT("'" &amp; AB761 &amp; "'!4:4"), 0) - 1
)</f>
        <v>342</v>
      </c>
    </row>
    <row r="762" spans="1:29">
      <c r="A762" s="40">
        <f>元データ!P759</f>
        <v>645</v>
      </c>
      <c r="B762" s="27">
        <f t="shared" si="11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IF(AA762="非採用",0,IF(OFFSET(マスタ非採用削除!E$4,統合マスタ!$A762,0)="","",OFFSET(マスタ非採用削除!E$4,統合マスタ!$A762,0)))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/>
      <c r="AB762" s="27" t="str">
        <f ca="1">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</f>
        <v>錠剤</v>
      </c>
      <c r="AC762" s="27" cm="1">
        <f t="array" aca="1" ref="AC762" ca="1">OFFSET(
   INDIRECT("'" &amp; AB762 &amp; "'!A4"),
   MATCH(B762, INDIRECT("'" &amp; AB762 &amp; "'!C5:C1000"), 0),
   MATCH("合計", INDIRECT("'" &amp; AB762 &amp; "'!4:4"), 0) - 1
)</f>
        <v>343</v>
      </c>
    </row>
    <row r="763" spans="1:29">
      <c r="A763" s="40">
        <f>元データ!P760</f>
        <v>646</v>
      </c>
      <c r="B763" s="27">
        <f t="shared" si="11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IF(AA763="非採用",0,IF(OFFSET(マスタ非採用削除!E$4,統合マスタ!$A763,0)="","",OFFSET(マスタ非採用削除!E$4,統合マスタ!$A763,0)))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  <c r="AB763" s="27" t="str">
        <f ca="1">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</f>
        <v>外用剤</v>
      </c>
      <c r="AC763" s="27" t="e" cm="1">
        <f t="array" aca="1" ref="AC763" ca="1">OFFSET(
   INDIRECT("'" &amp; AB763 &amp; "'!A4"),
   MATCH(B763, INDIRECT("'" &amp; AB763 &amp; "'!C5:C1000"), 0),
   MATCH("合計", INDIRECT("'" &amp; AB763 &amp; "'!4:4"), 0) - 1
)</f>
        <v>#REF!</v>
      </c>
    </row>
    <row r="764" spans="1:29">
      <c r="A764" s="40">
        <f>元データ!P761</f>
        <v>647</v>
      </c>
      <c r="B764" s="27">
        <f t="shared" si="11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IF(AA764="非採用",0,IF(OFFSET(マスタ非採用削除!E$4,統合マスタ!$A764,0)="","",OFFSET(マスタ非採用削除!E$4,統合マスタ!$A764,0)))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  <c r="AB764" s="27" t="str">
        <f ca="1">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</f>
        <v>錠剤</v>
      </c>
      <c r="AC764" s="27" cm="1">
        <f t="array" aca="1" ref="AC764" ca="1">OFFSET(
   INDIRECT("'" &amp; AB764 &amp; "'!A4"),
   MATCH(B764, INDIRECT("'" &amp; AB764 &amp; "'!C5:C1000"), 0),
   MATCH("合計", INDIRECT("'" &amp; AB764 &amp; "'!4:4"), 0) - 1
)</f>
        <v>344</v>
      </c>
    </row>
    <row r="765" spans="1:29">
      <c r="A765" s="40">
        <f>元データ!P762</f>
        <v>648</v>
      </c>
      <c r="B765" s="27">
        <f t="shared" si="11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IF(AA765="非採用",0,IF(OFFSET(マスタ非採用削除!E$4,統合マスタ!$A765,0)="","",OFFSET(マスタ非採用削除!E$4,統合マスタ!$A765,0)))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  <c r="AB765" s="27" t="str">
        <f ca="1">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</f>
        <v>臨時</v>
      </c>
      <c r="AC765" s="27" cm="1">
        <f t="array" aca="1" ref="AC765" ca="1">OFFSET(
   INDIRECT("'" &amp; AB765 &amp; "'!A4"),
   MATCH(B765, INDIRECT("'" &amp; AB765 &amp; "'!C5:C1000"), 0),
   MATCH("合計", INDIRECT("'" &amp; AB765 &amp; "'!4:4"), 0) - 1
)</f>
        <v>0</v>
      </c>
    </row>
    <row r="766" spans="1:29">
      <c r="A766" s="40">
        <f>元データ!P763</f>
        <v>649</v>
      </c>
      <c r="B766" s="27">
        <f t="shared" si="11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IF(AA766="非採用",0,IF(OFFSET(マスタ非採用削除!E$4,統合マスタ!$A766,0)="","",OFFSET(マスタ非採用削除!E$4,統合マスタ!$A766,0)))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/>
      <c r="AB766" s="27" t="str">
        <f ca="1">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</f>
        <v>錠剤</v>
      </c>
      <c r="AC766" s="27" cm="1">
        <f t="array" aca="1" ref="AC766" ca="1">OFFSET(
   INDIRECT("'" &amp; AB766 &amp; "'!A4"),
   MATCH(B766, INDIRECT("'" &amp; AB766 &amp; "'!C5:C1000"), 0),
   MATCH("合計", INDIRECT("'" &amp; AB766 &amp; "'!4:4"), 0) - 1
)</f>
        <v>345</v>
      </c>
    </row>
    <row r="767" spans="1:29">
      <c r="A767" s="40">
        <f>元データ!P764</f>
        <v>649</v>
      </c>
      <c r="B767" s="27">
        <f t="shared" si="11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IF(AA767="非採用",0,IF(OFFSET(マスタ非採用削除!E$4,統合マスタ!$A767,0)="","",OFFSET(マスタ非採用削除!E$4,統合マスタ!$A767,0)))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/>
      <c r="AB767" s="27" t="str">
        <f ca="1">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</f>
        <v>錠剤</v>
      </c>
      <c r="AC767" s="27" cm="1">
        <f t="array" aca="1" ref="AC767" ca="1">OFFSET(
   INDIRECT("'" &amp; AB767 &amp; "'!A4"),
   MATCH(B767, INDIRECT("'" &amp; AB767 &amp; "'!C5:C1000"), 0),
   MATCH("合計", INDIRECT("'" &amp; AB767 &amp; "'!4:4"), 0) - 1
)</f>
        <v>346</v>
      </c>
    </row>
    <row r="768" spans="1:29">
      <c r="A768" s="40">
        <f>元データ!P765</f>
        <v>653</v>
      </c>
      <c r="B768" s="27">
        <f t="shared" si="11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IF(AA768="非採用",0,IF(OFFSET(マスタ非採用削除!E$4,統合マスタ!$A768,0)="","",OFFSET(マスタ非採用削除!E$4,統合マスタ!$A768,0)))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  <c r="AB768" s="27" t="str">
        <f ca="1">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</f>
        <v>散剤</v>
      </c>
      <c r="AC768" s="27" t="e" cm="1">
        <f t="array" aca="1" ref="AC768" ca="1">OFFSET(
   INDIRECT("'" &amp; AB768 &amp; "'!A4"),
   MATCH(B768, INDIRECT("'" &amp; AB768 &amp; "'!C5:C1000"), 0),
   MATCH("合計", INDIRECT("'" &amp; AB768 &amp; "'!4:4"), 0) - 1
)</f>
        <v>#VALUE!</v>
      </c>
    </row>
    <row r="769" spans="1:29">
      <c r="A769" s="40">
        <f>元データ!P766</f>
        <v>652</v>
      </c>
      <c r="B769" s="27">
        <f t="shared" si="11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IF(AA769="非採用",0,IF(OFFSET(マスタ非採用削除!E$4,統合マスタ!$A769,0)="","",OFFSET(マスタ非採用削除!E$4,統合マスタ!$A769,0)))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/>
      <c r="AB769" s="27" t="str">
        <f ca="1">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</f>
        <v>錠剤</v>
      </c>
      <c r="AC769" s="27" cm="1">
        <f t="array" aca="1" ref="AC769" ca="1">OFFSET(
   INDIRECT("'" &amp; AB769 &amp; "'!A4"),
   MATCH(B769, INDIRECT("'" &amp; AB769 &amp; "'!C5:C1000"), 0),
   MATCH("合計", INDIRECT("'" &amp; AB769 &amp; "'!4:4"), 0) - 1
)</f>
        <v>347</v>
      </c>
    </row>
    <row r="770" spans="1:29">
      <c r="A770" s="40">
        <f>元データ!P767</f>
        <v>652</v>
      </c>
      <c r="B770" s="27">
        <f t="shared" si="11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IF(AA770="非採用",0,IF(OFFSET(マスタ非採用削除!E$4,統合マスタ!$A770,0)="","",OFFSET(マスタ非採用削除!E$4,統合マスタ!$A770,0)))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/>
      <c r="AB770" s="27" t="str">
        <f ca="1">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</f>
        <v>錠剤</v>
      </c>
      <c r="AC770" s="27" cm="1">
        <f t="array" aca="1" ref="AC770" ca="1">OFFSET(
   INDIRECT("'" &amp; AB770 &amp; "'!A4"),
   MATCH(B770, INDIRECT("'" &amp; AB770 &amp; "'!C5:C1000"), 0),
   MATCH("合計", INDIRECT("'" &amp; AB770 &amp; "'!4:4"), 0) - 1
)</f>
        <v>348</v>
      </c>
    </row>
    <row r="771" spans="1:29">
      <c r="A771" s="40">
        <f>元データ!P768</f>
        <v>651</v>
      </c>
      <c r="B771" s="27">
        <f t="shared" si="11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IF(AA771="非採用",0,IF(OFFSET(マスタ非採用削除!E$4,統合マスタ!$A771,0)="","",OFFSET(マスタ非採用削除!E$4,統合マスタ!$A771,0)))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  <c r="AB771" s="27" t="str">
        <f ca="1">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</f>
        <v>注射</v>
      </c>
      <c r="AC771" s="27" cm="1">
        <f t="array" aca="1" ref="AC771" ca="1">OFFSET(
   INDIRECT("'" &amp; AB771 &amp; "'!A4"),
   MATCH(B771, INDIRECT("'" &amp; AB771 &amp; "'!C5:C1000"), 0),
   MATCH("合計", INDIRECT("'" &amp; AB771 &amp; "'!4:4"), 0) - 1
)</f>
        <v>0</v>
      </c>
    </row>
    <row r="772" spans="1:29">
      <c r="A772" s="40">
        <f>元データ!P769</f>
        <v>654</v>
      </c>
      <c r="B772" s="27">
        <f t="shared" si="11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IF(AA772="非採用",0,IF(OFFSET(マスタ非採用削除!E$4,統合マスタ!$A772,0)="","",OFFSET(マスタ非採用削除!E$4,統合マスタ!$A772,0)))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  <c r="AB772" s="27" t="str">
        <f ca="1">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</f>
        <v>臨時</v>
      </c>
      <c r="AC772" s="27" cm="1">
        <f t="array" aca="1" ref="AC772" ca="1">OFFSET(
   INDIRECT("'" &amp; AB772 &amp; "'!A4"),
   MATCH(B772, INDIRECT("'" &amp; AB772 &amp; "'!C5:C1000"), 0),
   MATCH("合計", INDIRECT("'" &amp; AB772 &amp; "'!4:4"), 0) - 1
)</f>
        <v>0</v>
      </c>
    </row>
    <row r="773" spans="1:29">
      <c r="A773" s="40">
        <f>元データ!P770</f>
        <v>655</v>
      </c>
      <c r="B773" s="27">
        <f t="shared" si="11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IF(AA773="非採用",0,IF(OFFSET(マスタ非採用削除!E$4,統合マスタ!$A773,0)="","",OFFSET(マスタ非採用削除!E$4,統合マスタ!$A773,0)))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  <c r="AB773" s="27" t="str">
        <f ca="1">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</f>
        <v>臨時</v>
      </c>
      <c r="AC773" s="27" cm="1">
        <f t="array" aca="1" ref="AC773" ca="1">OFFSET(
   INDIRECT("'" &amp; AB773 &amp; "'!A4"),
   MATCH(B773, INDIRECT("'" &amp; AB773 &amp; "'!C5:C1000"), 0),
   MATCH("合計", INDIRECT("'" &amp; AB773 &amp; "'!4:4"), 0) - 1
)</f>
        <v>0</v>
      </c>
    </row>
    <row r="774" spans="1:29">
      <c r="A774" s="40">
        <f>元データ!P771</f>
        <v>656</v>
      </c>
      <c r="B774" s="27">
        <f t="shared" si="11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IF(AA774="非採用",0,IF(OFFSET(マスタ非採用削除!E$4,統合マスタ!$A774,0)="","",OFFSET(マスタ非採用削除!E$4,統合マスタ!$A774,0)))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  <c r="AB774" s="27" t="str">
        <f ca="1">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</f>
        <v>錠剤</v>
      </c>
      <c r="AC774" s="27" cm="1">
        <f t="array" aca="1" ref="AC774" ca="1">OFFSET(
   INDIRECT("'" &amp; AB774 &amp; "'!A4"),
   MATCH(B774, INDIRECT("'" &amp; AB774 &amp; "'!C5:C1000"), 0),
   MATCH("合計", INDIRECT("'" &amp; AB774 &amp; "'!4:4"), 0) - 1
)</f>
        <v>349</v>
      </c>
    </row>
    <row r="775" spans="1:29">
      <c r="A775" s="40">
        <f>元データ!P772</f>
        <v>658</v>
      </c>
      <c r="B775" s="27">
        <f t="shared" ref="B775:B837" si="12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IF(AA775="非採用",0,IF(OFFSET(マスタ非採用削除!E$4,統合マスタ!$A775,0)="","",OFFSET(マスタ非採用削除!E$4,統合マスタ!$A775,0)))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  <c r="AB775" s="27" t="str">
        <f ca="1">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</f>
        <v>臨時</v>
      </c>
      <c r="AC775" s="27" cm="1">
        <f t="array" aca="1" ref="AC775" ca="1">OFFSET(
   INDIRECT("'" &amp; AB775 &amp; "'!A4"),
   MATCH(B775, INDIRECT("'" &amp; AB775 &amp; "'!C5:C1000"), 0),
   MATCH("合計", INDIRECT("'" &amp; AB775 &amp; "'!4:4"), 0) - 1
)</f>
        <v>0</v>
      </c>
    </row>
    <row r="776" spans="1:29">
      <c r="A776" s="40">
        <f>元データ!P773</f>
        <v>657</v>
      </c>
      <c r="B776" s="27">
        <f t="shared" si="12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IF(AA776="非採用",0,IF(OFFSET(マスタ非採用削除!E$4,統合マスタ!$A776,0)="","",OFFSET(マスタ非採用削除!E$4,統合マスタ!$A776,0)))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  <c r="AB776" s="27" t="str">
        <f ca="1">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</f>
        <v>注射</v>
      </c>
      <c r="AC776" s="27" cm="1">
        <f t="array" aca="1" ref="AC776" ca="1">OFFSET(
   INDIRECT("'" &amp; AB776 &amp; "'!A4"),
   MATCH(B776, INDIRECT("'" &amp; AB776 &amp; "'!C5:C1000"), 0),
   MATCH("合計", INDIRECT("'" &amp; AB776 &amp; "'!4:4"), 0) - 1
)</f>
        <v>0</v>
      </c>
    </row>
    <row r="777" spans="1:29">
      <c r="A777" s="40">
        <f>元データ!P774</f>
        <v>659</v>
      </c>
      <c r="B777" s="27">
        <f t="shared" si="12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IF(AA777="非採用",0,IF(OFFSET(マスタ非採用削除!E$4,統合マスタ!$A777,0)="","",OFFSET(マスタ非採用削除!E$4,統合マスタ!$A777,0)))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  <c r="AB777" s="27" t="str">
        <f ca="1">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</f>
        <v>臨時</v>
      </c>
      <c r="AC777" s="27" cm="1">
        <f t="array" aca="1" ref="AC777" ca="1">OFFSET(
   INDIRECT("'" &amp; AB777 &amp; "'!A4"),
   MATCH(B777, INDIRECT("'" &amp; AB777 &amp; "'!C5:C1000"), 0),
   MATCH("合計", INDIRECT("'" &amp; AB777 &amp; "'!4:4"), 0) - 1
)</f>
        <v>0</v>
      </c>
    </row>
    <row r="778" spans="1:29">
      <c r="A778" s="40">
        <f>元データ!P775</f>
        <v>660</v>
      </c>
      <c r="B778" s="27">
        <f t="shared" si="12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IF(AA778="非採用",0,IF(OFFSET(マスタ非採用削除!E$4,統合マスタ!$A778,0)="","",OFFSET(マスタ非採用削除!E$4,統合マスタ!$A778,0)))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  <c r="AB778" s="27" t="str">
        <f ca="1">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</f>
        <v>臨時</v>
      </c>
      <c r="AC778" s="27" cm="1">
        <f t="array" aca="1" ref="AC778" ca="1">OFFSET(
   INDIRECT("'" &amp; AB778 &amp; "'!A4"),
   MATCH(B778, INDIRECT("'" &amp; AB778 &amp; "'!C5:C1000"), 0),
   MATCH("合計", INDIRECT("'" &amp; AB778 &amp; "'!4:4"), 0) - 1
)</f>
        <v>0</v>
      </c>
    </row>
    <row r="779" spans="1:29">
      <c r="A779" s="40">
        <f>元データ!P776</f>
        <v>662</v>
      </c>
      <c r="B779" s="27">
        <f t="shared" si="12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IF(AA779="非採用",0,IF(OFFSET(マスタ非採用削除!E$4,統合マスタ!$A779,0)="","",OFFSET(マスタ非採用削除!E$4,統合マスタ!$A779,0)))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  <c r="AB779" s="27" t="str">
        <f ca="1">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</f>
        <v>臨時</v>
      </c>
      <c r="AC779" s="27" cm="1">
        <f t="array" aca="1" ref="AC779" ca="1">OFFSET(
   INDIRECT("'" &amp; AB779 &amp; "'!A4"),
   MATCH(B779, INDIRECT("'" &amp; AB779 &amp; "'!C5:C1000"), 0),
   MATCH("合計", INDIRECT("'" &amp; AB779 &amp; "'!4:4"), 0) - 1
)</f>
        <v>0</v>
      </c>
    </row>
    <row r="780" spans="1:29">
      <c r="A780" s="40">
        <f>元データ!P777</f>
        <v>661</v>
      </c>
      <c r="B780" s="27">
        <f t="shared" si="12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IF(AA780="非採用",0,IF(OFFSET(マスタ非採用削除!E$4,統合マスタ!$A780,0)="","",OFFSET(マスタ非採用削除!E$4,統合マスタ!$A780,0)))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  <c r="AB780" s="27" t="str">
        <f ca="1">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</f>
        <v>臨時</v>
      </c>
      <c r="AC780" s="27" cm="1">
        <f t="array" aca="1" ref="AC780" ca="1">OFFSET(
   INDIRECT("'" &amp; AB780 &amp; "'!A4"),
   MATCH(B780, INDIRECT("'" &amp; AB780 &amp; "'!C5:C1000"), 0),
   MATCH("合計", INDIRECT("'" &amp; AB780 &amp; "'!4:4"), 0) - 1
)</f>
        <v>0</v>
      </c>
    </row>
    <row r="781" spans="1:29">
      <c r="A781" s="40">
        <f>元データ!P778</f>
        <v>0</v>
      </c>
      <c r="B781" s="27">
        <f t="shared" si="12"/>
        <v>777</v>
      </c>
      <c r="C781" s="27" t="str">
        <f>DBCS(元データ!A778)</f>
        <v>ロイコボリン注３ｍｇ</v>
      </c>
      <c r="D781" s="53" t="str">
        <f>元データ!B778</f>
        <v/>
      </c>
      <c r="E781" s="27" t="str">
        <f>DBCS(元データ!C778)</f>
        <v/>
      </c>
      <c r="F781" s="27" t="str">
        <f>DBCS(元データ!D778)</f>
        <v>１ｍｌｘ１０Ａ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3" t="str">
        <f ca="1">IF(OFFSET(マスタ非採用削除!A$4,統合マスタ!$A781,0)="","",OFFSET(マスタ非採用削除!A$4,統合マスタ!$A781,0))</f>
        <v>コード(区分値)</v>
      </c>
      <c r="O781" s="53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3" t="str">
        <f ca="1">IF(OFFSET(マスタ非採用削除!D$4,統合マスタ!$A781,0)="","",OFFSET(マスタ非採用削除!D$4,統合マスタ!$A781,0))</f>
        <v>ホストコード</v>
      </c>
      <c r="R781" s="27" t="str">
        <f ca="1">IF(AA781="非採用",0,IF(OFFSET(マスタ非採用削除!E$4,統合マスタ!$A781,0)="","",OFFSET(マスタ非採用削除!E$4,統合マスタ!$A781,0)))</f>
        <v>採用区分（区分値）(区分値)</v>
      </c>
      <c r="S781" s="53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3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3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場所</v>
      </c>
      <c r="AA781" s="27"/>
      <c r="AB781" s="27" t="str">
        <f ca="1">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</f>
        <v>無し</v>
      </c>
      <c r="AC781" s="27" t="e" cm="1">
        <f t="array" aca="1" ref="AC781" ca="1">OFFSET(
   INDIRECT("'" &amp; AB781 &amp; "'!A4"),
   MATCH(B781, INDIRECT("'" &amp; AB781 &amp; "'!C5:C1000"), 0),
   MATCH("合計", INDIRECT("'" &amp; AB781 &amp; "'!4:4"), 0) - 1
)</f>
        <v>#REF!</v>
      </c>
    </row>
    <row r="782" spans="1:29">
      <c r="A782" s="40">
        <f>元データ!P779</f>
        <v>664</v>
      </c>
      <c r="B782" s="27">
        <f t="shared" si="12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IF(AA782="非採用",0,IF(OFFSET(マスタ非採用削除!E$4,統合マスタ!$A782,0)="","",OFFSET(マスタ非採用削除!E$4,統合マスタ!$A782,0)))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  <c r="AB782" s="27" t="str">
        <f ca="1">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</f>
        <v>散剤</v>
      </c>
      <c r="AC782" s="27" cm="1">
        <f t="array" aca="1" ref="AC782" ca="1">OFFSET(
   INDIRECT("'" &amp; AB782 &amp; "'!A4"),
   MATCH(B782, INDIRECT("'" &amp; AB782 &amp; "'!C5:C1000"), 0),
   MATCH("合計", INDIRECT("'" &amp; AB782 &amp; "'!4:4"), 0) - 1
)</f>
        <v>3700</v>
      </c>
    </row>
    <row r="783" spans="1:29">
      <c r="A783" s="40">
        <f>元データ!P780</f>
        <v>665</v>
      </c>
      <c r="B783" s="27">
        <f t="shared" si="12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IF(AA783="非採用",0,IF(OFFSET(マスタ非採用削除!E$4,統合マスタ!$A783,0)="","",OFFSET(マスタ非採用削除!E$4,統合マスタ!$A783,0)))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  <c r="AB783" s="27" t="str">
        <f ca="1">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</f>
        <v>外用剤</v>
      </c>
      <c r="AC783" s="27" t="e" cm="1">
        <f t="array" aca="1" ref="AC783" ca="1">OFFSET(
   INDIRECT("'" &amp; AB783 &amp; "'!A4"),
   MATCH(B783, INDIRECT("'" &amp; AB783 &amp; "'!C5:C1000"), 0),
   MATCH("合計", INDIRECT("'" &amp; AB783 &amp; "'!4:4"), 0) - 1
)</f>
        <v>#REF!</v>
      </c>
    </row>
    <row r="784" spans="1:29">
      <c r="A784" s="40">
        <f>元データ!P781</f>
        <v>663</v>
      </c>
      <c r="B784" s="27">
        <f t="shared" si="12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IF(AA784="非採用",0,IF(OFFSET(マスタ非採用削除!E$4,統合マスタ!$A784,0)="","",OFFSET(マスタ非採用削除!E$4,統合マスタ!$A784,0)))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/>
      <c r="AB784" s="27" t="str">
        <f ca="1">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</f>
        <v>錠剤</v>
      </c>
      <c r="AC784" s="27" cm="1">
        <f t="array" aca="1" ref="AC784" ca="1">OFFSET(
   INDIRECT("'" &amp; AB784 &amp; "'!A4"),
   MATCH(B784, INDIRECT("'" &amp; AB784 &amp; "'!C5:C1000"), 0),
   MATCH("合計", INDIRECT("'" &amp; AB784 &amp; "'!4:4"), 0) - 1
)</f>
        <v>350</v>
      </c>
    </row>
    <row r="785" spans="1:29">
      <c r="A785" s="40">
        <f>元データ!P782</f>
        <v>663</v>
      </c>
      <c r="B785" s="27">
        <f t="shared" si="12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IF(AA785="非採用",0,IF(OFFSET(マスタ非採用削除!E$4,統合マスタ!$A785,0)="","",OFFSET(マスタ非採用削除!E$4,統合マスタ!$A785,0)))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/>
      <c r="AB785" s="27" t="str">
        <f ca="1">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</f>
        <v>錠剤</v>
      </c>
      <c r="AC785" s="27" cm="1">
        <f t="array" aca="1" ref="AC785" ca="1">OFFSET(
   INDIRECT("'" &amp; AB785 &amp; "'!A4"),
   MATCH(B785, INDIRECT("'" &amp; AB785 &amp; "'!C5:C1000"), 0),
   MATCH("合計", INDIRECT("'" &amp; AB785 &amp; "'!4:4"), 0) - 1
)</f>
        <v>351</v>
      </c>
    </row>
    <row r="786" spans="1:29">
      <c r="A786" s="40">
        <f>元データ!P783</f>
        <v>666</v>
      </c>
      <c r="B786" s="27">
        <f t="shared" si="12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IF(AA786="非採用",0,IF(OFFSET(マスタ非採用削除!E$4,統合マスタ!$A786,0)="","",OFFSET(マスタ非採用削除!E$4,統合マスタ!$A786,0)))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  <c r="AB786" s="27" t="str">
        <f ca="1">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</f>
        <v>臨時</v>
      </c>
      <c r="AC786" s="27" cm="1">
        <f t="array" aca="1" ref="AC786" ca="1">OFFSET(
   INDIRECT("'" &amp; AB786 &amp; "'!A4"),
   MATCH(B786, INDIRECT("'" &amp; AB786 &amp; "'!C5:C1000"), 0),
   MATCH("合計", INDIRECT("'" &amp; AB786 &amp; "'!4:4"), 0) - 1
)</f>
        <v>0</v>
      </c>
    </row>
    <row r="787" spans="1:29">
      <c r="A787" s="40">
        <f>元データ!P784</f>
        <v>667</v>
      </c>
      <c r="B787" s="27">
        <f t="shared" si="12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IF(AA787="非採用",0,IF(OFFSET(マスタ非採用削除!E$4,統合マスタ!$A787,0)="","",OFFSET(マスタ非採用削除!E$4,統合マスタ!$A787,0)))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  <c r="AB787" s="27" t="str">
        <f ca="1">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</f>
        <v>外用剤</v>
      </c>
      <c r="AC787" s="27" t="e" cm="1">
        <f t="array" aca="1" ref="AC787" ca="1">OFFSET(
   INDIRECT("'" &amp; AB787 &amp; "'!A4"),
   MATCH(B787, INDIRECT("'" &amp; AB787 &amp; "'!C5:C1000"), 0),
   MATCH("合計", INDIRECT("'" &amp; AB787 &amp; "'!4:4"), 0) - 1
)</f>
        <v>#REF!</v>
      </c>
    </row>
    <row r="788" spans="1:29">
      <c r="A788" s="40">
        <f>元データ!P785</f>
        <v>668</v>
      </c>
      <c r="B788" s="27">
        <f t="shared" si="12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IF(AA788="非採用",0,IF(OFFSET(マスタ非採用削除!E$4,統合マスタ!$A788,0)="","",OFFSET(マスタ非採用削除!E$4,統合マスタ!$A788,0)))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/>
      <c r="AB788" s="27" t="str">
        <f ca="1">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</f>
        <v>錠剤</v>
      </c>
      <c r="AC788" s="27" cm="1">
        <f t="array" aca="1" ref="AC788" ca="1">OFFSET(
   INDIRECT("'" &amp; AB788 &amp; "'!A4"),
   MATCH(B788, INDIRECT("'" &amp; AB788 &amp; "'!C5:C1000"), 0),
   MATCH("合計", INDIRECT("'" &amp; AB788 &amp; "'!4:4"), 0) - 1
)</f>
        <v>352</v>
      </c>
    </row>
    <row r="789" spans="1:29">
      <c r="A789" s="40">
        <f>元データ!P786</f>
        <v>668</v>
      </c>
      <c r="B789" s="27">
        <f t="shared" si="12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IF(AA789="非採用",0,IF(OFFSET(マスタ非採用削除!E$4,統合マスタ!$A789,0)="","",OFFSET(マスタ非採用削除!E$4,統合マスタ!$A789,0)))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/>
      <c r="AB789" s="27" t="str">
        <f ca="1">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</f>
        <v>錠剤</v>
      </c>
      <c r="AC789" s="27" cm="1">
        <f t="array" aca="1" ref="AC789" ca="1">OFFSET(
   INDIRECT("'" &amp; AB789 &amp; "'!A4"),
   MATCH(B789, INDIRECT("'" &amp; AB789 &amp; "'!C5:C1000"), 0),
   MATCH("合計", INDIRECT("'" &amp; AB789 &amp; "'!4:4"), 0) - 1
)</f>
        <v>353</v>
      </c>
    </row>
    <row r="790" spans="1:29">
      <c r="A790" s="40">
        <f>元データ!P787</f>
        <v>669</v>
      </c>
      <c r="B790" s="27">
        <f t="shared" si="12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IF(AA790="非採用",0,IF(OFFSET(マスタ非採用削除!E$4,統合マスタ!$A790,0)="","",OFFSET(マスタ非採用削除!E$4,統合マスタ!$A790,0)))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  <c r="AB790" s="27" t="str">
        <f ca="1">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</f>
        <v>臨時</v>
      </c>
      <c r="AC790" s="27" cm="1">
        <f t="array" aca="1" ref="AC790" ca="1">OFFSET(
   INDIRECT("'" &amp; AB790 &amp; "'!A4"),
   MATCH(B790, INDIRECT("'" &amp; AB790 &amp; "'!C5:C1000"), 0),
   MATCH("合計", INDIRECT("'" &amp; AB790 &amp; "'!4:4"), 0) - 1
)</f>
        <v>0</v>
      </c>
    </row>
    <row r="791" spans="1:29">
      <c r="A791" s="40">
        <f>元データ!P788</f>
        <v>672</v>
      </c>
      <c r="B791" s="27">
        <f t="shared" si="12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IF(AA791="非採用",0,IF(OFFSET(マスタ非採用削除!E$4,統合マスタ!$A791,0)="","",OFFSET(マスタ非採用削除!E$4,統合マスタ!$A791,0)))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  <c r="AB791" s="27" t="str">
        <f ca="1">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</f>
        <v>散剤</v>
      </c>
      <c r="AC791" s="27" cm="1">
        <f t="array" aca="1" ref="AC791" ca="1">OFFSET(
   INDIRECT("'" &amp; AB791 &amp; "'!A4"),
   MATCH(B791, INDIRECT("'" &amp; AB791 &amp; "'!C5:C1000"), 0),
   MATCH("合計", INDIRECT("'" &amp; AB791 &amp; "'!4:4"), 0) - 1
)</f>
        <v>38</v>
      </c>
    </row>
    <row r="792" spans="1:29">
      <c r="A792" s="40">
        <f>元データ!P789</f>
        <v>670</v>
      </c>
      <c r="B792" s="27">
        <f t="shared" si="12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IF(AA792="非採用",0,IF(OFFSET(マスタ非採用削除!E$4,統合マスタ!$A792,0)="","",OFFSET(マスタ非採用削除!E$4,統合マスタ!$A792,0)))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/>
      <c r="AB792" s="27" t="str">
        <f ca="1">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</f>
        <v>錠剤</v>
      </c>
      <c r="AC792" s="27" cm="1">
        <f t="array" aca="1" ref="AC792" ca="1">OFFSET(
   INDIRECT("'" &amp; AB792 &amp; "'!A4"),
   MATCH(B792, INDIRECT("'" &amp; AB792 &amp; "'!C5:C1000"), 0),
   MATCH("合計", INDIRECT("'" &amp; AB792 &amp; "'!4:4"), 0) - 1
)</f>
        <v>354</v>
      </c>
    </row>
    <row r="793" spans="1:29">
      <c r="A793" s="40">
        <f>元データ!P790</f>
        <v>670</v>
      </c>
      <c r="B793" s="27">
        <f t="shared" si="12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IF(AA793="非採用",0,IF(OFFSET(マスタ非採用削除!E$4,統合マスタ!$A793,0)="","",OFFSET(マスタ非採用削除!E$4,統合マスタ!$A793,0)))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/>
      <c r="AB793" s="27" t="str">
        <f ca="1">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</f>
        <v>錠剤</v>
      </c>
      <c r="AC793" s="27" cm="1">
        <f t="array" aca="1" ref="AC793" ca="1">OFFSET(
   INDIRECT("'" &amp; AB793 &amp; "'!A4"),
   MATCH(B793, INDIRECT("'" &amp; AB793 &amp; "'!C5:C1000"), 0),
   MATCH("合計", INDIRECT("'" &amp; AB793 &amp; "'!4:4"), 0) - 1
)</f>
        <v>355</v>
      </c>
    </row>
    <row r="794" spans="1:29">
      <c r="A794" s="40">
        <f>元データ!P791</f>
        <v>671</v>
      </c>
      <c r="B794" s="27">
        <f t="shared" si="12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IF(AA794="非採用",0,IF(OFFSET(マスタ非採用削除!E$4,統合マスタ!$A794,0)="","",OFFSET(マスタ非採用削除!E$4,統合マスタ!$A794,0)))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/>
      <c r="AB794" s="27" t="str">
        <f ca="1">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</f>
        <v>錠剤</v>
      </c>
      <c r="AC794" s="27" cm="1">
        <f t="array" aca="1" ref="AC794" ca="1">OFFSET(
   INDIRECT("'" &amp; AB794 &amp; "'!A4"),
   MATCH(B794, INDIRECT("'" &amp; AB794 &amp; "'!C5:C1000"), 0),
   MATCH("合計", INDIRECT("'" &amp; AB794 &amp; "'!4:4"), 0) - 1
)</f>
        <v>356</v>
      </c>
    </row>
    <row r="795" spans="1:29">
      <c r="A795" s="40">
        <f>元データ!P792</f>
        <v>671</v>
      </c>
      <c r="B795" s="27">
        <f t="shared" si="12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IF(AA795="非採用",0,IF(OFFSET(マスタ非採用削除!E$4,統合マスタ!$A795,0)="","",OFFSET(マスタ非採用削除!E$4,統合マスタ!$A795,0)))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/>
      <c r="AB795" s="27" t="str">
        <f ca="1">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</f>
        <v>錠剤</v>
      </c>
      <c r="AC795" s="27" cm="1">
        <f t="array" aca="1" ref="AC795" ca="1">OFFSET(
   INDIRECT("'" &amp; AB795 &amp; "'!A4"),
   MATCH(B795, INDIRECT("'" &amp; AB795 &amp; "'!C5:C1000"), 0),
   MATCH("合計", INDIRECT("'" &amp; AB795 &amp; "'!4:4"), 0) - 1
)</f>
        <v>357</v>
      </c>
    </row>
    <row r="796" spans="1:29">
      <c r="A796" s="40">
        <f>元データ!P793</f>
        <v>673</v>
      </c>
      <c r="B796" s="27">
        <f t="shared" si="12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IF(AA796="非採用",0,IF(OFFSET(マスタ非採用削除!E$4,統合マスタ!$A796,0)="","",OFFSET(マスタ非採用削除!E$4,統合マスタ!$A796,0)))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  <c r="AB796" s="27" t="str">
        <f ca="1">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</f>
        <v>外用剤</v>
      </c>
      <c r="AC796" s="27" t="e" cm="1">
        <f t="array" aca="1" ref="AC796" ca="1">OFFSET(
   INDIRECT("'" &amp; AB796 &amp; "'!A4"),
   MATCH(B796, INDIRECT("'" &amp; AB796 &amp; "'!C5:C1000"), 0),
   MATCH("合計", INDIRECT("'" &amp; AB796 &amp; "'!4:4"), 0) - 1
)</f>
        <v>#REF!</v>
      </c>
    </row>
    <row r="797" spans="1:29">
      <c r="A797" s="40">
        <f>元データ!P794</f>
        <v>674</v>
      </c>
      <c r="B797" s="27">
        <f t="shared" si="12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IF(AA797="非採用",0,IF(OFFSET(マスタ非採用削除!E$4,統合マスタ!$A797,0)="","",OFFSET(マスタ非採用削除!E$4,統合マスタ!$A797,0)))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  <c r="AB797" s="27" t="str">
        <f ca="1">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</f>
        <v>外用剤</v>
      </c>
      <c r="AC797" s="27" t="e" cm="1">
        <f t="array" aca="1" ref="AC797" ca="1">OFFSET(
   INDIRECT("'" &amp; AB797 &amp; "'!A4"),
   MATCH(B797, INDIRECT("'" &amp; AB797 &amp; "'!C5:C1000"), 0),
   MATCH("合計", INDIRECT("'" &amp; AB797 &amp; "'!4:4"), 0) - 1
)</f>
        <v>#REF!</v>
      </c>
    </row>
    <row r="798" spans="1:29">
      <c r="A798" s="40">
        <f>元データ!P795</f>
        <v>675</v>
      </c>
      <c r="B798" s="27">
        <f t="shared" si="12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IF(AA798="非採用",0,IF(OFFSET(マスタ非採用削除!E$4,統合マスタ!$A798,0)="","",OFFSET(マスタ非採用削除!E$4,統合マスタ!$A798,0)))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  <c r="AB798" s="27" t="str">
        <f ca="1">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</f>
        <v>無し</v>
      </c>
      <c r="AC798" s="27" t="e" cm="1">
        <f t="array" aca="1" ref="AC798" ca="1">OFFSET(
   INDIRECT("'" &amp; AB798 &amp; "'!A4"),
   MATCH(B798, INDIRECT("'" &amp; AB798 &amp; "'!C5:C1000"), 0),
   MATCH("合計", INDIRECT("'" &amp; AB798 &amp; "'!4:4"), 0) - 1
)</f>
        <v>#REF!</v>
      </c>
    </row>
    <row r="799" spans="1:29">
      <c r="A799" s="40">
        <f>元データ!P796</f>
        <v>676</v>
      </c>
      <c r="B799" s="27">
        <f t="shared" si="12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IF(AA799="非採用",0,IF(OFFSET(マスタ非採用削除!E$4,統合マスタ!$A799,0)="","",OFFSET(マスタ非採用削除!E$4,統合マスタ!$A799,0)))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/>
      <c r="AB799" s="27" t="str">
        <f ca="1">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</f>
        <v>錠剤</v>
      </c>
      <c r="AC799" s="27" cm="1">
        <f t="array" aca="1" ref="AC799" ca="1">OFFSET(
   INDIRECT("'" &amp; AB799 &amp; "'!A4"),
   MATCH(B799, INDIRECT("'" &amp; AB799 &amp; "'!C5:C1000"), 0),
   MATCH("合計", INDIRECT("'" &amp; AB799 &amp; "'!4:4"), 0) - 1
)</f>
        <v>358</v>
      </c>
    </row>
    <row r="800" spans="1:29">
      <c r="A800" s="40">
        <f>元データ!P797</f>
        <v>677</v>
      </c>
      <c r="B800" s="27">
        <f t="shared" si="12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IF(AA800="非採用",0,IF(OFFSET(マスタ非採用削除!E$4,統合マスタ!$A800,0)="","",OFFSET(マスタ非採用削除!E$4,統合マスタ!$A800,0)))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/>
      <c r="AB800" s="27" t="str">
        <f ca="1">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</f>
        <v>錠剤</v>
      </c>
      <c r="AC800" s="27" cm="1">
        <f t="array" aca="1" ref="AC800" ca="1">OFFSET(
   INDIRECT("'" &amp; AB800 &amp; "'!A4"),
   MATCH(B800, INDIRECT("'" &amp; AB800 &amp; "'!C5:C1000"), 0),
   MATCH("合計", INDIRECT("'" &amp; AB800 &amp; "'!4:4"), 0) - 1
)</f>
        <v>359</v>
      </c>
    </row>
    <row r="801" spans="1:29">
      <c r="A801" s="40">
        <f>元データ!P798</f>
        <v>677</v>
      </c>
      <c r="B801" s="27">
        <f t="shared" si="12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IF(AA801="非採用",0,IF(OFFSET(マスタ非採用削除!E$4,統合マスタ!$A801,0)="","",OFFSET(マスタ非採用削除!E$4,統合マスタ!$A801,0)))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/>
      <c r="AB801" s="27" t="str">
        <f ca="1">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</f>
        <v>錠剤</v>
      </c>
      <c r="AC801" s="27" cm="1">
        <f t="array" aca="1" ref="AC801" ca="1">OFFSET(
   INDIRECT("'" &amp; AB801 &amp; "'!A4"),
   MATCH(B801, INDIRECT("'" &amp; AB801 &amp; "'!C5:C1000"), 0),
   MATCH("合計", INDIRECT("'" &amp; AB801 &amp; "'!4:4"), 0) - 1
)</f>
        <v>360</v>
      </c>
    </row>
    <row r="802" spans="1:29">
      <c r="A802" s="40">
        <f>元データ!P799</f>
        <v>681</v>
      </c>
      <c r="B802" s="27">
        <f t="shared" si="12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IF(AA802="非採用",0,IF(OFFSET(マスタ非採用削除!E$4,統合マスタ!$A802,0)="","",OFFSET(マスタ非採用削除!E$4,統合マスタ!$A802,0)))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/>
      <c r="AB802" s="27" t="str">
        <f ca="1">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</f>
        <v>錠剤</v>
      </c>
      <c r="AC802" s="27" cm="1">
        <f t="array" aca="1" ref="AC802" ca="1">OFFSET(
   INDIRECT("'" &amp; AB802 &amp; "'!A4"),
   MATCH(B802, INDIRECT("'" &amp; AB802 &amp; "'!C5:C1000"), 0),
   MATCH("合計", INDIRECT("'" &amp; AB802 &amp; "'!4:4"), 0) - 1
)</f>
        <v>361</v>
      </c>
    </row>
    <row r="803" spans="1:29">
      <c r="A803" s="40">
        <f>元データ!P800</f>
        <v>678</v>
      </c>
      <c r="B803" s="27">
        <f t="shared" si="12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IF(AA803="非採用",0,IF(OFFSET(マスタ非採用削除!E$4,統合マスタ!$A803,0)="","",OFFSET(マスタ非採用削除!E$4,統合マスタ!$A803,0)))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  <c r="AB803" s="27" t="str">
        <f ca="1">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</f>
        <v>注射</v>
      </c>
      <c r="AC803" s="27" cm="1">
        <f t="array" aca="1" ref="AC803" ca="1">OFFSET(
   INDIRECT("'" &amp; AB803 &amp; "'!A4"),
   MATCH(B803, INDIRECT("'" &amp; AB803 &amp; "'!C5:C1000"), 0),
   MATCH("合計", INDIRECT("'" &amp; AB803 &amp; "'!4:4"), 0) - 1
)</f>
        <v>0</v>
      </c>
    </row>
    <row r="804" spans="1:29">
      <c r="A804" s="40">
        <f>元データ!P801</f>
        <v>680</v>
      </c>
      <c r="B804" s="27">
        <f t="shared" si="12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IF(AA804="非採用",0,IF(OFFSET(マスタ非採用削除!E$4,統合マスタ!$A804,0)="","",OFFSET(マスタ非採用削除!E$4,統合マスタ!$A804,0)))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  <c r="AB804" s="27" t="str">
        <f ca="1">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</f>
        <v>錠剤</v>
      </c>
      <c r="AC804" s="27" cm="1">
        <f t="array" aca="1" ref="AC804" ca="1">OFFSET(
   INDIRECT("'" &amp; AB804 &amp; "'!A4"),
   MATCH(B804, INDIRECT("'" &amp; AB804 &amp; "'!C5:C1000"), 0),
   MATCH("合計", INDIRECT("'" &amp; AB804 &amp; "'!4:4"), 0) - 1
)</f>
        <v>362</v>
      </c>
    </row>
    <row r="805" spans="1:29">
      <c r="A805" s="40">
        <f>元データ!P802</f>
        <v>679</v>
      </c>
      <c r="B805" s="27">
        <f t="shared" si="12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IF(AA805="非採用",0,IF(OFFSET(マスタ非採用削除!E$4,統合マスタ!$A805,0)="","",OFFSET(マスタ非採用削除!E$4,統合マスタ!$A805,0)))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  <c r="AB805" s="27" t="str">
        <f ca="1">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</f>
        <v>注射</v>
      </c>
      <c r="AC805" s="27" cm="1">
        <f t="array" aca="1" ref="AC805" ca="1">OFFSET(
   INDIRECT("'" &amp; AB805 &amp; "'!A4"),
   MATCH(B805, INDIRECT("'" &amp; AB805 &amp; "'!C5:C1000"), 0),
   MATCH("合計", INDIRECT("'" &amp; AB805 &amp; "'!4:4"), 0) - 1
)</f>
        <v>0</v>
      </c>
    </row>
    <row r="806" spans="1:29">
      <c r="A806" s="40">
        <f>元データ!P803</f>
        <v>683</v>
      </c>
      <c r="B806" s="27">
        <f t="shared" si="12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IF(AA806="非採用",0,IF(OFFSET(マスタ非採用削除!E$4,統合マスタ!$A806,0)="","",OFFSET(マスタ非採用削除!E$4,統合マスタ!$A806,0)))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  <c r="AB806" s="27" t="str">
        <f ca="1">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</f>
        <v>注射</v>
      </c>
      <c r="AC806" s="27" cm="1">
        <f t="array" aca="1" ref="AC806" ca="1">OFFSET(
   INDIRECT("'" &amp; AB806 &amp; "'!A4"),
   MATCH(B806, INDIRECT("'" &amp; AB806 &amp; "'!C5:C1000"), 0),
   MATCH("合計", INDIRECT("'" &amp; AB806 &amp; "'!4:4"), 0) - 1
)</f>
        <v>0</v>
      </c>
    </row>
    <row r="807" spans="1:29">
      <c r="A807" s="40">
        <f>元データ!P804</f>
        <v>682</v>
      </c>
      <c r="B807" s="27">
        <f t="shared" si="12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IF(AA807="非採用",0,IF(OFFSET(マスタ非採用削除!E$4,統合マスタ!$A807,0)="","",OFFSET(マスタ非採用削除!E$4,統合マスタ!$A807,0)))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  <c r="AB807" s="27" t="str">
        <f ca="1">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</f>
        <v>注射</v>
      </c>
      <c r="AC807" s="27" cm="1">
        <f t="array" aca="1" ref="AC807" ca="1">OFFSET(
   INDIRECT("'" &amp; AB807 &amp; "'!A4"),
   MATCH(B807, INDIRECT("'" &amp; AB807 &amp; "'!C5:C1000"), 0),
   MATCH("合計", INDIRECT("'" &amp; AB807 &amp; "'!4:4"), 0) - 1
)</f>
        <v>0</v>
      </c>
    </row>
    <row r="808" spans="1:29">
      <c r="A808" s="40">
        <f>元データ!P805</f>
        <v>1</v>
      </c>
      <c r="B808" s="27">
        <f t="shared" si="12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IF(AA808="非採用",0,IF(OFFSET(マスタ非採用削除!E$4,統合マスタ!$A808,0)="","",OFFSET(マスタ非採用削除!E$4,統合マスタ!$A808,0)))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  <c r="AB808" s="27" t="str">
        <f ca="1">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</f>
        <v>外用剤</v>
      </c>
      <c r="AC808" s="27" t="e" cm="1">
        <f t="array" aca="1" ref="AC808" ca="1">OFFSET(
   INDIRECT("'" &amp; AB808 &amp; "'!A4"),
   MATCH(B808, INDIRECT("'" &amp; AB808 &amp; "'!C5:C1000"), 0),
   MATCH("合計", INDIRECT("'" &amp; AB808 &amp; "'!4:4"), 0) - 1
)</f>
        <v>#REF!</v>
      </c>
    </row>
    <row r="809" spans="1:29">
      <c r="A809" s="40">
        <f>元データ!P806</f>
        <v>96</v>
      </c>
      <c r="B809" s="27">
        <f t="shared" si="12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IF(AA809="非採用",0,IF(OFFSET(マスタ非採用削除!E$4,統合マスタ!$A809,0)="","",OFFSET(マスタ非採用削除!E$4,統合マスタ!$A809,0)))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  <c r="AB809" s="27" t="str">
        <f ca="1">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</f>
        <v>散剤</v>
      </c>
      <c r="AC809" s="27" cm="1">
        <f t="array" aca="1" ref="AC809" ca="1">OFFSET(
   INDIRECT("'" &amp; AB809 &amp; "'!A4"),
   MATCH(B809, INDIRECT("'" &amp; AB809 &amp; "'!C5:C1000"), 0),
   MATCH("合計", INDIRECT("'" &amp; AB809 &amp; "'!4:4"), 0) - 1
)</f>
        <v>19500</v>
      </c>
    </row>
    <row r="810" spans="1:29">
      <c r="A810" s="40">
        <f>元データ!P807</f>
        <v>97</v>
      </c>
      <c r="B810" s="27">
        <f t="shared" si="12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IF(AA810="非採用",0,IF(OFFSET(マスタ非採用削除!E$4,統合マスタ!$A810,0)="","",OFFSET(マスタ非採用削除!E$4,統合マスタ!$A810,0)))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  <c r="AB810" s="27" t="str">
        <f ca="1">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</f>
        <v>散剤</v>
      </c>
      <c r="AC810" s="27" cm="1">
        <f t="array" aca="1" ref="AC810" ca="1">OFFSET(
   INDIRECT("'" &amp; AB810 &amp; "'!A4"),
   MATCH(B810, INDIRECT("'" &amp; AB810 &amp; "'!C5:C1000"), 0),
   MATCH("合計", INDIRECT("'" &amp; AB810 &amp; "'!4:4"), 0) - 1
)</f>
        <v>20000</v>
      </c>
    </row>
    <row r="811" spans="1:29">
      <c r="A811" s="40" t="str">
        <f>元データ!P808</f>
        <v>非採用</v>
      </c>
      <c r="B811" s="27">
        <f t="shared" si="12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IF(AA811="非採用",0,IF(OFFSET(マスタ非採用削除!E$4,統合マスタ!$A811,0)="","",OFFSET(マスタ非採用削除!E$4,統合マスタ!$A811,0)))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">
        <v>4062</v>
      </c>
      <c r="AB811" s="27" t="str">
        <f ca="1">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</f>
        <v>無し</v>
      </c>
      <c r="AC811" s="27" t="e" cm="1">
        <f t="array" aca="1" ref="AC811" ca="1">OFFSET(
   INDIRECT("'" &amp; AB811 &amp; "'!A4"),
   MATCH(B811, INDIRECT("'" &amp; AB811 &amp; "'!C5:C1000"), 0),
   MATCH("合計", INDIRECT("'" &amp; AB811 &amp; "'!4:4"), 0) - 1
)</f>
        <v>#REF!</v>
      </c>
    </row>
    <row r="812" spans="1:29">
      <c r="A812" s="40">
        <f>元データ!P809</f>
        <v>0</v>
      </c>
      <c r="B812" s="27">
        <f t="shared" si="12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str">
        <f ca="1">IF(OFFSET(マスタ非採用削除!A$4,統合マスタ!$A812,0)="","",OFFSET(マスタ非採用削除!A$4,統合マスタ!$A812,0))</f>
        <v>コード(区分値)</v>
      </c>
      <c r="O812" s="53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3" t="str">
        <f ca="1">IF(OFFSET(マスタ非採用削除!D$4,統合マスタ!$A812,0)="","",OFFSET(マスタ非採用削除!D$4,統合マスタ!$A812,0))</f>
        <v>ホストコード</v>
      </c>
      <c r="R812" s="27" t="str">
        <f ca="1">IF(AA812="非採用",0,IF(OFFSET(マスタ非採用削除!E$4,統合マスタ!$A812,0)="","",OFFSET(マスタ非採用削除!E$4,統合マスタ!$A812,0)))</f>
        <v>採用区分（区分値）(区分値)</v>
      </c>
      <c r="S812" s="53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3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3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場所</v>
      </c>
      <c r="AA812" s="27"/>
      <c r="AB812" s="27" t="str">
        <f ca="1">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</f>
        <v>無し</v>
      </c>
      <c r="AC812" s="27" t="e" cm="1">
        <f t="array" aca="1" ref="AC812" ca="1">OFFSET(
   INDIRECT("'" &amp; AB812 &amp; "'!A4"),
   MATCH(B812, INDIRECT("'" &amp; AB812 &amp; "'!C5:C1000"), 0),
   MATCH("合計", INDIRECT("'" &amp; AB812 &amp; "'!4:4"), 0) - 1
)</f>
        <v>#REF!</v>
      </c>
    </row>
    <row r="813" spans="1:29">
      <c r="A813" s="40">
        <f>元データ!P810</f>
        <v>0</v>
      </c>
      <c r="B813" s="27">
        <f t="shared" si="12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コード(区分値)</v>
      </c>
      <c r="O813" s="53" t="str">
        <f ca="1">IF(OFFSET(マスタ非採用削除!B$4,統合マスタ!$A813,0)="","",OFFSET(マスタ非採用削除!B$4,統合マスタ!$A813,0))</f>
        <v>コード</v>
      </c>
      <c r="P813" s="27" t="str">
        <f ca="1">IF(OFFSET(マスタ非採用削除!C$4,統合マスタ!$A813,0)="","",OFFSET(マスタ非採用削除!C$4,統合マスタ!$A813,0))</f>
        <v>名称</v>
      </c>
      <c r="Q813" s="53" t="str">
        <f ca="1">IF(OFFSET(マスタ非採用削除!D$4,統合マスタ!$A813,0)="","",OFFSET(マスタ非採用削除!D$4,統合マスタ!$A813,0))</f>
        <v>ホストコード</v>
      </c>
      <c r="R813" s="27" t="str">
        <f ca="1">IF(AA813="非採用",0,IF(OFFSET(マスタ非採用削除!E$4,統合マスタ!$A813,0)="","",OFFSET(マスタ非採用削除!E$4,統合マスタ!$A813,0)))</f>
        <v>採用区分（区分値）(区分値)</v>
      </c>
      <c r="S813" s="53" t="str">
        <f ca="1">IF(OFFSET(マスタ非採用削除!F$4,統合マスタ!$A813,0)="","",OFFSET(マスタ非採用削除!F$4,統合マスタ!$A813,0))</f>
        <v>採用区分（区分値）</v>
      </c>
      <c r="T813" s="27" t="str">
        <f ca="1">IF(OFFSET(マスタ非採用削除!G$4,統合マスタ!$A813,0)="","",OFFSET(マスタ非採用削除!G$4,統合マスタ!$A813,0))</f>
        <v>薬価</v>
      </c>
      <c r="U813" s="53" t="str">
        <f ca="1">IF(OFFSET(マスタ非採用削除!H$4,統合マスタ!$A813,0)="","",OFFSET(マスタ非採用削除!H$4,統合マスタ!$A813,0))</f>
        <v>カナ名称</v>
      </c>
      <c r="V813" s="27" t="str">
        <f ca="1">IF(OFFSET(マスタ非採用削除!I$4,統合マスタ!$A813,0)="","",OFFSET(マスタ非採用削除!I$4,統合マスタ!$A813,0))</f>
        <v>剤形(区分値)</v>
      </c>
      <c r="W813" s="27" t="str">
        <f ca="1">IF(OFFSET(マスタ非採用削除!J$4,統合マスタ!$A813,0)="","",OFFSET(マスタ非採用削除!J$4,統合マスタ!$A813,0))</f>
        <v>剤形</v>
      </c>
      <c r="X813" s="27" t="str">
        <f ca="1">IF(OFFSET(マスタ非採用削除!K$4,統合マスタ!$A813,0)="","",OFFSET(マスタ非採用削除!K$4,統合マスタ!$A813,0))</f>
        <v>毒劇薬（区分値）(区分値)</v>
      </c>
      <c r="Y813" s="53" t="str">
        <f ca="1">IF(OFFSET(マスタ非採用削除!L$4,統合マスタ!$A813,0)="","",OFFSET(マスタ非採用削除!L$4,統合マスタ!$A813,0))</f>
        <v>毒劇薬（区分値）</v>
      </c>
      <c r="Z813" s="27" t="str">
        <f ca="1">IF(OFFSET(マスタ非採用削除!M$4,統合マスタ!$A813,0)="","",OFFSET(マスタ非採用削除!M$4,統合マスタ!$A813,0))</f>
        <v>場所</v>
      </c>
      <c r="AA813" s="27"/>
      <c r="AB813" s="27" t="str">
        <f ca="1">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</f>
        <v>無し</v>
      </c>
      <c r="AC813" s="27" t="e" cm="1">
        <f t="array" aca="1" ref="AC813" ca="1">OFFSET(
   INDIRECT("'" &amp; AB813 &amp; "'!A4"),
   MATCH(B813, INDIRECT("'" &amp; AB813 &amp; "'!C5:C1000"), 0),
   MATCH("合計", INDIRECT("'" &amp; AB813 &amp; "'!4:4"), 0) - 1
)</f>
        <v>#REF!</v>
      </c>
    </row>
    <row r="814" spans="1:29">
      <c r="A814" s="40">
        <f>元データ!P811</f>
        <v>203</v>
      </c>
      <c r="B814" s="27">
        <f t="shared" si="12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IF(AA814="非採用",0,IF(OFFSET(マスタ非採用削除!E$4,統合マスタ!$A814,0)="","",OFFSET(マスタ非採用削除!E$4,統合マスタ!$A814,0)))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  <c r="AB814" s="27" t="str">
        <f ca="1">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</f>
        <v>無し</v>
      </c>
      <c r="AC814" s="27" t="e" cm="1">
        <f t="array" aca="1" ref="AC814" ca="1">OFFSET(
   INDIRECT("'" &amp; AB814 &amp; "'!A4"),
   MATCH(B814, INDIRECT("'" &amp; AB814 &amp; "'!C5:C1000"), 0),
   MATCH("合計", INDIRECT("'" &amp; AB814 &amp; "'!4:4"), 0) - 1
)</f>
        <v>#REF!</v>
      </c>
    </row>
    <row r="815" spans="1:29">
      <c r="A815" s="40">
        <f>元データ!P812</f>
        <v>208</v>
      </c>
      <c r="B815" s="27">
        <f t="shared" si="12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IF(AA815="非採用",0,IF(OFFSET(マスタ非採用削除!E$4,統合マスタ!$A815,0)="","",OFFSET(マスタ非採用削除!E$4,統合マスタ!$A815,0)))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  <c r="AB815" s="27" t="str">
        <f ca="1">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</f>
        <v>無し</v>
      </c>
      <c r="AC815" s="27" t="e" cm="1">
        <f t="array" aca="1" ref="AC815" ca="1">OFFSET(
   INDIRECT("'" &amp; AB815 &amp; "'!A4"),
   MATCH(B815, INDIRECT("'" &amp; AB815 &amp; "'!C5:C1000"), 0),
   MATCH("合計", INDIRECT("'" &amp; AB815 &amp; "'!4:4"), 0) - 1
)</f>
        <v>#REF!</v>
      </c>
    </row>
    <row r="816" spans="1:29">
      <c r="A816" s="40">
        <f>元データ!P813</f>
        <v>209</v>
      </c>
      <c r="B816" s="27">
        <f t="shared" si="12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IF(AA816="非採用",0,IF(OFFSET(マスタ非採用削除!E$4,統合マスタ!$A816,0)="","",OFFSET(マスタ非採用削除!E$4,統合マスタ!$A816,0)))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  <c r="AB816" s="27" t="str">
        <f ca="1">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</f>
        <v>注射</v>
      </c>
      <c r="AC816" s="27" cm="1">
        <f t="array" aca="1" ref="AC816" ca="1">OFFSET(
   INDIRECT("'" &amp; AB816 &amp; "'!A4"),
   MATCH(B816, INDIRECT("'" &amp; AB816 &amp; "'!C5:C1000"), 0),
   MATCH("合計", INDIRECT("'" &amp; AB816 &amp; "'!4:4"), 0) - 1
)</f>
        <v>0</v>
      </c>
    </row>
    <row r="817" spans="1:29">
      <c r="A817" s="40">
        <f>元データ!P814</f>
        <v>486</v>
      </c>
      <c r="B817" s="27">
        <f t="shared" si="12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IF(AA817="非採用",0,IF(OFFSET(マスタ非採用削除!E$4,統合マスタ!$A817,0)="","",OFFSET(マスタ非採用削除!E$4,統合マスタ!$A817,0)))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  <c r="AB817" s="27" t="str">
        <f ca="1">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</f>
        <v>臨時</v>
      </c>
      <c r="AC817" s="27" cm="1">
        <f t="array" aca="1" ref="AC817" ca="1">OFFSET(
   INDIRECT("'" &amp; AB817 &amp; "'!A4"),
   MATCH(B817, INDIRECT("'" &amp; AB817 &amp; "'!C5:C1000"), 0),
   MATCH("合計", INDIRECT("'" &amp; AB817 &amp; "'!4:4"), 0) - 1
)</f>
        <v>0</v>
      </c>
    </row>
    <row r="818" spans="1:29">
      <c r="A818" s="40">
        <f>元データ!P815</f>
        <v>0</v>
      </c>
      <c r="B818" s="27">
        <f t="shared" si="12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コード(区分値)</v>
      </c>
      <c r="O818" s="53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3" t="str">
        <f ca="1">IF(OFFSET(マスタ非採用削除!D$4,統合マスタ!$A818,0)="","",OFFSET(マスタ非採用削除!D$4,統合マスタ!$A818,0))</f>
        <v>ホストコード</v>
      </c>
      <c r="R818" s="27" t="str">
        <f ca="1">IF(AA818="非採用",0,IF(OFFSET(マスタ非採用削除!E$4,統合マスタ!$A818,0)="","",OFFSET(マスタ非採用削除!E$4,統合マスタ!$A818,0)))</f>
        <v>採用区分（区分値）(区分値)</v>
      </c>
      <c r="S818" s="53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3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3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場所</v>
      </c>
      <c r="AA818" s="27"/>
      <c r="AB818" s="27" t="str">
        <f ca="1">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</f>
        <v>無し</v>
      </c>
      <c r="AC818" s="27" t="e" cm="1">
        <f t="array" aca="1" ref="AC818" ca="1">OFFSET(
   INDIRECT("'" &amp; AB818 &amp; "'!A4"),
   MATCH(B818, INDIRECT("'" &amp; AB818 &amp; "'!C5:C1000"), 0),
   MATCH("合計", INDIRECT("'" &amp; AB818 &amp; "'!4:4"), 0) - 1
)</f>
        <v>#REF!</v>
      </c>
    </row>
    <row r="819" spans="1:29">
      <c r="A819" s="40">
        <f>元データ!P816</f>
        <v>222</v>
      </c>
      <c r="B819" s="27">
        <f t="shared" si="12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IF(AA819="非採用",0,IF(OFFSET(マスタ非採用削除!E$4,統合マスタ!$A819,0)="","",OFFSET(マスタ非採用削除!E$4,統合マスタ!$A819,0)))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  <c r="AB819" s="27" t="str">
        <f ca="1">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</f>
        <v>注射</v>
      </c>
      <c r="AC819" s="27" cm="1">
        <f t="array" aca="1" ref="AC819" ca="1">OFFSET(
   INDIRECT("'" &amp; AB819 &amp; "'!A4"),
   MATCH(B819, INDIRECT("'" &amp; AB819 &amp; "'!C5:C1000"), 0),
   MATCH("合計", INDIRECT("'" &amp; AB819 &amp; "'!4:4"), 0) - 1
)</f>
        <v>0</v>
      </c>
    </row>
    <row r="820" spans="1:29">
      <c r="A820" s="40">
        <f>元データ!P817</f>
        <v>224</v>
      </c>
      <c r="B820" s="27">
        <f t="shared" si="12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IF(AA820="非採用",0,IF(OFFSET(マスタ非採用削除!E$4,統合マスタ!$A820,0)="","",OFFSET(マスタ非採用削除!E$4,統合マスタ!$A820,0)))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  <c r="AB820" s="27" t="str">
        <f ca="1">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</f>
        <v>注射</v>
      </c>
      <c r="AC820" s="27" cm="1">
        <f t="array" aca="1" ref="AC820" ca="1">OFFSET(
   INDIRECT("'" &amp; AB820 &amp; "'!A4"),
   MATCH(B820, INDIRECT("'" &amp; AB820 &amp; "'!C5:C1000"), 0),
   MATCH("合計", INDIRECT("'" &amp; AB820 &amp; "'!4:4"), 0) - 1
)</f>
        <v>0</v>
      </c>
    </row>
    <row r="821" spans="1:29">
      <c r="A821" s="40">
        <f>元データ!P818</f>
        <v>0</v>
      </c>
      <c r="B821" s="27">
        <f t="shared" si="12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コード(区分値)</v>
      </c>
      <c r="O821" s="53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3" t="str">
        <f ca="1">IF(OFFSET(マスタ非採用削除!D$4,統合マスタ!$A821,0)="","",OFFSET(マスタ非採用削除!D$4,統合マスタ!$A821,0))</f>
        <v>ホストコード</v>
      </c>
      <c r="R821" s="27" t="str">
        <f ca="1">IF(AA821="非採用",0,IF(OFFSET(マスタ非採用削除!E$4,統合マスタ!$A821,0)="","",OFFSET(マスタ非採用削除!E$4,統合マスタ!$A821,0)))</f>
        <v>採用区分（区分値）(区分値)</v>
      </c>
      <c r="S821" s="53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3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3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場所</v>
      </c>
      <c r="AA821" s="27"/>
      <c r="AB821" s="27" t="str">
        <f ca="1">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</f>
        <v>無し</v>
      </c>
      <c r="AC821" s="27" t="e" cm="1">
        <f t="array" aca="1" ref="AC821" ca="1">OFFSET(
   INDIRECT("'" &amp; AB821 &amp; "'!A4"),
   MATCH(B821, INDIRECT("'" &amp; AB821 &amp; "'!C5:C1000"), 0),
   MATCH("合計", INDIRECT("'" &amp; AB821 &amp; "'!4:4"), 0) - 1
)</f>
        <v>#REF!</v>
      </c>
    </row>
    <row r="822" spans="1:29">
      <c r="A822" s="40">
        <f>元データ!P819</f>
        <v>0</v>
      </c>
      <c r="B822" s="27">
        <f t="shared" si="12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str">
        <f ca="1">IF(OFFSET(マスタ非採用削除!A$4,統合マスタ!$A822,0)="","",OFFSET(マスタ非採用削除!A$4,統合マスタ!$A822,0))</f>
        <v>コード(区分値)</v>
      </c>
      <c r="O822" s="53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3" t="str">
        <f ca="1">IF(OFFSET(マスタ非採用削除!D$4,統合マスタ!$A822,0)="","",OFFSET(マスタ非採用削除!D$4,統合マスタ!$A822,0))</f>
        <v>ホストコード</v>
      </c>
      <c r="R822" s="27" t="str">
        <f ca="1">IF(AA822="非採用",0,IF(OFFSET(マスタ非採用削除!E$4,統合マスタ!$A822,0)="","",OFFSET(マスタ非採用削除!E$4,統合マスタ!$A822,0)))</f>
        <v>採用区分（区分値）(区分値)</v>
      </c>
      <c r="S822" s="53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3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3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場所</v>
      </c>
      <c r="AA822" s="27"/>
      <c r="AB822" s="27" t="str">
        <f ca="1">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</f>
        <v>無し</v>
      </c>
      <c r="AC822" s="27" t="e" cm="1">
        <f t="array" aca="1" ref="AC822" ca="1">OFFSET(
   INDIRECT("'" &amp; AB822 &amp; "'!A4"),
   MATCH(B822, INDIRECT("'" &amp; AB822 &amp; "'!C5:C1000"), 0),
   MATCH("合計", INDIRECT("'" &amp; AB822 &amp; "'!4:4"), 0) - 1
)</f>
        <v>#REF!</v>
      </c>
    </row>
    <row r="823" spans="1:29">
      <c r="A823" s="40" t="str">
        <f>元データ!P820</f>
        <v>非採用</v>
      </c>
      <c r="B823" s="27">
        <f t="shared" si="12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IF(AA823="非採用",0,IF(OFFSET(マスタ非採用削除!E$4,統合マスタ!$A823,0)="","",OFFSET(マスタ非採用削除!E$4,統合マスタ!$A823,0)))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4068</v>
      </c>
      <c r="AB823" s="27" t="str">
        <f ca="1">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</f>
        <v>無し</v>
      </c>
      <c r="AC823" s="27" t="e" cm="1">
        <f t="array" aca="1" ref="AC823" ca="1">OFFSET(
   INDIRECT("'" &amp; AB823 &amp; "'!A4"),
   MATCH(B823, INDIRECT("'" &amp; AB823 &amp; "'!C5:C1000"), 0),
   MATCH("合計", INDIRECT("'" &amp; AB823 &amp; "'!4:4"), 0) - 1
)</f>
        <v>#REF!</v>
      </c>
    </row>
    <row r="824" spans="1:29">
      <c r="A824" s="40">
        <f>元データ!P821</f>
        <v>0</v>
      </c>
      <c r="B824" s="27">
        <f t="shared" si="12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コード(区分値)</v>
      </c>
      <c r="O824" s="53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3" t="str">
        <f ca="1">IF(OFFSET(マスタ非採用削除!D$4,統合マスタ!$A824,0)="","",OFFSET(マスタ非採用削除!D$4,統合マスタ!$A824,0))</f>
        <v>ホストコード</v>
      </c>
      <c r="R824" s="27" t="str">
        <f ca="1">IF(AA824="非採用",0,IF(OFFSET(マスタ非採用削除!E$4,統合マスタ!$A824,0)="","",OFFSET(マスタ非採用削除!E$4,統合マスタ!$A824,0)))</f>
        <v>採用区分（区分値）(区分値)</v>
      </c>
      <c r="S824" s="53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3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3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場所</v>
      </c>
      <c r="AA824" s="27"/>
      <c r="AB824" s="27" t="str">
        <f ca="1">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</f>
        <v>無し</v>
      </c>
      <c r="AC824" s="27" t="e" cm="1">
        <f t="array" aca="1" ref="AC824" ca="1">OFFSET(
   INDIRECT("'" &amp; AB824 &amp; "'!A4"),
   MATCH(B824, INDIRECT("'" &amp; AB824 &amp; "'!C5:C1000"), 0),
   MATCH("合計", INDIRECT("'" &amp; AB824 &amp; "'!4:4"), 0) - 1
)</f>
        <v>#REF!</v>
      </c>
    </row>
    <row r="825" spans="1:29">
      <c r="A825" s="40">
        <f>元データ!P822</f>
        <v>0</v>
      </c>
      <c r="B825" s="27">
        <f t="shared" si="12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コード(区分値)</v>
      </c>
      <c r="O825" s="53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3" t="str">
        <f ca="1">IF(OFFSET(マスタ非採用削除!D$4,統合マスタ!$A825,0)="","",OFFSET(マスタ非採用削除!D$4,統合マスタ!$A825,0))</f>
        <v>ホストコード</v>
      </c>
      <c r="R825" s="27" t="str">
        <f ca="1">IF(AA825="非採用",0,IF(OFFSET(マスタ非採用削除!E$4,統合マスタ!$A825,0)="","",OFFSET(マスタ非採用削除!E$4,統合マスタ!$A825,0)))</f>
        <v>採用区分（区分値）(区分値)</v>
      </c>
      <c r="S825" s="53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3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3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場所</v>
      </c>
      <c r="AA825" s="27"/>
      <c r="AB825" s="27" t="str">
        <f ca="1">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</f>
        <v>無し</v>
      </c>
      <c r="AC825" s="27" t="e" cm="1">
        <f t="array" aca="1" ref="AC825" ca="1">OFFSET(
   INDIRECT("'" &amp; AB825 &amp; "'!A4"),
   MATCH(B825, INDIRECT("'" &amp; AB825 &amp; "'!C5:C1000"), 0),
   MATCH("合計", INDIRECT("'" &amp; AB825 &amp; "'!4:4"), 0) - 1
)</f>
        <v>#REF!</v>
      </c>
    </row>
    <row r="826" spans="1:29">
      <c r="A826" s="40">
        <f>元データ!P823</f>
        <v>335</v>
      </c>
      <c r="B826" s="27">
        <f t="shared" si="12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IF(AA826="非採用",0,IF(OFFSET(マスタ非採用削除!E$4,統合マスタ!$A826,0)="","",OFFSET(マスタ非採用削除!E$4,統合マスタ!$A826,0)))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  <c r="AB826" s="27" t="str">
        <f ca="1">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</f>
        <v>注射</v>
      </c>
      <c r="AC826" s="27" cm="1">
        <f t="array" aca="1" ref="AC826" ca="1">OFFSET(
   INDIRECT("'" &amp; AB826 &amp; "'!A4"),
   MATCH(B826, INDIRECT("'" &amp; AB826 &amp; "'!C5:C1000"), 0),
   MATCH("合計", INDIRECT("'" &amp; AB826 &amp; "'!4:4"), 0) - 1
)</f>
        <v>0</v>
      </c>
    </row>
    <row r="827" spans="1:29">
      <c r="A827" s="40">
        <f>元データ!P824</f>
        <v>0</v>
      </c>
      <c r="B827" s="27">
        <f t="shared" si="12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コード(区分値)</v>
      </c>
      <c r="O827" s="53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3" t="str">
        <f ca="1">IF(OFFSET(マスタ非採用削除!D$4,統合マスタ!$A827,0)="","",OFFSET(マスタ非採用削除!D$4,統合マスタ!$A827,0))</f>
        <v>ホストコード</v>
      </c>
      <c r="R827" s="27" t="str">
        <f ca="1">IF(AA827="非採用",0,IF(OFFSET(マスタ非採用削除!E$4,統合マスタ!$A827,0)="","",OFFSET(マスタ非採用削除!E$4,統合マスタ!$A827,0)))</f>
        <v>採用区分（区分値）(区分値)</v>
      </c>
      <c r="S827" s="53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3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3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場所</v>
      </c>
      <c r="AA827" s="27"/>
      <c r="AB827" s="27" t="str">
        <f ca="1">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</f>
        <v>無し</v>
      </c>
      <c r="AC827" s="27" t="e" cm="1">
        <f t="array" aca="1" ref="AC827" ca="1">OFFSET(
   INDIRECT("'" &amp; AB827 &amp; "'!A4"),
   MATCH(B827, INDIRECT("'" &amp; AB827 &amp; "'!C5:C1000"), 0),
   MATCH("合計", INDIRECT("'" &amp; AB827 &amp; "'!4:4"), 0) - 1
)</f>
        <v>#REF!</v>
      </c>
    </row>
    <row r="828" spans="1:29">
      <c r="A828" s="40">
        <f>元データ!P825</f>
        <v>280</v>
      </c>
      <c r="B828" s="27">
        <f t="shared" si="12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IF(AA828="非採用",0,IF(OFFSET(マスタ非採用削除!E$4,統合マスタ!$A828,0)="","",OFFSET(マスタ非採用削除!E$4,統合マスタ!$A828,0)))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/>
      <c r="AB828" s="27" t="str">
        <f ca="1">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</f>
        <v>錠剤</v>
      </c>
      <c r="AC828" s="27" cm="1">
        <f t="array" aca="1" ref="AC828" ca="1">OFFSET(
   INDIRECT("'" &amp; AB828 &amp; "'!A4"),
   MATCH(B828, INDIRECT("'" &amp; AB828 &amp; "'!C5:C1000"), 0),
   MATCH("合計", INDIRECT("'" &amp; AB828 &amp; "'!4:4"), 0) - 1
)</f>
        <v>363</v>
      </c>
    </row>
    <row r="829" spans="1:29">
      <c r="A829" s="40">
        <f>元データ!P826</f>
        <v>280</v>
      </c>
      <c r="B829" s="27">
        <f t="shared" si="12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IF(AA829="非採用",0,IF(OFFSET(マスタ非採用削除!E$4,統合マスタ!$A829,0)="","",OFFSET(マスタ非採用削除!E$4,統合マスタ!$A829,0)))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/>
      <c r="AB829" s="27" t="str">
        <f ca="1">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</f>
        <v>錠剤</v>
      </c>
      <c r="AC829" s="27" cm="1">
        <f t="array" aca="1" ref="AC829" ca="1">OFFSET(
   INDIRECT("'" &amp; AB829 &amp; "'!A4"),
   MATCH(B829, INDIRECT("'" &amp; AB829 &amp; "'!C5:C1000"), 0),
   MATCH("合計", INDIRECT("'" &amp; AB829 &amp; "'!4:4"), 0) - 1
)</f>
        <v>364</v>
      </c>
    </row>
    <row r="830" spans="1:29">
      <c r="A830" s="40">
        <f>元データ!P827</f>
        <v>279</v>
      </c>
      <c r="B830" s="27">
        <f t="shared" si="12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IF(AA830="非採用",0,IF(OFFSET(マスタ非採用削除!E$4,統合マスタ!$A830,0)="","",OFFSET(マスタ非採用削除!E$4,統合マスタ!$A830,0)))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/>
      <c r="AB830" s="27" t="str">
        <f ca="1">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</f>
        <v>錠剤</v>
      </c>
      <c r="AC830" s="27" cm="1">
        <f t="array" aca="1" ref="AC830" ca="1">OFFSET(
   INDIRECT("'" &amp; AB830 &amp; "'!A4"),
   MATCH(B830, INDIRECT("'" &amp; AB830 &amp; "'!C5:C1000"), 0),
   MATCH("合計", INDIRECT("'" &amp; AB830 &amp; "'!4:4"), 0) - 1
)</f>
        <v>365</v>
      </c>
    </row>
    <row r="831" spans="1:29">
      <c r="A831" s="40">
        <f>元データ!P828</f>
        <v>279</v>
      </c>
      <c r="B831" s="27">
        <f t="shared" si="12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IF(AA831="非採用",0,IF(OFFSET(マスタ非採用削除!E$4,統合マスタ!$A831,0)="","",OFFSET(マスタ非採用削除!E$4,統合マスタ!$A831,0)))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/>
      <c r="AB831" s="27" t="str">
        <f ca="1">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</f>
        <v>錠剤</v>
      </c>
      <c r="AC831" s="27" cm="1">
        <f t="array" aca="1" ref="AC831" ca="1">OFFSET(
   INDIRECT("'" &amp; AB831 &amp; "'!A4"),
   MATCH(B831, INDIRECT("'" &amp; AB831 &amp; "'!C5:C1000"), 0),
   MATCH("合計", INDIRECT("'" &amp; AB831 &amp; "'!4:4"), 0) - 1
)</f>
        <v>366</v>
      </c>
    </row>
    <row r="832" spans="1:29">
      <c r="A832" s="40">
        <f>元データ!P829</f>
        <v>278</v>
      </c>
      <c r="B832" s="27">
        <f t="shared" si="12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IF(AA832="非採用",0,IF(OFFSET(マスタ非採用削除!E$4,統合マスタ!$A832,0)="","",OFFSET(マスタ非採用削除!E$4,統合マスタ!$A832,0)))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  <c r="AB832" s="27" t="str">
        <f ca="1">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</f>
        <v>散剤</v>
      </c>
      <c r="AC832" s="27" cm="1">
        <f t="array" aca="1" ref="AC832" ca="1">OFFSET(
   INDIRECT("'" &amp; AB832 &amp; "'!A4"),
   MATCH(B832, INDIRECT("'" &amp; AB832 &amp; "'!C5:C1000"), 0),
   MATCH("合計", INDIRECT("'" &amp; AB832 &amp; "'!4:4"), 0) - 1
)</f>
        <v>20500</v>
      </c>
    </row>
    <row r="833" spans="1:29">
      <c r="A833" s="40">
        <f>元データ!P830</f>
        <v>0</v>
      </c>
      <c r="B833" s="27">
        <f t="shared" si="12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str">
        <f ca="1">IF(OFFSET(マスタ非採用削除!A$4,統合マスタ!$A833,0)="","",OFFSET(マスタ非採用削除!A$4,統合マスタ!$A833,0))</f>
        <v>コード(区分値)</v>
      </c>
      <c r="O833" s="53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3" t="str">
        <f ca="1">IF(OFFSET(マスタ非採用削除!D$4,統合マスタ!$A833,0)="","",OFFSET(マスタ非採用削除!D$4,統合マスタ!$A833,0))</f>
        <v>ホストコード</v>
      </c>
      <c r="R833" s="27" t="str">
        <f ca="1">IF(AA833="非採用",0,IF(OFFSET(マスタ非採用削除!E$4,統合マスタ!$A833,0)="","",OFFSET(マスタ非採用削除!E$4,統合マスタ!$A833,0)))</f>
        <v>採用区分（区分値）(区分値)</v>
      </c>
      <c r="S833" s="53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3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3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場所</v>
      </c>
      <c r="AA833" s="27"/>
      <c r="AB833" s="27" t="str">
        <f ca="1">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</f>
        <v>無し</v>
      </c>
      <c r="AC833" s="27" t="e" cm="1">
        <f t="array" aca="1" ref="AC833" ca="1">OFFSET(
   INDIRECT("'" &amp; AB833 &amp; "'!A4"),
   MATCH(B833, INDIRECT("'" &amp; AB833 &amp; "'!C5:C1000"), 0),
   MATCH("合計", INDIRECT("'" &amp; AB833 &amp; "'!4:4"), 0) - 1
)</f>
        <v>#REF!</v>
      </c>
    </row>
    <row r="834" spans="1:29">
      <c r="A834" s="40">
        <f>元データ!P831</f>
        <v>0</v>
      </c>
      <c r="B834" s="27">
        <f t="shared" si="12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コード(区分値)</v>
      </c>
      <c r="O834" s="53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3" t="str">
        <f ca="1">IF(OFFSET(マスタ非採用削除!D$4,統合マスタ!$A834,0)="","",OFFSET(マスタ非採用削除!D$4,統合マスタ!$A834,0))</f>
        <v>ホストコード</v>
      </c>
      <c r="R834" s="27" t="str">
        <f ca="1">IF(AA834="非採用",0,IF(OFFSET(マスタ非採用削除!E$4,統合マスタ!$A834,0)="","",OFFSET(マスタ非採用削除!E$4,統合マスタ!$A834,0)))</f>
        <v>採用区分（区分値）(区分値)</v>
      </c>
      <c r="S834" s="53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3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3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場所</v>
      </c>
      <c r="AA834" s="27"/>
      <c r="AB834" s="27" t="str">
        <f ca="1">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</f>
        <v>無し</v>
      </c>
      <c r="AC834" s="27" t="e" cm="1">
        <f t="array" aca="1" ref="AC834" ca="1">OFFSET(
   INDIRECT("'" &amp; AB834 &amp; "'!A4"),
   MATCH(B834, INDIRECT("'" &amp; AB834 &amp; "'!C5:C1000"), 0),
   MATCH("合計", INDIRECT("'" &amp; AB834 &amp; "'!4:4"), 0) - 1
)</f>
        <v>#REF!</v>
      </c>
    </row>
    <row r="835" spans="1:29">
      <c r="A835" s="40">
        <f>元データ!P832</f>
        <v>0</v>
      </c>
      <c r="B835" s="27">
        <f t="shared" si="12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コード(区分値)</v>
      </c>
      <c r="O835" s="53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3" t="str">
        <f ca="1">IF(OFFSET(マスタ非採用削除!D$4,統合マスタ!$A835,0)="","",OFFSET(マスタ非採用削除!D$4,統合マスタ!$A835,0))</f>
        <v>ホストコード</v>
      </c>
      <c r="R835" s="27" t="str">
        <f ca="1">IF(AA835="非採用",0,IF(OFFSET(マスタ非採用削除!E$4,統合マスタ!$A835,0)="","",OFFSET(マスタ非採用削除!E$4,統合マスタ!$A835,0)))</f>
        <v>採用区分（区分値）(区分値)</v>
      </c>
      <c r="S835" s="53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3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3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場所</v>
      </c>
      <c r="AA835" s="27"/>
      <c r="AB835" s="27" t="str">
        <f ca="1">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</f>
        <v>無し</v>
      </c>
      <c r="AC835" s="27" t="e" cm="1">
        <f t="array" aca="1" ref="AC835" ca="1">OFFSET(
   INDIRECT("'" &amp; AB835 &amp; "'!A4"),
   MATCH(B835, INDIRECT("'" &amp; AB835 &amp; "'!C5:C1000"), 0),
   MATCH("合計", INDIRECT("'" &amp; AB835 &amp; "'!4:4"), 0) - 1
)</f>
        <v>#REF!</v>
      </c>
    </row>
    <row r="836" spans="1:29">
      <c r="A836" s="40">
        <f>元データ!P833</f>
        <v>381</v>
      </c>
      <c r="B836" s="27">
        <f t="shared" si="12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IF(AA836="非採用",0,IF(OFFSET(マスタ非採用削除!E$4,統合マスタ!$A836,0)="","",OFFSET(マスタ非採用削除!E$4,統合マスタ!$A836,0)))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  <c r="AB836" s="27" t="str">
        <f ca="1">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</f>
        <v>外用剤</v>
      </c>
      <c r="AC836" s="27" t="e" cm="1">
        <f t="array" aca="1" ref="AC836" ca="1">OFFSET(
   INDIRECT("'" &amp; AB836 &amp; "'!A4"),
   MATCH(B836, INDIRECT("'" &amp; AB836 &amp; "'!C5:C1000"), 0),
   MATCH("合計", INDIRECT("'" &amp; AB836 &amp; "'!4:4"), 0) - 1
)</f>
        <v>#REF!</v>
      </c>
    </row>
    <row r="837" spans="1:29">
      <c r="A837" s="40">
        <f>元データ!P834</f>
        <v>0</v>
      </c>
      <c r="B837" s="27">
        <f t="shared" si="12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コード(区分値)</v>
      </c>
      <c r="O837" s="53" t="str">
        <f ca="1">IF(OFFSET(マスタ非採用削除!B$4,統合マスタ!$A837,0)="","",OFFSET(マスタ非採用削除!B$4,統合マスタ!$A837,0))</f>
        <v>コード</v>
      </c>
      <c r="P837" s="27" t="str">
        <f ca="1">IF(OFFSET(マスタ非採用削除!C$4,統合マスタ!$A837,0)="","",OFFSET(マスタ非採用削除!C$4,統合マスタ!$A837,0))</f>
        <v>名称</v>
      </c>
      <c r="Q837" s="53" t="str">
        <f ca="1">IF(OFFSET(マスタ非採用削除!D$4,統合マスタ!$A837,0)="","",OFFSET(マスタ非採用削除!D$4,統合マスタ!$A837,0))</f>
        <v>ホストコード</v>
      </c>
      <c r="R837" s="27" t="str">
        <f ca="1">IF(AA837="非採用",0,IF(OFFSET(マスタ非採用削除!E$4,統合マスタ!$A837,0)="","",OFFSET(マスタ非採用削除!E$4,統合マスタ!$A837,0)))</f>
        <v>採用区分（区分値）(区分値)</v>
      </c>
      <c r="S837" s="53" t="str">
        <f ca="1">IF(OFFSET(マスタ非採用削除!F$4,統合マスタ!$A837,0)="","",OFFSET(マスタ非採用削除!F$4,統合マスタ!$A837,0))</f>
        <v>採用区分（区分値）</v>
      </c>
      <c r="T837" s="27" t="str">
        <f ca="1">IF(OFFSET(マスタ非採用削除!G$4,統合マスタ!$A837,0)="","",OFFSET(マスタ非採用削除!G$4,統合マスタ!$A837,0))</f>
        <v>薬価</v>
      </c>
      <c r="U837" s="53" t="str">
        <f ca="1">IF(OFFSET(マスタ非採用削除!H$4,統合マスタ!$A837,0)="","",OFFSET(マスタ非採用削除!H$4,統合マスタ!$A837,0))</f>
        <v>カナ名称</v>
      </c>
      <c r="V837" s="27" t="str">
        <f ca="1">IF(OFFSET(マスタ非採用削除!I$4,統合マスタ!$A837,0)="","",OFFSET(マスタ非採用削除!I$4,統合マスタ!$A837,0))</f>
        <v>剤形(区分値)</v>
      </c>
      <c r="W837" s="27" t="str">
        <f ca="1">IF(OFFSET(マスタ非採用削除!J$4,統合マスタ!$A837,0)="","",OFFSET(マスタ非採用削除!J$4,統合マスタ!$A837,0))</f>
        <v>剤形</v>
      </c>
      <c r="X837" s="27" t="str">
        <f ca="1">IF(OFFSET(マスタ非採用削除!K$4,統合マスタ!$A837,0)="","",OFFSET(マスタ非採用削除!K$4,統合マスタ!$A837,0))</f>
        <v>毒劇薬（区分値）(区分値)</v>
      </c>
      <c r="Y837" s="53" t="str">
        <f ca="1">IF(OFFSET(マスタ非採用削除!L$4,統合マスタ!$A837,0)="","",OFFSET(マスタ非採用削除!L$4,統合マスタ!$A837,0))</f>
        <v>毒劇薬（区分値）</v>
      </c>
      <c r="Z837" s="27" t="str">
        <f ca="1">IF(OFFSET(マスタ非採用削除!M$4,統合マスタ!$A837,0)="","",OFFSET(マスタ非採用削除!M$4,統合マスタ!$A837,0))</f>
        <v>場所</v>
      </c>
      <c r="AA837" s="27"/>
      <c r="AB837" s="27" t="str">
        <f ca="1">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</f>
        <v>無し</v>
      </c>
      <c r="AC837" s="27" t="e" cm="1">
        <f t="array" aca="1" ref="AC837" ca="1">OFFSET(
   INDIRECT("'" &amp; AB837 &amp; "'!A4"),
   MATCH(B837, INDIRECT("'" &amp; AB837 &amp; "'!C5:C1000"), 0),
   MATCH("合計", INDIRECT("'" &amp; AB837 &amp; "'!4:4"), 0) - 1
)</f>
        <v>#REF!</v>
      </c>
    </row>
  </sheetData>
  <autoFilter ref="A4:AC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B2:M304"/>
  <sheetViews>
    <sheetView workbookViewId="0">
      <selection activeCell="C4" sqref="C4"/>
    </sheetView>
  </sheetViews>
  <sheetFormatPr defaultRowHeight="13.2"/>
  <cols>
    <col min="1" max="1" width="8.88671875" style="29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2:13" ht="16.2">
      <c r="B2" s="28" t="str" cm="1">
        <f t="array" aca="1" ref="B2" ca="1">RIGHT(CELL("filename",A1),LEN(CELL("filename",A1))-FIND("]",CELL("filename",A1)))</f>
        <v>臨時</v>
      </c>
      <c r="C2" s="28"/>
    </row>
    <row r="4" spans="2:13" s="62" customFormat="1" ht="52.8">
      <c r="B4" s="61" t="s">
        <v>4038</v>
      </c>
      <c r="C4" s="61" t="s">
        <v>4228</v>
      </c>
      <c r="D4" s="61" t="s">
        <v>4039</v>
      </c>
      <c r="E4" s="61" t="s">
        <v>4040</v>
      </c>
      <c r="F4" s="61" t="s">
        <v>4216</v>
      </c>
      <c r="G4" s="61" t="s">
        <v>4063</v>
      </c>
      <c r="H4" s="61" t="s">
        <v>4064</v>
      </c>
      <c r="I4" s="61" t="s">
        <v>4219</v>
      </c>
      <c r="J4" s="61" t="s">
        <v>4222</v>
      </c>
      <c r="K4" s="61" t="s">
        <v>4215</v>
      </c>
      <c r="L4" s="61" t="s">
        <v>4221</v>
      </c>
      <c r="M4" s="61" t="s">
        <v>4226</v>
      </c>
    </row>
    <row r="5" spans="2:13">
      <c r="B5" s="27">
        <v>1</v>
      </c>
      <c r="C5" s="27" cm="1">
        <f t="array" aca="1" ref="C5:I148" ca="1">_xlfn._xlws.SORT(_xlfn.CHOOSECOLS(_xlfn._xlws.FILTER(IFERROR(統合マスタ!B5:Z1500,""),IFERROR(統合マスタ!R5:R1500=2,FALSE)),1,2,23,25,4,5,10),2,1)</f>
        <v>1</v>
      </c>
      <c r="D5" s="27" t="str">
        <f ca="1"/>
        <v>００７　ツムラ　ハチミジオウガン</v>
      </c>
      <c r="E5" s="27">
        <f ca="1"/>
        <v>0</v>
      </c>
      <c r="F5" s="54">
        <f ca="1"/>
        <v>4</v>
      </c>
      <c r="G5" s="54" t="str">
        <f ca="1"/>
        <v>粉</v>
      </c>
      <c r="H5" s="54" t="str">
        <f ca="1"/>
        <v>２．５ｇｘ１８９</v>
      </c>
      <c r="I5" s="54" t="str">
        <f ca="1"/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54"/>
      <c r="M5" s="54"/>
    </row>
    <row r="6" spans="2:13">
      <c r="B6" s="27">
        <f>B5+1</f>
        <v>2</v>
      </c>
      <c r="C6" s="27">
        <f ca="1"/>
        <v>2</v>
      </c>
      <c r="D6" s="27" t="str">
        <f ca="1"/>
        <v>００７　ツムラ　ハチミジオウガン</v>
      </c>
      <c r="E6" s="27">
        <f ca="1"/>
        <v>0</v>
      </c>
      <c r="F6" s="54">
        <f ca="1"/>
        <v>4</v>
      </c>
      <c r="G6" s="54" t="str">
        <f ca="1"/>
        <v>粉</v>
      </c>
      <c r="H6" s="54" t="str">
        <f ca="1"/>
        <v>２．５ｇｘ４２</v>
      </c>
      <c r="I6" s="54" t="str">
        <f ca="1"/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54"/>
      <c r="M6" s="54"/>
    </row>
    <row r="7" spans="2:13">
      <c r="B7" s="27">
        <f t="shared" ref="B7:B70" si="1">B6+1</f>
        <v>3</v>
      </c>
      <c r="C7" s="27">
        <f ca="1"/>
        <v>3</v>
      </c>
      <c r="D7" s="27" t="str">
        <f ca="1"/>
        <v>０１２　ツムラ　サイコカリュウコツボレイトウ</v>
      </c>
      <c r="E7" s="27">
        <f ca="1"/>
        <v>0</v>
      </c>
      <c r="F7" s="54">
        <f ca="1"/>
        <v>4</v>
      </c>
      <c r="G7" s="54" t="str">
        <f ca="1"/>
        <v>粉</v>
      </c>
      <c r="H7" s="54" t="str">
        <f ca="1"/>
        <v>２．５ｇｘ１８９</v>
      </c>
      <c r="I7" s="54" t="str">
        <f ca="1"/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54"/>
      <c r="M7" s="54"/>
    </row>
    <row r="8" spans="2:13">
      <c r="B8" s="27">
        <f t="shared" si="1"/>
        <v>4</v>
      </c>
      <c r="C8" s="27">
        <f ca="1"/>
        <v>4</v>
      </c>
      <c r="D8" s="27" t="str">
        <f ca="1"/>
        <v>０１６　ツムラ　ハンゲコウボクトウ</v>
      </c>
      <c r="E8" s="27">
        <f ca="1"/>
        <v>0</v>
      </c>
      <c r="F8" s="54">
        <f ca="1"/>
        <v>4</v>
      </c>
      <c r="G8" s="54" t="str">
        <f ca="1"/>
        <v>粉</v>
      </c>
      <c r="H8" s="54" t="str">
        <f ca="1"/>
        <v>２．５ｇｘ１８９</v>
      </c>
      <c r="I8" s="54" t="str">
        <f ca="1"/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54"/>
      <c r="M8" s="54"/>
    </row>
    <row r="9" spans="2:13">
      <c r="B9" s="27">
        <f t="shared" si="1"/>
        <v>5</v>
      </c>
      <c r="C9" s="27">
        <f ca="1"/>
        <v>6</v>
      </c>
      <c r="D9" s="27" t="str">
        <f ca="1"/>
        <v>０１９　ツムラ　ショウセイリュウトウ</v>
      </c>
      <c r="E9" s="27">
        <f ca="1"/>
        <v>0</v>
      </c>
      <c r="F9" s="54">
        <f ca="1"/>
        <v>4</v>
      </c>
      <c r="G9" s="54" t="str">
        <f ca="1"/>
        <v>粉</v>
      </c>
      <c r="H9" s="54" t="str">
        <f ca="1"/>
        <v>３ｇＸ４２</v>
      </c>
      <c r="I9" s="54" t="str">
        <f ca="1"/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54"/>
      <c r="M9" s="54"/>
    </row>
    <row r="10" spans="2:13">
      <c r="B10" s="27">
        <f t="shared" si="1"/>
        <v>6</v>
      </c>
      <c r="C10" s="27">
        <f ca="1"/>
        <v>7</v>
      </c>
      <c r="D10" s="27" t="str">
        <f ca="1"/>
        <v>０４３　ツムラ　リツクンシトウ</v>
      </c>
      <c r="E10" s="27">
        <f ca="1"/>
        <v>0</v>
      </c>
      <c r="F10" s="54">
        <f ca="1"/>
        <v>4</v>
      </c>
      <c r="G10" s="54" t="str">
        <f ca="1"/>
        <v>粉</v>
      </c>
      <c r="H10" s="54" t="str">
        <f ca="1"/>
        <v>２．５ｇｘ１８９</v>
      </c>
      <c r="I10" s="54" t="str">
        <f ca="1"/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54"/>
      <c r="M10" s="54"/>
    </row>
    <row r="11" spans="2:13">
      <c r="B11" s="27">
        <f t="shared" si="1"/>
        <v>7</v>
      </c>
      <c r="C11" s="27">
        <f ca="1"/>
        <v>14</v>
      </c>
      <c r="D11" s="27" t="str">
        <f ca="1"/>
        <v>１０８　ツムラ　ニンジンヨウエイトウ</v>
      </c>
      <c r="E11" s="27">
        <f ca="1"/>
        <v>0</v>
      </c>
      <c r="F11" s="54">
        <f ca="1"/>
        <v>4</v>
      </c>
      <c r="G11" s="54" t="str">
        <f ca="1"/>
        <v>粉</v>
      </c>
      <c r="H11" s="54" t="str">
        <f ca="1"/>
        <v>３ｇｘ４２包</v>
      </c>
      <c r="I11" s="54" t="str">
        <f ca="1"/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54"/>
      <c r="M11" s="54"/>
    </row>
    <row r="12" spans="2:13">
      <c r="B12" s="27">
        <f t="shared" si="1"/>
        <v>8</v>
      </c>
      <c r="C12" s="27">
        <f ca="1"/>
        <v>15</v>
      </c>
      <c r="D12" s="27" t="str">
        <f ca="1"/>
        <v>１１２　ツムラ　チョレイトウゴウシモットウ</v>
      </c>
      <c r="E12" s="27">
        <f ca="1"/>
        <v>0</v>
      </c>
      <c r="F12" s="54">
        <f ca="1"/>
        <v>4</v>
      </c>
      <c r="G12" s="54" t="str">
        <f ca="1"/>
        <v>粉</v>
      </c>
      <c r="H12" s="54" t="str">
        <f ca="1"/>
        <v>２．５ｇｘ４２</v>
      </c>
      <c r="I12" s="54" t="str">
        <f ca="1"/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54"/>
      <c r="M12" s="54"/>
    </row>
    <row r="13" spans="2:13">
      <c r="B13" s="27">
        <f t="shared" si="1"/>
        <v>9</v>
      </c>
      <c r="C13" s="27">
        <f ca="1"/>
        <v>18</v>
      </c>
      <c r="D13" s="27" t="str">
        <f ca="1"/>
        <v>ＥＫ１１４　柴苓湯　　　　　　　　　　　</v>
      </c>
      <c r="E13" s="27">
        <f ca="1"/>
        <v>0</v>
      </c>
      <c r="F13" s="54">
        <f ca="1"/>
        <v>4</v>
      </c>
      <c r="G13" s="54" t="str">
        <f ca="1"/>
        <v>粉</v>
      </c>
      <c r="H13" s="54" t="str">
        <f ca="1"/>
        <v>２．７ｇ×２９４</v>
      </c>
      <c r="I13" s="54" t="str">
        <f ca="1"/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54"/>
      <c r="M13" s="54"/>
    </row>
    <row r="14" spans="2:13">
      <c r="B14" s="27">
        <f t="shared" si="1"/>
        <v>10</v>
      </c>
      <c r="C14" s="27">
        <f ca="1"/>
        <v>19</v>
      </c>
      <c r="D14" s="27" t="str">
        <f ca="1"/>
        <v>ＥＫ１５　黄連解毒湯エキス細粒</v>
      </c>
      <c r="E14" s="27">
        <f ca="1"/>
        <v>0</v>
      </c>
      <c r="F14" s="54">
        <f ca="1"/>
        <v>4</v>
      </c>
      <c r="G14" s="54" t="str">
        <f ca="1"/>
        <v>粉</v>
      </c>
      <c r="H14" s="54" t="str">
        <f ca="1"/>
        <v>２ｇｘ４２包</v>
      </c>
      <c r="I14" s="54" t="str">
        <f ca="1"/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54"/>
      <c r="M14" s="54"/>
    </row>
    <row r="15" spans="2:13">
      <c r="B15" s="27">
        <f t="shared" si="1"/>
        <v>11</v>
      </c>
      <c r="C15" s="27">
        <f ca="1"/>
        <v>22</v>
      </c>
      <c r="D15" s="27" t="str">
        <f ca="1"/>
        <v>ＥＫ４０　猪苓湯エキス細粒</v>
      </c>
      <c r="E15" s="27">
        <f ca="1"/>
        <v>0</v>
      </c>
      <c r="F15" s="54">
        <f ca="1"/>
        <v>4</v>
      </c>
      <c r="G15" s="54" t="str">
        <f ca="1"/>
        <v>粉</v>
      </c>
      <c r="H15" s="54" t="str">
        <f ca="1"/>
        <v>２ｇｘ４２包</v>
      </c>
      <c r="I15" s="54" t="str">
        <f ca="1"/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54"/>
      <c r="M15" s="54"/>
    </row>
    <row r="16" spans="2:13">
      <c r="B16" s="27">
        <f t="shared" si="1"/>
        <v>12</v>
      </c>
      <c r="C16" s="27">
        <f ca="1"/>
        <v>26</v>
      </c>
      <c r="D16" s="27" t="str">
        <f ca="1"/>
        <v>Ｔ７２　ヨクイニンエキス錠「コタロー」</v>
      </c>
      <c r="E16" s="27">
        <f ca="1"/>
        <v>0</v>
      </c>
      <c r="F16" s="54">
        <f ca="1"/>
        <v>15</v>
      </c>
      <c r="G16" s="54" t="str">
        <f ca="1"/>
        <v>バラ</v>
      </c>
      <c r="H16" s="54" t="str">
        <f ca="1"/>
        <v>１２６Ｔｘ１０</v>
      </c>
      <c r="I16" s="54" t="str">
        <f ca="1"/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54"/>
      <c r="M16" s="54"/>
    </row>
    <row r="17" spans="2:13">
      <c r="B17" s="27">
        <f t="shared" si="1"/>
        <v>13</v>
      </c>
      <c r="C17" s="27">
        <f ca="1"/>
        <v>35</v>
      </c>
      <c r="D17" s="27" t="str">
        <f ca="1"/>
        <v>アザルフィジンＥＮ錠５００ｍｇ</v>
      </c>
      <c r="E17" s="27">
        <f ca="1"/>
        <v>0</v>
      </c>
      <c r="F17" s="54">
        <f ca="1"/>
        <v>3</v>
      </c>
      <c r="G17" s="54" t="str">
        <f ca="1"/>
        <v>ＰＴＰ</v>
      </c>
      <c r="H17" s="54" t="str">
        <f ca="1"/>
        <v>１００Ｔ</v>
      </c>
      <c r="I17" s="54" t="str">
        <f ca="1"/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54"/>
      <c r="M17" s="54"/>
    </row>
    <row r="18" spans="2:13">
      <c r="B18" s="27">
        <f t="shared" si="1"/>
        <v>14</v>
      </c>
      <c r="C18" s="27">
        <f ca="1"/>
        <v>36</v>
      </c>
      <c r="D18" s="27" t="str">
        <f ca="1"/>
        <v>アシクロビル点滴静注用２５０ｍｇ「サワイ」</v>
      </c>
      <c r="E18" s="27">
        <f ca="1"/>
        <v>0</v>
      </c>
      <c r="F18" s="54">
        <f ca="1"/>
        <v>9</v>
      </c>
      <c r="G18" s="54" t="str">
        <f ca="1"/>
        <v/>
      </c>
      <c r="H18" s="54" t="str">
        <f ca="1"/>
        <v>１０Ｖ</v>
      </c>
      <c r="I18" s="54" t="str">
        <f ca="1"/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54"/>
      <c r="M18" s="54"/>
    </row>
    <row r="19" spans="2:13">
      <c r="B19" s="27">
        <f t="shared" si="1"/>
        <v>15</v>
      </c>
      <c r="C19" s="27">
        <f ca="1"/>
        <v>51</v>
      </c>
      <c r="D19" s="27" t="str">
        <f ca="1"/>
        <v>アセリオ静注液１０００ｍｇバッグ</v>
      </c>
      <c r="E19" s="27">
        <f ca="1"/>
        <v>2</v>
      </c>
      <c r="F19" s="54">
        <f ca="1"/>
        <v>8</v>
      </c>
      <c r="G19" s="54" t="str">
        <f ca="1"/>
        <v/>
      </c>
      <c r="H19" s="54" t="str">
        <f ca="1"/>
        <v>１００ｍｌｘ２０</v>
      </c>
      <c r="I19" s="54" t="str">
        <f ca="1"/>
        <v>袋</v>
      </c>
      <c r="J19" s="54" t="str">
        <f ca="1">IF(F19="","",OFFSET(分類!$B$29,MATCH(F19,分類!$A$30:$A$46,0),0))</f>
        <v>抗生剤.小輸液</v>
      </c>
      <c r="K19" s="54" t="str">
        <f t="shared" ca="1" si="0"/>
        <v/>
      </c>
      <c r="L19" s="54"/>
      <c r="M19" s="54"/>
    </row>
    <row r="20" spans="2:13">
      <c r="B20" s="27">
        <f t="shared" si="1"/>
        <v>16</v>
      </c>
      <c r="C20" s="27">
        <f ca="1"/>
        <v>52</v>
      </c>
      <c r="D20" s="27" t="str">
        <f ca="1"/>
        <v>アセレンド注１００μｇ</v>
      </c>
      <c r="E20" s="27">
        <f ca="1"/>
        <v>2</v>
      </c>
      <c r="F20" s="54">
        <f ca="1"/>
        <v>9</v>
      </c>
      <c r="G20" s="54" t="str">
        <f ca="1"/>
        <v/>
      </c>
      <c r="H20" s="54" t="str">
        <f ca="1"/>
        <v>２ｍｌｘ１０Ａ</v>
      </c>
      <c r="I20" s="54" t="str">
        <f ca="1"/>
        <v>瓶</v>
      </c>
      <c r="J20" s="54" t="str">
        <f ca="1">IF(F20="","",OFFSET(分類!$B$29,MATCH(F20,分類!$A$30:$A$46,0),0))</f>
        <v>注射</v>
      </c>
      <c r="K20" s="54" t="str">
        <f t="shared" ca="1" si="0"/>
        <v/>
      </c>
      <c r="L20" s="54"/>
      <c r="M20" s="54"/>
    </row>
    <row r="21" spans="2:13">
      <c r="B21" s="27">
        <f t="shared" si="1"/>
        <v>17</v>
      </c>
      <c r="C21" s="27">
        <f ca="1"/>
        <v>53</v>
      </c>
      <c r="D21" s="27" t="str">
        <f ca="1"/>
        <v>アゾセミド錠３０ｍｇ「ＤＳＥＰ」</v>
      </c>
      <c r="E21" s="27">
        <f ca="1"/>
        <v>0</v>
      </c>
      <c r="F21" s="54">
        <f ca="1"/>
        <v>3</v>
      </c>
      <c r="G21" s="54" t="str">
        <f ca="1"/>
        <v>ＰＴＰ</v>
      </c>
      <c r="H21" s="54" t="str">
        <f ca="1"/>
        <v>１００Ｔ</v>
      </c>
      <c r="I21" s="54" t="str">
        <f ca="1"/>
        <v>錠</v>
      </c>
      <c r="J21" s="54" t="str">
        <f ca="1">IF(F21="","",OFFSET(分類!$B$29,MATCH(F21,分類!$A$30:$A$46,0),0))</f>
        <v>外用.臨時.散薬ヒート</v>
      </c>
      <c r="K21" s="54" t="str">
        <f t="shared" ca="1" si="0"/>
        <v/>
      </c>
      <c r="L21" s="54"/>
      <c r="M21" s="54"/>
    </row>
    <row r="22" spans="2:13">
      <c r="B22" s="27">
        <f t="shared" si="1"/>
        <v>18</v>
      </c>
      <c r="C22" s="27">
        <f ca="1"/>
        <v>57</v>
      </c>
      <c r="D22" s="27" t="str">
        <f ca="1"/>
        <v>アドエア５００ディスカス
６０吸入用</v>
      </c>
      <c r="E22" s="27">
        <f ca="1"/>
        <v>0</v>
      </c>
      <c r="F22" s="54">
        <f ca="1"/>
        <v>3</v>
      </c>
      <c r="G22" s="54" t="str">
        <f ca="1"/>
        <v/>
      </c>
      <c r="H22" s="54" t="str">
        <f ca="1"/>
        <v>６０ブリスターｘ１</v>
      </c>
      <c r="I22" s="54" t="str">
        <f ca="1"/>
        <v>個</v>
      </c>
      <c r="J22" s="54" t="str">
        <f ca="1">IF(F22="","",OFFSET(分類!$B$29,MATCH(F22,分類!$A$30:$A$46,0),0))</f>
        <v>外用.臨時.散薬ヒート</v>
      </c>
      <c r="K22" s="54" t="str">
        <f t="shared" ca="1" si="0"/>
        <v/>
      </c>
      <c r="L22" s="54"/>
      <c r="M22" s="54"/>
    </row>
    <row r="23" spans="2:13">
      <c r="B23" s="27">
        <f t="shared" si="1"/>
        <v>19</v>
      </c>
      <c r="C23" s="27">
        <f ca="1"/>
        <v>70</v>
      </c>
      <c r="D23" s="27" t="str">
        <f ca="1"/>
        <v>アナストロゾール錠１ｍｇ「サワイ」</v>
      </c>
      <c r="E23" s="27">
        <f ca="1"/>
        <v>2</v>
      </c>
      <c r="F23" s="54">
        <f ca="1"/>
        <v>3</v>
      </c>
      <c r="G23" s="54" t="str">
        <f ca="1"/>
        <v>ＰＴＰ</v>
      </c>
      <c r="H23" s="54" t="str">
        <f ca="1"/>
        <v>３０Ｔ</v>
      </c>
      <c r="I23" s="54" t="str">
        <f ca="1"/>
        <v>錠</v>
      </c>
      <c r="J23" s="54" t="str">
        <f ca="1">IF(F23="","",OFFSET(分類!$B$29,MATCH(F23,分類!$A$30:$A$46,0),0))</f>
        <v>外用.臨時.散薬ヒート</v>
      </c>
      <c r="K23" s="54" t="str">
        <f t="shared" ca="1" si="0"/>
        <v/>
      </c>
      <c r="L23" s="54"/>
      <c r="M23" s="54"/>
    </row>
    <row r="24" spans="2:13">
      <c r="B24" s="27">
        <f t="shared" si="1"/>
        <v>20</v>
      </c>
      <c r="C24" s="27">
        <f ca="1"/>
        <v>77</v>
      </c>
      <c r="D24" s="27" t="str">
        <f ca="1"/>
        <v>アミノレバン点滴静注</v>
      </c>
      <c r="E24" s="27">
        <f ca="1"/>
        <v>0</v>
      </c>
      <c r="F24" s="54">
        <f ca="1"/>
        <v>15</v>
      </c>
      <c r="G24" s="54" t="str">
        <f ca="1"/>
        <v/>
      </c>
      <c r="H24" s="54" t="str">
        <f ca="1"/>
        <v>５００ｍｌｘ２０</v>
      </c>
      <c r="I24" s="54" t="str">
        <f ca="1"/>
        <v>袋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54"/>
      <c r="M24" s="54"/>
    </row>
    <row r="25" spans="2:13">
      <c r="B25" s="27">
        <f t="shared" si="1"/>
        <v>21</v>
      </c>
      <c r="C25" s="27">
        <f ca="1"/>
        <v>103</v>
      </c>
      <c r="D25" s="27" t="str">
        <f ca="1"/>
        <v>イノソリッド配合経腸用半固形剤</v>
      </c>
      <c r="E25" s="27">
        <f ca="1"/>
        <v>0</v>
      </c>
      <c r="F25" s="54">
        <f ca="1"/>
        <v>7</v>
      </c>
      <c r="G25" s="54" t="str">
        <f ca="1"/>
        <v/>
      </c>
      <c r="H25" s="54" t="str">
        <f ca="1"/>
        <v>３００ｇｘ１８バッグ</v>
      </c>
      <c r="I25" s="54" t="str">
        <f ca="1"/>
        <v>10ｇ</v>
      </c>
      <c r="J25" s="54" t="str">
        <f ca="1">IF(F25="","",OFFSET(分類!$B$29,MATCH(F25,分類!$A$30:$A$46,0),0))</f>
        <v>軟膏</v>
      </c>
      <c r="K25" s="54" t="str">
        <f t="shared" ca="1" si="0"/>
        <v/>
      </c>
      <c r="L25" s="54"/>
      <c r="M25" s="54"/>
    </row>
    <row r="26" spans="2:13">
      <c r="B26" s="27">
        <f t="shared" si="1"/>
        <v>22</v>
      </c>
      <c r="C26" s="27">
        <f ca="1"/>
        <v>110</v>
      </c>
      <c r="D26" s="27" t="str">
        <f ca="1"/>
        <v>イリボー錠５μｇ</v>
      </c>
      <c r="E26" s="27">
        <f ca="1"/>
        <v>2</v>
      </c>
      <c r="F26" s="54">
        <f ca="1"/>
        <v>15</v>
      </c>
      <c r="G26" s="54" t="str">
        <f ca="1"/>
        <v>ＰＴＰ</v>
      </c>
      <c r="H26" s="54" t="str">
        <f ca="1"/>
        <v>１００Ｔ</v>
      </c>
      <c r="I26" s="54" t="str">
        <f ca="1"/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54"/>
      <c r="M26" s="54"/>
    </row>
    <row r="27" spans="2:13">
      <c r="B27" s="27">
        <f t="shared" si="1"/>
        <v>23</v>
      </c>
      <c r="C27" s="27">
        <f ca="1"/>
        <v>115</v>
      </c>
      <c r="D27" s="27" t="str">
        <f ca="1"/>
        <v>インチュニブ錠１ｍｇ</v>
      </c>
      <c r="E27" s="27">
        <f ca="1"/>
        <v>2</v>
      </c>
      <c r="F27" s="54">
        <f ca="1"/>
        <v>3</v>
      </c>
      <c r="G27" s="54" t="str">
        <f ca="1"/>
        <v>ＰＴＰ</v>
      </c>
      <c r="H27" s="54" t="str">
        <f ca="1"/>
        <v>１００Ｔ</v>
      </c>
      <c r="I27" s="54" t="str">
        <f ca="1"/>
        <v>錠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54"/>
      <c r="M27" s="54"/>
    </row>
    <row r="28" spans="2:13">
      <c r="B28" s="27">
        <f t="shared" si="1"/>
        <v>24</v>
      </c>
      <c r="C28" s="27">
        <f ca="1"/>
        <v>119</v>
      </c>
      <c r="D28" s="27" t="str">
        <f ca="1"/>
        <v>イントラリポス輸液２０％　　　　　　ソフトバッグ　１００ｍｌ</v>
      </c>
      <c r="E28" s="27">
        <f ca="1"/>
        <v>0</v>
      </c>
      <c r="F28" s="54">
        <f ca="1"/>
        <v>8</v>
      </c>
      <c r="G28" s="54" t="str">
        <f ca="1"/>
        <v/>
      </c>
      <c r="H28" s="54" t="str">
        <f ca="1"/>
        <v>１００ｍｌｘ１０</v>
      </c>
      <c r="I28" s="54" t="str">
        <f ca="1"/>
        <v>100ｍｌ</v>
      </c>
      <c r="J28" s="54" t="str">
        <f ca="1">IF(F28="","",OFFSET(分類!$B$29,MATCH(F28,分類!$A$30:$A$46,0),0))</f>
        <v>抗生剤.小輸液</v>
      </c>
      <c r="K28" s="54" t="str">
        <f t="shared" ca="1" si="0"/>
        <v/>
      </c>
      <c r="L28" s="54"/>
      <c r="M28" s="54"/>
    </row>
    <row r="29" spans="2:13">
      <c r="B29" s="27">
        <f t="shared" si="1"/>
        <v>25</v>
      </c>
      <c r="C29" s="27">
        <f ca="1"/>
        <v>122</v>
      </c>
      <c r="D29" s="27" t="str">
        <f ca="1"/>
        <v>エイゾプト懸濁性点眼液１％</v>
      </c>
      <c r="E29" s="27">
        <f ca="1"/>
        <v>0</v>
      </c>
      <c r="F29" s="54">
        <f ca="1"/>
        <v>15</v>
      </c>
      <c r="G29" s="54" t="str">
        <f ca="1"/>
        <v/>
      </c>
      <c r="H29" s="54" t="str">
        <f ca="1"/>
        <v>５ｍｌｘ１０</v>
      </c>
      <c r="I29" s="54" t="str">
        <f ca="1"/>
        <v>ｍｌ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54"/>
      <c r="M29" s="54"/>
    </row>
    <row r="30" spans="2:13">
      <c r="B30" s="27">
        <f t="shared" si="1"/>
        <v>26</v>
      </c>
      <c r="C30" s="27">
        <f ca="1"/>
        <v>127</v>
      </c>
      <c r="D30" s="27" t="str">
        <f ca="1"/>
        <v>エゼチミブＯＤ錠１０ｍｇ「トーワ」</v>
      </c>
      <c r="E30" s="27">
        <f ca="1"/>
        <v>0</v>
      </c>
      <c r="F30" s="54">
        <f ca="1"/>
        <v>3</v>
      </c>
      <c r="G30" s="54" t="str">
        <f ca="1"/>
        <v>ＰＴＰ</v>
      </c>
      <c r="H30" s="54" t="str">
        <f ca="1"/>
        <v>１００Ｔ</v>
      </c>
      <c r="I30" s="54" t="str">
        <f ca="1"/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54"/>
      <c r="M30" s="54"/>
    </row>
    <row r="31" spans="2:13">
      <c r="B31" s="27">
        <f t="shared" si="1"/>
        <v>27</v>
      </c>
      <c r="C31" s="27">
        <f ca="1"/>
        <v>143</v>
      </c>
      <c r="D31" s="27" t="str">
        <f ca="1"/>
        <v>エフィエント錠２．５ｍｇ</v>
      </c>
      <c r="E31" s="27">
        <f ca="1"/>
        <v>0</v>
      </c>
      <c r="F31" s="54">
        <f ca="1"/>
        <v>15</v>
      </c>
      <c r="G31" s="54" t="str">
        <f ca="1"/>
        <v>ＰＴＰ</v>
      </c>
      <c r="H31" s="54" t="str">
        <f ca="1"/>
        <v>１００Ｔ</v>
      </c>
      <c r="I31" s="54" t="str">
        <f ca="1"/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54"/>
      <c r="M31" s="54"/>
    </row>
    <row r="32" spans="2:13">
      <c r="B32" s="27">
        <f t="shared" si="1"/>
        <v>28</v>
      </c>
      <c r="C32" s="27">
        <f ca="1"/>
        <v>144</v>
      </c>
      <c r="D32" s="27" t="str">
        <f ca="1"/>
        <v>エフィナコナゾール爪外用液１０％「サワイ」　３．５６ｇ</v>
      </c>
      <c r="E32" s="27">
        <f ca="1"/>
        <v>0</v>
      </c>
      <c r="F32" s="54">
        <f ca="1"/>
        <v>3</v>
      </c>
      <c r="G32" s="54" t="str">
        <f ca="1"/>
        <v/>
      </c>
      <c r="H32" s="54" t="str">
        <f ca="1"/>
        <v>４．１ｍｌｘ５</v>
      </c>
      <c r="I32" s="54" t="str">
        <f ca="1"/>
        <v>ｇ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54"/>
      <c r="M32" s="54"/>
    </row>
    <row r="33" spans="2:13">
      <c r="B33" s="27">
        <f t="shared" si="1"/>
        <v>29</v>
      </c>
      <c r="C33" s="27">
        <f ca="1"/>
        <v>148</v>
      </c>
      <c r="D33" s="27" t="str">
        <f ca="1"/>
        <v>エリキュース錠２．５ｍｇ</v>
      </c>
      <c r="E33" s="27">
        <f ca="1"/>
        <v>0</v>
      </c>
      <c r="F33" s="54">
        <f ca="1"/>
        <v>3</v>
      </c>
      <c r="G33" s="54" t="str">
        <f ca="1"/>
        <v>ＰＴＰ</v>
      </c>
      <c r="H33" s="54" t="str">
        <f ca="1"/>
        <v>１００Ｔ</v>
      </c>
      <c r="I33" s="54" t="str">
        <f ca="1"/>
        <v>錠</v>
      </c>
      <c r="J33" s="54" t="str">
        <f ca="1">IF(F33="","",OFFSET(分類!$B$29,MATCH(F33,分類!$A$30:$A$46,0),0))</f>
        <v>外用.臨時.散薬ヒート</v>
      </c>
      <c r="K33" s="54" t="str">
        <f t="shared" ca="1" si="0"/>
        <v/>
      </c>
      <c r="L33" s="54"/>
      <c r="M33" s="54"/>
    </row>
    <row r="34" spans="2:13">
      <c r="B34" s="27">
        <f t="shared" si="1"/>
        <v>30</v>
      </c>
      <c r="C34" s="27">
        <f ca="1"/>
        <v>149</v>
      </c>
      <c r="D34" s="27" t="str">
        <f ca="1"/>
        <v>エリスロシン錠２００ｍｇ</v>
      </c>
      <c r="E34" s="27">
        <f ca="1"/>
        <v>0</v>
      </c>
      <c r="F34" s="54">
        <f ca="1"/>
        <v>15</v>
      </c>
      <c r="G34" s="54" t="str">
        <f ca="1"/>
        <v>ＰＴＰ</v>
      </c>
      <c r="H34" s="54" t="str">
        <f ca="1"/>
        <v>１００Ｔ</v>
      </c>
      <c r="I34" s="54" t="str">
        <f ca="1"/>
        <v>錠</v>
      </c>
      <c r="J34" s="54" t="str">
        <f ca="1">IF(F34="","",OFFSET(分類!$B$29,MATCH(F34,分類!$A$30:$A$46,0),0))</f>
        <v>不良在庫</v>
      </c>
      <c r="K34" s="54" t="str">
        <f t="shared" ca="1" si="0"/>
        <v/>
      </c>
      <c r="L34" s="54"/>
      <c r="M34" s="54"/>
    </row>
    <row r="35" spans="2:13">
      <c r="B35" s="27">
        <f t="shared" si="1"/>
        <v>31</v>
      </c>
      <c r="C35" s="27">
        <f ca="1"/>
        <v>151</v>
      </c>
      <c r="D35" s="27" t="str">
        <f ca="1"/>
        <v>エンレスト錠１００ｍｇ</v>
      </c>
      <c r="E35" s="27">
        <f ca="1"/>
        <v>0</v>
      </c>
      <c r="F35" s="54">
        <f ca="1"/>
        <v>3</v>
      </c>
      <c r="G35" s="54" t="str">
        <f ca="1"/>
        <v>ＰＴＰ</v>
      </c>
      <c r="H35" s="54" t="str">
        <f ca="1"/>
        <v>１００Ｔ</v>
      </c>
      <c r="I35" s="54" t="str">
        <f ca="1"/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54"/>
      <c r="M35" s="54"/>
    </row>
    <row r="36" spans="2:13">
      <c r="B36" s="27">
        <f t="shared" si="1"/>
        <v>32</v>
      </c>
      <c r="C36" s="27">
        <f ca="1"/>
        <v>153</v>
      </c>
      <c r="D36" s="27" t="str">
        <f ca="1"/>
        <v>オーグメンチン配合錠２５０ＲＳ（３７５ｍｇ）</v>
      </c>
      <c r="E36" s="27">
        <f ca="1"/>
        <v>0</v>
      </c>
      <c r="F36" s="54">
        <f ca="1"/>
        <v>15</v>
      </c>
      <c r="G36" s="54" t="str">
        <f ca="1"/>
        <v>ＰＴＰ</v>
      </c>
      <c r="H36" s="54" t="str">
        <f ca="1"/>
        <v>３０Ｔ</v>
      </c>
      <c r="I36" s="54" t="str">
        <f ca="1"/>
        <v>錠</v>
      </c>
      <c r="J36" s="54" t="str">
        <f ca="1">IF(F36="","",OFFSET(分類!$B$29,MATCH(F36,分類!$A$30:$A$46,0),0))</f>
        <v>不良在庫</v>
      </c>
      <c r="K36" s="54" t="str">
        <f t="shared" ca="1" si="0"/>
        <v/>
      </c>
      <c r="L36" s="54"/>
      <c r="M36" s="54"/>
    </row>
    <row r="37" spans="2:13">
      <c r="B37" s="27">
        <f t="shared" si="1"/>
        <v>33</v>
      </c>
      <c r="C37" s="27">
        <f ca="1"/>
        <v>165</v>
      </c>
      <c r="D37" s="27" t="str">
        <f ca="1"/>
        <v>オルメテックＯＤ錠１０ｍｇ</v>
      </c>
      <c r="E37" s="27">
        <f ca="1"/>
        <v>0</v>
      </c>
      <c r="F37" s="54">
        <f ca="1"/>
        <v>3</v>
      </c>
      <c r="G37" s="54" t="str">
        <f ca="1"/>
        <v>ＰＴＰ</v>
      </c>
      <c r="H37" s="54" t="str">
        <f ca="1"/>
        <v>１００Ｔ</v>
      </c>
      <c r="I37" s="54" t="str">
        <f ca="1"/>
        <v>錠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54"/>
      <c r="M37" s="54"/>
    </row>
    <row r="38" spans="2:13">
      <c r="B38" s="27">
        <f t="shared" si="1"/>
        <v>34</v>
      </c>
      <c r="C38" s="27">
        <f ca="1"/>
        <v>171</v>
      </c>
      <c r="D38" s="27" t="str">
        <f ca="1"/>
        <v>カリメートドライシロップ９２．５９％</v>
      </c>
      <c r="E38" s="27">
        <f ca="1"/>
        <v>0</v>
      </c>
      <c r="F38" s="54">
        <f ca="1"/>
        <v>15</v>
      </c>
      <c r="G38" s="54" t="str">
        <f ca="1"/>
        <v/>
      </c>
      <c r="H38" s="54" t="str">
        <f ca="1"/>
        <v>５．４ｇｘ１２６包</v>
      </c>
      <c r="I38" s="54" t="str">
        <f ca="1"/>
        <v>ｇ</v>
      </c>
      <c r="J38" s="54" t="str">
        <f ca="1">IF(F38="","",OFFSET(分類!$B$29,MATCH(F38,分類!$A$30:$A$46,0),0))</f>
        <v>不良在庫</v>
      </c>
      <c r="K38" s="54" t="str">
        <f t="shared" ca="1" si="0"/>
        <v/>
      </c>
      <c r="L38" s="54"/>
      <c r="M38" s="54"/>
    </row>
    <row r="39" spans="2:13">
      <c r="B39" s="27">
        <f t="shared" si="1"/>
        <v>35</v>
      </c>
      <c r="C39" s="27">
        <f ca="1"/>
        <v>198</v>
      </c>
      <c r="D39" s="27" t="str">
        <f ca="1"/>
        <v>グラアルファ配合点眼液</v>
      </c>
      <c r="E39" s="27">
        <f ca="1"/>
        <v>0</v>
      </c>
      <c r="F39" s="54">
        <f ca="1"/>
        <v>3</v>
      </c>
      <c r="G39" s="54" t="str">
        <f ca="1"/>
        <v/>
      </c>
      <c r="H39" s="54" t="str">
        <f ca="1"/>
        <v>５ｍｌｘ５</v>
      </c>
      <c r="I39" s="54" t="str">
        <f ca="1"/>
        <v>ｍｌ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54"/>
      <c r="M39" s="54"/>
    </row>
    <row r="40" spans="2:13">
      <c r="B40" s="27">
        <f t="shared" si="1"/>
        <v>36</v>
      </c>
      <c r="C40" s="27">
        <f ca="1"/>
        <v>213</v>
      </c>
      <c r="D40" s="27" t="str">
        <f ca="1"/>
        <v>クロピドグレル錠２５ｍｇ「ＪＧ」</v>
      </c>
      <c r="E40" s="27">
        <f ca="1"/>
        <v>0</v>
      </c>
      <c r="F40" s="54">
        <f ca="1"/>
        <v>3</v>
      </c>
      <c r="G40" s="54" t="str">
        <f ca="1"/>
        <v>ＰＴＰ</v>
      </c>
      <c r="H40" s="54" t="str">
        <f ca="1"/>
        <v>１００Ｔ</v>
      </c>
      <c r="I40" s="54" t="str">
        <f ca="1"/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54"/>
      <c r="M40" s="54"/>
    </row>
    <row r="41" spans="2:13">
      <c r="B41" s="27">
        <f t="shared" si="1"/>
        <v>37</v>
      </c>
      <c r="C41" s="27">
        <f ca="1"/>
        <v>216</v>
      </c>
      <c r="D41" s="27" t="str">
        <f ca="1"/>
        <v>クロフェクトン錠２５ｍｇ</v>
      </c>
      <c r="E41" s="27">
        <f ca="1"/>
        <v>0</v>
      </c>
      <c r="F41" s="54">
        <f ca="1"/>
        <v>3</v>
      </c>
      <c r="G41" s="54" t="str">
        <f ca="1"/>
        <v>ＰＴＰ</v>
      </c>
      <c r="H41" s="54" t="str">
        <f ca="1"/>
        <v>１００Ｔ</v>
      </c>
      <c r="I41" s="54" t="str">
        <f ca="1"/>
        <v>錠</v>
      </c>
      <c r="J41" s="54" t="str">
        <f ca="1">IF(F41="","",OFFSET(分類!$B$29,MATCH(F41,分類!$A$30:$A$46,0),0))</f>
        <v>外用.臨時.散薬ヒート</v>
      </c>
      <c r="K41" s="54" t="str">
        <f t="shared" ca="1" si="0"/>
        <v/>
      </c>
      <c r="L41" s="54"/>
      <c r="M41" s="54"/>
    </row>
    <row r="42" spans="2:13">
      <c r="B42" s="27">
        <f t="shared" si="1"/>
        <v>38</v>
      </c>
      <c r="C42" s="27">
        <f ca="1"/>
        <v>231</v>
      </c>
      <c r="D42" s="27" t="str">
        <f ca="1"/>
        <v>コソプト配合点眼液</v>
      </c>
      <c r="E42" s="27">
        <f ca="1"/>
        <v>0</v>
      </c>
      <c r="F42" s="54">
        <f ca="1"/>
        <v>3</v>
      </c>
      <c r="G42" s="54" t="str">
        <f ca="1"/>
        <v/>
      </c>
      <c r="H42" s="54" t="str">
        <f ca="1"/>
        <v>５ｍｌｘ１０</v>
      </c>
      <c r="I42" s="54" t="str">
        <f ca="1"/>
        <v>ｍｌ</v>
      </c>
      <c r="J42" s="54" t="str">
        <f ca="1">IF(F42="","",OFFSET(分類!$B$29,MATCH(F42,分類!$A$30:$A$46,0),0))</f>
        <v>外用.臨時.散薬ヒート</v>
      </c>
      <c r="K42" s="54" t="str">
        <f t="shared" ca="1" si="0"/>
        <v/>
      </c>
      <c r="L42" s="54"/>
      <c r="M42" s="54"/>
    </row>
    <row r="43" spans="2:13">
      <c r="B43" s="27">
        <f t="shared" si="1"/>
        <v>39</v>
      </c>
      <c r="C43" s="27">
        <f ca="1"/>
        <v>234</v>
      </c>
      <c r="D43" s="27" t="str">
        <f ca="1"/>
        <v>コンサータ錠１８ｍｇ</v>
      </c>
      <c r="E43" s="27">
        <f ca="1"/>
        <v>2</v>
      </c>
      <c r="F43" s="54">
        <f ca="1"/>
        <v>3</v>
      </c>
      <c r="G43" s="54" t="str">
        <f ca="1"/>
        <v>ＰＴＰ</v>
      </c>
      <c r="H43" s="54" t="str">
        <f ca="1"/>
        <v>１００Ｔ</v>
      </c>
      <c r="I43" s="54" t="str">
        <f ca="1"/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54"/>
      <c r="M43" s="54"/>
    </row>
    <row r="44" spans="2:13">
      <c r="B44" s="27">
        <f t="shared" si="1"/>
        <v>40</v>
      </c>
      <c r="C44" s="27">
        <f ca="1"/>
        <v>243</v>
      </c>
      <c r="D44" s="27" t="str">
        <f ca="1"/>
        <v>サンリズムカプセル２５ｍｇ</v>
      </c>
      <c r="E44" s="27">
        <f ca="1"/>
        <v>2</v>
      </c>
      <c r="F44" s="54">
        <f ca="1"/>
        <v>2</v>
      </c>
      <c r="G44" s="54" t="str">
        <f ca="1"/>
        <v>ＰＴＰ</v>
      </c>
      <c r="H44" s="54" t="str">
        <f ca="1"/>
        <v>１００Ｐ</v>
      </c>
      <c r="I44" s="54" t="str">
        <f ca="1"/>
        <v>cap</v>
      </c>
      <c r="J44" s="54" t="str">
        <f ca="1">IF(F44="","",OFFSET(分類!$B$29,MATCH(F44,分類!$A$30:$A$46,0),0))</f>
        <v>散薬調剤台</v>
      </c>
      <c r="K44" s="54" t="str">
        <f t="shared" ca="1" si="0"/>
        <v/>
      </c>
      <c r="L44" s="54"/>
      <c r="M44" s="54"/>
    </row>
    <row r="45" spans="2:13">
      <c r="B45" s="27">
        <f t="shared" si="1"/>
        <v>41</v>
      </c>
      <c r="C45" s="27">
        <f ca="1"/>
        <v>252</v>
      </c>
      <c r="D45" s="27" t="str">
        <f ca="1"/>
        <v>ジクアス点眼液３％</v>
      </c>
      <c r="E45" s="27">
        <f ca="1"/>
        <v>0</v>
      </c>
      <c r="F45" s="54">
        <f ca="1"/>
        <v>3</v>
      </c>
      <c r="G45" s="54" t="str">
        <f ca="1"/>
        <v/>
      </c>
      <c r="H45" s="54" t="str">
        <f ca="1"/>
        <v>５ｍｌｘ１０</v>
      </c>
      <c r="I45" s="54" t="str">
        <f ca="1"/>
        <v>本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54"/>
      <c r="M45" s="54"/>
    </row>
    <row r="46" spans="2:13">
      <c r="B46" s="27">
        <f t="shared" si="1"/>
        <v>42</v>
      </c>
      <c r="C46" s="27">
        <f ca="1"/>
        <v>255</v>
      </c>
      <c r="D46" s="27" t="str">
        <f ca="1"/>
        <v>シクロスポリンカプセル５０ｍｇ「トーワ」</v>
      </c>
      <c r="E46" s="27">
        <f ca="1"/>
        <v>2</v>
      </c>
      <c r="F46" s="54">
        <f ca="1"/>
        <v>3</v>
      </c>
      <c r="G46" s="54" t="str">
        <f ca="1"/>
        <v>ＰＴＰ</v>
      </c>
      <c r="H46" s="54" t="str">
        <f ca="1"/>
        <v>１００ｃａｐ</v>
      </c>
      <c r="I46" s="54" t="str">
        <f ca="1"/>
        <v>cap</v>
      </c>
      <c r="J46" s="54" t="str">
        <f ca="1">IF(F46="","",OFFSET(分類!$B$29,MATCH(F46,分類!$A$30:$A$46,0),0))</f>
        <v>外用.臨時.散薬ヒート</v>
      </c>
      <c r="K46" s="54" t="str">
        <f t="shared" ca="1" si="0"/>
        <v/>
      </c>
      <c r="L46" s="54"/>
      <c r="M46" s="54"/>
    </row>
    <row r="47" spans="2:13">
      <c r="B47" s="27">
        <f t="shared" si="1"/>
        <v>43</v>
      </c>
      <c r="C47" s="27">
        <f ca="1"/>
        <v>263</v>
      </c>
      <c r="D47" s="27" t="str">
        <f ca="1"/>
        <v>シベンゾリンコハク酸塩錠１００ｍｇ「サワイ」</v>
      </c>
      <c r="E47" s="27">
        <f ca="1"/>
        <v>2</v>
      </c>
      <c r="F47" s="54">
        <f ca="1"/>
        <v>3</v>
      </c>
      <c r="G47" s="54" t="str">
        <f ca="1"/>
        <v>ＰＴＰ</v>
      </c>
      <c r="H47" s="54" t="str">
        <f ca="1"/>
        <v>１００Ｔ</v>
      </c>
      <c r="I47" s="54" t="str">
        <f ca="1"/>
        <v>錠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54"/>
      <c r="M47" s="54"/>
    </row>
    <row r="48" spans="2:13">
      <c r="B48" s="27">
        <f t="shared" si="1"/>
        <v>44</v>
      </c>
      <c r="C48" s="27">
        <f ca="1"/>
        <v>272</v>
      </c>
      <c r="D48" s="27" t="str">
        <f ca="1"/>
        <v>ストロメクトール錠３ｍｇ</v>
      </c>
      <c r="E48" s="27">
        <f ca="1"/>
        <v>2</v>
      </c>
      <c r="F48" s="54">
        <f ca="1"/>
        <v>3</v>
      </c>
      <c r="G48" s="54" t="str">
        <f ca="1"/>
        <v>ＰＴＰ</v>
      </c>
      <c r="H48" s="54" t="str">
        <f ca="1"/>
        <v>１０Ｔ</v>
      </c>
      <c r="I48" s="54" t="str">
        <f ca="1"/>
        <v>錠</v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54"/>
      <c r="M48" s="54"/>
    </row>
    <row r="49" spans="2:13">
      <c r="B49" s="27">
        <f t="shared" si="1"/>
        <v>45</v>
      </c>
      <c r="C49" s="27">
        <f ca="1"/>
        <v>276</v>
      </c>
      <c r="D49" s="27" t="str">
        <f ca="1"/>
        <v>スミスリンローション５％</v>
      </c>
      <c r="E49" s="27">
        <f ca="1"/>
        <v>0</v>
      </c>
      <c r="F49" s="54">
        <f ca="1"/>
        <v>3</v>
      </c>
      <c r="G49" s="54" t="str">
        <f ca="1"/>
        <v/>
      </c>
      <c r="H49" s="54" t="str">
        <f ca="1"/>
        <v>３０ｇｘ２</v>
      </c>
      <c r="I49" s="54" t="str">
        <f ca="1"/>
        <v>ｇ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54"/>
      <c r="M49" s="54"/>
    </row>
    <row r="50" spans="2:13">
      <c r="B50" s="27">
        <f t="shared" si="1"/>
        <v>46</v>
      </c>
      <c r="C50" s="27">
        <f ca="1"/>
        <v>289</v>
      </c>
      <c r="D50" s="27" t="str">
        <f ca="1"/>
        <v>セパミット細粒１％</v>
      </c>
      <c r="E50" s="27">
        <f ca="1"/>
        <v>2</v>
      </c>
      <c r="F50" s="54">
        <f ca="1"/>
        <v>3</v>
      </c>
      <c r="G50" s="54" t="str">
        <f ca="1"/>
        <v>粉</v>
      </c>
      <c r="H50" s="54" t="str">
        <f ca="1"/>
        <v>１ｇｘ３００包</v>
      </c>
      <c r="I50" s="54" t="str">
        <f ca="1"/>
        <v>ｇ</v>
      </c>
      <c r="J50" s="54" t="str">
        <f ca="1">IF(F50="","",OFFSET(分類!$B$29,MATCH(F50,分類!$A$30:$A$46,0),0))</f>
        <v>外用.臨時.散薬ヒート</v>
      </c>
      <c r="K50" s="54">
        <f t="shared" ca="1" si="0"/>
        <v>1</v>
      </c>
      <c r="L50" s="54"/>
      <c r="M50" s="54"/>
    </row>
    <row r="51" spans="2:13">
      <c r="B51" s="27">
        <f t="shared" si="1"/>
        <v>47</v>
      </c>
      <c r="C51" s="27">
        <f ca="1"/>
        <v>297</v>
      </c>
      <c r="D51" s="27" t="str">
        <f ca="1"/>
        <v>セララ錠５０ｍｇ</v>
      </c>
      <c r="E51" s="27">
        <f ca="1"/>
        <v>0</v>
      </c>
      <c r="F51" s="54">
        <f ca="1"/>
        <v>3</v>
      </c>
      <c r="G51" s="54" t="str">
        <f ca="1"/>
        <v>ＰＴＰ</v>
      </c>
      <c r="H51" s="54" t="str">
        <f ca="1"/>
        <v>１００Ｔ</v>
      </c>
      <c r="I51" s="54" t="str">
        <f ca="1"/>
        <v>錠</v>
      </c>
      <c r="J51" s="54" t="str">
        <f ca="1">IF(F51="","",OFFSET(分類!$B$29,MATCH(F51,分類!$A$30:$A$46,0),0))</f>
        <v>外用.臨時.散薬ヒート</v>
      </c>
      <c r="K51" s="54" t="str">
        <f t="shared" ca="1" si="0"/>
        <v/>
      </c>
      <c r="L51" s="54"/>
      <c r="M51" s="54"/>
    </row>
    <row r="52" spans="2:13">
      <c r="B52" s="27">
        <f t="shared" si="1"/>
        <v>48</v>
      </c>
      <c r="C52" s="27">
        <f ca="1"/>
        <v>310</v>
      </c>
      <c r="D52" s="27" t="str">
        <f ca="1"/>
        <v>ソタロール塩酸塩錠８０ｍｇ「ＴＥ」</v>
      </c>
      <c r="E52" s="27">
        <f ca="1"/>
        <v>0</v>
      </c>
      <c r="F52" s="54">
        <f ca="1"/>
        <v>15</v>
      </c>
      <c r="G52" s="54" t="str">
        <f ca="1"/>
        <v>ＰＴＰ</v>
      </c>
      <c r="H52" s="54" t="str">
        <f ca="1"/>
        <v>１４０Ｔ</v>
      </c>
      <c r="I52" s="54" t="str">
        <f ca="1"/>
        <v>錠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54"/>
      <c r="M52" s="54"/>
    </row>
    <row r="53" spans="2:13">
      <c r="B53" s="27">
        <f t="shared" si="1"/>
        <v>49</v>
      </c>
      <c r="C53" s="27">
        <f ca="1"/>
        <v>322</v>
      </c>
      <c r="D53" s="27" t="str">
        <f ca="1"/>
        <v>ソルダクトン静注用１００ｍｇ</v>
      </c>
      <c r="E53" s="27">
        <f ca="1"/>
        <v>2</v>
      </c>
      <c r="F53" s="54">
        <f ca="1"/>
        <v>9</v>
      </c>
      <c r="G53" s="54" t="str">
        <f ca="1"/>
        <v/>
      </c>
      <c r="H53" s="54" t="str">
        <f ca="1"/>
        <v>１０管</v>
      </c>
      <c r="I53" s="54" t="str">
        <f ca="1"/>
        <v>管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54"/>
      <c r="M53" s="54"/>
    </row>
    <row r="54" spans="2:13">
      <c r="B54" s="27">
        <f t="shared" si="1"/>
        <v>50</v>
      </c>
      <c r="C54" s="27">
        <f ca="1"/>
        <v>325</v>
      </c>
      <c r="D54" s="27" t="str">
        <f ca="1"/>
        <v>ダーブロック錠２ｍｇ</v>
      </c>
      <c r="E54" s="27">
        <f ca="1"/>
        <v>2</v>
      </c>
      <c r="F54" s="54">
        <f ca="1"/>
        <v>15</v>
      </c>
      <c r="G54" s="54" t="str">
        <f ca="1"/>
        <v>ＰＴＰ</v>
      </c>
      <c r="H54" s="54" t="str">
        <f ca="1"/>
        <v>１００Ｔ</v>
      </c>
      <c r="I54" s="54" t="str">
        <f ca="1"/>
        <v>錠</v>
      </c>
      <c r="J54" s="54" t="str">
        <f ca="1">IF(F54="","",OFFSET(分類!$B$29,MATCH(F54,分類!$A$30:$A$46,0),0))</f>
        <v>不良在庫</v>
      </c>
      <c r="K54" s="54" t="str">
        <f t="shared" ca="1" si="0"/>
        <v/>
      </c>
      <c r="L54" s="54"/>
      <c r="M54" s="54"/>
    </row>
    <row r="55" spans="2:13">
      <c r="B55" s="27">
        <f t="shared" si="1"/>
        <v>51</v>
      </c>
      <c r="C55" s="27">
        <f ca="1"/>
        <v>328</v>
      </c>
      <c r="D55" s="27" t="str">
        <f ca="1"/>
        <v>ダイフェン配合錠</v>
      </c>
      <c r="E55" s="27">
        <f ca="1"/>
        <v>0</v>
      </c>
      <c r="F55" s="54">
        <f ca="1"/>
        <v>15</v>
      </c>
      <c r="G55" s="54" t="str">
        <f ca="1"/>
        <v>ＰＴＰ</v>
      </c>
      <c r="H55" s="54" t="str">
        <f ca="1"/>
        <v>１００Ｔ</v>
      </c>
      <c r="I55" s="54" t="str">
        <f ca="1"/>
        <v>錠</v>
      </c>
      <c r="J55" s="54" t="str">
        <f ca="1">IF(F55="","",OFFSET(分類!$B$29,MATCH(F55,分類!$A$30:$A$46,0),0))</f>
        <v>不良在庫</v>
      </c>
      <c r="K55" s="54" t="str">
        <f t="shared" ca="1" si="0"/>
        <v/>
      </c>
      <c r="L55" s="54"/>
      <c r="M55" s="54"/>
    </row>
    <row r="56" spans="2:13">
      <c r="B56" s="27">
        <f t="shared" si="1"/>
        <v>52</v>
      </c>
      <c r="C56" s="27">
        <f ca="1"/>
        <v>329</v>
      </c>
      <c r="D56" s="27" t="str">
        <f ca="1"/>
        <v>タクロリムスカプセル１ｍｇ「ニプロ」</v>
      </c>
      <c r="E56" s="27">
        <f ca="1"/>
        <v>2</v>
      </c>
      <c r="F56" s="54">
        <f ca="1"/>
        <v>15</v>
      </c>
      <c r="G56" s="54" t="str">
        <f ca="1"/>
        <v>ＰＴＰ</v>
      </c>
      <c r="H56" s="54" t="str">
        <f ca="1"/>
        <v>１００ｃａｐ</v>
      </c>
      <c r="I56" s="54" t="str">
        <f ca="1"/>
        <v>cap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54"/>
      <c r="M56" s="54"/>
    </row>
    <row r="57" spans="2:13">
      <c r="B57" s="27">
        <f t="shared" si="1"/>
        <v>53</v>
      </c>
      <c r="C57" s="27">
        <f ca="1"/>
        <v>334</v>
      </c>
      <c r="D57" s="27" t="str">
        <f ca="1"/>
        <v>タチオン錠５０ｍｇ</v>
      </c>
      <c r="E57" s="27">
        <f ca="1"/>
        <v>0</v>
      </c>
      <c r="F57" s="54">
        <f ca="1"/>
        <v>3</v>
      </c>
      <c r="G57" s="54" t="str">
        <f ca="1"/>
        <v>ＰＴＰ</v>
      </c>
      <c r="H57" s="54" t="str">
        <f ca="1"/>
        <v>１２０Ｔ</v>
      </c>
      <c r="I57" s="54" t="str">
        <f ca="1"/>
        <v>錠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54"/>
      <c r="M57" s="54"/>
    </row>
    <row r="58" spans="2:13">
      <c r="B58" s="27">
        <f t="shared" si="1"/>
        <v>54</v>
      </c>
      <c r="C58" s="27">
        <f ca="1"/>
        <v>337</v>
      </c>
      <c r="D58" s="27" t="str">
        <f ca="1"/>
        <v>ダラシンカプセル１５０ｍｇ</v>
      </c>
      <c r="E58" s="27">
        <f ca="1"/>
        <v>0</v>
      </c>
      <c r="F58" s="54">
        <f ca="1"/>
        <v>15</v>
      </c>
      <c r="G58" s="54" t="str">
        <f ca="1"/>
        <v>ＰＴＰ</v>
      </c>
      <c r="H58" s="54" t="str">
        <f ca="1"/>
        <v>１００Ｔ</v>
      </c>
      <c r="I58" s="54" t="str">
        <f ca="1"/>
        <v>cap</v>
      </c>
      <c r="J58" s="54" t="str">
        <f ca="1">IF(F58="","",OFFSET(分類!$B$29,MATCH(F58,分類!$A$30:$A$46,0),0))</f>
        <v>不良在庫</v>
      </c>
      <c r="K58" s="54" t="str">
        <f t="shared" ca="1" si="0"/>
        <v/>
      </c>
      <c r="L58" s="54"/>
      <c r="M58" s="54"/>
    </row>
    <row r="59" spans="2:13">
      <c r="B59" s="27">
        <f t="shared" si="1"/>
        <v>55</v>
      </c>
      <c r="C59" s="27">
        <f ca="1"/>
        <v>338</v>
      </c>
      <c r="D59" s="27" t="str">
        <f ca="1"/>
        <v>タリージェ錠５ｍｇ</v>
      </c>
      <c r="E59" s="27">
        <f ca="1"/>
        <v>0</v>
      </c>
      <c r="F59" s="54">
        <f ca="1"/>
        <v>3</v>
      </c>
      <c r="G59" s="54" t="str">
        <f ca="1"/>
        <v>ＰＴＰ</v>
      </c>
      <c r="H59" s="54" t="str">
        <f ca="1"/>
        <v>１００Ｔ</v>
      </c>
      <c r="I59" s="54" t="str">
        <f ca="1"/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54"/>
      <c r="M59" s="54"/>
    </row>
    <row r="60" spans="2:13">
      <c r="B60" s="27">
        <f t="shared" si="1"/>
        <v>56</v>
      </c>
      <c r="C60" s="27">
        <f ca="1"/>
        <v>341</v>
      </c>
      <c r="D60" s="27" t="str">
        <f ca="1"/>
        <v>ダルベポエチン　アルファＢＳ注１２０μｇシリンジ「三和」</v>
      </c>
      <c r="E60" s="27">
        <f ca="1"/>
        <v>2</v>
      </c>
      <c r="F60" s="54">
        <f ca="1"/>
        <v>11</v>
      </c>
      <c r="G60" s="54" t="str">
        <f ca="1"/>
        <v/>
      </c>
      <c r="H60" s="54" t="str">
        <f ca="1"/>
        <v>１シリンジ</v>
      </c>
      <c r="I60" s="54" t="str">
        <f ca="1"/>
        <v>シリンジ</v>
      </c>
      <c r="J60" s="54" t="str">
        <f ca="1">IF(F60="","",OFFSET(分類!$B$29,MATCH(F60,分類!$A$30:$A$46,0),0))</f>
        <v>冷蔵庫</v>
      </c>
      <c r="K60" s="54" t="str">
        <f t="shared" ca="1" si="0"/>
        <v/>
      </c>
      <c r="L60" s="54"/>
      <c r="M60" s="54"/>
    </row>
    <row r="61" spans="2:13">
      <c r="B61" s="27">
        <f t="shared" si="1"/>
        <v>57</v>
      </c>
      <c r="C61" s="27">
        <f ca="1"/>
        <v>342</v>
      </c>
      <c r="D61" s="27" t="str">
        <f ca="1"/>
        <v>ダルベポエチン　アルファＢＳ注３０μｇシリンジ「三和」</v>
      </c>
      <c r="E61" s="27">
        <f ca="1"/>
        <v>2</v>
      </c>
      <c r="F61" s="54">
        <f ca="1"/>
        <v>15</v>
      </c>
      <c r="G61" s="54" t="str">
        <f ca="1"/>
        <v/>
      </c>
      <c r="H61" s="54" t="str">
        <f ca="1"/>
        <v>１シリンジ</v>
      </c>
      <c r="I61" s="54" t="str">
        <f ca="1"/>
        <v>シリンジ</v>
      </c>
      <c r="J61" s="54" t="str">
        <f ca="1">IF(F61="","",OFFSET(分類!$B$29,MATCH(F61,分類!$A$30:$A$46,0),0))</f>
        <v>不良在庫</v>
      </c>
      <c r="K61" s="54" t="str">
        <f t="shared" ca="1" si="0"/>
        <v/>
      </c>
      <c r="L61" s="54"/>
      <c r="M61" s="54"/>
    </row>
    <row r="62" spans="2:13">
      <c r="B62" s="27">
        <f t="shared" si="1"/>
        <v>58</v>
      </c>
      <c r="C62" s="27">
        <f ca="1"/>
        <v>343</v>
      </c>
      <c r="D62" s="27" t="str">
        <f ca="1"/>
        <v>ダルベポエチンアルファＢＳ注６０μｇシリンジ「三和」</v>
      </c>
      <c r="E62" s="27">
        <f ca="1"/>
        <v>2</v>
      </c>
      <c r="F62" s="54">
        <f ca="1"/>
        <v>15</v>
      </c>
      <c r="G62" s="54" t="str">
        <f ca="1"/>
        <v/>
      </c>
      <c r="H62" s="54" t="str">
        <f ca="1"/>
        <v>１シリンジ</v>
      </c>
      <c r="I62" s="54" t="str">
        <f ca="1"/>
        <v>シリンジ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54"/>
      <c r="M62" s="54"/>
    </row>
    <row r="63" spans="2:13">
      <c r="B63" s="27">
        <f t="shared" si="1"/>
        <v>59</v>
      </c>
      <c r="C63" s="27">
        <f ca="1"/>
        <v>347</v>
      </c>
      <c r="D63" s="27" t="str">
        <f ca="1"/>
        <v>タンボコール錠５０ｍｇ</v>
      </c>
      <c r="E63" s="27">
        <f ca="1"/>
        <v>2</v>
      </c>
      <c r="F63" s="54">
        <f ca="1"/>
        <v>8</v>
      </c>
      <c r="G63" s="54" t="str">
        <f ca="1"/>
        <v>ＰＴＰ</v>
      </c>
      <c r="H63" s="54" t="str">
        <f ca="1"/>
        <v>１００Ｔ</v>
      </c>
      <c r="I63" s="54" t="str">
        <f ca="1"/>
        <v>錠</v>
      </c>
      <c r="J63" s="54" t="str">
        <f ca="1">IF(F63="","",OFFSET(分類!$B$29,MATCH(F63,分類!$A$30:$A$46,0),0))</f>
        <v>抗生剤.小輸液</v>
      </c>
      <c r="K63" s="54" t="str">
        <f t="shared" ca="1" si="0"/>
        <v/>
      </c>
      <c r="L63" s="54"/>
      <c r="M63" s="54"/>
    </row>
    <row r="64" spans="2:13">
      <c r="B64" s="27">
        <f t="shared" si="1"/>
        <v>60</v>
      </c>
      <c r="C64" s="27">
        <f ca="1"/>
        <v>348</v>
      </c>
      <c r="D64" s="27" t="str">
        <f ca="1"/>
        <v>チエナム点滴静注用０．５ｇ</v>
      </c>
      <c r="E64" s="27">
        <f ca="1"/>
        <v>0</v>
      </c>
      <c r="F64" s="54">
        <f ca="1"/>
        <v>8</v>
      </c>
      <c r="G64" s="54" t="str">
        <f ca="1"/>
        <v/>
      </c>
      <c r="H64" s="54" t="str">
        <f ca="1"/>
        <v>１０瓶</v>
      </c>
      <c r="I64" s="54" t="str">
        <f ca="1"/>
        <v>瓶</v>
      </c>
      <c r="J64" s="54" t="str">
        <f ca="1">IF(F64="","",OFFSET(分類!$B$29,MATCH(F64,分類!$A$30:$A$46,0),0))</f>
        <v>抗生剤.小輸液</v>
      </c>
      <c r="K64" s="54" t="str">
        <f t="shared" ca="1" si="0"/>
        <v/>
      </c>
      <c r="L64" s="54"/>
      <c r="M64" s="54"/>
    </row>
    <row r="65" spans="2:13">
      <c r="B65" s="27">
        <f t="shared" si="1"/>
        <v>61</v>
      </c>
      <c r="C65" s="27">
        <f ca="1"/>
        <v>351</v>
      </c>
      <c r="D65" s="27" t="str">
        <f ca="1"/>
        <v>チモロール点眼液０．５％「ニッテン」</v>
      </c>
      <c r="E65" s="27">
        <f ca="1"/>
        <v>0</v>
      </c>
      <c r="F65" s="54">
        <f ca="1"/>
        <v>3</v>
      </c>
      <c r="G65" s="54" t="str">
        <f ca="1"/>
        <v/>
      </c>
      <c r="H65" s="54" t="str">
        <f ca="1"/>
        <v>５ＭＬＸ１０</v>
      </c>
      <c r="I65" s="54" t="str">
        <f ca="1"/>
        <v>ｍｌ</v>
      </c>
      <c r="J65" s="54" t="str">
        <f ca="1">IF(F65="","",OFFSET(分類!$B$29,MATCH(F65,分類!$A$30:$A$46,0),0))</f>
        <v>外用.臨時.散薬ヒート</v>
      </c>
      <c r="K65" s="54" t="str">
        <f t="shared" ca="1" si="0"/>
        <v/>
      </c>
      <c r="L65" s="54"/>
      <c r="M65" s="54"/>
    </row>
    <row r="66" spans="2:13">
      <c r="B66" s="27">
        <f t="shared" si="1"/>
        <v>62</v>
      </c>
      <c r="C66" s="27">
        <f ca="1"/>
        <v>354</v>
      </c>
      <c r="D66" s="27" t="str">
        <f ca="1"/>
        <v>チラーヂンＳ静注液２００μｇ</v>
      </c>
      <c r="E66" s="27">
        <f ca="1"/>
        <v>2</v>
      </c>
      <c r="F66" s="54">
        <f ca="1"/>
        <v>15</v>
      </c>
      <c r="G66" s="54" t="str">
        <f ca="1"/>
        <v/>
      </c>
      <c r="H66" s="54" t="str">
        <f ca="1"/>
        <v>１ｍｌｘ２Ａ</v>
      </c>
      <c r="I66" s="54" t="str">
        <f ca="1"/>
        <v>A</v>
      </c>
      <c r="J66" s="54" t="str">
        <f ca="1">IF(F66="","",OFFSET(分類!$B$29,MATCH(F66,分類!$A$30:$A$46,0),0))</f>
        <v>不良在庫</v>
      </c>
      <c r="K66" s="54" t="str">
        <f t="shared" ca="1" si="0"/>
        <v/>
      </c>
      <c r="L66" s="54"/>
      <c r="M66" s="54"/>
    </row>
    <row r="67" spans="2:13">
      <c r="B67" s="27">
        <f t="shared" si="1"/>
        <v>63</v>
      </c>
      <c r="C67" s="27">
        <f ca="1"/>
        <v>355</v>
      </c>
      <c r="D67" s="27" t="str">
        <f ca="1"/>
        <v>ツイミーグ錠５００ｍｇ</v>
      </c>
      <c r="E67" s="27">
        <f ca="1"/>
        <v>0</v>
      </c>
      <c r="F67" s="54">
        <f ca="1"/>
        <v>3</v>
      </c>
      <c r="G67" s="54" t="str">
        <f ca="1"/>
        <v>ＰＴＰ</v>
      </c>
      <c r="H67" s="54" t="str">
        <f ca="1"/>
        <v>１００Ｔ</v>
      </c>
      <c r="I67" s="54" t="str">
        <f ca="1"/>
        <v/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54"/>
      <c r="M67" s="54"/>
    </row>
    <row r="68" spans="2:13">
      <c r="B68" s="27">
        <f t="shared" si="1"/>
        <v>64</v>
      </c>
      <c r="C68" s="27">
        <f ca="1"/>
        <v>366</v>
      </c>
      <c r="D68" s="27" t="str">
        <f ca="1"/>
        <v>デキストロメトルファン臭化水素酸塩錠１５ｍｇ「トーワ」</v>
      </c>
      <c r="E68" s="27">
        <f ca="1"/>
        <v>0</v>
      </c>
      <c r="F68" s="54">
        <f ca="1"/>
        <v>3</v>
      </c>
      <c r="G68" s="54" t="str">
        <f ca="1"/>
        <v>バラ</v>
      </c>
      <c r="H68" s="54" t="str">
        <f ca="1"/>
        <v>１０００Ｔ</v>
      </c>
      <c r="I68" s="54" t="str">
        <f ca="1"/>
        <v>錠</v>
      </c>
      <c r="J68" s="54" t="str">
        <f ca="1">IF(F68="","",OFFSET(分類!$B$29,MATCH(F68,分類!$A$30:$A$46,0),0))</f>
        <v>外用.臨時.散薬ヒート</v>
      </c>
      <c r="K68" s="54" t="str">
        <f t="shared" ca="1" si="0"/>
        <v/>
      </c>
      <c r="L68" s="54"/>
      <c r="M68" s="54"/>
    </row>
    <row r="69" spans="2:13">
      <c r="B69" s="27">
        <f t="shared" si="1"/>
        <v>65</v>
      </c>
      <c r="C69" s="27">
        <f ca="1"/>
        <v>373</v>
      </c>
      <c r="D69" s="27" t="str">
        <f ca="1"/>
        <v>デパス細粒１％</v>
      </c>
      <c r="E69" s="27">
        <f ca="1"/>
        <v>0</v>
      </c>
      <c r="F69" s="54">
        <f ca="1"/>
        <v>2</v>
      </c>
      <c r="G69" s="54" t="str">
        <f ca="1"/>
        <v>粉</v>
      </c>
      <c r="H69" s="54" t="str">
        <f ca="1"/>
        <v>１００ｇ</v>
      </c>
      <c r="I69" s="54" t="str">
        <f ca="1"/>
        <v>ｇ</v>
      </c>
      <c r="J69" s="54" t="str">
        <f ca="1">IF(F69="","",OFFSET(分類!$B$29,MATCH(F69,分類!$A$30:$A$46,0),0))</f>
        <v>散薬調剤台</v>
      </c>
      <c r="K69" s="54">
        <f t="shared" ca="1" si="0"/>
        <v>100</v>
      </c>
      <c r="L69" s="54"/>
      <c r="M69" s="54"/>
    </row>
    <row r="70" spans="2:13">
      <c r="B70" s="27">
        <f t="shared" si="1"/>
        <v>66</v>
      </c>
      <c r="C70" s="27">
        <f ca="1"/>
        <v>378</v>
      </c>
      <c r="D70" s="27" t="str">
        <f ca="1"/>
        <v>デュタステリドカプセル０．５ｍｇＡＶ「サワイ」</v>
      </c>
      <c r="E70" s="27">
        <f ca="1"/>
        <v>2</v>
      </c>
      <c r="F70" s="54">
        <f ca="1"/>
        <v>3</v>
      </c>
      <c r="G70" s="54" t="str">
        <f ca="1"/>
        <v>ＰＴＰ</v>
      </c>
      <c r="H70" s="54" t="str">
        <f ca="1"/>
        <v>３０Ｐ</v>
      </c>
      <c r="I70" s="54" t="str">
        <f ca="1"/>
        <v>cap</v>
      </c>
      <c r="J70" s="54" t="str">
        <f ca="1">IF(F70="","",OFFSET(分類!$B$29,MATCH(F70,分類!$A$30:$A$46,0),0))</f>
        <v>外用.臨時.散薬ヒート</v>
      </c>
      <c r="K70" s="54" t="str">
        <f t="shared" ref="K70:K133" ca="1" si="2">IF(G70="粉",VALUE(SUBSTITUTE(SUBSTITUTE(LEFT(H70, FIND("ｇ", H70) - 1), "．", "."), "　", "")),"")</f>
        <v/>
      </c>
      <c r="L70" s="54"/>
      <c r="M70" s="54"/>
    </row>
    <row r="71" spans="2:13">
      <c r="B71" s="27">
        <f t="shared" ref="B71:B134" si="3">B70+1</f>
        <v>67</v>
      </c>
      <c r="C71" s="27">
        <f ca="1"/>
        <v>381</v>
      </c>
      <c r="D71" s="27" t="str">
        <f ca="1"/>
        <v>テリボン皮下注用５６．５μｇ　溶解液付</v>
      </c>
      <c r="E71" s="27">
        <f ca="1"/>
        <v>0</v>
      </c>
      <c r="F71" s="54">
        <f ca="1"/>
        <v>15</v>
      </c>
      <c r="G71" s="54" t="str">
        <f ca="1"/>
        <v/>
      </c>
      <c r="H71" s="54" t="str">
        <f ca="1"/>
        <v>１瓶</v>
      </c>
      <c r="I71" s="54" t="str">
        <f ca="1"/>
        <v>瓶</v>
      </c>
      <c r="J71" s="54" t="str">
        <f ca="1">IF(F71="","",OFFSET(分類!$B$29,MATCH(F71,分類!$A$30:$A$46,0),0))</f>
        <v>不良在庫</v>
      </c>
      <c r="K71" s="54" t="str">
        <f t="shared" ca="1" si="2"/>
        <v/>
      </c>
      <c r="L71" s="54"/>
      <c r="M71" s="54"/>
    </row>
    <row r="72" spans="2:13">
      <c r="B72" s="27">
        <f t="shared" si="3"/>
        <v>68</v>
      </c>
      <c r="C72" s="27">
        <f ca="1"/>
        <v>389</v>
      </c>
      <c r="D72" s="27" t="str">
        <f ca="1"/>
        <v>トアラセット配合錠「オーハラ」</v>
      </c>
      <c r="E72" s="27">
        <f ca="1"/>
        <v>2</v>
      </c>
      <c r="F72" s="54">
        <f ca="1"/>
        <v>3</v>
      </c>
      <c r="G72" s="54" t="str">
        <f ca="1"/>
        <v>ＰＴＰ</v>
      </c>
      <c r="H72" s="54" t="str">
        <f ca="1"/>
        <v>１００Ｔ</v>
      </c>
      <c r="I72" s="54" t="str">
        <f ca="1"/>
        <v>錠</v>
      </c>
      <c r="J72" s="54" t="str">
        <f ca="1">IF(F72="","",OFFSET(分類!$B$29,MATCH(F72,分類!$A$30:$A$46,0),0))</f>
        <v>外用.臨時.散薬ヒート</v>
      </c>
      <c r="K72" s="54" t="str">
        <f t="shared" ca="1" si="2"/>
        <v/>
      </c>
      <c r="L72" s="54"/>
      <c r="M72" s="54"/>
    </row>
    <row r="73" spans="2:13">
      <c r="B73" s="27">
        <f t="shared" si="3"/>
        <v>69</v>
      </c>
      <c r="C73" s="27">
        <f ca="1"/>
        <v>397</v>
      </c>
      <c r="D73" s="27" t="str">
        <f ca="1"/>
        <v>ドパストン静注５０ｍｇ</v>
      </c>
      <c r="E73" s="27">
        <f ca="1"/>
        <v>0</v>
      </c>
      <c r="F73" s="54">
        <f ca="1"/>
        <v>9</v>
      </c>
      <c r="G73" s="54" t="str">
        <f ca="1"/>
        <v/>
      </c>
      <c r="H73" s="54" t="str">
        <f ca="1"/>
        <v>２０ｍｌｘ１０Ａ</v>
      </c>
      <c r="I73" s="54" t="str">
        <f ca="1"/>
        <v>A</v>
      </c>
      <c r="J73" s="54" t="str">
        <f ca="1">IF(F73="","",OFFSET(分類!$B$29,MATCH(F73,分類!$A$30:$A$46,0),0))</f>
        <v>注射</v>
      </c>
      <c r="K73" s="54" t="str">
        <f t="shared" ca="1" si="2"/>
        <v/>
      </c>
      <c r="L73" s="54"/>
      <c r="M73" s="54"/>
    </row>
    <row r="74" spans="2:13">
      <c r="B74" s="27">
        <f t="shared" si="3"/>
        <v>70</v>
      </c>
      <c r="C74" s="27">
        <f ca="1"/>
        <v>402</v>
      </c>
      <c r="D74" s="27" t="str">
        <f ca="1"/>
        <v>トラセミド錠４ｍｇ「ＫＯ」</v>
      </c>
      <c r="E74" s="27">
        <f ca="1"/>
        <v>0</v>
      </c>
      <c r="F74" s="54">
        <f ca="1"/>
        <v>3</v>
      </c>
      <c r="G74" s="54" t="str">
        <f ca="1"/>
        <v>ＰＴＰ</v>
      </c>
      <c r="H74" s="54" t="str">
        <f ca="1"/>
        <v>１００Ｔ</v>
      </c>
      <c r="I74" s="54" t="str">
        <f ca="1"/>
        <v>錠</v>
      </c>
      <c r="J74" s="54" t="str">
        <f ca="1">IF(F74="","",OFFSET(分類!$B$29,MATCH(F74,分類!$A$30:$A$46,0),0))</f>
        <v>外用.臨時.散薬ヒート</v>
      </c>
      <c r="K74" s="54" t="str">
        <f t="shared" ca="1" si="2"/>
        <v/>
      </c>
      <c r="L74" s="54"/>
      <c r="M74" s="54"/>
    </row>
    <row r="75" spans="2:13">
      <c r="B75" s="27">
        <f t="shared" si="3"/>
        <v>71</v>
      </c>
      <c r="C75" s="27">
        <f ca="1"/>
        <v>403</v>
      </c>
      <c r="D75" s="27" t="str">
        <f ca="1"/>
        <v>トラゼンタ錠５ｍｇ</v>
      </c>
      <c r="E75" s="27">
        <f ca="1"/>
        <v>0</v>
      </c>
      <c r="F75" s="54">
        <f ca="1"/>
        <v>3</v>
      </c>
      <c r="G75" s="54" t="str">
        <f ca="1"/>
        <v>ＰＴＰ</v>
      </c>
      <c r="H75" s="54" t="str">
        <f ca="1"/>
        <v>１００Ｔ</v>
      </c>
      <c r="I75" s="54" t="str">
        <f ca="1"/>
        <v>錠</v>
      </c>
      <c r="J75" s="54" t="str">
        <f ca="1">IF(F75="","",OFFSET(分類!$B$29,MATCH(F75,分類!$A$30:$A$46,0),0))</f>
        <v>外用.臨時.散薬ヒート</v>
      </c>
      <c r="K75" s="54" t="str">
        <f t="shared" ca="1" si="2"/>
        <v/>
      </c>
      <c r="L75" s="54"/>
      <c r="M75" s="54"/>
    </row>
    <row r="76" spans="2:13">
      <c r="B76" s="27">
        <f t="shared" si="3"/>
        <v>72</v>
      </c>
      <c r="C76" s="27">
        <f ca="1"/>
        <v>406</v>
      </c>
      <c r="D76" s="27" t="str">
        <f ca="1"/>
        <v>トラマールＯＤ錠２５ｍｇ</v>
      </c>
      <c r="E76" s="27">
        <f ca="1"/>
        <v>2</v>
      </c>
      <c r="F76" s="54">
        <f ca="1"/>
        <v>3</v>
      </c>
      <c r="G76" s="54" t="str">
        <f ca="1"/>
        <v>ＰＴＰ</v>
      </c>
      <c r="H76" s="54" t="str">
        <f ca="1"/>
        <v>１００Ｔ</v>
      </c>
      <c r="I76" s="54" t="str">
        <f ca="1"/>
        <v>錠</v>
      </c>
      <c r="J76" s="54" t="str">
        <f ca="1">IF(F76="","",OFFSET(分類!$B$29,MATCH(F76,分類!$A$30:$A$46,0),0))</f>
        <v>外用.臨時.散薬ヒート</v>
      </c>
      <c r="K76" s="54" t="str">
        <f t="shared" ca="1" si="2"/>
        <v/>
      </c>
      <c r="L76" s="54"/>
      <c r="M76" s="54"/>
    </row>
    <row r="77" spans="2:13">
      <c r="B77" s="27">
        <f t="shared" si="3"/>
        <v>73</v>
      </c>
      <c r="C77" s="27">
        <f ca="1"/>
        <v>418</v>
      </c>
      <c r="D77" s="27" t="str">
        <f ca="1"/>
        <v>トルバプタンＯＤ錠７．５ｍｇ「ＴＥ」</v>
      </c>
      <c r="E77" s="27">
        <f ca="1"/>
        <v>2</v>
      </c>
      <c r="F77" s="54">
        <f ca="1"/>
        <v>3</v>
      </c>
      <c r="G77" s="54" t="str">
        <f ca="1"/>
        <v>ＰＴＰ</v>
      </c>
      <c r="H77" s="54" t="str">
        <f ca="1"/>
        <v>２０Ｔ</v>
      </c>
      <c r="I77" s="54" t="str">
        <f ca="1"/>
        <v>錠</v>
      </c>
      <c r="J77" s="54" t="str">
        <f ca="1">IF(F77="","",OFFSET(分類!$B$29,MATCH(F77,分類!$A$30:$A$46,0),0))</f>
        <v>外用.臨時.散薬ヒート</v>
      </c>
      <c r="K77" s="54" t="str">
        <f t="shared" ca="1" si="2"/>
        <v/>
      </c>
      <c r="L77" s="54"/>
      <c r="M77" s="54"/>
    </row>
    <row r="78" spans="2:13">
      <c r="B78" s="27">
        <f t="shared" si="3"/>
        <v>74</v>
      </c>
      <c r="C78" s="27">
        <f ca="1"/>
        <v>419</v>
      </c>
      <c r="D78" s="27" t="str">
        <f ca="1"/>
        <v>ドルミカム注射液１０ｍｇ</v>
      </c>
      <c r="E78" s="27">
        <f ca="1"/>
        <v>0</v>
      </c>
      <c r="F78" s="54">
        <f ca="1"/>
        <v>15</v>
      </c>
      <c r="G78" s="54" t="str">
        <f ca="1"/>
        <v/>
      </c>
      <c r="H78" s="54" t="str">
        <f ca="1"/>
        <v>２ｍｌｘ１０Ａ</v>
      </c>
      <c r="I78" s="54" t="str">
        <f ca="1"/>
        <v>A</v>
      </c>
      <c r="J78" s="54" t="str">
        <f ca="1">IF(F78="","",OFFSET(分類!$B$29,MATCH(F78,分類!$A$30:$A$46,0),0))</f>
        <v>不良在庫</v>
      </c>
      <c r="K78" s="54" t="str">
        <f t="shared" ca="1" si="2"/>
        <v/>
      </c>
      <c r="L78" s="54"/>
      <c r="M78" s="54"/>
    </row>
    <row r="79" spans="2:13">
      <c r="B79" s="27">
        <f t="shared" si="3"/>
        <v>75</v>
      </c>
      <c r="C79" s="27">
        <f ca="1"/>
        <v>420</v>
      </c>
      <c r="D79" s="27" t="str">
        <f ca="1"/>
        <v>トルリシティ皮下注０．７５ｍｇアテオス</v>
      </c>
      <c r="E79" s="27">
        <f ca="1"/>
        <v>2</v>
      </c>
      <c r="F79" s="54">
        <f ca="1"/>
        <v>11</v>
      </c>
      <c r="G79" s="54" t="str">
        <f ca="1"/>
        <v/>
      </c>
      <c r="H79" s="54" t="str">
        <f ca="1"/>
        <v>２ｋｉｔ</v>
      </c>
      <c r="I79" s="54" t="str">
        <f ca="1"/>
        <v>kit</v>
      </c>
      <c r="J79" s="54" t="str">
        <f ca="1">IF(F79="","",OFFSET(分類!$B$29,MATCH(F79,分類!$A$30:$A$46,0),0))</f>
        <v>冷蔵庫</v>
      </c>
      <c r="K79" s="54" t="str">
        <f t="shared" ca="1" si="2"/>
        <v/>
      </c>
      <c r="L79" s="54"/>
      <c r="M79" s="54"/>
    </row>
    <row r="80" spans="2:13">
      <c r="B80" s="27">
        <f t="shared" si="3"/>
        <v>76</v>
      </c>
      <c r="C80" s="27">
        <f ca="1"/>
        <v>421</v>
      </c>
      <c r="D80" s="27" t="str">
        <f ca="1"/>
        <v>トレシーバ注フレックスタッチ</v>
      </c>
      <c r="E80" s="27">
        <f ca="1"/>
        <v>2</v>
      </c>
      <c r="F80" s="54">
        <f ca="1"/>
        <v>11</v>
      </c>
      <c r="G80" s="54" t="str">
        <f ca="1"/>
        <v/>
      </c>
      <c r="H80" s="54" t="str">
        <f ca="1"/>
        <v>３ｍｌｘ２</v>
      </c>
      <c r="I80" s="54" t="str">
        <f ca="1"/>
        <v>キット</v>
      </c>
      <c r="J80" s="54" t="str">
        <f ca="1">IF(F80="","",OFFSET(分類!$B$29,MATCH(F80,分類!$A$30:$A$46,0),0))</f>
        <v>冷蔵庫</v>
      </c>
      <c r="K80" s="54" t="str">
        <f t="shared" ca="1" si="2"/>
        <v/>
      </c>
      <c r="L80" s="54"/>
      <c r="M80" s="54"/>
    </row>
    <row r="81" spans="2:13">
      <c r="B81" s="27">
        <f t="shared" si="3"/>
        <v>77</v>
      </c>
      <c r="C81" s="27">
        <f ca="1"/>
        <v>434</v>
      </c>
      <c r="D81" s="27" t="str">
        <f ca="1"/>
        <v>ニュープロパッチ４．５ｍｇ</v>
      </c>
      <c r="E81" s="27">
        <f ca="1"/>
        <v>2</v>
      </c>
      <c r="F81" s="54">
        <f ca="1"/>
        <v>3</v>
      </c>
      <c r="G81" s="54" t="str">
        <f ca="1"/>
        <v/>
      </c>
      <c r="H81" s="54" t="str">
        <f ca="1"/>
        <v>２８枚</v>
      </c>
      <c r="I81" s="54" t="str">
        <f ca="1"/>
        <v>枚</v>
      </c>
      <c r="J81" s="54" t="str">
        <f ca="1">IF(F81="","",OFFSET(分類!$B$29,MATCH(F81,分類!$A$30:$A$46,0),0))</f>
        <v>外用.臨時.散薬ヒート</v>
      </c>
      <c r="K81" s="54" t="str">
        <f t="shared" ca="1" si="2"/>
        <v/>
      </c>
      <c r="L81" s="54"/>
      <c r="M81" s="54"/>
    </row>
    <row r="82" spans="2:13">
      <c r="B82" s="27">
        <f t="shared" si="3"/>
        <v>78</v>
      </c>
      <c r="C82" s="27">
        <f ca="1"/>
        <v>435</v>
      </c>
      <c r="D82" s="27" t="str">
        <f ca="1"/>
        <v>ニューモバックスＮＰシリンジ</v>
      </c>
      <c r="E82" s="27">
        <f ca="1"/>
        <v>2</v>
      </c>
      <c r="F82" s="54">
        <f ca="1"/>
        <v>15</v>
      </c>
      <c r="G82" s="54" t="str">
        <f ca="1"/>
        <v/>
      </c>
      <c r="H82" s="54" t="str">
        <f ca="1"/>
        <v>０．５ｍｌｘ１</v>
      </c>
      <c r="I82" s="54" t="str">
        <f ca="1"/>
        <v>kit</v>
      </c>
      <c r="J82" s="54" t="str">
        <f ca="1">IF(F82="","",OFFSET(分類!$B$29,MATCH(F82,分類!$A$30:$A$46,0),0))</f>
        <v>不良在庫</v>
      </c>
      <c r="K82" s="54" t="str">
        <f t="shared" ca="1" si="2"/>
        <v/>
      </c>
      <c r="L82" s="54"/>
      <c r="M82" s="54"/>
    </row>
    <row r="83" spans="2:13">
      <c r="B83" s="27">
        <f t="shared" si="3"/>
        <v>79</v>
      </c>
      <c r="C83" s="27">
        <f ca="1"/>
        <v>440</v>
      </c>
      <c r="D83" s="27" t="str">
        <f ca="1"/>
        <v>ネイリンカプセル１００ｍｇ</v>
      </c>
      <c r="E83" s="27">
        <f ca="1"/>
        <v>0</v>
      </c>
      <c r="F83" s="54">
        <f ca="1"/>
        <v>3</v>
      </c>
      <c r="G83" s="54" t="str">
        <f ca="1"/>
        <v>ＰＴＰ</v>
      </c>
      <c r="H83" s="54" t="str">
        <f ca="1"/>
        <v>８４Ｔ</v>
      </c>
      <c r="I83" s="54" t="str">
        <f ca="1"/>
        <v>cap</v>
      </c>
      <c r="J83" s="54" t="str">
        <f ca="1">IF(F83="","",OFFSET(分類!$B$29,MATCH(F83,分類!$A$30:$A$46,0),0))</f>
        <v>外用.臨時.散薬ヒート</v>
      </c>
      <c r="K83" s="54" t="str">
        <f t="shared" ca="1" si="2"/>
        <v/>
      </c>
      <c r="L83" s="54"/>
      <c r="M83" s="54"/>
    </row>
    <row r="84" spans="2:13">
      <c r="B84" s="27">
        <f t="shared" si="3"/>
        <v>80</v>
      </c>
      <c r="C84" s="27">
        <f ca="1"/>
        <v>449</v>
      </c>
      <c r="D84" s="27" t="str">
        <f ca="1"/>
        <v>ノベルジン錠２５ｍｇ</v>
      </c>
      <c r="E84" s="27">
        <f ca="1"/>
        <v>2</v>
      </c>
      <c r="F84" s="54">
        <f ca="1"/>
        <v>3</v>
      </c>
      <c r="G84" s="54" t="str">
        <f ca="1"/>
        <v>ＰＴＰ</v>
      </c>
      <c r="H84" s="54" t="str">
        <f ca="1"/>
        <v>１００Ｔ</v>
      </c>
      <c r="I84" s="54" t="str">
        <f ca="1"/>
        <v>錠</v>
      </c>
      <c r="J84" s="54" t="str">
        <f ca="1">IF(F84="","",OFFSET(分類!$B$29,MATCH(F84,分類!$A$30:$A$46,0),0))</f>
        <v>外用.臨時.散薬ヒート</v>
      </c>
      <c r="K84" s="54" t="str">
        <f t="shared" ca="1" si="2"/>
        <v/>
      </c>
      <c r="L84" s="54"/>
      <c r="M84" s="54"/>
    </row>
    <row r="85" spans="2:13">
      <c r="B85" s="27">
        <f t="shared" si="3"/>
        <v>81</v>
      </c>
      <c r="C85" s="27">
        <f ca="1"/>
        <v>451</v>
      </c>
      <c r="D85" s="27" t="str">
        <f ca="1"/>
        <v>ハーフジゴキシンＫＹ錠０．１２５</v>
      </c>
      <c r="E85" s="27">
        <f ca="1"/>
        <v>2</v>
      </c>
      <c r="F85" s="54">
        <f ca="1"/>
        <v>15</v>
      </c>
      <c r="G85" s="54" t="str">
        <f ca="1"/>
        <v>ＰＴＰ</v>
      </c>
      <c r="H85" s="54" t="str">
        <f ca="1"/>
        <v>１００Ｔ</v>
      </c>
      <c r="I85" s="54" t="str">
        <f ca="1"/>
        <v>錠</v>
      </c>
      <c r="J85" s="54" t="str">
        <f ca="1">IF(F85="","",OFFSET(分類!$B$29,MATCH(F85,分類!$A$30:$A$46,0),0))</f>
        <v>不良在庫</v>
      </c>
      <c r="K85" s="54" t="str">
        <f t="shared" ca="1" si="2"/>
        <v/>
      </c>
      <c r="L85" s="54"/>
      <c r="M85" s="54"/>
    </row>
    <row r="86" spans="2:13">
      <c r="B86" s="27">
        <f t="shared" si="3"/>
        <v>82</v>
      </c>
      <c r="C86" s="27">
        <f ca="1"/>
        <v>459</v>
      </c>
      <c r="D86" s="27" t="str">
        <f ca="1"/>
        <v>バルプロ酸ＮＡ徐放顆粒４０％「フジナガ」</v>
      </c>
      <c r="E86" s="27">
        <f ca="1"/>
        <v>0</v>
      </c>
      <c r="F86" s="54">
        <f ca="1"/>
        <v>15</v>
      </c>
      <c r="G86" s="54" t="str">
        <f ca="1"/>
        <v>粉</v>
      </c>
      <c r="H86" s="54" t="str">
        <f ca="1"/>
        <v>５００ｇ</v>
      </c>
      <c r="I86" s="54" t="str">
        <f ca="1"/>
        <v>ｇ</v>
      </c>
      <c r="J86" s="54" t="str">
        <f ca="1">IF(F86="","",OFFSET(分類!$B$29,MATCH(F86,分類!$A$30:$A$46,0),0))</f>
        <v>不良在庫</v>
      </c>
      <c r="K86" s="54">
        <f t="shared" ca="1" si="2"/>
        <v>500</v>
      </c>
      <c r="L86" s="54"/>
      <c r="M86" s="54"/>
    </row>
    <row r="87" spans="2:13">
      <c r="B87" s="27">
        <f t="shared" si="3"/>
        <v>83</v>
      </c>
      <c r="C87" s="27">
        <f ca="1"/>
        <v>478</v>
      </c>
      <c r="D87" s="27" t="str">
        <f ca="1"/>
        <v>ビ・シフロール錠０．１２５ｍｇ</v>
      </c>
      <c r="E87" s="27">
        <f ca="1"/>
        <v>2</v>
      </c>
      <c r="F87" s="54">
        <f ca="1"/>
        <v>3</v>
      </c>
      <c r="G87" s="54" t="str">
        <f ca="1"/>
        <v>ＰＴＰ</v>
      </c>
      <c r="H87" s="54" t="str">
        <f ca="1"/>
        <v>１００Ｔ</v>
      </c>
      <c r="I87" s="54" t="str">
        <f ca="1"/>
        <v>錠</v>
      </c>
      <c r="J87" s="54" t="str">
        <f ca="1">IF(F87="","",OFFSET(分類!$B$29,MATCH(F87,分類!$A$30:$A$46,0),0))</f>
        <v>外用.臨時.散薬ヒート</v>
      </c>
      <c r="K87" s="54" t="str">
        <f t="shared" ca="1" si="2"/>
        <v/>
      </c>
      <c r="L87" s="54"/>
      <c r="M87" s="54"/>
    </row>
    <row r="88" spans="2:13">
      <c r="B88" s="27">
        <f t="shared" si="3"/>
        <v>84</v>
      </c>
      <c r="C88" s="27">
        <f ca="1"/>
        <v>480</v>
      </c>
      <c r="D88" s="27" t="str">
        <f ca="1"/>
        <v>ピーゼットシー糖衣錠４ｍｇ</v>
      </c>
      <c r="E88" s="27">
        <f ca="1"/>
        <v>0</v>
      </c>
      <c r="F88" s="54">
        <f ca="1"/>
        <v>3</v>
      </c>
      <c r="G88" s="54" t="str">
        <f ca="1"/>
        <v>ＰＴＰ</v>
      </c>
      <c r="H88" s="54" t="str">
        <f ca="1"/>
        <v>１００Ｔ</v>
      </c>
      <c r="I88" s="54" t="str">
        <f ca="1"/>
        <v>錠</v>
      </c>
      <c r="J88" s="54" t="str">
        <f ca="1">IF(F88="","",OFFSET(分類!$B$29,MATCH(F88,分類!$A$30:$A$46,0),0))</f>
        <v>外用.臨時.散薬ヒート</v>
      </c>
      <c r="K88" s="54" t="str">
        <f t="shared" ca="1" si="2"/>
        <v/>
      </c>
      <c r="L88" s="54"/>
      <c r="M88" s="54"/>
    </row>
    <row r="89" spans="2:13">
      <c r="B89" s="27">
        <f t="shared" si="3"/>
        <v>85</v>
      </c>
      <c r="C89" s="27">
        <f ca="1"/>
        <v>487</v>
      </c>
      <c r="D89" s="27" t="str">
        <f ca="1"/>
        <v>ビカルタミド錠８０ｍｇ「オーハラ」</v>
      </c>
      <c r="E89" s="27">
        <f ca="1"/>
        <v>2</v>
      </c>
      <c r="F89" s="54">
        <f ca="1"/>
        <v>3</v>
      </c>
      <c r="G89" s="54" t="str">
        <f ca="1"/>
        <v>ＰＴＰ</v>
      </c>
      <c r="H89" s="54" t="str">
        <f ca="1"/>
        <v>３０Ｔ</v>
      </c>
      <c r="I89" s="54" t="str">
        <f ca="1"/>
        <v>錠</v>
      </c>
      <c r="J89" s="54" t="str">
        <f ca="1">IF(F89="","",OFFSET(分類!$B$29,MATCH(F89,分類!$A$30:$A$46,0),0))</f>
        <v>外用.臨時.散薬ヒート</v>
      </c>
      <c r="K89" s="54" t="str">
        <f t="shared" ca="1" si="2"/>
        <v/>
      </c>
      <c r="L89" s="54"/>
      <c r="M89" s="54"/>
    </row>
    <row r="90" spans="2:13">
      <c r="B90" s="27">
        <f t="shared" si="3"/>
        <v>86</v>
      </c>
      <c r="C90" s="27">
        <f ca="1"/>
        <v>491</v>
      </c>
      <c r="D90" s="27" t="str">
        <f ca="1"/>
        <v>ビソノテープ２ｍｇ</v>
      </c>
      <c r="E90" s="27">
        <f ca="1"/>
        <v>0</v>
      </c>
      <c r="F90" s="54">
        <f ca="1"/>
        <v>3</v>
      </c>
      <c r="G90" s="54" t="str">
        <f ca="1"/>
        <v/>
      </c>
      <c r="H90" s="54" t="str">
        <f ca="1"/>
        <v>７０枚</v>
      </c>
      <c r="I90" s="54" t="str">
        <f ca="1"/>
        <v>枚</v>
      </c>
      <c r="J90" s="54" t="str">
        <f ca="1">IF(F90="","",OFFSET(分類!$B$29,MATCH(F90,分類!$A$30:$A$46,0),0))</f>
        <v>外用.臨時.散薬ヒート</v>
      </c>
      <c r="K90" s="54" t="str">
        <f t="shared" ca="1" si="2"/>
        <v/>
      </c>
      <c r="L90" s="54"/>
      <c r="M90" s="54"/>
    </row>
    <row r="91" spans="2:13">
      <c r="B91" s="27">
        <f t="shared" si="3"/>
        <v>87</v>
      </c>
      <c r="C91" s="27">
        <f ca="1"/>
        <v>492</v>
      </c>
      <c r="D91" s="27" t="str">
        <f ca="1"/>
        <v>ビソノテープ４ｍｇ</v>
      </c>
      <c r="E91" s="27">
        <f ca="1"/>
        <v>0</v>
      </c>
      <c r="F91" s="54">
        <f ca="1"/>
        <v>3</v>
      </c>
      <c r="G91" s="54" t="str">
        <f ca="1"/>
        <v/>
      </c>
      <c r="H91" s="54" t="str">
        <f ca="1"/>
        <v>７０枚</v>
      </c>
      <c r="I91" s="54" t="str">
        <f ca="1"/>
        <v>枚</v>
      </c>
      <c r="J91" s="54" t="str">
        <f ca="1">IF(F91="","",OFFSET(分類!$B$29,MATCH(F91,分類!$A$30:$A$46,0),0))</f>
        <v>外用.臨時.散薬ヒート</v>
      </c>
      <c r="K91" s="54" t="str">
        <f t="shared" ca="1" si="2"/>
        <v/>
      </c>
      <c r="L91" s="54"/>
      <c r="M91" s="54"/>
    </row>
    <row r="92" spans="2:13">
      <c r="B92" s="27">
        <f t="shared" si="3"/>
        <v>88</v>
      </c>
      <c r="C92" s="27">
        <f ca="1"/>
        <v>497</v>
      </c>
      <c r="D92" s="27" t="str">
        <f ca="1"/>
        <v>ビプレッソ徐放錠１５０ｍｇ</v>
      </c>
      <c r="E92" s="27">
        <f ca="1"/>
        <v>2</v>
      </c>
      <c r="F92" s="54">
        <f ca="1"/>
        <v>3</v>
      </c>
      <c r="G92" s="54" t="str">
        <f ca="1"/>
        <v>ＰＴＰ</v>
      </c>
      <c r="H92" s="54" t="str">
        <f ca="1"/>
        <v>１００Ｔ</v>
      </c>
      <c r="I92" s="54" t="str">
        <f ca="1"/>
        <v>錠</v>
      </c>
      <c r="J92" s="54" t="str">
        <f ca="1">IF(F92="","",OFFSET(分類!$B$29,MATCH(F92,分類!$A$30:$A$46,0),0))</f>
        <v>外用.臨時.散薬ヒート</v>
      </c>
      <c r="K92" s="54" t="str">
        <f t="shared" ca="1" si="2"/>
        <v/>
      </c>
      <c r="L92" s="54"/>
      <c r="M92" s="54"/>
    </row>
    <row r="93" spans="2:13">
      <c r="B93" s="27">
        <f t="shared" si="3"/>
        <v>89</v>
      </c>
      <c r="C93" s="27">
        <f ca="1"/>
        <v>498</v>
      </c>
      <c r="D93" s="27" t="str">
        <f ca="1"/>
        <v>ビプレッソ徐放錠１５０ｍｇ</v>
      </c>
      <c r="E93" s="27">
        <f ca="1"/>
        <v>2</v>
      </c>
      <c r="F93" s="54">
        <f ca="1"/>
        <v>3</v>
      </c>
      <c r="G93" s="54" t="str">
        <f ca="1"/>
        <v>バラ</v>
      </c>
      <c r="H93" s="54" t="str">
        <f ca="1"/>
        <v>１００Ｔ</v>
      </c>
      <c r="I93" s="54" t="str">
        <f ca="1"/>
        <v>錠</v>
      </c>
      <c r="J93" s="54" t="str">
        <f ca="1">IF(F93="","",OFFSET(分類!$B$29,MATCH(F93,分類!$A$30:$A$46,0),0))</f>
        <v>外用.臨時.散薬ヒート</v>
      </c>
      <c r="K93" s="54" t="str">
        <f t="shared" ca="1" si="2"/>
        <v/>
      </c>
      <c r="L93" s="54"/>
      <c r="M93" s="54"/>
    </row>
    <row r="94" spans="2:13">
      <c r="B94" s="27">
        <f t="shared" si="3"/>
        <v>90</v>
      </c>
      <c r="C94" s="27">
        <f ca="1"/>
        <v>499</v>
      </c>
      <c r="D94" s="27" t="str">
        <f ca="1"/>
        <v>ビプレッソ徐放錠５０ｍｇ</v>
      </c>
      <c r="E94" s="27">
        <f ca="1"/>
        <v>2</v>
      </c>
      <c r="F94" s="54">
        <f ca="1"/>
        <v>3</v>
      </c>
      <c r="G94" s="54" t="str">
        <f ca="1"/>
        <v>ＰＴＰ</v>
      </c>
      <c r="H94" s="54" t="str">
        <f ca="1"/>
        <v>１００Ｔ</v>
      </c>
      <c r="I94" s="54" t="str">
        <f ca="1"/>
        <v>錠</v>
      </c>
      <c r="J94" s="54" t="str">
        <f ca="1">IF(F94="","",OFFSET(分類!$B$29,MATCH(F94,分類!$A$30:$A$46,0),0))</f>
        <v>外用.臨時.散薬ヒート</v>
      </c>
      <c r="K94" s="54" t="str">
        <f t="shared" ca="1" si="2"/>
        <v/>
      </c>
      <c r="L94" s="54"/>
      <c r="M94" s="54"/>
    </row>
    <row r="95" spans="2:13">
      <c r="B95" s="27">
        <f t="shared" si="3"/>
        <v>91</v>
      </c>
      <c r="C95" s="27">
        <f ca="1"/>
        <v>500</v>
      </c>
      <c r="D95" s="27" t="str">
        <f ca="1"/>
        <v>ビプレッソ徐放錠５０ｍｇ</v>
      </c>
      <c r="E95" s="27">
        <f ca="1"/>
        <v>2</v>
      </c>
      <c r="F95" s="54">
        <f ca="1"/>
        <v>3</v>
      </c>
      <c r="G95" s="54" t="str">
        <f ca="1"/>
        <v>バラ</v>
      </c>
      <c r="H95" s="54" t="str">
        <f ca="1"/>
        <v>１００Ｔ</v>
      </c>
      <c r="I95" s="54" t="str">
        <f ca="1"/>
        <v>錠</v>
      </c>
      <c r="J95" s="54" t="str">
        <f ca="1">IF(F95="","",OFFSET(分類!$B$29,MATCH(F95,分類!$A$30:$A$46,0),0))</f>
        <v>外用.臨時.散薬ヒート</v>
      </c>
      <c r="K95" s="54" t="str">
        <f t="shared" ca="1" si="2"/>
        <v/>
      </c>
      <c r="L95" s="54"/>
      <c r="M95" s="54"/>
    </row>
    <row r="96" spans="2:13">
      <c r="B96" s="27">
        <f t="shared" si="3"/>
        <v>92</v>
      </c>
      <c r="C96" s="27">
        <f ca="1"/>
        <v>508</v>
      </c>
      <c r="D96" s="27" t="str">
        <f ca="1"/>
        <v>ピメノールカプセル５０ｍｇ</v>
      </c>
      <c r="E96" s="27">
        <f ca="1"/>
        <v>2</v>
      </c>
      <c r="F96" s="54">
        <f ca="1"/>
        <v>3</v>
      </c>
      <c r="G96" s="54" t="str">
        <f ca="1"/>
        <v>ＰＴＰ</v>
      </c>
      <c r="H96" s="54" t="str">
        <f ca="1"/>
        <v>１００Ｔ</v>
      </c>
      <c r="I96" s="54" t="str">
        <f ca="1"/>
        <v>カプセル</v>
      </c>
      <c r="J96" s="54" t="str">
        <f ca="1">IF(F96="","",OFFSET(分類!$B$29,MATCH(F96,分類!$A$30:$A$46,0),0))</f>
        <v>外用.臨時.散薬ヒート</v>
      </c>
      <c r="K96" s="54" t="str">
        <f t="shared" ca="1" si="2"/>
        <v/>
      </c>
      <c r="L96" s="54"/>
      <c r="M96" s="54"/>
    </row>
    <row r="97" spans="2:13">
      <c r="B97" s="27">
        <f t="shared" si="3"/>
        <v>93</v>
      </c>
      <c r="C97" s="27">
        <f ca="1"/>
        <v>509</v>
      </c>
      <c r="D97" s="27" t="str">
        <f ca="1"/>
        <v>ピモベンダン錠１．２５ｍｇ「ＴＥ」</v>
      </c>
      <c r="E97" s="27">
        <f ca="1"/>
        <v>0</v>
      </c>
      <c r="F97" s="54">
        <f ca="1"/>
        <v>15</v>
      </c>
      <c r="G97" s="54" t="str">
        <f ca="1"/>
        <v>ＰＴＰ</v>
      </c>
      <c r="H97" s="54" t="str">
        <f ca="1"/>
        <v>１００Ｔ</v>
      </c>
      <c r="I97" s="54" t="str">
        <f ca="1"/>
        <v>錠</v>
      </c>
      <c r="J97" s="54" t="str">
        <f ca="1">IF(F97="","",OFFSET(分類!$B$29,MATCH(F97,分類!$A$30:$A$46,0),0))</f>
        <v>不良在庫</v>
      </c>
      <c r="K97" s="54" t="str">
        <f t="shared" ca="1" si="2"/>
        <v/>
      </c>
      <c r="L97" s="54"/>
      <c r="M97" s="54"/>
    </row>
    <row r="98" spans="2:13">
      <c r="B98" s="27">
        <f t="shared" si="3"/>
        <v>94</v>
      </c>
      <c r="C98" s="27">
        <f ca="1"/>
        <v>512</v>
      </c>
      <c r="D98" s="27" t="str">
        <f ca="1"/>
        <v>ヒューマログミックス５０注ミリオペン　３００単位</v>
      </c>
      <c r="E98" s="27">
        <f ca="1"/>
        <v>2</v>
      </c>
      <c r="F98" s="54">
        <f ca="1"/>
        <v>11</v>
      </c>
      <c r="G98" s="54" t="str">
        <f ca="1"/>
        <v/>
      </c>
      <c r="H98" s="54" t="str">
        <f ca="1"/>
        <v>３ｍｌｘ２</v>
      </c>
      <c r="I98" s="54" t="str">
        <f ca="1"/>
        <v>本</v>
      </c>
      <c r="J98" s="54" t="str">
        <f ca="1">IF(F98="","",OFFSET(分類!$B$29,MATCH(F98,分類!$A$30:$A$46,0),0))</f>
        <v>冷蔵庫</v>
      </c>
      <c r="K98" s="54" t="str">
        <f t="shared" ca="1" si="2"/>
        <v/>
      </c>
      <c r="L98" s="54"/>
      <c r="M98" s="54"/>
    </row>
    <row r="99" spans="2:13">
      <c r="B99" s="27">
        <f t="shared" si="3"/>
        <v>95</v>
      </c>
      <c r="C99" s="27">
        <f ca="1"/>
        <v>523</v>
      </c>
      <c r="D99" s="27" t="str">
        <f ca="1"/>
        <v>ピレノキシン懸濁性点眼液０．００５％「参天」</v>
      </c>
      <c r="E99" s="27">
        <f ca="1"/>
        <v>0</v>
      </c>
      <c r="F99" s="54">
        <f ca="1"/>
        <v>3</v>
      </c>
      <c r="G99" s="54" t="str">
        <f ca="1"/>
        <v/>
      </c>
      <c r="H99" s="54" t="str">
        <f ca="1"/>
        <v>５ｍｌｘ１０</v>
      </c>
      <c r="I99" s="54" t="str">
        <f ca="1"/>
        <v>瓶</v>
      </c>
      <c r="J99" s="54" t="str">
        <f ca="1">IF(F99="","",OFFSET(分類!$B$29,MATCH(F99,分類!$A$30:$A$46,0),0))</f>
        <v>外用.臨時.散薬ヒート</v>
      </c>
      <c r="K99" s="54" t="str">
        <f t="shared" ca="1" si="2"/>
        <v/>
      </c>
      <c r="L99" s="54"/>
      <c r="M99" s="54"/>
    </row>
    <row r="100" spans="2:13">
      <c r="B100" s="27">
        <f t="shared" si="3"/>
        <v>96</v>
      </c>
      <c r="C100" s="27">
        <f ca="1"/>
        <v>530</v>
      </c>
      <c r="D100" s="27" t="str">
        <f ca="1"/>
        <v>フェノバール錠３０ｍｇ</v>
      </c>
      <c r="E100" s="27">
        <f ca="1"/>
        <v>2</v>
      </c>
      <c r="F100" s="54">
        <f ca="1"/>
        <v>3</v>
      </c>
      <c r="G100" s="54" t="str">
        <f ca="1"/>
        <v>ＰＴＰ</v>
      </c>
      <c r="H100" s="54" t="str">
        <f ca="1"/>
        <v>１００Ｔ</v>
      </c>
      <c r="I100" s="54" t="str">
        <f ca="1"/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2"/>
        <v/>
      </c>
      <c r="L100" s="54"/>
      <c r="M100" s="54"/>
    </row>
    <row r="101" spans="2:13">
      <c r="B101" s="27">
        <f t="shared" si="3"/>
        <v>97</v>
      </c>
      <c r="C101" s="27">
        <f ca="1"/>
        <v>545</v>
      </c>
      <c r="D101" s="27" t="str">
        <f ca="1"/>
        <v>フラジール内服錠２５０ｍｇ</v>
      </c>
      <c r="E101" s="27">
        <f ca="1"/>
        <v>0</v>
      </c>
      <c r="F101" s="54">
        <f ca="1"/>
        <v>3</v>
      </c>
      <c r="G101" s="54" t="str">
        <f ca="1"/>
        <v>ＰＴＰ</v>
      </c>
      <c r="H101" s="54" t="str">
        <f ca="1"/>
        <v>１００錠</v>
      </c>
      <c r="I101" s="54" t="str">
        <f ca="1"/>
        <v>錠</v>
      </c>
      <c r="J101" s="54" t="str">
        <f ca="1">IF(F101="","",OFFSET(分類!$B$29,MATCH(F101,分類!$A$30:$A$46,0),0))</f>
        <v>外用.臨時.散薬ヒート</v>
      </c>
      <c r="K101" s="54" t="str">
        <f t="shared" ca="1" si="2"/>
        <v/>
      </c>
      <c r="L101" s="54"/>
      <c r="M101" s="54"/>
    </row>
    <row r="102" spans="2:13">
      <c r="B102" s="27">
        <f t="shared" si="3"/>
        <v>98</v>
      </c>
      <c r="C102" s="27">
        <f ca="1"/>
        <v>546</v>
      </c>
      <c r="D102" s="27" t="str">
        <f ca="1"/>
        <v>フラジール腟錠２５０ｍｇ</v>
      </c>
      <c r="E102" s="27">
        <f ca="1"/>
        <v>0</v>
      </c>
      <c r="F102" s="54">
        <f ca="1"/>
        <v>15</v>
      </c>
      <c r="G102" s="54" t="str">
        <f ca="1"/>
        <v>ＰＴＰ</v>
      </c>
      <c r="H102" s="54" t="str">
        <f ca="1"/>
        <v>６０Ｔ</v>
      </c>
      <c r="I102" s="54" t="str">
        <f ca="1"/>
        <v>錠</v>
      </c>
      <c r="J102" s="54" t="str">
        <f ca="1">IF(F102="","",OFFSET(分類!$B$29,MATCH(F102,分類!$A$30:$A$46,0),0))</f>
        <v>不良在庫</v>
      </c>
      <c r="K102" s="54" t="str">
        <f t="shared" ca="1" si="2"/>
        <v/>
      </c>
      <c r="L102" s="54"/>
      <c r="M102" s="54"/>
    </row>
    <row r="103" spans="2:13">
      <c r="B103" s="27">
        <f t="shared" si="3"/>
        <v>99</v>
      </c>
      <c r="C103" s="27">
        <f ca="1"/>
        <v>549</v>
      </c>
      <c r="D103" s="27" t="str">
        <f ca="1"/>
        <v>プラリア皮下注６０ｍｇシリンジ</v>
      </c>
      <c r="E103" s="27">
        <f ca="1"/>
        <v>2</v>
      </c>
      <c r="F103" s="54">
        <f ca="1"/>
        <v>15</v>
      </c>
      <c r="G103" s="54" t="str">
        <f ca="1"/>
        <v/>
      </c>
      <c r="H103" s="54" t="str">
        <f ca="1"/>
        <v>１ｍｌｘ１本</v>
      </c>
      <c r="I103" s="54" t="str">
        <f ca="1"/>
        <v>ｼﾘﾝｼﾞ</v>
      </c>
      <c r="J103" s="54" t="str">
        <f ca="1">IF(F103="","",OFFSET(分類!$B$29,MATCH(F103,分類!$A$30:$A$46,0),0))</f>
        <v>不良在庫</v>
      </c>
      <c r="K103" s="54" t="str">
        <f t="shared" ca="1" si="2"/>
        <v/>
      </c>
      <c r="L103" s="54"/>
      <c r="M103" s="54"/>
    </row>
    <row r="104" spans="2:13">
      <c r="B104" s="27">
        <f t="shared" si="3"/>
        <v>100</v>
      </c>
      <c r="C104" s="27">
        <f ca="1"/>
        <v>552</v>
      </c>
      <c r="D104" s="27" t="str">
        <f ca="1"/>
        <v>フルイトラン錠２ｍｇ</v>
      </c>
      <c r="E104" s="27">
        <f ca="1"/>
        <v>0</v>
      </c>
      <c r="F104" s="54">
        <f ca="1"/>
        <v>3</v>
      </c>
      <c r="G104" s="54" t="str">
        <f ca="1"/>
        <v>ＰＴＰ</v>
      </c>
      <c r="H104" s="54" t="str">
        <f ca="1"/>
        <v>１００Ｔ</v>
      </c>
      <c r="I104" s="54" t="str">
        <f ca="1"/>
        <v>錠</v>
      </c>
      <c r="J104" s="54" t="str">
        <f ca="1">IF(F104="","",OFFSET(分類!$B$29,MATCH(F104,分類!$A$30:$A$46,0),0))</f>
        <v>外用.臨時.散薬ヒート</v>
      </c>
      <c r="K104" s="54" t="str">
        <f t="shared" ca="1" si="2"/>
        <v/>
      </c>
      <c r="L104" s="54"/>
      <c r="M104" s="54"/>
    </row>
    <row r="105" spans="2:13">
      <c r="B105" s="27">
        <f t="shared" si="3"/>
        <v>101</v>
      </c>
      <c r="C105" s="27">
        <f ca="1"/>
        <v>553</v>
      </c>
      <c r="D105" s="27" t="str">
        <f ca="1"/>
        <v>フルオロメトロン点眼液０．１％「ＮＩＴ」</v>
      </c>
      <c r="E105" s="27">
        <f ca="1"/>
        <v>0</v>
      </c>
      <c r="F105" s="54">
        <f ca="1"/>
        <v>3</v>
      </c>
      <c r="G105" s="54" t="str">
        <f ca="1"/>
        <v/>
      </c>
      <c r="H105" s="54" t="str">
        <f ca="1"/>
        <v>５ｍｌｘ１０</v>
      </c>
      <c r="I105" s="54" t="str">
        <f ca="1"/>
        <v>ｍｌ</v>
      </c>
      <c r="J105" s="54" t="str">
        <f ca="1">IF(F105="","",OFFSET(分類!$B$29,MATCH(F105,分類!$A$30:$A$46,0),0))</f>
        <v>外用.臨時.散薬ヒート</v>
      </c>
      <c r="K105" s="54" t="str">
        <f t="shared" ca="1" si="2"/>
        <v/>
      </c>
      <c r="L105" s="54"/>
      <c r="M105" s="54"/>
    </row>
    <row r="106" spans="2:13">
      <c r="B106" s="27">
        <f t="shared" si="3"/>
        <v>102</v>
      </c>
      <c r="C106" s="27">
        <f ca="1"/>
        <v>559</v>
      </c>
      <c r="D106" s="27" t="str">
        <f ca="1"/>
        <v>プレガバリンＯＤ錠２５ｍｇ「サワイ」</v>
      </c>
      <c r="E106" s="27">
        <f ca="1"/>
        <v>0</v>
      </c>
      <c r="F106" s="54">
        <f ca="1"/>
        <v>1</v>
      </c>
      <c r="G106" s="54" t="str">
        <f ca="1"/>
        <v>ＰＴＰ</v>
      </c>
      <c r="H106" s="54" t="str">
        <f ca="1"/>
        <v>１００Ｔ</v>
      </c>
      <c r="I106" s="54" t="str">
        <f ca="1"/>
        <v>錠</v>
      </c>
      <c r="J106" s="54" t="str">
        <f ca="1">IF(F106="","",OFFSET(分類!$B$29,MATCH(F106,分類!$A$30:$A$46,0),0))</f>
        <v>調剤棚</v>
      </c>
      <c r="K106" s="54" t="str">
        <f t="shared" ca="1" si="2"/>
        <v/>
      </c>
      <c r="L106" s="54"/>
      <c r="M106" s="54"/>
    </row>
    <row r="107" spans="2:13">
      <c r="B107" s="27">
        <f t="shared" si="3"/>
        <v>103</v>
      </c>
      <c r="C107" s="27">
        <f ca="1"/>
        <v>560</v>
      </c>
      <c r="D107" s="27" t="str">
        <f ca="1"/>
        <v>プレガバリンＯＤ錠７５ｍｇ「サワイ」</v>
      </c>
      <c r="E107" s="27">
        <f ca="1"/>
        <v>0</v>
      </c>
      <c r="F107" s="54">
        <f ca="1"/>
        <v>1</v>
      </c>
      <c r="G107" s="54" t="str">
        <f ca="1"/>
        <v>ＰＴＰ</v>
      </c>
      <c r="H107" s="54" t="str">
        <f ca="1"/>
        <v>１００Ｔ</v>
      </c>
      <c r="I107" s="54" t="str">
        <f ca="1"/>
        <v>錠</v>
      </c>
      <c r="J107" s="54" t="str">
        <f ca="1">IF(F107="","",OFFSET(分類!$B$29,MATCH(F107,分類!$A$30:$A$46,0),0))</f>
        <v>調剤棚</v>
      </c>
      <c r="K107" s="54" t="str">
        <f t="shared" ca="1" si="2"/>
        <v/>
      </c>
      <c r="L107" s="54"/>
      <c r="M107" s="54"/>
    </row>
    <row r="108" spans="2:13">
      <c r="B108" s="27">
        <f t="shared" si="3"/>
        <v>104</v>
      </c>
      <c r="C108" s="27">
        <f ca="1"/>
        <v>561</v>
      </c>
      <c r="D108" s="27" t="str">
        <f ca="1"/>
        <v>プレドニゾロン錠１ｍｇ「ＶＴＲＳ」</v>
      </c>
      <c r="E108" s="27">
        <f ca="1"/>
        <v>0</v>
      </c>
      <c r="F108" s="54">
        <f ca="1"/>
        <v>1</v>
      </c>
      <c r="G108" s="54" t="str">
        <f ca="1"/>
        <v>ＰＴＰ</v>
      </c>
      <c r="H108" s="54" t="str">
        <f ca="1"/>
        <v>１００Ｔ</v>
      </c>
      <c r="I108" s="54" t="str">
        <f ca="1"/>
        <v>錠</v>
      </c>
      <c r="J108" s="54" t="str">
        <f ca="1">IF(F108="","",OFFSET(分類!$B$29,MATCH(F108,分類!$A$30:$A$46,0),0))</f>
        <v>調剤棚</v>
      </c>
      <c r="K108" s="54" t="str">
        <f t="shared" ca="1" si="2"/>
        <v/>
      </c>
      <c r="L108" s="54"/>
      <c r="M108" s="54"/>
    </row>
    <row r="109" spans="2:13">
      <c r="B109" s="27">
        <f t="shared" si="3"/>
        <v>105</v>
      </c>
      <c r="C109" s="27">
        <f ca="1"/>
        <v>570</v>
      </c>
      <c r="D109" s="27" t="str">
        <f ca="1"/>
        <v>ブロナック点眼液０．１％</v>
      </c>
      <c r="E109" s="27">
        <f ca="1"/>
        <v>0</v>
      </c>
      <c r="F109" s="54">
        <f ca="1"/>
        <v>3</v>
      </c>
      <c r="G109" s="54" t="str">
        <f ca="1"/>
        <v/>
      </c>
      <c r="H109" s="54" t="str">
        <f ca="1"/>
        <v>５ｍｌｘ１０</v>
      </c>
      <c r="I109" s="54" t="str">
        <f ca="1"/>
        <v>ｍｌ</v>
      </c>
      <c r="J109" s="54" t="str">
        <f ca="1">IF(F109="","",OFFSET(分類!$B$29,MATCH(F109,分類!$A$30:$A$46,0),0))</f>
        <v>外用.臨時.散薬ヒート</v>
      </c>
      <c r="K109" s="54" t="str">
        <f t="shared" ca="1" si="2"/>
        <v/>
      </c>
      <c r="L109" s="54"/>
      <c r="M109" s="54"/>
    </row>
    <row r="110" spans="2:13">
      <c r="B110" s="27">
        <f t="shared" si="3"/>
        <v>106</v>
      </c>
      <c r="C110" s="27">
        <f ca="1"/>
        <v>586</v>
      </c>
      <c r="D110" s="27" t="str">
        <f ca="1"/>
        <v>ベサコリン散５％</v>
      </c>
      <c r="E110" s="27">
        <f ca="1"/>
        <v>2</v>
      </c>
      <c r="F110" s="54">
        <f ca="1"/>
        <v>2</v>
      </c>
      <c r="G110" s="54" t="str">
        <f ca="1"/>
        <v>粉</v>
      </c>
      <c r="H110" s="54" t="str">
        <f ca="1"/>
        <v>１００ｇ</v>
      </c>
      <c r="I110" s="54" t="str">
        <f ca="1"/>
        <v>ｇ</v>
      </c>
      <c r="J110" s="54" t="str">
        <f ca="1">IF(F110="","",OFFSET(分類!$B$29,MATCH(F110,分類!$A$30:$A$46,0),0))</f>
        <v>散薬調剤台</v>
      </c>
      <c r="K110" s="54">
        <f t="shared" ca="1" si="2"/>
        <v>100</v>
      </c>
      <c r="L110" s="54"/>
      <c r="M110" s="54"/>
    </row>
    <row r="111" spans="2:13">
      <c r="B111" s="27">
        <f t="shared" si="3"/>
        <v>107</v>
      </c>
      <c r="C111" s="27">
        <f ca="1"/>
        <v>588</v>
      </c>
      <c r="D111" s="27" t="str">
        <f ca="1"/>
        <v>ベタナミン錠１０ｍｇ</v>
      </c>
      <c r="E111" s="27">
        <f ca="1"/>
        <v>0</v>
      </c>
      <c r="F111" s="54">
        <f ca="1"/>
        <v>15</v>
      </c>
      <c r="G111" s="54" t="str">
        <f ca="1"/>
        <v>ＰＴＰ</v>
      </c>
      <c r="H111" s="54" t="str">
        <f ca="1"/>
        <v>１００Ｔ</v>
      </c>
      <c r="I111" s="54" t="str">
        <f ca="1"/>
        <v>錠</v>
      </c>
      <c r="J111" s="54" t="str">
        <f ca="1">IF(F111="","",OFFSET(分類!$B$29,MATCH(F111,分類!$A$30:$A$46,0),0))</f>
        <v>不良在庫</v>
      </c>
      <c r="K111" s="54" t="str">
        <f t="shared" ca="1" si="2"/>
        <v/>
      </c>
      <c r="L111" s="54"/>
      <c r="M111" s="54"/>
    </row>
    <row r="112" spans="2:13">
      <c r="B112" s="27">
        <f t="shared" si="3"/>
        <v>108</v>
      </c>
      <c r="C112" s="27">
        <f ca="1"/>
        <v>597</v>
      </c>
      <c r="D112" s="27" t="str">
        <f ca="1"/>
        <v>ベプリコール錠５０ｍｇ</v>
      </c>
      <c r="E112" s="27">
        <f ca="1"/>
        <v>2</v>
      </c>
      <c r="F112" s="54">
        <f ca="1"/>
        <v>3</v>
      </c>
      <c r="G112" s="54" t="str">
        <f ca="1"/>
        <v>ＰＴＰ</v>
      </c>
      <c r="H112" s="54" t="str">
        <f ca="1"/>
        <v>１００Ｔ</v>
      </c>
      <c r="I112" s="54" t="str">
        <f ca="1"/>
        <v>錠</v>
      </c>
      <c r="J112" s="54" t="str">
        <f ca="1">IF(F112="","",OFFSET(分類!$B$29,MATCH(F112,分類!$A$30:$A$46,0),0))</f>
        <v>外用.臨時.散薬ヒート</v>
      </c>
      <c r="K112" s="54" t="str">
        <f t="shared" ca="1" si="2"/>
        <v/>
      </c>
      <c r="L112" s="54"/>
      <c r="M112" s="54"/>
    </row>
    <row r="113" spans="2:13">
      <c r="B113" s="27">
        <f t="shared" si="3"/>
        <v>109</v>
      </c>
      <c r="C113" s="27">
        <f ca="1"/>
        <v>607</v>
      </c>
      <c r="D113" s="27" t="str">
        <f ca="1"/>
        <v>ペンタサ顆粒９４％　５００ｍｇ含有</v>
      </c>
      <c r="E113" s="27">
        <f ca="1"/>
        <v>0</v>
      </c>
      <c r="F113" s="54">
        <f ca="1"/>
        <v>1</v>
      </c>
      <c r="G113" s="54" t="str">
        <f ca="1"/>
        <v>粉</v>
      </c>
      <c r="H113" s="54" t="str">
        <f ca="1"/>
        <v>０．５３ｇｘ１００包</v>
      </c>
      <c r="I113" s="54" t="str">
        <f ca="1"/>
        <v>ｇ</v>
      </c>
      <c r="J113" s="54" t="str">
        <f ca="1">IF(F113="","",OFFSET(分類!$B$29,MATCH(F113,分類!$A$30:$A$46,0),0))</f>
        <v>調剤棚</v>
      </c>
      <c r="K113" s="54">
        <f t="shared" ca="1" si="2"/>
        <v>0.53</v>
      </c>
      <c r="L113" s="54"/>
      <c r="M113" s="54"/>
    </row>
    <row r="114" spans="2:13">
      <c r="B114" s="27">
        <f t="shared" si="3"/>
        <v>110</v>
      </c>
      <c r="C114" s="27">
        <f ca="1"/>
        <v>610</v>
      </c>
      <c r="D114" s="27" t="str">
        <f ca="1"/>
        <v>ホーリンＶ膣用錠１ｍｇ</v>
      </c>
      <c r="E114" s="27">
        <f ca="1"/>
        <v>0</v>
      </c>
      <c r="F114" s="54">
        <f ca="1"/>
        <v>3</v>
      </c>
      <c r="G114" s="54" t="str">
        <f ca="1"/>
        <v>ＰＴＰ</v>
      </c>
      <c r="H114" s="54" t="str">
        <f ca="1"/>
        <v>１００Ｔ</v>
      </c>
      <c r="I114" s="54" t="str">
        <f ca="1"/>
        <v>錠</v>
      </c>
      <c r="J114" s="54" t="str">
        <f ca="1">IF(F114="","",OFFSET(分類!$B$29,MATCH(F114,分類!$A$30:$A$46,0),0))</f>
        <v>外用.臨時.散薬ヒート</v>
      </c>
      <c r="K114" s="54" t="str">
        <f t="shared" ca="1" si="2"/>
        <v/>
      </c>
      <c r="L114" s="54"/>
      <c r="M114" s="54"/>
    </row>
    <row r="115" spans="2:13">
      <c r="B115" s="27">
        <f t="shared" si="3"/>
        <v>111</v>
      </c>
      <c r="C115" s="27">
        <f ca="1"/>
        <v>615</v>
      </c>
      <c r="D115" s="27" t="str">
        <f ca="1"/>
        <v>ホスリボン配合顆粒</v>
      </c>
      <c r="E115" s="27">
        <f ca="1"/>
        <v>0</v>
      </c>
      <c r="F115" s="54">
        <f ca="1"/>
        <v>15</v>
      </c>
      <c r="G115" s="54" t="str">
        <f ca="1"/>
        <v>粉</v>
      </c>
      <c r="H115" s="54" t="str">
        <f ca="1"/>
        <v>２００包</v>
      </c>
      <c r="I115" s="54" t="str">
        <f ca="1"/>
        <v>包</v>
      </c>
      <c r="J115" s="54" t="str">
        <f ca="1">IF(F115="","",OFFSET(分類!$B$29,MATCH(F115,分類!$A$30:$A$46,0),0))</f>
        <v>不良在庫</v>
      </c>
      <c r="K115" s="54" t="e">
        <f t="shared" ca="1" si="2"/>
        <v>#VALUE!</v>
      </c>
      <c r="L115" s="54"/>
      <c r="M115" s="54"/>
    </row>
    <row r="116" spans="2:13">
      <c r="B116" s="27">
        <f t="shared" si="3"/>
        <v>112</v>
      </c>
      <c r="C116" s="27">
        <f ca="1"/>
        <v>620</v>
      </c>
      <c r="D116" s="27" t="str">
        <f ca="1"/>
        <v>ポララミン注５ｍｇ</v>
      </c>
      <c r="E116" s="27">
        <f ca="1"/>
        <v>0</v>
      </c>
      <c r="F116" s="54">
        <f ca="1"/>
        <v>15</v>
      </c>
      <c r="G116" s="54" t="str">
        <f ca="1"/>
        <v/>
      </c>
      <c r="H116" s="54" t="str">
        <f ca="1"/>
        <v>１ｍｌｘ１０Ａ</v>
      </c>
      <c r="I116" s="54" t="str">
        <f ca="1"/>
        <v>A</v>
      </c>
      <c r="J116" s="54" t="str">
        <f ca="1">IF(F116="","",OFFSET(分類!$B$29,MATCH(F116,分類!$A$30:$A$46,0),0))</f>
        <v>不良在庫</v>
      </c>
      <c r="K116" s="54" t="str">
        <f t="shared" ca="1" si="2"/>
        <v/>
      </c>
      <c r="L116" s="54"/>
      <c r="M116" s="54"/>
    </row>
    <row r="117" spans="2:13">
      <c r="B117" s="27">
        <f t="shared" si="3"/>
        <v>113</v>
      </c>
      <c r="C117" s="27">
        <f ca="1"/>
        <v>622</v>
      </c>
      <c r="D117" s="27" t="str">
        <f ca="1"/>
        <v>ボルズイ錠５ｍｇ</v>
      </c>
      <c r="E117" s="27">
        <f ca="1"/>
        <v>0</v>
      </c>
      <c r="F117" s="54">
        <f ca="1"/>
        <v>3</v>
      </c>
      <c r="G117" s="54" t="str">
        <f ca="1"/>
        <v>ＰＴＰ</v>
      </c>
      <c r="H117" s="54" t="str">
        <f ca="1"/>
        <v>１００Ｔ</v>
      </c>
      <c r="I117" s="54" t="str">
        <f ca="1"/>
        <v>錠</v>
      </c>
      <c r="J117" s="54" t="str">
        <f ca="1">IF(F117="","",OFFSET(分類!$B$29,MATCH(F117,分類!$A$30:$A$46,0),0))</f>
        <v>外用.臨時.散薬ヒート</v>
      </c>
      <c r="K117" s="54" t="str">
        <f t="shared" ca="1" si="2"/>
        <v/>
      </c>
      <c r="L117" s="54"/>
      <c r="M117" s="54"/>
    </row>
    <row r="118" spans="2:13">
      <c r="B118" s="27">
        <f t="shared" si="3"/>
        <v>114</v>
      </c>
      <c r="C118" s="27">
        <f ca="1"/>
        <v>623</v>
      </c>
      <c r="D118" s="27" t="str">
        <f ca="1"/>
        <v>ボルタレン錠２５ｍｇ</v>
      </c>
      <c r="E118" s="27">
        <f ca="1"/>
        <v>2</v>
      </c>
      <c r="F118" s="54">
        <f ca="1"/>
        <v>2</v>
      </c>
      <c r="G118" s="54" t="str">
        <f ca="1"/>
        <v>ＰＴＰ</v>
      </c>
      <c r="H118" s="54" t="str">
        <f ca="1"/>
        <v>１００Ｔ</v>
      </c>
      <c r="I118" s="54" t="str">
        <f ca="1"/>
        <v>錠</v>
      </c>
      <c r="J118" s="54" t="str">
        <f ca="1">IF(F118="","",OFFSET(分類!$B$29,MATCH(F118,分類!$A$30:$A$46,0),0))</f>
        <v>散薬調剤台</v>
      </c>
      <c r="K118" s="54" t="str">
        <f t="shared" ca="1" si="2"/>
        <v/>
      </c>
      <c r="L118" s="54"/>
      <c r="M118" s="54"/>
    </row>
    <row r="119" spans="2:13">
      <c r="B119" s="27">
        <f t="shared" si="3"/>
        <v>115</v>
      </c>
      <c r="C119" s="27">
        <f ca="1"/>
        <v>637</v>
      </c>
      <c r="D119" s="27" t="str">
        <f ca="1"/>
        <v>ミケルナ配合点眼液</v>
      </c>
      <c r="E119" s="27">
        <f ca="1"/>
        <v>0</v>
      </c>
      <c r="F119" s="54">
        <f ca="1"/>
        <v>3</v>
      </c>
      <c r="G119" s="54" t="str">
        <f ca="1"/>
        <v/>
      </c>
      <c r="H119" s="54" t="str">
        <f ca="1"/>
        <v>２．５ｍｌｘ１０</v>
      </c>
      <c r="I119" s="54" t="str">
        <f ca="1"/>
        <v>ｍｌ</v>
      </c>
      <c r="J119" s="54" t="str">
        <f ca="1">IF(F119="","",OFFSET(分類!$B$29,MATCH(F119,分類!$A$30:$A$46,0),0))</f>
        <v>外用.臨時.散薬ヒート</v>
      </c>
      <c r="K119" s="54" t="str">
        <f t="shared" ca="1" si="2"/>
        <v/>
      </c>
      <c r="L119" s="54"/>
      <c r="M119" s="54"/>
    </row>
    <row r="120" spans="2:13">
      <c r="B120" s="27">
        <f t="shared" si="3"/>
        <v>116</v>
      </c>
      <c r="C120" s="27">
        <f ca="1"/>
        <v>644</v>
      </c>
      <c r="D120" s="27" t="str">
        <f ca="1"/>
        <v>ムコスタ点眼液ＵＤ２％</v>
      </c>
      <c r="E120" s="27">
        <f ca="1"/>
        <v>0</v>
      </c>
      <c r="F120" s="54">
        <f ca="1"/>
        <v>3</v>
      </c>
      <c r="G120" s="54" t="str">
        <f ca="1"/>
        <v/>
      </c>
      <c r="H120" s="54" t="str">
        <f ca="1"/>
        <v>０．３５ｍｌｘ１１２</v>
      </c>
      <c r="I120" s="54" t="str">
        <f ca="1"/>
        <v>本</v>
      </c>
      <c r="J120" s="54" t="str">
        <f ca="1">IF(F120="","",OFFSET(分類!$B$29,MATCH(F120,分類!$A$30:$A$46,0),0))</f>
        <v>外用.臨時.散薬ヒート</v>
      </c>
      <c r="K120" s="54" t="str">
        <f t="shared" ca="1" si="2"/>
        <v/>
      </c>
      <c r="L120" s="54"/>
      <c r="M120" s="54"/>
    </row>
    <row r="121" spans="2:13">
      <c r="B121" s="27">
        <f t="shared" si="3"/>
        <v>117</v>
      </c>
      <c r="C121" s="27">
        <f ca="1"/>
        <v>650</v>
      </c>
      <c r="D121" s="27" t="str">
        <f ca="1"/>
        <v>メトトレキサート錠２ｍｇ「あゆみ」</v>
      </c>
      <c r="E121" s="27">
        <f ca="1"/>
        <v>2</v>
      </c>
      <c r="F121" s="54">
        <f ca="1"/>
        <v>3</v>
      </c>
      <c r="G121" s="54" t="str">
        <f ca="1"/>
        <v>ＰＴＰ</v>
      </c>
      <c r="H121" s="54" t="str">
        <f ca="1"/>
        <v>４８Ｔ</v>
      </c>
      <c r="I121" s="54" t="str">
        <f ca="1"/>
        <v>錠</v>
      </c>
      <c r="J121" s="54" t="str">
        <f ca="1">IF(F121="","",OFFSET(分類!$B$29,MATCH(F121,分類!$A$30:$A$46,0),0))</f>
        <v>外用.臨時.散薬ヒート</v>
      </c>
      <c r="K121" s="54" t="str">
        <f t="shared" ca="1" si="2"/>
        <v/>
      </c>
      <c r="L121" s="54"/>
      <c r="M121" s="54"/>
    </row>
    <row r="122" spans="2:13">
      <c r="B122" s="27">
        <f t="shared" si="3"/>
        <v>118</v>
      </c>
      <c r="C122" s="27">
        <f ca="1"/>
        <v>657</v>
      </c>
      <c r="D122" s="27" t="str">
        <f ca="1"/>
        <v>メリスロン錠６ｍｇ</v>
      </c>
      <c r="E122" s="27">
        <f ca="1"/>
        <v>0</v>
      </c>
      <c r="F122" s="54">
        <f ca="1"/>
        <v>3</v>
      </c>
      <c r="G122" s="54" t="str">
        <f ca="1"/>
        <v>ＰＴＰ</v>
      </c>
      <c r="H122" s="54" t="str">
        <f ca="1"/>
        <v>１００Ｔ</v>
      </c>
      <c r="I122" s="54" t="str">
        <f ca="1"/>
        <v>錠</v>
      </c>
      <c r="J122" s="54" t="str">
        <f ca="1">IF(F122="","",OFFSET(分類!$B$29,MATCH(F122,分類!$A$30:$A$46,0),0))</f>
        <v>外用.臨時.散薬ヒート</v>
      </c>
      <c r="K122" s="54" t="str">
        <f t="shared" ca="1" si="2"/>
        <v/>
      </c>
      <c r="L122" s="54"/>
      <c r="M122" s="54"/>
    </row>
    <row r="123" spans="2:13">
      <c r="B123" s="27">
        <f t="shared" si="3"/>
        <v>119</v>
      </c>
      <c r="C123" s="27">
        <f ca="1"/>
        <v>658</v>
      </c>
      <c r="D123" s="27" t="str">
        <f ca="1"/>
        <v>メルカゾール錠５ｍｇ</v>
      </c>
      <c r="E123" s="27">
        <f ca="1"/>
        <v>0</v>
      </c>
      <c r="F123" s="54">
        <f ca="1"/>
        <v>3</v>
      </c>
      <c r="G123" s="54" t="str">
        <f ca="1"/>
        <v>ＰＴＰ</v>
      </c>
      <c r="H123" s="54" t="str">
        <f ca="1"/>
        <v>１００Ｔ</v>
      </c>
      <c r="I123" s="54" t="str">
        <f ca="1"/>
        <v>錠</v>
      </c>
      <c r="J123" s="54" t="str">
        <f ca="1">IF(F123="","",OFFSET(分類!$B$29,MATCH(F123,分類!$A$30:$A$46,0),0))</f>
        <v>外用.臨時.散薬ヒート</v>
      </c>
      <c r="K123" s="54" t="str">
        <f t="shared" ca="1" si="2"/>
        <v/>
      </c>
      <c r="L123" s="54"/>
      <c r="M123" s="54"/>
    </row>
    <row r="124" spans="2:13">
      <c r="B124" s="27">
        <f t="shared" si="3"/>
        <v>120</v>
      </c>
      <c r="C124" s="27">
        <f ca="1"/>
        <v>668</v>
      </c>
      <c r="D124" s="27" t="str">
        <f ca="1"/>
        <v>ユリス錠２ｍｇ</v>
      </c>
      <c r="E124" s="27">
        <f ca="1"/>
        <v>0</v>
      </c>
      <c r="F124" s="54">
        <f ca="1"/>
        <v>1</v>
      </c>
      <c r="G124" s="54" t="str">
        <f ca="1"/>
        <v>ＰＴＰ</v>
      </c>
      <c r="H124" s="54" t="str">
        <f ca="1"/>
        <v>１００Ｔ</v>
      </c>
      <c r="I124" s="54" t="str">
        <f ca="1"/>
        <v>錠</v>
      </c>
      <c r="J124" s="54" t="str">
        <f ca="1">IF(F124="","",OFFSET(分類!$B$29,MATCH(F124,分類!$A$30:$A$46,0),0))</f>
        <v>調剤棚</v>
      </c>
      <c r="K124" s="54" t="str">
        <f t="shared" ca="1" si="2"/>
        <v/>
      </c>
      <c r="L124" s="54"/>
      <c r="M124" s="54"/>
    </row>
    <row r="125" spans="2:13">
      <c r="B125" s="27">
        <f t="shared" si="3"/>
        <v>121</v>
      </c>
      <c r="C125" s="27">
        <f ca="1"/>
        <v>669</v>
      </c>
      <c r="D125" s="27" t="str">
        <f ca="1"/>
        <v>ヨウ化カリウム丸５０ｍｇ「日医工」</v>
      </c>
      <c r="E125" s="27">
        <f ca="1"/>
        <v>0</v>
      </c>
      <c r="F125" s="54">
        <f ca="1"/>
        <v>15</v>
      </c>
      <c r="G125" s="54" t="str">
        <f ca="1"/>
        <v>ＰＴＰ</v>
      </c>
      <c r="H125" s="54" t="str">
        <f ca="1"/>
        <v>１０００丸</v>
      </c>
      <c r="I125" s="54" t="str">
        <f ca="1"/>
        <v>丸</v>
      </c>
      <c r="J125" s="54" t="str">
        <f ca="1">IF(F125="","",OFFSET(分類!$B$29,MATCH(F125,分類!$A$30:$A$46,0),0))</f>
        <v>不良在庫</v>
      </c>
      <c r="K125" s="54" t="str">
        <f t="shared" ca="1" si="2"/>
        <v/>
      </c>
      <c r="L125" s="54"/>
      <c r="M125" s="54"/>
    </row>
    <row r="126" spans="2:13">
      <c r="B126" s="27">
        <f t="shared" si="3"/>
        <v>122</v>
      </c>
      <c r="C126" s="27">
        <f ca="1"/>
        <v>674</v>
      </c>
      <c r="D126" s="27" t="str">
        <f ca="1"/>
        <v>ラコサミド錠５０ｍｇ「ＪＧ」</v>
      </c>
      <c r="E126" s="27">
        <f ca="1"/>
        <v>2</v>
      </c>
      <c r="F126" s="54">
        <f ca="1"/>
        <v>3</v>
      </c>
      <c r="G126" s="54" t="str">
        <f ca="1"/>
        <v>ＰＴＰ</v>
      </c>
      <c r="H126" s="54" t="str">
        <f ca="1"/>
        <v>１００Ｔ</v>
      </c>
      <c r="I126" s="54" t="str">
        <f ca="1"/>
        <v>錠</v>
      </c>
      <c r="J126" s="54" t="str">
        <f ca="1">IF(F126="","",OFFSET(分類!$B$29,MATCH(F126,分類!$A$30:$A$46,0),0))</f>
        <v>外用.臨時.散薬ヒート</v>
      </c>
      <c r="K126" s="54" t="str">
        <f t="shared" ca="1" si="2"/>
        <v/>
      </c>
      <c r="L126" s="54"/>
      <c r="M126" s="54"/>
    </row>
    <row r="127" spans="2:13">
      <c r="B127" s="27">
        <f t="shared" si="3"/>
        <v>123</v>
      </c>
      <c r="C127" s="27">
        <f ca="1"/>
        <v>675</v>
      </c>
      <c r="D127" s="27" t="str">
        <f ca="1"/>
        <v>ラジカット内用懸濁液２．１％　　　３５ｍｌ</v>
      </c>
      <c r="E127" s="27">
        <f ca="1"/>
        <v>0</v>
      </c>
      <c r="F127" s="54">
        <f ca="1"/>
        <v>15</v>
      </c>
      <c r="G127" s="54" t="str">
        <f ca="1"/>
        <v/>
      </c>
      <c r="H127" s="54" t="str">
        <f ca="1"/>
        <v>３５ｍｌｘ１</v>
      </c>
      <c r="I127" s="54" t="str">
        <f ca="1"/>
        <v>ｍｌ</v>
      </c>
      <c r="J127" s="54" t="str">
        <f ca="1">IF(F127="","",OFFSET(分類!$B$29,MATCH(F127,分類!$A$30:$A$46,0),0))</f>
        <v>不良在庫</v>
      </c>
      <c r="K127" s="54" t="str">
        <f t="shared" ca="1" si="2"/>
        <v/>
      </c>
      <c r="L127" s="54"/>
      <c r="M127" s="54"/>
    </row>
    <row r="128" spans="2:13">
      <c r="B128" s="27">
        <f t="shared" si="3"/>
        <v>124</v>
      </c>
      <c r="C128" s="27">
        <f ca="1"/>
        <v>676</v>
      </c>
      <c r="D128" s="27" t="str">
        <f ca="1"/>
        <v>ラジカット内用懸濁液２．１％　　　５０ｍｌ</v>
      </c>
      <c r="E128" s="27">
        <f ca="1"/>
        <v>0</v>
      </c>
      <c r="F128" s="54">
        <f ca="1"/>
        <v>15</v>
      </c>
      <c r="G128" s="54" t="str">
        <f ca="1"/>
        <v/>
      </c>
      <c r="H128" s="54" t="str">
        <f ca="1"/>
        <v>５０ｍｌｘ１</v>
      </c>
      <c r="I128" s="54" t="str">
        <f ca="1"/>
        <v>ｍｌ</v>
      </c>
      <c r="J128" s="54" t="str">
        <f ca="1">IF(F128="","",OFFSET(分類!$B$29,MATCH(F128,分類!$A$30:$A$46,0),0))</f>
        <v>不良在庫</v>
      </c>
      <c r="K128" s="54" t="str">
        <f t="shared" ca="1" si="2"/>
        <v/>
      </c>
      <c r="L128" s="54"/>
      <c r="M128" s="54"/>
    </row>
    <row r="129" spans="2:13">
      <c r="B129" s="27">
        <f t="shared" si="3"/>
        <v>125</v>
      </c>
      <c r="C129" s="27">
        <f ca="1"/>
        <v>683</v>
      </c>
      <c r="D129" s="27" t="str">
        <f ca="1"/>
        <v>ラピアクタ点滴静注バッグ３００ｍｇ</v>
      </c>
      <c r="E129" s="27">
        <f ca="1"/>
        <v>0</v>
      </c>
      <c r="F129" s="54">
        <f ca="1"/>
        <v>6</v>
      </c>
      <c r="G129" s="54" t="str">
        <f ca="1"/>
        <v/>
      </c>
      <c r="H129" s="54" t="str">
        <f ca="1"/>
        <v>６０ｍｌｘ１</v>
      </c>
      <c r="I129" s="54" t="str">
        <f ca="1"/>
        <v>袋</v>
      </c>
      <c r="J129" s="54" t="str">
        <f ca="1">IF(F129="","",OFFSET(分類!$B$29,MATCH(F129,分類!$A$30:$A$46,0),0))</f>
        <v>劇薬バラ</v>
      </c>
      <c r="K129" s="54" t="str">
        <f t="shared" ca="1" si="2"/>
        <v/>
      </c>
      <c r="L129" s="54"/>
      <c r="M129" s="54"/>
    </row>
    <row r="130" spans="2:13">
      <c r="B130" s="27">
        <f t="shared" si="3"/>
        <v>126</v>
      </c>
      <c r="C130" s="27">
        <f ca="1"/>
        <v>693</v>
      </c>
      <c r="D130" s="27" t="str">
        <f ca="1"/>
        <v>ランタス注ソロスター３００単位</v>
      </c>
      <c r="E130" s="27">
        <f ca="1"/>
        <v>2</v>
      </c>
      <c r="F130" s="54">
        <f ca="1"/>
        <v>11</v>
      </c>
      <c r="G130" s="54" t="str">
        <f ca="1"/>
        <v/>
      </c>
      <c r="H130" s="54" t="str">
        <f ca="1"/>
        <v>３ｍｌｘ２本</v>
      </c>
      <c r="I130" s="54" t="str">
        <f ca="1"/>
        <v>本</v>
      </c>
      <c r="J130" s="54" t="str">
        <f ca="1">IF(F130="","",OFFSET(分類!$B$29,MATCH(F130,分類!$A$30:$A$46,0),0))</f>
        <v>冷蔵庫</v>
      </c>
      <c r="K130" s="54" t="str">
        <f t="shared" ca="1" si="2"/>
        <v/>
      </c>
      <c r="L130" s="54"/>
      <c r="M130" s="54"/>
    </row>
    <row r="131" spans="2:13">
      <c r="B131" s="27">
        <f t="shared" si="3"/>
        <v>127</v>
      </c>
      <c r="C131" s="27">
        <f ca="1"/>
        <v>695</v>
      </c>
      <c r="D131" s="27" t="str">
        <f ca="1"/>
        <v>リオレサール錠５ｍｇ</v>
      </c>
      <c r="E131" s="27">
        <f ca="1"/>
        <v>2</v>
      </c>
      <c r="F131" s="54">
        <f ca="1"/>
        <v>3</v>
      </c>
      <c r="G131" s="54" t="str">
        <f ca="1"/>
        <v>ＰＴＰ</v>
      </c>
      <c r="H131" s="54" t="str">
        <f ca="1"/>
        <v>１００Ｔ</v>
      </c>
      <c r="I131" s="54" t="str">
        <f ca="1"/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2"/>
        <v/>
      </c>
      <c r="L131" s="54"/>
      <c r="M131" s="54"/>
    </row>
    <row r="132" spans="2:13">
      <c r="B132" s="27">
        <f t="shared" si="3"/>
        <v>128</v>
      </c>
      <c r="C132" s="27">
        <f ca="1"/>
        <v>697</v>
      </c>
      <c r="D132" s="27" t="str">
        <f ca="1"/>
        <v>リクラスト点滴静注液５ｍｇ</v>
      </c>
      <c r="E132" s="27">
        <f ca="1"/>
        <v>2</v>
      </c>
      <c r="F132" s="54">
        <f ca="1"/>
        <v>9</v>
      </c>
      <c r="G132" s="54" t="str">
        <f ca="1"/>
        <v/>
      </c>
      <c r="H132" s="54" t="str">
        <f ca="1"/>
        <v>１袋</v>
      </c>
      <c r="I132" s="54" t="str">
        <f ca="1"/>
        <v>袋</v>
      </c>
      <c r="J132" s="54" t="str">
        <f ca="1">IF(F132="","",OFFSET(分類!$B$29,MATCH(F132,分類!$A$30:$A$46,0),0))</f>
        <v>注射</v>
      </c>
      <c r="K132" s="54" t="str">
        <f t="shared" ca="1" si="2"/>
        <v/>
      </c>
      <c r="L132" s="54"/>
      <c r="M132" s="54"/>
    </row>
    <row r="133" spans="2:13">
      <c r="B133" s="27">
        <f t="shared" si="3"/>
        <v>129</v>
      </c>
      <c r="C133" s="27">
        <f ca="1"/>
        <v>724</v>
      </c>
      <c r="D133" s="27" t="str">
        <f ca="1"/>
        <v>リドメックスコーワ軟膏０．３％</v>
      </c>
      <c r="E133" s="27">
        <f ca="1"/>
        <v>0</v>
      </c>
      <c r="F133" s="54">
        <f ca="1"/>
        <v>3</v>
      </c>
      <c r="G133" s="54" t="str">
        <f ca="1"/>
        <v/>
      </c>
      <c r="H133" s="54" t="str">
        <f ca="1"/>
        <v>１０ｇｘ１０</v>
      </c>
      <c r="I133" s="54" t="str">
        <f ca="1"/>
        <v>ｇ</v>
      </c>
      <c r="J133" s="54" t="str">
        <f ca="1">IF(F133="","",OFFSET(分類!$B$29,MATCH(F133,分類!$A$30:$A$46,0),0))</f>
        <v>外用.臨時.散薬ヒート</v>
      </c>
      <c r="K133" s="54" t="str">
        <f t="shared" ca="1" si="2"/>
        <v/>
      </c>
      <c r="L133" s="54"/>
      <c r="M133" s="54"/>
    </row>
    <row r="134" spans="2:13">
      <c r="B134" s="27">
        <f t="shared" si="3"/>
        <v>130</v>
      </c>
      <c r="C134" s="27">
        <f ca="1"/>
        <v>735</v>
      </c>
      <c r="D134" s="27" t="str">
        <f ca="1"/>
        <v>リマチル錠１００ｍｇ</v>
      </c>
      <c r="E134" s="27">
        <f ca="1"/>
        <v>2</v>
      </c>
      <c r="F134" s="54">
        <f ca="1"/>
        <v>1</v>
      </c>
      <c r="G134" s="54" t="str">
        <f ca="1"/>
        <v>ＰＴＰ</v>
      </c>
      <c r="H134" s="54" t="str">
        <f ca="1"/>
        <v>１００Ｔ</v>
      </c>
      <c r="I134" s="54" t="str">
        <f ca="1"/>
        <v>錠</v>
      </c>
      <c r="J134" s="54" t="str">
        <f ca="1">IF(F134="","",OFFSET(分類!$B$29,MATCH(F134,分類!$A$30:$A$46,0),0))</f>
        <v>調剤棚</v>
      </c>
      <c r="K134" s="54" t="str">
        <f t="shared" ref="K134:K197" ca="1" si="4">IF(G134="粉",VALUE(SUBSTITUTE(SUBSTITUTE(LEFT(H134, FIND("ｇ", H134) - 1), "．", "."), "　", "")),"")</f>
        <v/>
      </c>
      <c r="L134" s="54"/>
      <c r="M134" s="54"/>
    </row>
    <row r="135" spans="2:13">
      <c r="B135" s="27">
        <f t="shared" ref="B135:B198" si="5">B134+1</f>
        <v>131</v>
      </c>
      <c r="C135" s="27">
        <f ca="1"/>
        <v>737</v>
      </c>
      <c r="D135" s="27" t="str">
        <f ca="1"/>
        <v>リュープロレリン酢酸塩注射用キット３．７５ｍｇ「あすか」</v>
      </c>
      <c r="E135" s="27">
        <f ca="1"/>
        <v>2</v>
      </c>
      <c r="F135" s="54">
        <f ca="1"/>
        <v>15</v>
      </c>
      <c r="G135" s="54" t="str">
        <f ca="1"/>
        <v/>
      </c>
      <c r="H135" s="54" t="str">
        <f ca="1"/>
        <v>１筒</v>
      </c>
      <c r="I135" s="54" t="str">
        <f ca="1"/>
        <v>筒</v>
      </c>
      <c r="J135" s="54" t="str">
        <f ca="1">IF(F135="","",OFFSET(分類!$B$29,MATCH(F135,分類!$A$30:$A$46,0),0))</f>
        <v>不良在庫</v>
      </c>
      <c r="K135" s="54" t="str">
        <f t="shared" ca="1" si="4"/>
        <v/>
      </c>
      <c r="L135" s="54"/>
      <c r="M135" s="54"/>
    </row>
    <row r="136" spans="2:13">
      <c r="B136" s="27">
        <f t="shared" si="5"/>
        <v>132</v>
      </c>
      <c r="C136" s="27">
        <f ca="1"/>
        <v>738</v>
      </c>
      <c r="D136" s="27" t="str">
        <f ca="1"/>
        <v>リルゾール錠５０ｍｇ「ニプロ」</v>
      </c>
      <c r="E136" s="27">
        <f ca="1"/>
        <v>0</v>
      </c>
      <c r="F136" s="54">
        <f ca="1"/>
        <v>15</v>
      </c>
      <c r="G136" s="54" t="str">
        <f ca="1"/>
        <v>ＰＴＰ</v>
      </c>
      <c r="H136" s="54" t="str">
        <f ca="1"/>
        <v>５６Ｔ</v>
      </c>
      <c r="I136" s="54" t="str">
        <f ca="1"/>
        <v>錠</v>
      </c>
      <c r="J136" s="54" t="str">
        <f ca="1">IF(F136="","",OFFSET(分類!$B$29,MATCH(F136,分類!$A$30:$A$46,0),0))</f>
        <v>不良在庫</v>
      </c>
      <c r="K136" s="54" t="str">
        <f t="shared" ca="1" si="4"/>
        <v/>
      </c>
      <c r="L136" s="54"/>
      <c r="M136" s="54"/>
    </row>
    <row r="137" spans="2:13">
      <c r="B137" s="27">
        <f t="shared" si="5"/>
        <v>133</v>
      </c>
      <c r="C137" s="27">
        <f ca="1"/>
        <v>741</v>
      </c>
      <c r="D137" s="27" t="str">
        <f ca="1"/>
        <v>リンデロン懸濁注２．５ｍｇ</v>
      </c>
      <c r="E137" s="27">
        <f ca="1"/>
        <v>0</v>
      </c>
      <c r="F137" s="54">
        <f ca="1"/>
        <v>11</v>
      </c>
      <c r="G137" s="54" t="str">
        <f ca="1"/>
        <v/>
      </c>
      <c r="H137" s="54" t="str">
        <f ca="1"/>
        <v>０．５ｘ１０Ａ</v>
      </c>
      <c r="I137" s="54" t="str">
        <f ca="1"/>
        <v>A</v>
      </c>
      <c r="J137" s="54" t="str">
        <f ca="1">IF(F137="","",OFFSET(分類!$B$29,MATCH(F137,分類!$A$30:$A$46,0),0))</f>
        <v>冷蔵庫</v>
      </c>
      <c r="K137" s="54" t="str">
        <f t="shared" ca="1" si="4"/>
        <v/>
      </c>
      <c r="L137" s="54"/>
      <c r="M137" s="54"/>
    </row>
    <row r="138" spans="2:13">
      <c r="B138" s="27">
        <f t="shared" si="5"/>
        <v>134</v>
      </c>
      <c r="C138" s="27">
        <f ca="1"/>
        <v>761</v>
      </c>
      <c r="D138" s="27" t="str">
        <f ca="1"/>
        <v>レトロゾール錠２．５ｍｇ「サワイ」</v>
      </c>
      <c r="E138" s="27">
        <f ca="1"/>
        <v>2</v>
      </c>
      <c r="F138" s="54">
        <f ca="1"/>
        <v>3</v>
      </c>
      <c r="G138" s="54" t="str">
        <f ca="1"/>
        <v>ＰＴＰ</v>
      </c>
      <c r="H138" s="54" t="str">
        <f ca="1"/>
        <v>３０Ｔ</v>
      </c>
      <c r="I138" s="54" t="str">
        <f ca="1"/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4"/>
        <v/>
      </c>
      <c r="L138" s="54"/>
      <c r="M138" s="54"/>
    </row>
    <row r="139" spans="2:13">
      <c r="B139" s="27">
        <f t="shared" si="5"/>
        <v>135</v>
      </c>
      <c r="C139" s="27">
        <f ca="1"/>
        <v>768</v>
      </c>
      <c r="D139" s="27" t="str">
        <f ca="1"/>
        <v>レボカルニチンＦＦ錠２５０ｍｇ「アメル」</v>
      </c>
      <c r="E139" s="27">
        <f ca="1"/>
        <v>0</v>
      </c>
      <c r="F139" s="54">
        <f ca="1"/>
        <v>15</v>
      </c>
      <c r="G139" s="54" t="str">
        <f ca="1"/>
        <v>ＰＴＰ</v>
      </c>
      <c r="H139" s="54" t="str">
        <f ca="1"/>
        <v>１００Ｔ</v>
      </c>
      <c r="I139" s="54" t="str">
        <f ca="1"/>
        <v>錠</v>
      </c>
      <c r="J139" s="54" t="str">
        <f ca="1">IF(F139="","",OFFSET(分類!$B$29,MATCH(F139,分類!$A$30:$A$46,0),0))</f>
        <v>不良在庫</v>
      </c>
      <c r="K139" s="54" t="str">
        <f t="shared" ca="1" si="4"/>
        <v/>
      </c>
      <c r="L139" s="54"/>
      <c r="M139" s="54"/>
    </row>
    <row r="140" spans="2:13">
      <c r="B140" s="27">
        <f t="shared" si="5"/>
        <v>136</v>
      </c>
      <c r="C140" s="27">
        <f ca="1"/>
        <v>769</v>
      </c>
      <c r="D140" s="27" t="str">
        <f ca="1"/>
        <v>レボフロキサシン細粒１０％「ＤＳＥＰ」</v>
      </c>
      <c r="E140" s="27">
        <f ca="1"/>
        <v>0</v>
      </c>
      <c r="F140" s="54">
        <f ca="1"/>
        <v>2</v>
      </c>
      <c r="G140" s="54" t="str">
        <f ca="1"/>
        <v>粉</v>
      </c>
      <c r="H140" s="54" t="str">
        <f ca="1"/>
        <v>１００ｇ</v>
      </c>
      <c r="I140" s="54" t="str">
        <f ca="1"/>
        <v>ｇ</v>
      </c>
      <c r="J140" s="54" t="str">
        <f ca="1">IF(F140="","",OFFSET(分類!$B$29,MATCH(F140,分類!$A$30:$A$46,0),0))</f>
        <v>散薬調剤台</v>
      </c>
      <c r="K140" s="54">
        <f t="shared" ca="1" si="4"/>
        <v>100</v>
      </c>
      <c r="L140" s="54"/>
      <c r="M140" s="54"/>
    </row>
    <row r="141" spans="2:13">
      <c r="B141" s="27">
        <f t="shared" si="5"/>
        <v>137</v>
      </c>
      <c r="C141" s="27">
        <f ca="1"/>
        <v>771</v>
      </c>
      <c r="D141" s="27" t="str">
        <f ca="1"/>
        <v>レボフロキサシン点眼液１．５％「ニットー」</v>
      </c>
      <c r="E141" s="27">
        <f ca="1"/>
        <v>0</v>
      </c>
      <c r="F141" s="54">
        <f ca="1"/>
        <v>3</v>
      </c>
      <c r="G141" s="54" t="str">
        <f ca="1"/>
        <v/>
      </c>
      <c r="H141" s="54" t="str">
        <f ca="1"/>
        <v>５ｍｌｘ１０</v>
      </c>
      <c r="I141" s="54" t="str">
        <f ca="1"/>
        <v>ｍｌ</v>
      </c>
      <c r="J141" s="54" t="str">
        <f ca="1">IF(F141="","",OFFSET(分類!$B$29,MATCH(F141,分類!$A$30:$A$46,0),0))</f>
        <v>外用.臨時.散薬ヒート</v>
      </c>
      <c r="K141" s="54" t="str">
        <f t="shared" ca="1" si="4"/>
        <v/>
      </c>
      <c r="L141" s="54"/>
      <c r="M141" s="54"/>
    </row>
    <row r="142" spans="2:13">
      <c r="B142" s="27">
        <f t="shared" si="5"/>
        <v>138</v>
      </c>
      <c r="C142" s="27">
        <f ca="1"/>
        <v>773</v>
      </c>
      <c r="D142" s="27" t="str">
        <f ca="1"/>
        <v>レボレード錠１２．５ｍｇ</v>
      </c>
      <c r="E142" s="27">
        <f ca="1"/>
        <v>2</v>
      </c>
      <c r="F142" s="54">
        <f ca="1"/>
        <v>15</v>
      </c>
      <c r="G142" s="54" t="str">
        <f ca="1"/>
        <v>ＰＴＰ</v>
      </c>
      <c r="H142" s="54" t="str">
        <f ca="1"/>
        <v>７０Ｔ</v>
      </c>
      <c r="I142" s="54" t="str">
        <f ca="1"/>
        <v>錠</v>
      </c>
      <c r="J142" s="54" t="str">
        <f ca="1">IF(F142="","",OFFSET(分類!$B$29,MATCH(F142,分類!$A$30:$A$46,0),0))</f>
        <v>不良在庫</v>
      </c>
      <c r="K142" s="54" t="str">
        <f t="shared" ca="1" si="4"/>
        <v/>
      </c>
      <c r="L142" s="54"/>
      <c r="M142" s="54"/>
    </row>
    <row r="143" spans="2:13">
      <c r="B143" s="27">
        <f t="shared" si="5"/>
        <v>139</v>
      </c>
      <c r="C143" s="27">
        <f ca="1"/>
        <v>774</v>
      </c>
      <c r="D143" s="27" t="str">
        <f ca="1"/>
        <v>レルパックス錠２０ｍｇ</v>
      </c>
      <c r="E143" s="27">
        <f ca="1"/>
        <v>2</v>
      </c>
      <c r="F143" s="54">
        <f ca="1"/>
        <v>3</v>
      </c>
      <c r="G143" s="54" t="str">
        <f ca="1"/>
        <v>ＰＴＰ</v>
      </c>
      <c r="H143" s="54" t="str">
        <f ca="1"/>
        <v>１０Ｔ</v>
      </c>
      <c r="I143" s="54" t="str">
        <f ca="1"/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4"/>
        <v/>
      </c>
      <c r="L143" s="54"/>
      <c r="M143" s="54"/>
    </row>
    <row r="144" spans="2:13">
      <c r="B144" s="27">
        <f t="shared" si="5"/>
        <v>140</v>
      </c>
      <c r="C144" s="27">
        <f ca="1"/>
        <v>775</v>
      </c>
      <c r="D144" s="27" t="str">
        <f ca="1"/>
        <v>レルベア１００エリプタ３０吸入用</v>
      </c>
      <c r="E144" s="27">
        <f ca="1"/>
        <v>0</v>
      </c>
      <c r="F144" s="54">
        <f ca="1"/>
        <v>3</v>
      </c>
      <c r="G144" s="54" t="str">
        <f ca="1"/>
        <v/>
      </c>
      <c r="H144" s="54" t="str">
        <f ca="1"/>
        <v>１個</v>
      </c>
      <c r="I144" s="54" t="str">
        <f ca="1"/>
        <v>個</v>
      </c>
      <c r="J144" s="54" t="str">
        <f ca="1">IF(F144="","",OFFSET(分類!$B$29,MATCH(F144,分類!$A$30:$A$46,0),0))</f>
        <v>外用.臨時.散薬ヒート</v>
      </c>
      <c r="K144" s="54" t="str">
        <f t="shared" ca="1" si="4"/>
        <v/>
      </c>
      <c r="L144" s="54"/>
      <c r="M144" s="54"/>
    </row>
    <row r="145" spans="2:13">
      <c r="B145" s="27">
        <f t="shared" si="5"/>
        <v>141</v>
      </c>
      <c r="C145" s="27">
        <f ca="1"/>
        <v>776</v>
      </c>
      <c r="D145" s="27" t="str">
        <f ca="1"/>
        <v>レルベア２００エリプタ３０吸入用</v>
      </c>
      <c r="E145" s="27">
        <f ca="1"/>
        <v>0</v>
      </c>
      <c r="F145" s="54">
        <f ca="1"/>
        <v>3</v>
      </c>
      <c r="G145" s="54" t="str">
        <f ca="1"/>
        <v/>
      </c>
      <c r="H145" s="54" t="str">
        <f ca="1"/>
        <v>１個</v>
      </c>
      <c r="I145" s="54" t="str">
        <f ca="1"/>
        <v>個</v>
      </c>
      <c r="J145" s="54" t="str">
        <f ca="1">IF(F145="","",OFFSET(分類!$B$29,MATCH(F145,分類!$A$30:$A$46,0),0))</f>
        <v>外用.臨時.散薬ヒート</v>
      </c>
      <c r="K145" s="54" t="str">
        <f t="shared" ca="1" si="4"/>
        <v/>
      </c>
      <c r="L145" s="54"/>
      <c r="M145" s="54"/>
    </row>
    <row r="146" spans="2:13">
      <c r="B146" s="27">
        <f t="shared" si="5"/>
        <v>142</v>
      </c>
      <c r="C146" s="27">
        <f ca="1"/>
        <v>782</v>
      </c>
      <c r="D146" s="27" t="str">
        <f ca="1"/>
        <v>ロケルマ懸濁用散分包５ｇ</v>
      </c>
      <c r="E146" s="27">
        <f ca="1"/>
        <v>0</v>
      </c>
      <c r="F146" s="54">
        <f ca="1"/>
        <v>3</v>
      </c>
      <c r="G146" s="54" t="str">
        <f ca="1"/>
        <v>粉</v>
      </c>
      <c r="H146" s="54" t="str">
        <f ca="1"/>
        <v>２８包</v>
      </c>
      <c r="I146" s="54" t="str">
        <f ca="1"/>
        <v>包</v>
      </c>
      <c r="J146" s="54" t="str">
        <f ca="1">IF(F146="","",OFFSET(分類!$B$29,MATCH(F146,分類!$A$30:$A$46,0),0))</f>
        <v>外用.臨時.散薬ヒート</v>
      </c>
      <c r="K146" s="54" t="e">
        <f t="shared" ca="1" si="4"/>
        <v>#VALUE!</v>
      </c>
      <c r="L146" s="54"/>
      <c r="M146" s="54"/>
    </row>
    <row r="147" spans="2:13">
      <c r="B147" s="27">
        <f t="shared" si="5"/>
        <v>143</v>
      </c>
      <c r="C147" s="27">
        <f ca="1"/>
        <v>786</v>
      </c>
      <c r="D147" s="27" t="str">
        <f ca="1"/>
        <v>ロゼレム錠８ｍｇ</v>
      </c>
      <c r="E147" s="27">
        <f ca="1"/>
        <v>0</v>
      </c>
      <c r="F147" s="54">
        <f ca="1"/>
        <v>3</v>
      </c>
      <c r="G147" s="54" t="str">
        <f ca="1"/>
        <v>ＰＴＰ</v>
      </c>
      <c r="H147" s="54" t="str">
        <f ca="1"/>
        <v>１００Ｔ</v>
      </c>
      <c r="I147" s="54" t="str">
        <f ca="1"/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4"/>
        <v/>
      </c>
      <c r="L147" s="54"/>
      <c r="M147" s="54"/>
    </row>
    <row r="148" spans="2:13">
      <c r="B148" s="27">
        <f t="shared" si="5"/>
        <v>144</v>
      </c>
      <c r="C148" s="27">
        <f ca="1"/>
        <v>813</v>
      </c>
      <c r="D148" s="27" t="str">
        <f ca="1"/>
        <v>水溶性プレドニン１０ｍｇ</v>
      </c>
      <c r="E148" s="27">
        <f ca="1"/>
        <v>0</v>
      </c>
      <c r="F148" s="54">
        <f ca="1"/>
        <v>9</v>
      </c>
      <c r="G148" s="54" t="str">
        <f ca="1"/>
        <v/>
      </c>
      <c r="H148" s="54" t="str">
        <f ca="1"/>
        <v>１０Ａ</v>
      </c>
      <c r="I148" s="54" t="str">
        <f ca="1"/>
        <v>A</v>
      </c>
      <c r="J148" s="54" t="str">
        <f ca="1">IF(F148="","",OFFSET(分類!$B$29,MATCH(F148,分類!$A$30:$A$46,0),0))</f>
        <v>注射</v>
      </c>
      <c r="K148" s="54" t="str">
        <f t="shared" ca="1" si="4"/>
        <v/>
      </c>
      <c r="L148" s="54"/>
      <c r="M148" s="54"/>
    </row>
    <row r="149" spans="2:13">
      <c r="B149" s="27">
        <f t="shared" si="5"/>
        <v>145</v>
      </c>
      <c r="C149" s="27"/>
      <c r="D149" s="27"/>
      <c r="E149" s="27"/>
      <c r="F149" s="54"/>
      <c r="G149" s="54"/>
      <c r="H149" s="54"/>
      <c r="I149" s="54"/>
      <c r="J149" s="54" t="str">
        <f ca="1">IF(F149="","",OFFSET(分類!$B$29,MATCH(F149,分類!$A$30:$A$46,0),0))</f>
        <v/>
      </c>
      <c r="K149" s="54" t="str">
        <f t="shared" si="4"/>
        <v/>
      </c>
      <c r="L149" s="54"/>
      <c r="M149" s="54"/>
    </row>
    <row r="150" spans="2:13">
      <c r="B150" s="27">
        <f t="shared" si="5"/>
        <v>146</v>
      </c>
      <c r="C150" s="27"/>
      <c r="D150" s="27"/>
      <c r="E150" s="27"/>
      <c r="F150" s="54"/>
      <c r="G150" s="54"/>
      <c r="H150" s="54"/>
      <c r="I150" s="54"/>
      <c r="J150" s="54" t="str">
        <f ca="1">IF(F150="","",OFFSET(分類!$B$29,MATCH(F150,分類!$A$30:$A$46,0),0))</f>
        <v/>
      </c>
      <c r="K150" s="54" t="str">
        <f t="shared" si="4"/>
        <v/>
      </c>
      <c r="L150" s="54"/>
      <c r="M150" s="54"/>
    </row>
    <row r="151" spans="2:13">
      <c r="B151" s="27">
        <f t="shared" si="5"/>
        <v>147</v>
      </c>
      <c r="C151" s="27"/>
      <c r="D151" s="27"/>
      <c r="E151" s="27"/>
      <c r="F151" s="54"/>
      <c r="G151" s="54"/>
      <c r="H151" s="54"/>
      <c r="I151" s="54"/>
      <c r="J151" s="54" t="str">
        <f ca="1">IF(F151="","",OFFSET(分類!$B$29,MATCH(F151,分類!$A$30:$A$46,0),0))</f>
        <v/>
      </c>
      <c r="K151" s="54" t="str">
        <f t="shared" si="4"/>
        <v/>
      </c>
      <c r="L151" s="54"/>
      <c r="M151" s="54"/>
    </row>
    <row r="152" spans="2:13">
      <c r="B152" s="27">
        <f t="shared" si="5"/>
        <v>148</v>
      </c>
      <c r="C152" s="27"/>
      <c r="D152" s="27"/>
      <c r="E152" s="27"/>
      <c r="F152" s="54"/>
      <c r="G152" s="54"/>
      <c r="H152" s="54"/>
      <c r="I152" s="54"/>
      <c r="J152" s="54" t="str">
        <f ca="1">IF(F152="","",OFFSET(分類!$B$29,MATCH(F152,分類!$A$30:$A$46,0),0))</f>
        <v/>
      </c>
      <c r="K152" s="54" t="str">
        <f t="shared" si="4"/>
        <v/>
      </c>
      <c r="L152" s="54"/>
      <c r="M152" s="54"/>
    </row>
    <row r="153" spans="2:13">
      <c r="B153" s="27">
        <f t="shared" si="5"/>
        <v>149</v>
      </c>
      <c r="C153" s="27"/>
      <c r="D153" s="27"/>
      <c r="E153" s="27"/>
      <c r="F153" s="54"/>
      <c r="G153" s="54"/>
      <c r="H153" s="54"/>
      <c r="I153" s="54"/>
      <c r="J153" s="54" t="str">
        <f ca="1">IF(F153="","",OFFSET(分類!$B$29,MATCH(F153,分類!$A$30:$A$46,0),0))</f>
        <v/>
      </c>
      <c r="K153" s="54" t="str">
        <f t="shared" si="4"/>
        <v/>
      </c>
      <c r="L153" s="54"/>
      <c r="M153" s="54"/>
    </row>
    <row r="154" spans="2:13">
      <c r="B154" s="27">
        <f t="shared" si="5"/>
        <v>150</v>
      </c>
      <c r="C154" s="27"/>
      <c r="D154" s="27"/>
      <c r="E154" s="27"/>
      <c r="F154" s="54"/>
      <c r="G154" s="54"/>
      <c r="H154" s="54"/>
      <c r="I154" s="54"/>
      <c r="J154" s="54" t="str">
        <f ca="1">IF(F154="","",OFFSET(分類!$B$29,MATCH(F154,分類!$A$30:$A$46,0),0))</f>
        <v/>
      </c>
      <c r="K154" s="54" t="str">
        <f t="shared" si="4"/>
        <v/>
      </c>
      <c r="L154" s="54"/>
      <c r="M154" s="54"/>
    </row>
    <row r="155" spans="2:13">
      <c r="B155" s="27">
        <f t="shared" si="5"/>
        <v>151</v>
      </c>
      <c r="C155" s="27"/>
      <c r="D155" s="27"/>
      <c r="E155" s="27"/>
      <c r="F155" s="54"/>
      <c r="G155" s="54"/>
      <c r="H155" s="54"/>
      <c r="I155" s="54"/>
      <c r="J155" s="54" t="str">
        <f ca="1">IF(F155="","",OFFSET(分類!$B$29,MATCH(F155,分類!$A$30:$A$46,0),0))</f>
        <v/>
      </c>
      <c r="K155" s="54" t="str">
        <f t="shared" si="4"/>
        <v/>
      </c>
      <c r="L155" s="54"/>
      <c r="M155" s="54"/>
    </row>
    <row r="156" spans="2:13">
      <c r="B156" s="27">
        <f t="shared" si="5"/>
        <v>152</v>
      </c>
      <c r="C156" s="27"/>
      <c r="D156" s="27"/>
      <c r="E156" s="27"/>
      <c r="F156" s="54"/>
      <c r="G156" s="54"/>
      <c r="H156" s="54"/>
      <c r="I156" s="54"/>
      <c r="J156" s="54" t="str">
        <f ca="1">IF(F156="","",OFFSET(分類!$B$29,MATCH(F156,分類!$A$30:$A$46,0),0))</f>
        <v/>
      </c>
      <c r="K156" s="54" t="str">
        <f t="shared" si="4"/>
        <v/>
      </c>
      <c r="L156" s="54"/>
      <c r="M156" s="54"/>
    </row>
    <row r="157" spans="2:13">
      <c r="B157" s="27">
        <f t="shared" si="5"/>
        <v>153</v>
      </c>
      <c r="C157" s="27"/>
      <c r="D157" s="27"/>
      <c r="E157" s="27"/>
      <c r="F157" s="54"/>
      <c r="G157" s="54"/>
      <c r="H157" s="54"/>
      <c r="I157" s="54"/>
      <c r="J157" s="54" t="str">
        <f ca="1">IF(F157="","",OFFSET(分類!$B$29,MATCH(F157,分類!$A$30:$A$46,0),0))</f>
        <v/>
      </c>
      <c r="K157" s="54" t="str">
        <f t="shared" si="4"/>
        <v/>
      </c>
      <c r="L157" s="54"/>
      <c r="M157" s="54"/>
    </row>
    <row r="158" spans="2:13">
      <c r="B158" s="27">
        <f t="shared" si="5"/>
        <v>154</v>
      </c>
      <c r="C158" s="27"/>
      <c r="D158" s="27"/>
      <c r="E158" s="27"/>
      <c r="F158" s="54"/>
      <c r="G158" s="54"/>
      <c r="H158" s="54"/>
      <c r="I158" s="54"/>
      <c r="J158" s="54" t="str">
        <f ca="1">IF(F158="","",OFFSET(分類!$B$29,MATCH(F158,分類!$A$30:$A$46,0),0))</f>
        <v/>
      </c>
      <c r="K158" s="54" t="str">
        <f t="shared" si="4"/>
        <v/>
      </c>
      <c r="L158" s="54"/>
      <c r="M158" s="54"/>
    </row>
    <row r="159" spans="2:13">
      <c r="B159" s="27">
        <f t="shared" si="5"/>
        <v>155</v>
      </c>
      <c r="C159" s="27"/>
      <c r="D159" s="27"/>
      <c r="E159" s="27"/>
      <c r="F159" s="54"/>
      <c r="G159" s="54"/>
      <c r="H159" s="54"/>
      <c r="I159" s="54"/>
      <c r="J159" s="54" t="str">
        <f ca="1">IF(F159="","",OFFSET(分類!$B$29,MATCH(F159,分類!$A$30:$A$46,0),0))</f>
        <v/>
      </c>
      <c r="K159" s="54" t="str">
        <f t="shared" si="4"/>
        <v/>
      </c>
      <c r="L159" s="54"/>
      <c r="M159" s="54"/>
    </row>
    <row r="160" spans="2:13">
      <c r="B160" s="27">
        <f t="shared" si="5"/>
        <v>156</v>
      </c>
      <c r="C160" s="27"/>
      <c r="D160" s="27"/>
      <c r="E160" s="27"/>
      <c r="F160" s="54"/>
      <c r="G160" s="54"/>
      <c r="H160" s="54"/>
      <c r="I160" s="54"/>
      <c r="J160" s="54" t="str">
        <f ca="1">IF(F160="","",OFFSET(分類!$B$29,MATCH(F160,分類!$A$30:$A$46,0),0))</f>
        <v/>
      </c>
      <c r="K160" s="54" t="str">
        <f t="shared" si="4"/>
        <v/>
      </c>
      <c r="L160" s="54"/>
      <c r="M160" s="54"/>
    </row>
    <row r="161" spans="2:13">
      <c r="B161" s="27">
        <f t="shared" si="5"/>
        <v>157</v>
      </c>
      <c r="C161" s="27"/>
      <c r="D161" s="27"/>
      <c r="E161" s="27"/>
      <c r="F161" s="54"/>
      <c r="G161" s="54"/>
      <c r="H161" s="54"/>
      <c r="I161" s="54"/>
      <c r="J161" s="54" t="str">
        <f ca="1">IF(F161="","",OFFSET(分類!$B$29,MATCH(F161,分類!$A$30:$A$46,0),0))</f>
        <v/>
      </c>
      <c r="K161" s="54" t="str">
        <f t="shared" si="4"/>
        <v/>
      </c>
      <c r="L161" s="54"/>
      <c r="M161" s="54"/>
    </row>
    <row r="162" spans="2:13">
      <c r="B162" s="27">
        <f t="shared" si="5"/>
        <v>158</v>
      </c>
      <c r="C162" s="27"/>
      <c r="D162" s="27"/>
      <c r="E162" s="27"/>
      <c r="F162" s="54"/>
      <c r="G162" s="54"/>
      <c r="H162" s="54"/>
      <c r="I162" s="54"/>
      <c r="J162" s="54" t="str">
        <f ca="1">IF(F162="","",OFFSET(分類!$B$29,MATCH(F162,分類!$A$30:$A$46,0),0))</f>
        <v/>
      </c>
      <c r="K162" s="54" t="str">
        <f t="shared" si="4"/>
        <v/>
      </c>
      <c r="L162" s="54"/>
      <c r="M162" s="54"/>
    </row>
    <row r="163" spans="2:13">
      <c r="B163" s="27">
        <f t="shared" si="5"/>
        <v>159</v>
      </c>
      <c r="C163" s="27"/>
      <c r="D163" s="27"/>
      <c r="E163" s="27"/>
      <c r="F163" s="54"/>
      <c r="G163" s="54"/>
      <c r="H163" s="54"/>
      <c r="I163" s="54"/>
      <c r="J163" s="54" t="str">
        <f ca="1">IF(F163="","",OFFSET(分類!$B$29,MATCH(F163,分類!$A$30:$A$46,0),0))</f>
        <v/>
      </c>
      <c r="K163" s="54" t="str">
        <f t="shared" si="4"/>
        <v/>
      </c>
      <c r="L163" s="54"/>
      <c r="M163" s="54"/>
    </row>
    <row r="164" spans="2:13">
      <c r="B164" s="27">
        <f t="shared" si="5"/>
        <v>160</v>
      </c>
      <c r="C164" s="27"/>
      <c r="D164" s="27"/>
      <c r="E164" s="27"/>
      <c r="F164" s="54"/>
      <c r="G164" s="54"/>
      <c r="H164" s="54"/>
      <c r="I164" s="54"/>
      <c r="J164" s="54" t="str">
        <f ca="1">IF(F164="","",OFFSET(分類!$B$29,MATCH(F164,分類!$A$30:$A$46,0),0))</f>
        <v/>
      </c>
      <c r="K164" s="54" t="str">
        <f t="shared" si="4"/>
        <v/>
      </c>
      <c r="L164" s="54"/>
      <c r="M164" s="54"/>
    </row>
    <row r="165" spans="2:13">
      <c r="B165" s="27">
        <f t="shared" si="5"/>
        <v>161</v>
      </c>
      <c r="C165" s="27"/>
      <c r="D165" s="27"/>
      <c r="E165" s="27"/>
      <c r="F165" s="54"/>
      <c r="G165" s="54"/>
      <c r="H165" s="54"/>
      <c r="I165" s="54"/>
      <c r="J165" s="54" t="str">
        <f ca="1">IF(F165="","",OFFSET(分類!$B$29,MATCH(F165,分類!$A$30:$A$46,0),0))</f>
        <v/>
      </c>
      <c r="K165" s="54" t="str">
        <f t="shared" si="4"/>
        <v/>
      </c>
      <c r="L165" s="54"/>
      <c r="M165" s="54"/>
    </row>
    <row r="166" spans="2:13">
      <c r="B166" s="27">
        <f t="shared" si="5"/>
        <v>162</v>
      </c>
      <c r="C166" s="27"/>
      <c r="D166" s="27"/>
      <c r="E166" s="27"/>
      <c r="F166" s="54"/>
      <c r="G166" s="54"/>
      <c r="H166" s="54"/>
      <c r="I166" s="54"/>
      <c r="J166" s="54" t="str">
        <f ca="1">IF(F166="","",OFFSET(分類!$B$29,MATCH(F166,分類!$A$30:$A$46,0),0))</f>
        <v/>
      </c>
      <c r="K166" s="54" t="str">
        <f t="shared" si="4"/>
        <v/>
      </c>
      <c r="L166" s="54"/>
      <c r="M166" s="54"/>
    </row>
    <row r="167" spans="2:13">
      <c r="B167" s="27">
        <f t="shared" si="5"/>
        <v>163</v>
      </c>
      <c r="C167" s="27"/>
      <c r="D167" s="27"/>
      <c r="E167" s="27"/>
      <c r="F167" s="54"/>
      <c r="G167" s="54"/>
      <c r="H167" s="54"/>
      <c r="I167" s="54"/>
      <c r="J167" s="54" t="str">
        <f ca="1">IF(F167="","",OFFSET(分類!$B$29,MATCH(F167,分類!$A$30:$A$46,0),0))</f>
        <v/>
      </c>
      <c r="K167" s="54" t="str">
        <f t="shared" si="4"/>
        <v/>
      </c>
      <c r="L167" s="54"/>
      <c r="M167" s="54"/>
    </row>
    <row r="168" spans="2:13">
      <c r="B168" s="27">
        <f t="shared" si="5"/>
        <v>164</v>
      </c>
      <c r="C168" s="27"/>
      <c r="D168" s="27"/>
      <c r="E168" s="27"/>
      <c r="F168" s="54"/>
      <c r="G168" s="54"/>
      <c r="H168" s="54"/>
      <c r="I168" s="54"/>
      <c r="J168" s="54" t="str">
        <f ca="1">IF(F168="","",OFFSET(分類!$B$29,MATCH(F168,分類!$A$30:$A$46,0),0))</f>
        <v/>
      </c>
      <c r="K168" s="54" t="str">
        <f t="shared" si="4"/>
        <v/>
      </c>
      <c r="L168" s="54"/>
      <c r="M168" s="54"/>
    </row>
    <row r="169" spans="2:13">
      <c r="B169" s="27">
        <f t="shared" si="5"/>
        <v>165</v>
      </c>
      <c r="C169" s="27"/>
      <c r="D169" s="27"/>
      <c r="E169" s="27"/>
      <c r="F169" s="54"/>
      <c r="G169" s="54"/>
      <c r="H169" s="54"/>
      <c r="I169" s="54"/>
      <c r="J169" s="54" t="str">
        <f ca="1">IF(F169="","",OFFSET(分類!$B$29,MATCH(F169,分類!$A$30:$A$46,0),0))</f>
        <v/>
      </c>
      <c r="K169" s="54" t="str">
        <f t="shared" si="4"/>
        <v/>
      </c>
      <c r="L169" s="54"/>
      <c r="M169" s="54"/>
    </row>
    <row r="170" spans="2:13">
      <c r="B170" s="27">
        <f t="shared" si="5"/>
        <v>166</v>
      </c>
      <c r="C170" s="27"/>
      <c r="D170" s="27"/>
      <c r="E170" s="27"/>
      <c r="F170" s="54"/>
      <c r="G170" s="54"/>
      <c r="H170" s="54"/>
      <c r="I170" s="54"/>
      <c r="J170" s="54" t="str">
        <f ca="1">IF(F170="","",OFFSET(分類!$B$29,MATCH(F170,分類!$A$30:$A$46,0),0))</f>
        <v/>
      </c>
      <c r="K170" s="54" t="str">
        <f t="shared" si="4"/>
        <v/>
      </c>
      <c r="L170" s="54"/>
      <c r="M170" s="54"/>
    </row>
    <row r="171" spans="2:13">
      <c r="B171" s="27">
        <f t="shared" si="5"/>
        <v>167</v>
      </c>
      <c r="C171" s="27"/>
      <c r="D171" s="27"/>
      <c r="E171" s="27"/>
      <c r="F171" s="54"/>
      <c r="G171" s="54"/>
      <c r="H171" s="54"/>
      <c r="I171" s="54"/>
      <c r="J171" s="54" t="str">
        <f ca="1">IF(F171="","",OFFSET(分類!$B$29,MATCH(F171,分類!$A$30:$A$46,0),0))</f>
        <v/>
      </c>
      <c r="K171" s="54" t="str">
        <f t="shared" si="4"/>
        <v/>
      </c>
      <c r="L171" s="54"/>
      <c r="M171" s="54"/>
    </row>
    <row r="172" spans="2:13">
      <c r="B172" s="27">
        <f t="shared" si="5"/>
        <v>168</v>
      </c>
      <c r="C172" s="27"/>
      <c r="D172" s="27"/>
      <c r="E172" s="27"/>
      <c r="F172" s="54"/>
      <c r="G172" s="54"/>
      <c r="H172" s="54"/>
      <c r="I172" s="54"/>
      <c r="J172" s="54" t="str">
        <f ca="1">IF(F172="","",OFFSET(分類!$B$29,MATCH(F172,分類!$A$30:$A$46,0),0))</f>
        <v/>
      </c>
      <c r="K172" s="54" t="str">
        <f t="shared" si="4"/>
        <v/>
      </c>
      <c r="L172" s="54"/>
      <c r="M172" s="54"/>
    </row>
    <row r="173" spans="2:13">
      <c r="B173" s="27">
        <f t="shared" si="5"/>
        <v>169</v>
      </c>
      <c r="C173" s="27"/>
      <c r="D173" s="27"/>
      <c r="E173" s="27"/>
      <c r="F173" s="54"/>
      <c r="G173" s="54"/>
      <c r="H173" s="54"/>
      <c r="I173" s="54"/>
      <c r="J173" s="54" t="str">
        <f ca="1">IF(F173="","",OFFSET(分類!$B$29,MATCH(F173,分類!$A$30:$A$46,0),0))</f>
        <v/>
      </c>
      <c r="K173" s="54" t="str">
        <f t="shared" si="4"/>
        <v/>
      </c>
      <c r="L173" s="54"/>
      <c r="M173" s="54"/>
    </row>
    <row r="174" spans="2:13">
      <c r="B174" s="27">
        <f t="shared" si="5"/>
        <v>170</v>
      </c>
      <c r="C174" s="27"/>
      <c r="D174" s="27"/>
      <c r="E174" s="27"/>
      <c r="F174" s="54"/>
      <c r="G174" s="54"/>
      <c r="H174" s="54"/>
      <c r="I174" s="54"/>
      <c r="J174" s="54" t="str">
        <f ca="1">IF(F174="","",OFFSET(分類!$B$29,MATCH(F174,分類!$A$30:$A$46,0),0))</f>
        <v/>
      </c>
      <c r="K174" s="54" t="str">
        <f t="shared" si="4"/>
        <v/>
      </c>
      <c r="L174" s="54"/>
      <c r="M174" s="54"/>
    </row>
    <row r="175" spans="2:13">
      <c r="B175" s="27">
        <f t="shared" si="5"/>
        <v>171</v>
      </c>
      <c r="C175" s="27"/>
      <c r="D175" s="27"/>
      <c r="E175" s="27"/>
      <c r="F175" s="54"/>
      <c r="G175" s="54"/>
      <c r="H175" s="54"/>
      <c r="I175" s="54"/>
      <c r="J175" s="54" t="str">
        <f ca="1">IF(F175="","",OFFSET(分類!$B$29,MATCH(F175,分類!$A$30:$A$46,0),0))</f>
        <v/>
      </c>
      <c r="K175" s="54" t="str">
        <f t="shared" si="4"/>
        <v/>
      </c>
      <c r="L175" s="54"/>
      <c r="M175" s="54"/>
    </row>
    <row r="176" spans="2:13">
      <c r="B176" s="27">
        <f t="shared" si="5"/>
        <v>172</v>
      </c>
      <c r="C176" s="27"/>
      <c r="D176" s="27"/>
      <c r="E176" s="27"/>
      <c r="F176" s="54"/>
      <c r="G176" s="54"/>
      <c r="H176" s="54"/>
      <c r="I176" s="54"/>
      <c r="J176" s="54" t="str">
        <f ca="1">IF(F176="","",OFFSET(分類!$B$29,MATCH(F176,分類!$A$30:$A$46,0),0))</f>
        <v/>
      </c>
      <c r="K176" s="54" t="str">
        <f t="shared" si="4"/>
        <v/>
      </c>
      <c r="L176" s="54"/>
      <c r="M176" s="54"/>
    </row>
    <row r="177" spans="2:13">
      <c r="B177" s="27">
        <f t="shared" si="5"/>
        <v>173</v>
      </c>
      <c r="C177" s="27"/>
      <c r="D177" s="27"/>
      <c r="E177" s="27"/>
      <c r="F177" s="54"/>
      <c r="G177" s="54"/>
      <c r="H177" s="54"/>
      <c r="I177" s="54"/>
      <c r="J177" s="54" t="str">
        <f ca="1">IF(F177="","",OFFSET(分類!$B$29,MATCH(F177,分類!$A$30:$A$46,0),0))</f>
        <v/>
      </c>
      <c r="K177" s="54" t="str">
        <f t="shared" si="4"/>
        <v/>
      </c>
      <c r="L177" s="54"/>
      <c r="M177" s="54"/>
    </row>
    <row r="178" spans="2:13">
      <c r="B178" s="27">
        <f t="shared" si="5"/>
        <v>174</v>
      </c>
      <c r="C178" s="27"/>
      <c r="D178" s="27"/>
      <c r="E178" s="27"/>
      <c r="F178" s="54"/>
      <c r="G178" s="54"/>
      <c r="H178" s="54"/>
      <c r="I178" s="54"/>
      <c r="J178" s="54" t="str">
        <f ca="1">IF(F178="","",OFFSET(分類!$B$29,MATCH(F178,分類!$A$30:$A$46,0),0))</f>
        <v/>
      </c>
      <c r="K178" s="54" t="str">
        <f t="shared" si="4"/>
        <v/>
      </c>
      <c r="L178" s="54"/>
      <c r="M178" s="54"/>
    </row>
    <row r="179" spans="2:13">
      <c r="B179" s="27">
        <f t="shared" si="5"/>
        <v>175</v>
      </c>
      <c r="C179" s="27"/>
      <c r="D179" s="27"/>
      <c r="E179" s="27"/>
      <c r="F179" s="54"/>
      <c r="G179" s="54"/>
      <c r="H179" s="54"/>
      <c r="I179" s="54"/>
      <c r="J179" s="54" t="str">
        <f ca="1">IF(F179="","",OFFSET(分類!$B$29,MATCH(F179,分類!$A$30:$A$46,0),0))</f>
        <v/>
      </c>
      <c r="K179" s="54" t="str">
        <f t="shared" si="4"/>
        <v/>
      </c>
      <c r="L179" s="54"/>
      <c r="M179" s="54"/>
    </row>
    <row r="180" spans="2:13">
      <c r="B180" s="27">
        <f t="shared" si="5"/>
        <v>176</v>
      </c>
      <c r="C180" s="27"/>
      <c r="D180" s="27"/>
      <c r="E180" s="27"/>
      <c r="F180" s="54"/>
      <c r="G180" s="54"/>
      <c r="H180" s="54"/>
      <c r="I180" s="54"/>
      <c r="J180" s="54" t="str">
        <f ca="1">IF(F180="","",OFFSET(分類!$B$29,MATCH(F180,分類!$A$30:$A$46,0),0))</f>
        <v/>
      </c>
      <c r="K180" s="54" t="str">
        <f t="shared" si="4"/>
        <v/>
      </c>
      <c r="L180" s="54"/>
      <c r="M180" s="54"/>
    </row>
    <row r="181" spans="2:13">
      <c r="B181" s="27">
        <f t="shared" si="5"/>
        <v>177</v>
      </c>
      <c r="C181" s="27"/>
      <c r="D181" s="27"/>
      <c r="E181" s="27"/>
      <c r="F181" s="54"/>
      <c r="G181" s="54"/>
      <c r="H181" s="54"/>
      <c r="I181" s="54"/>
      <c r="J181" s="54" t="str">
        <f ca="1">IF(F181="","",OFFSET(分類!$B$29,MATCH(F181,分類!$A$30:$A$46,0),0))</f>
        <v/>
      </c>
      <c r="K181" s="54" t="str">
        <f t="shared" si="4"/>
        <v/>
      </c>
      <c r="L181" s="54"/>
      <c r="M181" s="54"/>
    </row>
    <row r="182" spans="2:13">
      <c r="B182" s="27">
        <f t="shared" si="5"/>
        <v>178</v>
      </c>
      <c r="C182" s="27"/>
      <c r="D182" s="27"/>
      <c r="E182" s="27"/>
      <c r="F182" s="54"/>
      <c r="G182" s="54"/>
      <c r="H182" s="54"/>
      <c r="I182" s="54"/>
      <c r="J182" s="54" t="str">
        <f ca="1">IF(F182="","",OFFSET(分類!$B$29,MATCH(F182,分類!$A$30:$A$46,0),0))</f>
        <v/>
      </c>
      <c r="K182" s="54" t="str">
        <f t="shared" si="4"/>
        <v/>
      </c>
      <c r="L182" s="54"/>
      <c r="M182" s="54"/>
    </row>
    <row r="183" spans="2:13">
      <c r="B183" s="27">
        <f t="shared" si="5"/>
        <v>179</v>
      </c>
      <c r="C183" s="27"/>
      <c r="D183" s="27"/>
      <c r="E183" s="27"/>
      <c r="F183" s="54"/>
      <c r="G183" s="54"/>
      <c r="H183" s="54"/>
      <c r="I183" s="54"/>
      <c r="J183" s="54" t="str">
        <f ca="1">IF(F183="","",OFFSET(分類!$B$29,MATCH(F183,分類!$A$30:$A$46,0),0))</f>
        <v/>
      </c>
      <c r="K183" s="54" t="str">
        <f t="shared" si="4"/>
        <v/>
      </c>
      <c r="L183" s="54"/>
      <c r="M183" s="54"/>
    </row>
    <row r="184" spans="2:13">
      <c r="B184" s="27">
        <f t="shared" si="5"/>
        <v>180</v>
      </c>
      <c r="C184" s="27"/>
      <c r="D184" s="27"/>
      <c r="E184" s="27"/>
      <c r="F184" s="54"/>
      <c r="G184" s="54"/>
      <c r="H184" s="54"/>
      <c r="I184" s="54"/>
      <c r="J184" s="54" t="str">
        <f ca="1">IF(F184="","",OFFSET(分類!$B$29,MATCH(F184,分類!$A$30:$A$46,0),0))</f>
        <v/>
      </c>
      <c r="K184" s="54" t="str">
        <f t="shared" si="4"/>
        <v/>
      </c>
      <c r="L184" s="54"/>
      <c r="M184" s="54"/>
    </row>
    <row r="185" spans="2:13">
      <c r="B185" s="27">
        <f t="shared" si="5"/>
        <v>181</v>
      </c>
      <c r="C185" s="27"/>
      <c r="D185" s="27"/>
      <c r="E185" s="27"/>
      <c r="F185" s="54"/>
      <c r="G185" s="54"/>
      <c r="H185" s="54"/>
      <c r="I185" s="54"/>
      <c r="J185" s="54" t="str">
        <f ca="1">IF(F185="","",OFFSET(分類!$B$29,MATCH(F185,分類!$A$30:$A$46,0),0))</f>
        <v/>
      </c>
      <c r="K185" s="54" t="str">
        <f t="shared" si="4"/>
        <v/>
      </c>
      <c r="L185" s="54"/>
      <c r="M185" s="54"/>
    </row>
    <row r="186" spans="2:13">
      <c r="B186" s="27">
        <f t="shared" si="5"/>
        <v>182</v>
      </c>
      <c r="C186" s="27"/>
      <c r="D186" s="27"/>
      <c r="E186" s="27"/>
      <c r="F186" s="54"/>
      <c r="G186" s="54"/>
      <c r="H186" s="54"/>
      <c r="I186" s="54"/>
      <c r="J186" s="54" t="str">
        <f ca="1">IF(F186="","",OFFSET(分類!$B$29,MATCH(F186,分類!$A$30:$A$46,0),0))</f>
        <v/>
      </c>
      <c r="K186" s="54" t="str">
        <f t="shared" si="4"/>
        <v/>
      </c>
      <c r="L186" s="54"/>
      <c r="M186" s="54"/>
    </row>
    <row r="187" spans="2:13">
      <c r="B187" s="27">
        <f t="shared" si="5"/>
        <v>183</v>
      </c>
      <c r="C187" s="27"/>
      <c r="D187" s="27"/>
      <c r="E187" s="27"/>
      <c r="F187" s="54"/>
      <c r="G187" s="54"/>
      <c r="H187" s="54"/>
      <c r="I187" s="54"/>
      <c r="J187" s="54" t="str">
        <f ca="1">IF(F187="","",OFFSET(分類!$B$29,MATCH(F187,分類!$A$30:$A$46,0),0))</f>
        <v/>
      </c>
      <c r="K187" s="54" t="str">
        <f t="shared" si="4"/>
        <v/>
      </c>
      <c r="L187" s="54"/>
      <c r="M187" s="54"/>
    </row>
    <row r="188" spans="2:13">
      <c r="B188" s="27">
        <f t="shared" si="5"/>
        <v>184</v>
      </c>
      <c r="C188" s="27"/>
      <c r="D188" s="27"/>
      <c r="E188" s="27"/>
      <c r="F188" s="54"/>
      <c r="G188" s="54"/>
      <c r="H188" s="54"/>
      <c r="I188" s="54"/>
      <c r="J188" s="54" t="str">
        <f ca="1">IF(F188="","",OFFSET(分類!$B$29,MATCH(F188,分類!$A$30:$A$46,0),0))</f>
        <v/>
      </c>
      <c r="K188" s="54" t="str">
        <f t="shared" si="4"/>
        <v/>
      </c>
      <c r="L188" s="54"/>
      <c r="M188" s="54"/>
    </row>
    <row r="189" spans="2:13">
      <c r="B189" s="27">
        <f t="shared" si="5"/>
        <v>185</v>
      </c>
      <c r="C189" s="27"/>
      <c r="D189" s="27"/>
      <c r="E189" s="27"/>
      <c r="F189" s="54"/>
      <c r="G189" s="54"/>
      <c r="H189" s="54"/>
      <c r="I189" s="54"/>
      <c r="J189" s="54" t="str">
        <f ca="1">IF(F189="","",OFFSET(分類!$B$29,MATCH(F189,分類!$A$30:$A$46,0),0))</f>
        <v/>
      </c>
      <c r="K189" s="54" t="str">
        <f t="shared" si="4"/>
        <v/>
      </c>
      <c r="L189" s="54"/>
      <c r="M189" s="54"/>
    </row>
    <row r="190" spans="2:13">
      <c r="B190" s="27">
        <f t="shared" si="5"/>
        <v>186</v>
      </c>
      <c r="C190" s="27"/>
      <c r="D190" s="27"/>
      <c r="E190" s="27"/>
      <c r="F190" s="54"/>
      <c r="G190" s="54"/>
      <c r="H190" s="54"/>
      <c r="I190" s="54"/>
      <c r="J190" s="54" t="str">
        <f ca="1">IF(F190="","",OFFSET(分類!$B$29,MATCH(F190,分類!$A$30:$A$46,0),0))</f>
        <v/>
      </c>
      <c r="K190" s="54" t="str">
        <f t="shared" si="4"/>
        <v/>
      </c>
      <c r="L190" s="54"/>
      <c r="M190" s="54"/>
    </row>
    <row r="191" spans="2:13">
      <c r="B191" s="27">
        <f t="shared" si="5"/>
        <v>187</v>
      </c>
      <c r="C191" s="27"/>
      <c r="D191" s="27"/>
      <c r="E191" s="27"/>
      <c r="F191" s="54"/>
      <c r="G191" s="54"/>
      <c r="H191" s="54"/>
      <c r="I191" s="54"/>
      <c r="J191" s="54" t="str">
        <f ca="1">IF(F191="","",OFFSET(分類!$B$29,MATCH(F191,分類!$A$30:$A$46,0),0))</f>
        <v/>
      </c>
      <c r="K191" s="54" t="str">
        <f t="shared" si="4"/>
        <v/>
      </c>
      <c r="L191" s="54"/>
      <c r="M191" s="54"/>
    </row>
    <row r="192" spans="2:13">
      <c r="B192" s="27">
        <f t="shared" si="5"/>
        <v>188</v>
      </c>
      <c r="C192" s="27"/>
      <c r="D192" s="27"/>
      <c r="E192" s="27"/>
      <c r="F192" s="54"/>
      <c r="G192" s="54"/>
      <c r="H192" s="54"/>
      <c r="I192" s="54"/>
      <c r="J192" s="54" t="str">
        <f ca="1">IF(F192="","",OFFSET(分類!$B$29,MATCH(F192,分類!$A$30:$A$46,0),0))</f>
        <v/>
      </c>
      <c r="K192" s="54" t="str">
        <f t="shared" si="4"/>
        <v/>
      </c>
      <c r="L192" s="54"/>
      <c r="M192" s="54"/>
    </row>
    <row r="193" spans="2:13">
      <c r="B193" s="27">
        <f t="shared" si="5"/>
        <v>189</v>
      </c>
      <c r="C193" s="27"/>
      <c r="D193" s="27"/>
      <c r="E193" s="27"/>
      <c r="F193" s="54"/>
      <c r="G193" s="54"/>
      <c r="H193" s="54"/>
      <c r="I193" s="54"/>
      <c r="J193" s="54" t="str">
        <f ca="1">IF(F193="","",OFFSET(分類!$B$29,MATCH(F193,分類!$A$30:$A$46,0),0))</f>
        <v/>
      </c>
      <c r="K193" s="54" t="str">
        <f t="shared" si="4"/>
        <v/>
      </c>
      <c r="L193" s="54"/>
      <c r="M193" s="54"/>
    </row>
    <row r="194" spans="2:13">
      <c r="B194" s="27">
        <f t="shared" si="5"/>
        <v>190</v>
      </c>
      <c r="C194" s="27"/>
      <c r="D194" s="27"/>
      <c r="E194" s="27"/>
      <c r="F194" s="54"/>
      <c r="G194" s="54"/>
      <c r="H194" s="54"/>
      <c r="I194" s="54"/>
      <c r="J194" s="54" t="str">
        <f ca="1">IF(F194="","",OFFSET(分類!$B$29,MATCH(F194,分類!$A$30:$A$46,0),0))</f>
        <v/>
      </c>
      <c r="K194" s="54" t="str">
        <f t="shared" si="4"/>
        <v/>
      </c>
      <c r="L194" s="54"/>
      <c r="M194" s="54"/>
    </row>
    <row r="195" spans="2:13">
      <c r="B195" s="27">
        <f t="shared" si="5"/>
        <v>191</v>
      </c>
      <c r="C195" s="27"/>
      <c r="D195" s="27"/>
      <c r="E195" s="27"/>
      <c r="F195" s="54"/>
      <c r="G195" s="54"/>
      <c r="H195" s="54"/>
      <c r="I195" s="54"/>
      <c r="J195" s="54" t="str">
        <f ca="1">IF(F195="","",OFFSET(分類!$B$29,MATCH(F195,分類!$A$30:$A$46,0),0))</f>
        <v/>
      </c>
      <c r="K195" s="54" t="str">
        <f t="shared" si="4"/>
        <v/>
      </c>
      <c r="L195" s="54"/>
      <c r="M195" s="54"/>
    </row>
    <row r="196" spans="2:13">
      <c r="B196" s="27">
        <f t="shared" si="5"/>
        <v>192</v>
      </c>
      <c r="C196" s="27"/>
      <c r="D196" s="27"/>
      <c r="E196" s="27"/>
      <c r="F196" s="54"/>
      <c r="G196" s="54"/>
      <c r="H196" s="54"/>
      <c r="I196" s="54"/>
      <c r="J196" s="54" t="str">
        <f ca="1">IF(F196="","",OFFSET(分類!$B$29,MATCH(F196,分類!$A$30:$A$46,0),0))</f>
        <v/>
      </c>
      <c r="K196" s="54" t="str">
        <f t="shared" si="4"/>
        <v/>
      </c>
      <c r="L196" s="54"/>
      <c r="M196" s="54"/>
    </row>
    <row r="197" spans="2:13">
      <c r="B197" s="27">
        <f t="shared" si="5"/>
        <v>193</v>
      </c>
      <c r="C197" s="27"/>
      <c r="D197" s="27"/>
      <c r="E197" s="27"/>
      <c r="F197" s="54"/>
      <c r="G197" s="54"/>
      <c r="H197" s="54"/>
      <c r="I197" s="54"/>
      <c r="J197" s="54" t="str">
        <f ca="1">IF(F197="","",OFFSET(分類!$B$29,MATCH(F197,分類!$A$30:$A$46,0),0))</f>
        <v/>
      </c>
      <c r="K197" s="54" t="str">
        <f t="shared" si="4"/>
        <v/>
      </c>
      <c r="L197" s="54"/>
      <c r="M197" s="54"/>
    </row>
    <row r="198" spans="2:13">
      <c r="B198" s="27">
        <f t="shared" si="5"/>
        <v>194</v>
      </c>
      <c r="C198" s="27"/>
      <c r="D198" s="27"/>
      <c r="E198" s="27"/>
      <c r="F198" s="54"/>
      <c r="G198" s="54"/>
      <c r="H198" s="54"/>
      <c r="I198" s="54"/>
      <c r="J198" s="54" t="str">
        <f ca="1">IF(F198="","",OFFSET(分類!$B$29,MATCH(F198,分類!$A$30:$A$46,0),0))</f>
        <v/>
      </c>
      <c r="K198" s="54" t="str">
        <f t="shared" ref="K198:K261" si="6">IF(G198="粉",VALUE(SUBSTITUTE(SUBSTITUTE(LEFT(H198, FIND("ｇ", H198) - 1), "．", "."), "　", "")),"")</f>
        <v/>
      </c>
      <c r="L198" s="54"/>
      <c r="M198" s="54"/>
    </row>
    <row r="199" spans="2:13">
      <c r="B199" s="27">
        <f t="shared" ref="B199:B262" si="7">B198+1</f>
        <v>195</v>
      </c>
      <c r="C199" s="27"/>
      <c r="D199" s="27"/>
      <c r="E199" s="27"/>
      <c r="F199" s="54"/>
      <c r="G199" s="54"/>
      <c r="H199" s="54"/>
      <c r="I199" s="54"/>
      <c r="J199" s="54" t="str">
        <f ca="1">IF(F199="","",OFFSET(分類!$B$29,MATCH(F199,分類!$A$30:$A$46,0),0))</f>
        <v/>
      </c>
      <c r="K199" s="54" t="str">
        <f t="shared" si="6"/>
        <v/>
      </c>
      <c r="L199" s="54"/>
      <c r="M199" s="54"/>
    </row>
    <row r="200" spans="2:13">
      <c r="B200" s="27">
        <f t="shared" si="7"/>
        <v>196</v>
      </c>
      <c r="C200" s="27"/>
      <c r="D200" s="27"/>
      <c r="E200" s="27"/>
      <c r="F200" s="54"/>
      <c r="G200" s="54"/>
      <c r="H200" s="54"/>
      <c r="I200" s="54"/>
      <c r="J200" s="54" t="str">
        <f ca="1">IF(F200="","",OFFSET(分類!$B$29,MATCH(F200,分類!$A$30:$A$46,0),0))</f>
        <v/>
      </c>
      <c r="K200" s="54" t="str">
        <f t="shared" si="6"/>
        <v/>
      </c>
      <c r="L200" s="54"/>
      <c r="M200" s="54"/>
    </row>
    <row r="201" spans="2:13">
      <c r="B201" s="27">
        <f t="shared" si="7"/>
        <v>197</v>
      </c>
      <c r="C201" s="27"/>
      <c r="D201" s="27"/>
      <c r="E201" s="27"/>
      <c r="F201" s="54"/>
      <c r="G201" s="54"/>
      <c r="H201" s="54"/>
      <c r="I201" s="54"/>
      <c r="J201" s="54" t="str">
        <f ca="1">IF(F201="","",OFFSET(分類!$B$29,MATCH(F201,分類!$A$30:$A$46,0),0))</f>
        <v/>
      </c>
      <c r="K201" s="54" t="str">
        <f t="shared" si="6"/>
        <v/>
      </c>
      <c r="L201" s="54"/>
      <c r="M201" s="54"/>
    </row>
    <row r="202" spans="2:13">
      <c r="B202" s="27">
        <f t="shared" si="7"/>
        <v>198</v>
      </c>
      <c r="C202" s="27"/>
      <c r="D202" s="27"/>
      <c r="E202" s="27"/>
      <c r="F202" s="54"/>
      <c r="G202" s="54"/>
      <c r="H202" s="54"/>
      <c r="I202" s="54"/>
      <c r="J202" s="54" t="str">
        <f ca="1">IF(F202="","",OFFSET(分類!$B$29,MATCH(F202,分類!$A$30:$A$46,0),0))</f>
        <v/>
      </c>
      <c r="K202" s="54" t="str">
        <f t="shared" si="6"/>
        <v/>
      </c>
      <c r="L202" s="54"/>
      <c r="M202" s="54"/>
    </row>
    <row r="203" spans="2:13">
      <c r="B203" s="27">
        <f t="shared" si="7"/>
        <v>199</v>
      </c>
      <c r="C203" s="27"/>
      <c r="D203" s="27"/>
      <c r="E203" s="27"/>
      <c r="F203" s="54"/>
      <c r="G203" s="54"/>
      <c r="H203" s="54"/>
      <c r="I203" s="54"/>
      <c r="J203" s="54" t="str">
        <f ca="1">IF(F203="","",OFFSET(分類!$B$29,MATCH(F203,分類!$A$30:$A$46,0),0))</f>
        <v/>
      </c>
      <c r="K203" s="54" t="str">
        <f t="shared" si="6"/>
        <v/>
      </c>
      <c r="L203" s="54"/>
      <c r="M203" s="54"/>
    </row>
    <row r="204" spans="2:13">
      <c r="B204" s="27">
        <f t="shared" si="7"/>
        <v>200</v>
      </c>
      <c r="C204" s="27"/>
      <c r="D204" s="27"/>
      <c r="E204" s="27"/>
      <c r="F204" s="54"/>
      <c r="G204" s="54"/>
      <c r="H204" s="54"/>
      <c r="I204" s="54"/>
      <c r="J204" s="54" t="str">
        <f ca="1">IF(F204="","",OFFSET(分類!$B$29,MATCH(F204,分類!$A$30:$A$46,0),0))</f>
        <v/>
      </c>
      <c r="K204" s="54" t="str">
        <f t="shared" si="6"/>
        <v/>
      </c>
      <c r="L204" s="54"/>
      <c r="M204" s="54"/>
    </row>
    <row r="205" spans="2:13">
      <c r="B205" s="27">
        <f t="shared" si="7"/>
        <v>201</v>
      </c>
      <c r="C205" s="27"/>
      <c r="D205" s="27"/>
      <c r="E205" s="27"/>
      <c r="F205" s="54"/>
      <c r="G205" s="54"/>
      <c r="H205" s="54"/>
      <c r="I205" s="54"/>
      <c r="J205" s="54" t="str">
        <f ca="1">IF(F205="","",OFFSET(分類!$B$29,MATCH(F205,分類!$A$30:$A$46,0),0))</f>
        <v/>
      </c>
      <c r="K205" s="54" t="str">
        <f t="shared" si="6"/>
        <v/>
      </c>
      <c r="L205" s="54"/>
      <c r="M205" s="54"/>
    </row>
    <row r="206" spans="2:13">
      <c r="B206" s="27">
        <f t="shared" si="7"/>
        <v>202</v>
      </c>
      <c r="C206" s="27"/>
      <c r="D206" s="27"/>
      <c r="E206" s="27"/>
      <c r="F206" s="54"/>
      <c r="G206" s="54"/>
      <c r="H206" s="54"/>
      <c r="I206" s="54"/>
      <c r="J206" s="54" t="str">
        <f ca="1">IF(F206="","",OFFSET(分類!$B$29,MATCH(F206,分類!$A$30:$A$46,0),0))</f>
        <v/>
      </c>
      <c r="K206" s="54" t="str">
        <f t="shared" si="6"/>
        <v/>
      </c>
      <c r="L206" s="54"/>
      <c r="M206" s="54"/>
    </row>
    <row r="207" spans="2:13">
      <c r="B207" s="27">
        <f t="shared" si="7"/>
        <v>203</v>
      </c>
      <c r="C207" s="27"/>
      <c r="D207" s="27"/>
      <c r="E207" s="27"/>
      <c r="F207" s="54"/>
      <c r="G207" s="54"/>
      <c r="H207" s="54"/>
      <c r="I207" s="54"/>
      <c r="J207" s="54" t="str">
        <f ca="1">IF(F207="","",OFFSET(分類!$B$29,MATCH(F207,分類!$A$30:$A$46,0),0))</f>
        <v/>
      </c>
      <c r="K207" s="54" t="str">
        <f t="shared" si="6"/>
        <v/>
      </c>
      <c r="L207" s="54"/>
      <c r="M207" s="54"/>
    </row>
    <row r="208" spans="2:13">
      <c r="B208" s="27">
        <f t="shared" si="7"/>
        <v>204</v>
      </c>
      <c r="C208" s="27"/>
      <c r="D208" s="27"/>
      <c r="E208" s="27"/>
      <c r="F208" s="54"/>
      <c r="G208" s="54"/>
      <c r="H208" s="54"/>
      <c r="I208" s="54"/>
      <c r="J208" s="54" t="str">
        <f ca="1">IF(F208="","",OFFSET(分類!$B$29,MATCH(F208,分類!$A$30:$A$46,0),0))</f>
        <v/>
      </c>
      <c r="K208" s="54" t="str">
        <f t="shared" si="6"/>
        <v/>
      </c>
      <c r="L208" s="54"/>
      <c r="M208" s="54"/>
    </row>
    <row r="209" spans="2:13">
      <c r="B209" s="27">
        <f t="shared" si="7"/>
        <v>205</v>
      </c>
      <c r="C209" s="27"/>
      <c r="D209" s="27"/>
      <c r="E209" s="27"/>
      <c r="F209" s="54"/>
      <c r="G209" s="54"/>
      <c r="H209" s="54"/>
      <c r="I209" s="54"/>
      <c r="J209" s="54" t="str">
        <f ca="1">IF(F209="","",OFFSET(分類!$B$29,MATCH(F209,分類!$A$30:$A$46,0),0))</f>
        <v/>
      </c>
      <c r="K209" s="54" t="str">
        <f t="shared" si="6"/>
        <v/>
      </c>
      <c r="L209" s="54"/>
      <c r="M209" s="54"/>
    </row>
    <row r="210" spans="2:13">
      <c r="B210" s="27">
        <f t="shared" si="7"/>
        <v>206</v>
      </c>
      <c r="C210" s="27"/>
      <c r="D210" s="27"/>
      <c r="E210" s="27"/>
      <c r="F210" s="54"/>
      <c r="G210" s="54"/>
      <c r="H210" s="54"/>
      <c r="I210" s="54"/>
      <c r="J210" s="54" t="str">
        <f ca="1">IF(F210="","",OFFSET(分類!$B$29,MATCH(F210,分類!$A$30:$A$46,0),0))</f>
        <v/>
      </c>
      <c r="K210" s="54" t="str">
        <f t="shared" si="6"/>
        <v/>
      </c>
      <c r="L210" s="54"/>
      <c r="M210" s="54"/>
    </row>
    <row r="211" spans="2:13">
      <c r="B211" s="27">
        <f t="shared" si="7"/>
        <v>207</v>
      </c>
      <c r="C211" s="27"/>
      <c r="D211" s="27"/>
      <c r="E211" s="27"/>
      <c r="F211" s="54"/>
      <c r="G211" s="54"/>
      <c r="H211" s="54"/>
      <c r="I211" s="54"/>
      <c r="J211" s="54" t="str">
        <f ca="1">IF(F211="","",OFFSET(分類!$B$29,MATCH(F211,分類!$A$30:$A$46,0),0))</f>
        <v/>
      </c>
      <c r="K211" s="54" t="str">
        <f t="shared" si="6"/>
        <v/>
      </c>
      <c r="L211" s="54"/>
      <c r="M211" s="54"/>
    </row>
    <row r="212" spans="2:13">
      <c r="B212" s="27">
        <f t="shared" si="7"/>
        <v>208</v>
      </c>
      <c r="C212" s="27"/>
      <c r="D212" s="27"/>
      <c r="E212" s="27"/>
      <c r="F212" s="54"/>
      <c r="G212" s="54"/>
      <c r="H212" s="54"/>
      <c r="I212" s="54"/>
      <c r="J212" s="54" t="str">
        <f ca="1">IF(F212="","",OFFSET(分類!$B$29,MATCH(F212,分類!$A$30:$A$46,0),0))</f>
        <v/>
      </c>
      <c r="K212" s="54" t="str">
        <f t="shared" si="6"/>
        <v/>
      </c>
      <c r="L212" s="54"/>
      <c r="M212" s="54"/>
    </row>
    <row r="213" spans="2:13">
      <c r="B213" s="27">
        <f t="shared" si="7"/>
        <v>209</v>
      </c>
      <c r="C213" s="27"/>
      <c r="D213" s="27"/>
      <c r="E213" s="27"/>
      <c r="F213" s="54"/>
      <c r="G213" s="54"/>
      <c r="H213" s="54"/>
      <c r="I213" s="54"/>
      <c r="J213" s="54" t="str">
        <f ca="1">IF(F213="","",OFFSET(分類!$B$29,MATCH(F213,分類!$A$30:$A$46,0),0))</f>
        <v/>
      </c>
      <c r="K213" s="54" t="str">
        <f t="shared" si="6"/>
        <v/>
      </c>
      <c r="L213" s="54"/>
      <c r="M213" s="54"/>
    </row>
    <row r="214" spans="2:13">
      <c r="B214" s="27">
        <f t="shared" si="7"/>
        <v>210</v>
      </c>
      <c r="C214" s="27"/>
      <c r="D214" s="27"/>
      <c r="E214" s="27"/>
      <c r="F214" s="54"/>
      <c r="G214" s="54"/>
      <c r="H214" s="54"/>
      <c r="I214" s="54"/>
      <c r="J214" s="54" t="str">
        <f ca="1">IF(F214="","",OFFSET(分類!$B$29,MATCH(F214,分類!$A$30:$A$46,0),0))</f>
        <v/>
      </c>
      <c r="K214" s="54" t="str">
        <f t="shared" si="6"/>
        <v/>
      </c>
      <c r="L214" s="54"/>
      <c r="M214" s="54"/>
    </row>
    <row r="215" spans="2:13">
      <c r="B215" s="27">
        <f t="shared" si="7"/>
        <v>211</v>
      </c>
      <c r="C215" s="27"/>
      <c r="D215" s="27"/>
      <c r="E215" s="27"/>
      <c r="F215" s="54"/>
      <c r="G215" s="54"/>
      <c r="H215" s="54"/>
      <c r="I215" s="54"/>
      <c r="J215" s="54" t="str">
        <f ca="1">IF(F215="","",OFFSET(分類!$B$29,MATCH(F215,分類!$A$30:$A$46,0),0))</f>
        <v/>
      </c>
      <c r="K215" s="54" t="str">
        <f t="shared" si="6"/>
        <v/>
      </c>
      <c r="L215" s="54"/>
      <c r="M215" s="54"/>
    </row>
    <row r="216" spans="2:13">
      <c r="B216" s="27">
        <f t="shared" si="7"/>
        <v>212</v>
      </c>
      <c r="C216" s="27"/>
      <c r="D216" s="27"/>
      <c r="E216" s="27"/>
      <c r="F216" s="54"/>
      <c r="G216" s="54"/>
      <c r="H216" s="54"/>
      <c r="I216" s="54"/>
      <c r="J216" s="54" t="str">
        <f ca="1">IF(F216="","",OFFSET(分類!$B$29,MATCH(F216,分類!$A$30:$A$46,0),0))</f>
        <v/>
      </c>
      <c r="K216" s="54" t="str">
        <f t="shared" si="6"/>
        <v/>
      </c>
      <c r="L216" s="54"/>
      <c r="M216" s="54"/>
    </row>
    <row r="217" spans="2:13">
      <c r="B217" s="27">
        <f t="shared" si="7"/>
        <v>213</v>
      </c>
      <c r="C217" s="27"/>
      <c r="D217" s="27"/>
      <c r="E217" s="27"/>
      <c r="F217" s="54"/>
      <c r="G217" s="54"/>
      <c r="H217" s="54"/>
      <c r="I217" s="54"/>
      <c r="J217" s="54" t="str">
        <f ca="1">IF(F217="","",OFFSET(分類!$B$29,MATCH(F217,分類!$A$30:$A$46,0),0))</f>
        <v/>
      </c>
      <c r="K217" s="54" t="str">
        <f t="shared" si="6"/>
        <v/>
      </c>
      <c r="L217" s="54"/>
      <c r="M217" s="54"/>
    </row>
    <row r="218" spans="2:13">
      <c r="B218" s="27">
        <f t="shared" si="7"/>
        <v>214</v>
      </c>
      <c r="C218" s="27"/>
      <c r="D218" s="27"/>
      <c r="E218" s="27"/>
      <c r="F218" s="54"/>
      <c r="G218" s="54"/>
      <c r="H218" s="54"/>
      <c r="I218" s="54"/>
      <c r="J218" s="54" t="str">
        <f ca="1">IF(F218="","",OFFSET(分類!$B$29,MATCH(F218,分類!$A$30:$A$46,0),0))</f>
        <v/>
      </c>
      <c r="K218" s="54" t="str">
        <f t="shared" si="6"/>
        <v/>
      </c>
      <c r="L218" s="54"/>
      <c r="M218" s="54"/>
    </row>
    <row r="219" spans="2:13">
      <c r="B219" s="27">
        <f t="shared" si="7"/>
        <v>215</v>
      </c>
      <c r="C219" s="27"/>
      <c r="D219" s="27"/>
      <c r="E219" s="27"/>
      <c r="F219" s="54"/>
      <c r="G219" s="54"/>
      <c r="H219" s="54"/>
      <c r="I219" s="54"/>
      <c r="J219" s="54" t="str">
        <f ca="1">IF(F219="","",OFFSET(分類!$B$29,MATCH(F219,分類!$A$30:$A$46,0),0))</f>
        <v/>
      </c>
      <c r="K219" s="54" t="str">
        <f t="shared" si="6"/>
        <v/>
      </c>
      <c r="L219" s="54"/>
      <c r="M219" s="54"/>
    </row>
    <row r="220" spans="2:13">
      <c r="B220" s="27">
        <f t="shared" si="7"/>
        <v>216</v>
      </c>
      <c r="C220" s="27"/>
      <c r="D220" s="27"/>
      <c r="E220" s="27"/>
      <c r="F220" s="54"/>
      <c r="G220" s="54"/>
      <c r="H220" s="54"/>
      <c r="I220" s="54"/>
      <c r="J220" s="54" t="str">
        <f ca="1">IF(F220="","",OFFSET(分類!$B$29,MATCH(F220,分類!$A$30:$A$46,0),0))</f>
        <v/>
      </c>
      <c r="K220" s="54" t="str">
        <f t="shared" si="6"/>
        <v/>
      </c>
      <c r="L220" s="54"/>
      <c r="M220" s="54"/>
    </row>
    <row r="221" spans="2:13">
      <c r="B221" s="27">
        <f t="shared" si="7"/>
        <v>217</v>
      </c>
      <c r="C221" s="27"/>
      <c r="D221" s="27"/>
      <c r="E221" s="27"/>
      <c r="F221" s="54"/>
      <c r="G221" s="54"/>
      <c r="H221" s="54"/>
      <c r="I221" s="54"/>
      <c r="J221" s="54" t="str">
        <f ca="1">IF(F221="","",OFFSET(分類!$B$29,MATCH(F221,分類!$A$30:$A$46,0),0))</f>
        <v/>
      </c>
      <c r="K221" s="54" t="str">
        <f t="shared" si="6"/>
        <v/>
      </c>
      <c r="L221" s="54"/>
      <c r="M221" s="54"/>
    </row>
    <row r="222" spans="2:13">
      <c r="B222" s="27">
        <f t="shared" si="7"/>
        <v>218</v>
      </c>
      <c r="C222" s="27"/>
      <c r="D222" s="27"/>
      <c r="E222" s="27"/>
      <c r="F222" s="54"/>
      <c r="G222" s="54"/>
      <c r="H222" s="54"/>
      <c r="I222" s="54"/>
      <c r="J222" s="54" t="str">
        <f ca="1">IF(F222="","",OFFSET(分類!$B$29,MATCH(F222,分類!$A$30:$A$46,0),0))</f>
        <v/>
      </c>
      <c r="K222" s="54" t="str">
        <f t="shared" si="6"/>
        <v/>
      </c>
      <c r="L222" s="54"/>
      <c r="M222" s="54"/>
    </row>
    <row r="223" spans="2:13">
      <c r="B223" s="27">
        <f t="shared" si="7"/>
        <v>219</v>
      </c>
      <c r="C223" s="27"/>
      <c r="D223" s="27"/>
      <c r="E223" s="27"/>
      <c r="F223" s="54"/>
      <c r="G223" s="54"/>
      <c r="H223" s="54"/>
      <c r="I223" s="54"/>
      <c r="J223" s="54" t="str">
        <f ca="1">IF(F223="","",OFFSET(分類!$B$29,MATCH(F223,分類!$A$30:$A$46,0),0))</f>
        <v/>
      </c>
      <c r="K223" s="54" t="str">
        <f t="shared" si="6"/>
        <v/>
      </c>
      <c r="L223" s="54"/>
      <c r="M223" s="54"/>
    </row>
    <row r="224" spans="2:13">
      <c r="B224" s="27">
        <f t="shared" si="7"/>
        <v>220</v>
      </c>
      <c r="C224" s="27"/>
      <c r="D224" s="27"/>
      <c r="E224" s="27"/>
      <c r="F224" s="54"/>
      <c r="G224" s="54"/>
      <c r="H224" s="54"/>
      <c r="I224" s="54"/>
      <c r="J224" s="54" t="str">
        <f ca="1">IF(F224="","",OFFSET(分類!$B$29,MATCH(F224,分類!$A$30:$A$46,0),0))</f>
        <v/>
      </c>
      <c r="K224" s="54" t="str">
        <f t="shared" si="6"/>
        <v/>
      </c>
      <c r="L224" s="54"/>
      <c r="M224" s="54"/>
    </row>
    <row r="225" spans="2:13">
      <c r="B225" s="27">
        <f t="shared" si="7"/>
        <v>221</v>
      </c>
      <c r="C225" s="27"/>
      <c r="D225" s="27"/>
      <c r="E225" s="27"/>
      <c r="F225" s="54"/>
      <c r="G225" s="54"/>
      <c r="H225" s="54"/>
      <c r="I225" s="54"/>
      <c r="J225" s="54" t="str">
        <f ca="1">IF(F225="","",OFFSET(分類!$B$29,MATCH(F225,分類!$A$30:$A$46,0),0))</f>
        <v/>
      </c>
      <c r="K225" s="54" t="str">
        <f t="shared" si="6"/>
        <v/>
      </c>
      <c r="L225" s="54"/>
      <c r="M225" s="54"/>
    </row>
    <row r="226" spans="2:13">
      <c r="B226" s="27">
        <f t="shared" si="7"/>
        <v>222</v>
      </c>
      <c r="C226" s="27"/>
      <c r="D226" s="27"/>
      <c r="E226" s="27"/>
      <c r="F226" s="54"/>
      <c r="G226" s="54"/>
      <c r="H226" s="54"/>
      <c r="I226" s="54"/>
      <c r="J226" s="54" t="str">
        <f ca="1">IF(F226="","",OFFSET(分類!$B$29,MATCH(F226,分類!$A$30:$A$46,0),0))</f>
        <v/>
      </c>
      <c r="K226" s="54" t="str">
        <f t="shared" si="6"/>
        <v/>
      </c>
      <c r="L226" s="54"/>
      <c r="M226" s="54"/>
    </row>
    <row r="227" spans="2:13">
      <c r="B227" s="27">
        <f t="shared" si="7"/>
        <v>223</v>
      </c>
      <c r="C227" s="27"/>
      <c r="D227" s="27"/>
      <c r="E227" s="27"/>
      <c r="F227" s="54"/>
      <c r="G227" s="54"/>
      <c r="H227" s="54"/>
      <c r="I227" s="54"/>
      <c r="J227" s="54" t="str">
        <f ca="1">IF(F227="","",OFFSET(分類!$B$29,MATCH(F227,分類!$A$30:$A$46,0),0))</f>
        <v/>
      </c>
      <c r="K227" s="54" t="str">
        <f t="shared" si="6"/>
        <v/>
      </c>
      <c r="L227" s="54"/>
      <c r="M227" s="54"/>
    </row>
    <row r="228" spans="2:13">
      <c r="B228" s="27">
        <f t="shared" si="7"/>
        <v>224</v>
      </c>
      <c r="C228" s="27"/>
      <c r="D228" s="27"/>
      <c r="E228" s="27"/>
      <c r="F228" s="54"/>
      <c r="G228" s="54"/>
      <c r="H228" s="54"/>
      <c r="I228" s="54"/>
      <c r="J228" s="54" t="str">
        <f ca="1">IF(F228="","",OFFSET(分類!$B$29,MATCH(F228,分類!$A$30:$A$46,0),0))</f>
        <v/>
      </c>
      <c r="K228" s="54" t="str">
        <f t="shared" si="6"/>
        <v/>
      </c>
      <c r="L228" s="54"/>
      <c r="M228" s="54"/>
    </row>
    <row r="229" spans="2:13">
      <c r="B229" s="27">
        <f t="shared" si="7"/>
        <v>225</v>
      </c>
      <c r="C229" s="27"/>
      <c r="D229" s="27"/>
      <c r="E229" s="27"/>
      <c r="F229" s="54"/>
      <c r="G229" s="54"/>
      <c r="H229" s="54"/>
      <c r="I229" s="54"/>
      <c r="J229" s="54" t="str">
        <f ca="1">IF(F229="","",OFFSET(分類!$B$29,MATCH(F229,分類!$A$30:$A$46,0),0))</f>
        <v/>
      </c>
      <c r="K229" s="54" t="str">
        <f t="shared" si="6"/>
        <v/>
      </c>
      <c r="L229" s="54"/>
      <c r="M229" s="54"/>
    </row>
    <row r="230" spans="2:13">
      <c r="B230" s="27">
        <f t="shared" si="7"/>
        <v>226</v>
      </c>
      <c r="C230" s="27"/>
      <c r="D230" s="27"/>
      <c r="E230" s="27"/>
      <c r="F230" s="54"/>
      <c r="G230" s="54"/>
      <c r="H230" s="54"/>
      <c r="I230" s="54"/>
      <c r="J230" s="54" t="str">
        <f ca="1">IF(F230="","",OFFSET(分類!$B$29,MATCH(F230,分類!$A$30:$A$46,0),0))</f>
        <v/>
      </c>
      <c r="K230" s="54" t="str">
        <f t="shared" si="6"/>
        <v/>
      </c>
      <c r="L230" s="54"/>
      <c r="M230" s="54"/>
    </row>
    <row r="231" spans="2:13">
      <c r="B231" s="27">
        <f t="shared" si="7"/>
        <v>227</v>
      </c>
      <c r="C231" s="27"/>
      <c r="D231" s="27"/>
      <c r="E231" s="27"/>
      <c r="F231" s="54"/>
      <c r="G231" s="54"/>
      <c r="H231" s="54"/>
      <c r="I231" s="54"/>
      <c r="J231" s="54" t="str">
        <f ca="1">IF(F231="","",OFFSET(分類!$B$29,MATCH(F231,分類!$A$30:$A$46,0),0))</f>
        <v/>
      </c>
      <c r="K231" s="54" t="str">
        <f t="shared" si="6"/>
        <v/>
      </c>
      <c r="L231" s="54"/>
      <c r="M231" s="54"/>
    </row>
    <row r="232" spans="2:13">
      <c r="B232" s="27">
        <f t="shared" si="7"/>
        <v>228</v>
      </c>
      <c r="C232" s="27"/>
      <c r="D232" s="27"/>
      <c r="E232" s="27"/>
      <c r="F232" s="54"/>
      <c r="G232" s="54"/>
      <c r="H232" s="54"/>
      <c r="I232" s="54"/>
      <c r="J232" s="54" t="str">
        <f ca="1">IF(F232="","",OFFSET(分類!$B$29,MATCH(F232,分類!$A$30:$A$46,0),0))</f>
        <v/>
      </c>
      <c r="K232" s="54" t="str">
        <f t="shared" si="6"/>
        <v/>
      </c>
      <c r="L232" s="54"/>
      <c r="M232" s="54"/>
    </row>
    <row r="233" spans="2:13">
      <c r="B233" s="27">
        <f t="shared" si="7"/>
        <v>229</v>
      </c>
      <c r="C233" s="27"/>
      <c r="D233" s="27"/>
      <c r="E233" s="27"/>
      <c r="F233" s="54"/>
      <c r="G233" s="54"/>
      <c r="H233" s="54"/>
      <c r="I233" s="54"/>
      <c r="J233" s="54" t="str">
        <f ca="1">IF(F233="","",OFFSET(分類!$B$29,MATCH(F233,分類!$A$30:$A$46,0),0))</f>
        <v/>
      </c>
      <c r="K233" s="54" t="str">
        <f t="shared" si="6"/>
        <v/>
      </c>
      <c r="L233" s="54"/>
      <c r="M233" s="54"/>
    </row>
    <row r="234" spans="2:13">
      <c r="B234" s="27">
        <f t="shared" si="7"/>
        <v>230</v>
      </c>
      <c r="C234" s="27"/>
      <c r="D234" s="27"/>
      <c r="E234" s="27"/>
      <c r="F234" s="54"/>
      <c r="G234" s="54"/>
      <c r="H234" s="54"/>
      <c r="I234" s="54"/>
      <c r="J234" s="54" t="str">
        <f ca="1">IF(F234="","",OFFSET(分類!$B$29,MATCH(F234,分類!$A$30:$A$46,0),0))</f>
        <v/>
      </c>
      <c r="K234" s="54" t="str">
        <f t="shared" si="6"/>
        <v/>
      </c>
      <c r="L234" s="54"/>
      <c r="M234" s="54"/>
    </row>
    <row r="235" spans="2:13">
      <c r="B235" s="27">
        <f t="shared" si="7"/>
        <v>231</v>
      </c>
      <c r="C235" s="27"/>
      <c r="D235" s="27"/>
      <c r="E235" s="27"/>
      <c r="F235" s="54"/>
      <c r="G235" s="54"/>
      <c r="H235" s="54"/>
      <c r="I235" s="54"/>
      <c r="J235" s="54" t="str">
        <f ca="1">IF(F235="","",OFFSET(分類!$B$29,MATCH(F235,分類!$A$30:$A$46,0),0))</f>
        <v/>
      </c>
      <c r="K235" s="54" t="str">
        <f t="shared" si="6"/>
        <v/>
      </c>
      <c r="L235" s="54"/>
      <c r="M235" s="54"/>
    </row>
    <row r="236" spans="2:13">
      <c r="B236" s="27">
        <f t="shared" si="7"/>
        <v>232</v>
      </c>
      <c r="C236" s="27"/>
      <c r="D236" s="27"/>
      <c r="E236" s="27"/>
      <c r="F236" s="54"/>
      <c r="G236" s="54"/>
      <c r="H236" s="54"/>
      <c r="I236" s="54"/>
      <c r="J236" s="54" t="str">
        <f ca="1">IF(F236="","",OFFSET(分類!$B$29,MATCH(F236,分類!$A$30:$A$46,0),0))</f>
        <v/>
      </c>
      <c r="K236" s="54" t="str">
        <f t="shared" si="6"/>
        <v/>
      </c>
      <c r="L236" s="54"/>
      <c r="M236" s="54"/>
    </row>
    <row r="237" spans="2:13">
      <c r="B237" s="27">
        <f t="shared" si="7"/>
        <v>233</v>
      </c>
      <c r="C237" s="27"/>
      <c r="D237" s="27"/>
      <c r="E237" s="27"/>
      <c r="F237" s="54"/>
      <c r="G237" s="54"/>
      <c r="H237" s="54"/>
      <c r="I237" s="54"/>
      <c r="J237" s="54" t="str">
        <f ca="1">IF(F237="","",OFFSET(分類!$B$29,MATCH(F237,分類!$A$30:$A$46,0),0))</f>
        <v/>
      </c>
      <c r="K237" s="54" t="str">
        <f t="shared" si="6"/>
        <v/>
      </c>
      <c r="L237" s="54"/>
      <c r="M237" s="54"/>
    </row>
    <row r="238" spans="2:13">
      <c r="B238" s="27">
        <f t="shared" si="7"/>
        <v>234</v>
      </c>
      <c r="C238" s="27"/>
      <c r="D238" s="27"/>
      <c r="E238" s="27"/>
      <c r="F238" s="54"/>
      <c r="G238" s="54"/>
      <c r="H238" s="54"/>
      <c r="I238" s="54"/>
      <c r="J238" s="54" t="str">
        <f ca="1">IF(F238="","",OFFSET(分類!$B$29,MATCH(F238,分類!$A$30:$A$46,0),0))</f>
        <v/>
      </c>
      <c r="K238" s="54" t="str">
        <f t="shared" si="6"/>
        <v/>
      </c>
      <c r="L238" s="54"/>
      <c r="M238" s="54"/>
    </row>
    <row r="239" spans="2:13">
      <c r="B239" s="27">
        <f t="shared" si="7"/>
        <v>235</v>
      </c>
      <c r="C239" s="27"/>
      <c r="D239" s="27"/>
      <c r="E239" s="27"/>
      <c r="F239" s="54"/>
      <c r="G239" s="54"/>
      <c r="H239" s="54"/>
      <c r="I239" s="54"/>
      <c r="J239" s="54" t="str">
        <f ca="1">IF(F239="","",OFFSET(分類!$B$29,MATCH(F239,分類!$A$30:$A$46,0),0))</f>
        <v/>
      </c>
      <c r="K239" s="54" t="str">
        <f t="shared" si="6"/>
        <v/>
      </c>
      <c r="L239" s="54"/>
      <c r="M239" s="54"/>
    </row>
    <row r="240" spans="2:13">
      <c r="B240" s="27">
        <f t="shared" si="7"/>
        <v>236</v>
      </c>
      <c r="C240" s="27"/>
      <c r="D240" s="27"/>
      <c r="E240" s="27"/>
      <c r="F240" s="54"/>
      <c r="G240" s="54"/>
      <c r="H240" s="54"/>
      <c r="I240" s="54"/>
      <c r="J240" s="54" t="str">
        <f ca="1">IF(F240="","",OFFSET(分類!$B$29,MATCH(F240,分類!$A$30:$A$46,0),0))</f>
        <v/>
      </c>
      <c r="K240" s="54" t="str">
        <f t="shared" si="6"/>
        <v/>
      </c>
      <c r="L240" s="54"/>
      <c r="M240" s="54"/>
    </row>
    <row r="241" spans="2:13">
      <c r="B241" s="27">
        <f t="shared" si="7"/>
        <v>237</v>
      </c>
      <c r="C241" s="27"/>
      <c r="D241" s="27"/>
      <c r="E241" s="27"/>
      <c r="F241" s="54"/>
      <c r="G241" s="54"/>
      <c r="H241" s="54"/>
      <c r="I241" s="54"/>
      <c r="J241" s="54" t="str">
        <f ca="1">IF(F241="","",OFFSET(分類!$B$29,MATCH(F241,分類!$A$30:$A$46,0),0))</f>
        <v/>
      </c>
      <c r="K241" s="54" t="str">
        <f t="shared" si="6"/>
        <v/>
      </c>
      <c r="L241" s="54"/>
      <c r="M241" s="54"/>
    </row>
    <row r="242" spans="2:13">
      <c r="B242" s="27">
        <f t="shared" si="7"/>
        <v>238</v>
      </c>
      <c r="C242" s="27"/>
      <c r="D242" s="27"/>
      <c r="E242" s="27"/>
      <c r="F242" s="54"/>
      <c r="G242" s="54"/>
      <c r="H242" s="54"/>
      <c r="I242" s="54"/>
      <c r="J242" s="54" t="str">
        <f ca="1">IF(F242="","",OFFSET(分類!$B$29,MATCH(F242,分類!$A$30:$A$46,0),0))</f>
        <v/>
      </c>
      <c r="K242" s="54" t="str">
        <f t="shared" si="6"/>
        <v/>
      </c>
      <c r="L242" s="54"/>
      <c r="M242" s="54"/>
    </row>
    <row r="243" spans="2:13">
      <c r="B243" s="27">
        <f t="shared" si="7"/>
        <v>239</v>
      </c>
      <c r="C243" s="27"/>
      <c r="D243" s="27"/>
      <c r="E243" s="27"/>
      <c r="F243" s="54"/>
      <c r="G243" s="54"/>
      <c r="H243" s="54"/>
      <c r="I243" s="54"/>
      <c r="J243" s="54" t="str">
        <f ca="1">IF(F243="","",OFFSET(分類!$B$29,MATCH(F243,分類!$A$30:$A$46,0),0))</f>
        <v/>
      </c>
      <c r="K243" s="54" t="str">
        <f t="shared" si="6"/>
        <v/>
      </c>
      <c r="L243" s="54"/>
      <c r="M243" s="54"/>
    </row>
    <row r="244" spans="2:13">
      <c r="B244" s="27">
        <f t="shared" si="7"/>
        <v>240</v>
      </c>
      <c r="C244" s="27"/>
      <c r="D244" s="27"/>
      <c r="E244" s="27"/>
      <c r="F244" s="54"/>
      <c r="G244" s="54"/>
      <c r="H244" s="54"/>
      <c r="I244" s="54"/>
      <c r="J244" s="54" t="str">
        <f ca="1">IF(F244="","",OFFSET(分類!$B$29,MATCH(F244,分類!$A$30:$A$46,0),0))</f>
        <v/>
      </c>
      <c r="K244" s="54" t="str">
        <f t="shared" si="6"/>
        <v/>
      </c>
      <c r="L244" s="54"/>
      <c r="M244" s="54"/>
    </row>
    <row r="245" spans="2:13">
      <c r="B245" s="27">
        <f t="shared" si="7"/>
        <v>241</v>
      </c>
      <c r="C245" s="27"/>
      <c r="D245" s="27"/>
      <c r="E245" s="27"/>
      <c r="F245" s="54"/>
      <c r="G245" s="54"/>
      <c r="H245" s="54"/>
      <c r="I245" s="54"/>
      <c r="J245" s="54" t="str">
        <f ca="1">IF(F245="","",OFFSET(分類!$B$29,MATCH(F245,分類!$A$30:$A$46,0),0))</f>
        <v/>
      </c>
      <c r="K245" s="54" t="str">
        <f t="shared" si="6"/>
        <v/>
      </c>
      <c r="L245" s="54"/>
      <c r="M245" s="54"/>
    </row>
    <row r="246" spans="2:13">
      <c r="B246" s="27">
        <f t="shared" si="7"/>
        <v>242</v>
      </c>
      <c r="C246" s="27"/>
      <c r="D246" s="27"/>
      <c r="E246" s="27"/>
      <c r="F246" s="54"/>
      <c r="G246" s="54"/>
      <c r="H246" s="54"/>
      <c r="I246" s="54"/>
      <c r="J246" s="54" t="str">
        <f ca="1">IF(F246="","",OFFSET(分類!$B$29,MATCH(F246,分類!$A$30:$A$46,0),0))</f>
        <v/>
      </c>
      <c r="K246" s="54" t="str">
        <f t="shared" si="6"/>
        <v/>
      </c>
      <c r="L246" s="54"/>
      <c r="M246" s="54"/>
    </row>
    <row r="247" spans="2:13">
      <c r="B247" s="27">
        <f t="shared" si="7"/>
        <v>243</v>
      </c>
      <c r="C247" s="27"/>
      <c r="D247" s="27"/>
      <c r="E247" s="27"/>
      <c r="F247" s="54"/>
      <c r="G247" s="54"/>
      <c r="H247" s="54"/>
      <c r="I247" s="54"/>
      <c r="J247" s="54" t="str">
        <f ca="1">IF(F247="","",OFFSET(分類!$B$29,MATCH(F247,分類!$A$30:$A$46,0),0))</f>
        <v/>
      </c>
      <c r="K247" s="54" t="str">
        <f t="shared" si="6"/>
        <v/>
      </c>
      <c r="L247" s="54"/>
      <c r="M247" s="54"/>
    </row>
    <row r="248" spans="2:13">
      <c r="B248" s="27">
        <f t="shared" si="7"/>
        <v>244</v>
      </c>
      <c r="C248" s="27"/>
      <c r="D248" s="27"/>
      <c r="E248" s="27"/>
      <c r="F248" s="54"/>
      <c r="G248" s="54"/>
      <c r="H248" s="54"/>
      <c r="I248" s="54"/>
      <c r="J248" s="54" t="str">
        <f ca="1">IF(F248="","",OFFSET(分類!$B$29,MATCH(F248,分類!$A$30:$A$46,0),0))</f>
        <v/>
      </c>
      <c r="K248" s="54" t="str">
        <f t="shared" si="6"/>
        <v/>
      </c>
      <c r="L248" s="54"/>
      <c r="M248" s="54"/>
    </row>
    <row r="249" spans="2:13">
      <c r="B249" s="27">
        <f t="shared" si="7"/>
        <v>245</v>
      </c>
      <c r="C249" s="27"/>
      <c r="D249" s="27"/>
      <c r="E249" s="27"/>
      <c r="F249" s="54"/>
      <c r="G249" s="54"/>
      <c r="H249" s="54"/>
      <c r="I249" s="54"/>
      <c r="J249" s="54" t="str">
        <f ca="1">IF(F249="","",OFFSET(分類!$B$29,MATCH(F249,分類!$A$30:$A$46,0),0))</f>
        <v/>
      </c>
      <c r="K249" s="54" t="str">
        <f t="shared" si="6"/>
        <v/>
      </c>
      <c r="L249" s="54"/>
      <c r="M249" s="54"/>
    </row>
    <row r="250" spans="2:13">
      <c r="B250" s="27">
        <f t="shared" si="7"/>
        <v>246</v>
      </c>
      <c r="C250" s="27"/>
      <c r="D250" s="27"/>
      <c r="E250" s="27"/>
      <c r="F250" s="54"/>
      <c r="G250" s="54"/>
      <c r="H250" s="54"/>
      <c r="I250" s="54"/>
      <c r="J250" s="54" t="str">
        <f ca="1">IF(F250="","",OFFSET(分類!$B$29,MATCH(F250,分類!$A$30:$A$46,0),0))</f>
        <v/>
      </c>
      <c r="K250" s="54" t="str">
        <f t="shared" si="6"/>
        <v/>
      </c>
      <c r="L250" s="54"/>
      <c r="M250" s="54"/>
    </row>
    <row r="251" spans="2:13">
      <c r="B251" s="27">
        <f t="shared" si="7"/>
        <v>247</v>
      </c>
      <c r="C251" s="27"/>
      <c r="D251" s="27"/>
      <c r="E251" s="27"/>
      <c r="F251" s="54"/>
      <c r="G251" s="54"/>
      <c r="H251" s="54"/>
      <c r="I251" s="54"/>
      <c r="J251" s="54" t="str">
        <f ca="1">IF(F251="","",OFFSET(分類!$B$29,MATCH(F251,分類!$A$30:$A$46,0),0))</f>
        <v/>
      </c>
      <c r="K251" s="54" t="str">
        <f t="shared" si="6"/>
        <v/>
      </c>
      <c r="L251" s="54"/>
      <c r="M251" s="54"/>
    </row>
    <row r="252" spans="2:13">
      <c r="B252" s="27">
        <f t="shared" si="7"/>
        <v>248</v>
      </c>
      <c r="C252" s="27"/>
      <c r="D252" s="27"/>
      <c r="E252" s="27"/>
      <c r="F252" s="54"/>
      <c r="G252" s="54"/>
      <c r="H252" s="54"/>
      <c r="I252" s="54"/>
      <c r="J252" s="54" t="str">
        <f ca="1">IF(F252="","",OFFSET(分類!$B$29,MATCH(F252,分類!$A$30:$A$46,0),0))</f>
        <v/>
      </c>
      <c r="K252" s="54" t="str">
        <f t="shared" si="6"/>
        <v/>
      </c>
      <c r="L252" s="54"/>
      <c r="M252" s="54"/>
    </row>
    <row r="253" spans="2:13">
      <c r="B253" s="27">
        <f t="shared" si="7"/>
        <v>249</v>
      </c>
      <c r="C253" s="27"/>
      <c r="D253" s="27"/>
      <c r="E253" s="27"/>
      <c r="F253" s="54"/>
      <c r="G253" s="54"/>
      <c r="H253" s="54"/>
      <c r="I253" s="54"/>
      <c r="J253" s="54" t="str">
        <f ca="1">IF(F253="","",OFFSET(分類!$B$29,MATCH(F253,分類!$A$30:$A$46,0),0))</f>
        <v/>
      </c>
      <c r="K253" s="54" t="str">
        <f t="shared" si="6"/>
        <v/>
      </c>
      <c r="L253" s="54"/>
      <c r="M253" s="54"/>
    </row>
    <row r="254" spans="2:13">
      <c r="B254" s="27">
        <f t="shared" si="7"/>
        <v>250</v>
      </c>
      <c r="C254" s="27"/>
      <c r="D254" s="27"/>
      <c r="E254" s="27"/>
      <c r="F254" s="54"/>
      <c r="G254" s="54"/>
      <c r="H254" s="54"/>
      <c r="I254" s="54"/>
      <c r="J254" s="54" t="str">
        <f ca="1">IF(F254="","",OFFSET(分類!$B$29,MATCH(F254,分類!$A$30:$A$46,0),0))</f>
        <v/>
      </c>
      <c r="K254" s="54" t="str">
        <f t="shared" si="6"/>
        <v/>
      </c>
      <c r="L254" s="54"/>
      <c r="M254" s="54"/>
    </row>
    <row r="255" spans="2:13">
      <c r="B255" s="27">
        <f t="shared" si="7"/>
        <v>251</v>
      </c>
      <c r="C255" s="27"/>
      <c r="D255" s="27"/>
      <c r="E255" s="27"/>
      <c r="F255" s="54"/>
      <c r="G255" s="54"/>
      <c r="H255" s="54"/>
      <c r="I255" s="54"/>
      <c r="J255" s="54" t="str">
        <f ca="1">IF(F255="","",OFFSET(分類!$B$29,MATCH(F255,分類!$A$30:$A$46,0),0))</f>
        <v/>
      </c>
      <c r="K255" s="54" t="str">
        <f t="shared" si="6"/>
        <v/>
      </c>
      <c r="L255" s="54"/>
      <c r="M255" s="54"/>
    </row>
    <row r="256" spans="2:13">
      <c r="B256" s="27">
        <f t="shared" si="7"/>
        <v>252</v>
      </c>
      <c r="C256" s="27"/>
      <c r="D256" s="27"/>
      <c r="E256" s="27"/>
      <c r="F256" s="54"/>
      <c r="G256" s="54"/>
      <c r="H256" s="54"/>
      <c r="I256" s="54"/>
      <c r="J256" s="54" t="str">
        <f ca="1">IF(F256="","",OFFSET(分類!$B$29,MATCH(F256,分類!$A$30:$A$46,0),0))</f>
        <v/>
      </c>
      <c r="K256" s="54" t="str">
        <f t="shared" si="6"/>
        <v/>
      </c>
      <c r="L256" s="54"/>
      <c r="M256" s="54"/>
    </row>
    <row r="257" spans="2:13">
      <c r="B257" s="27">
        <f t="shared" si="7"/>
        <v>253</v>
      </c>
      <c r="C257" s="27"/>
      <c r="D257" s="27"/>
      <c r="E257" s="27"/>
      <c r="F257" s="54"/>
      <c r="G257" s="54"/>
      <c r="H257" s="54"/>
      <c r="I257" s="54"/>
      <c r="J257" s="54" t="str">
        <f ca="1">IF(F257="","",OFFSET(分類!$B$29,MATCH(F257,分類!$A$30:$A$46,0),0))</f>
        <v/>
      </c>
      <c r="K257" s="54" t="str">
        <f t="shared" si="6"/>
        <v/>
      </c>
      <c r="L257" s="54"/>
      <c r="M257" s="54"/>
    </row>
    <row r="258" spans="2:13">
      <c r="B258" s="27">
        <f t="shared" si="7"/>
        <v>254</v>
      </c>
      <c r="C258" s="27"/>
      <c r="D258" s="27"/>
      <c r="E258" s="27"/>
      <c r="F258" s="54"/>
      <c r="G258" s="54"/>
      <c r="H258" s="54"/>
      <c r="I258" s="54"/>
      <c r="J258" s="54" t="str">
        <f ca="1">IF(F258="","",OFFSET(分類!$B$29,MATCH(F258,分類!$A$30:$A$46,0),0))</f>
        <v/>
      </c>
      <c r="K258" s="54" t="str">
        <f t="shared" si="6"/>
        <v/>
      </c>
      <c r="L258" s="54"/>
      <c r="M258" s="54"/>
    </row>
    <row r="259" spans="2:13">
      <c r="B259" s="27">
        <f t="shared" si="7"/>
        <v>255</v>
      </c>
      <c r="C259" s="27"/>
      <c r="D259" s="27"/>
      <c r="E259" s="27"/>
      <c r="F259" s="54"/>
      <c r="G259" s="54"/>
      <c r="H259" s="54"/>
      <c r="I259" s="54"/>
      <c r="J259" s="54" t="str">
        <f ca="1">IF(F259="","",OFFSET(分類!$B$29,MATCH(F259,分類!$A$30:$A$46,0),0))</f>
        <v/>
      </c>
      <c r="K259" s="54" t="str">
        <f t="shared" si="6"/>
        <v/>
      </c>
      <c r="L259" s="54"/>
      <c r="M259" s="54"/>
    </row>
    <row r="260" spans="2:13">
      <c r="B260" s="27">
        <f t="shared" si="7"/>
        <v>256</v>
      </c>
      <c r="C260" s="27"/>
      <c r="D260" s="27"/>
      <c r="E260" s="27"/>
      <c r="F260" s="54"/>
      <c r="G260" s="54"/>
      <c r="H260" s="54"/>
      <c r="I260" s="54"/>
      <c r="J260" s="54" t="str">
        <f ca="1">IF(F260="","",OFFSET(分類!$B$29,MATCH(F260,分類!$A$30:$A$46,0),0))</f>
        <v/>
      </c>
      <c r="K260" s="54" t="str">
        <f t="shared" si="6"/>
        <v/>
      </c>
      <c r="L260" s="54"/>
      <c r="M260" s="54"/>
    </row>
    <row r="261" spans="2:13">
      <c r="B261" s="27">
        <f t="shared" si="7"/>
        <v>257</v>
      </c>
      <c r="C261" s="27"/>
      <c r="D261" s="27"/>
      <c r="E261" s="27"/>
      <c r="F261" s="54"/>
      <c r="G261" s="54"/>
      <c r="H261" s="54"/>
      <c r="I261" s="54"/>
      <c r="J261" s="54" t="str">
        <f ca="1">IF(F261="","",OFFSET(分類!$B$29,MATCH(F261,分類!$A$30:$A$46,0),0))</f>
        <v/>
      </c>
      <c r="K261" s="54" t="str">
        <f t="shared" si="6"/>
        <v/>
      </c>
      <c r="L261" s="54"/>
      <c r="M261" s="54"/>
    </row>
    <row r="262" spans="2:13">
      <c r="B262" s="27">
        <f t="shared" si="7"/>
        <v>258</v>
      </c>
      <c r="C262" s="27"/>
      <c r="D262" s="27"/>
      <c r="E262" s="27"/>
      <c r="F262" s="54"/>
      <c r="G262" s="54"/>
      <c r="H262" s="54"/>
      <c r="I262" s="54"/>
      <c r="J262" s="54" t="str">
        <f ca="1">IF(F262="","",OFFSET(分類!$B$29,MATCH(F262,分類!$A$30:$A$46,0),0))</f>
        <v/>
      </c>
      <c r="K262" s="54" t="str">
        <f t="shared" ref="K262:K304" si="8">IF(G262="粉",VALUE(SUBSTITUTE(SUBSTITUTE(LEFT(H262, FIND("ｇ", H262) - 1), "．", "."), "　", "")),"")</f>
        <v/>
      </c>
      <c r="L262" s="54"/>
      <c r="M262" s="54"/>
    </row>
    <row r="263" spans="2:13">
      <c r="B263" s="27">
        <f t="shared" ref="B263:B304" si="9">B262+1</f>
        <v>259</v>
      </c>
      <c r="C263" s="27"/>
      <c r="D263" s="27"/>
      <c r="E263" s="27"/>
      <c r="F263" s="54"/>
      <c r="G263" s="54"/>
      <c r="H263" s="54"/>
      <c r="I263" s="54"/>
      <c r="J263" s="54" t="str">
        <f ca="1">IF(F263="","",OFFSET(分類!$B$29,MATCH(F263,分類!$A$30:$A$46,0),0))</f>
        <v/>
      </c>
      <c r="K263" s="54" t="str">
        <f t="shared" si="8"/>
        <v/>
      </c>
      <c r="L263" s="54"/>
      <c r="M263" s="54"/>
    </row>
    <row r="264" spans="2:13">
      <c r="B264" s="27">
        <f t="shared" si="9"/>
        <v>260</v>
      </c>
      <c r="C264" s="27"/>
      <c r="D264" s="27"/>
      <c r="E264" s="27"/>
      <c r="F264" s="54"/>
      <c r="G264" s="54"/>
      <c r="H264" s="54"/>
      <c r="I264" s="54"/>
      <c r="J264" s="54" t="str">
        <f ca="1">IF(F264="","",OFFSET(分類!$B$29,MATCH(F264,分類!$A$30:$A$46,0),0))</f>
        <v/>
      </c>
      <c r="K264" s="54" t="str">
        <f t="shared" si="8"/>
        <v/>
      </c>
      <c r="L264" s="54"/>
      <c r="M264" s="54"/>
    </row>
    <row r="265" spans="2:13">
      <c r="B265" s="27">
        <f t="shared" si="9"/>
        <v>261</v>
      </c>
      <c r="C265" s="27"/>
      <c r="D265" s="27"/>
      <c r="E265" s="27"/>
      <c r="F265" s="54"/>
      <c r="G265" s="54"/>
      <c r="H265" s="54"/>
      <c r="I265" s="54"/>
      <c r="J265" s="54" t="str">
        <f ca="1">IF(F265="","",OFFSET(分類!$B$29,MATCH(F265,分類!$A$30:$A$46,0),0))</f>
        <v/>
      </c>
      <c r="K265" s="54" t="str">
        <f t="shared" si="8"/>
        <v/>
      </c>
      <c r="L265" s="54"/>
      <c r="M265" s="54"/>
    </row>
    <row r="266" spans="2:13">
      <c r="B266" s="27">
        <f t="shared" si="9"/>
        <v>262</v>
      </c>
      <c r="C266" s="27"/>
      <c r="D266" s="27"/>
      <c r="E266" s="27"/>
      <c r="F266" s="54"/>
      <c r="G266" s="54"/>
      <c r="H266" s="54"/>
      <c r="I266" s="54"/>
      <c r="J266" s="54" t="str">
        <f ca="1">IF(F266="","",OFFSET(分類!$B$29,MATCH(F266,分類!$A$30:$A$46,0),0))</f>
        <v/>
      </c>
      <c r="K266" s="54" t="str">
        <f t="shared" si="8"/>
        <v/>
      </c>
      <c r="L266" s="54"/>
      <c r="M266" s="54"/>
    </row>
    <row r="267" spans="2:13">
      <c r="B267" s="27">
        <f t="shared" si="9"/>
        <v>263</v>
      </c>
      <c r="C267" s="27"/>
      <c r="D267" s="27"/>
      <c r="E267" s="27"/>
      <c r="F267" s="54"/>
      <c r="G267" s="54"/>
      <c r="H267" s="54"/>
      <c r="I267" s="54"/>
      <c r="J267" s="54" t="str">
        <f ca="1">IF(F267="","",OFFSET(分類!$B$29,MATCH(F267,分類!$A$30:$A$46,0),0))</f>
        <v/>
      </c>
      <c r="K267" s="54" t="str">
        <f t="shared" si="8"/>
        <v/>
      </c>
      <c r="L267" s="54"/>
      <c r="M267" s="54"/>
    </row>
    <row r="268" spans="2:13">
      <c r="B268" s="27">
        <f t="shared" si="9"/>
        <v>264</v>
      </c>
      <c r="C268" s="27"/>
      <c r="D268" s="27"/>
      <c r="E268" s="27"/>
      <c r="F268" s="54"/>
      <c r="G268" s="54"/>
      <c r="H268" s="54"/>
      <c r="I268" s="54"/>
      <c r="J268" s="54" t="str">
        <f ca="1">IF(F268="","",OFFSET(分類!$B$29,MATCH(F268,分類!$A$30:$A$46,0),0))</f>
        <v/>
      </c>
      <c r="K268" s="54" t="str">
        <f t="shared" si="8"/>
        <v/>
      </c>
      <c r="L268" s="54"/>
      <c r="M268" s="54"/>
    </row>
    <row r="269" spans="2:13">
      <c r="B269" s="27">
        <f t="shared" si="9"/>
        <v>265</v>
      </c>
      <c r="C269" s="27"/>
      <c r="D269" s="27"/>
      <c r="E269" s="27"/>
      <c r="F269" s="54"/>
      <c r="G269" s="54"/>
      <c r="H269" s="54"/>
      <c r="I269" s="54"/>
      <c r="J269" s="54" t="str">
        <f ca="1">IF(F269="","",OFFSET(分類!$B$29,MATCH(F269,分類!$A$30:$A$46,0),0))</f>
        <v/>
      </c>
      <c r="K269" s="54" t="str">
        <f t="shared" si="8"/>
        <v/>
      </c>
      <c r="L269" s="54"/>
      <c r="M269" s="54"/>
    </row>
    <row r="270" spans="2:13">
      <c r="B270" s="27">
        <f t="shared" si="9"/>
        <v>266</v>
      </c>
      <c r="C270" s="27"/>
      <c r="D270" s="27"/>
      <c r="E270" s="27"/>
      <c r="F270" s="54"/>
      <c r="G270" s="54"/>
      <c r="H270" s="54"/>
      <c r="I270" s="54"/>
      <c r="J270" s="54" t="str">
        <f ca="1">IF(F270="","",OFFSET(分類!$B$29,MATCH(F270,分類!$A$30:$A$46,0),0))</f>
        <v/>
      </c>
      <c r="K270" s="54" t="str">
        <f t="shared" si="8"/>
        <v/>
      </c>
      <c r="L270" s="54"/>
      <c r="M270" s="54"/>
    </row>
    <row r="271" spans="2:13">
      <c r="B271" s="27">
        <f t="shared" si="9"/>
        <v>267</v>
      </c>
      <c r="C271" s="27"/>
      <c r="D271" s="27"/>
      <c r="E271" s="27"/>
      <c r="F271" s="54"/>
      <c r="G271" s="54"/>
      <c r="H271" s="54"/>
      <c r="I271" s="54"/>
      <c r="J271" s="54" t="str">
        <f ca="1">IF(F271="","",OFFSET(分類!$B$29,MATCH(F271,分類!$A$30:$A$46,0),0))</f>
        <v/>
      </c>
      <c r="K271" s="54" t="str">
        <f t="shared" si="8"/>
        <v/>
      </c>
      <c r="L271" s="54"/>
      <c r="M271" s="54"/>
    </row>
    <row r="272" spans="2:13">
      <c r="B272" s="27">
        <f t="shared" si="9"/>
        <v>268</v>
      </c>
      <c r="C272" s="27"/>
      <c r="D272" s="27"/>
      <c r="E272" s="27"/>
      <c r="F272" s="54"/>
      <c r="G272" s="54"/>
      <c r="H272" s="54"/>
      <c r="I272" s="54"/>
      <c r="J272" s="54" t="str">
        <f ca="1">IF(F272="","",OFFSET(分類!$B$29,MATCH(F272,分類!$A$30:$A$46,0),0))</f>
        <v/>
      </c>
      <c r="K272" s="54" t="str">
        <f t="shared" si="8"/>
        <v/>
      </c>
      <c r="L272" s="54"/>
      <c r="M272" s="54"/>
    </row>
    <row r="273" spans="2:13">
      <c r="B273" s="27">
        <f t="shared" si="9"/>
        <v>269</v>
      </c>
      <c r="C273" s="27"/>
      <c r="D273" s="27"/>
      <c r="E273" s="27"/>
      <c r="F273" s="54"/>
      <c r="G273" s="54"/>
      <c r="H273" s="54"/>
      <c r="I273" s="54"/>
      <c r="J273" s="54" t="str">
        <f ca="1">IF(F273="","",OFFSET(分類!$B$29,MATCH(F273,分類!$A$30:$A$46,0),0))</f>
        <v/>
      </c>
      <c r="K273" s="54" t="str">
        <f t="shared" si="8"/>
        <v/>
      </c>
      <c r="L273" s="54"/>
      <c r="M273" s="54"/>
    </row>
    <row r="274" spans="2:13">
      <c r="B274" s="27">
        <f t="shared" si="9"/>
        <v>270</v>
      </c>
      <c r="C274" s="27"/>
      <c r="D274" s="27"/>
      <c r="E274" s="27"/>
      <c r="F274" s="54"/>
      <c r="G274" s="54"/>
      <c r="H274" s="54"/>
      <c r="I274" s="54"/>
      <c r="J274" s="54" t="str">
        <f ca="1">IF(F274="","",OFFSET(分類!$B$29,MATCH(F274,分類!$A$30:$A$46,0),0))</f>
        <v/>
      </c>
      <c r="K274" s="54" t="str">
        <f t="shared" si="8"/>
        <v/>
      </c>
      <c r="L274" s="54"/>
      <c r="M274" s="54"/>
    </row>
    <row r="275" spans="2:13">
      <c r="B275" s="27">
        <f t="shared" si="9"/>
        <v>271</v>
      </c>
      <c r="C275" s="27"/>
      <c r="D275" s="27"/>
      <c r="E275" s="27"/>
      <c r="F275" s="54"/>
      <c r="G275" s="54"/>
      <c r="H275" s="54"/>
      <c r="I275" s="54"/>
      <c r="J275" s="54" t="str">
        <f ca="1">IF(F275="","",OFFSET(分類!$B$29,MATCH(F275,分類!$A$30:$A$46,0),0))</f>
        <v/>
      </c>
      <c r="K275" s="54" t="str">
        <f t="shared" si="8"/>
        <v/>
      </c>
      <c r="L275" s="54"/>
      <c r="M275" s="54"/>
    </row>
    <row r="276" spans="2:13">
      <c r="B276" s="27">
        <f t="shared" si="9"/>
        <v>272</v>
      </c>
      <c r="C276" s="27"/>
      <c r="D276" s="27"/>
      <c r="E276" s="27"/>
      <c r="F276" s="54"/>
      <c r="G276" s="54"/>
      <c r="H276" s="54"/>
      <c r="I276" s="54"/>
      <c r="J276" s="54" t="str">
        <f ca="1">IF(F276="","",OFFSET(分類!$B$29,MATCH(F276,分類!$A$30:$A$46,0),0))</f>
        <v/>
      </c>
      <c r="K276" s="54" t="str">
        <f t="shared" si="8"/>
        <v/>
      </c>
      <c r="L276" s="54"/>
      <c r="M276" s="54"/>
    </row>
    <row r="277" spans="2:13">
      <c r="B277" s="27">
        <f t="shared" si="9"/>
        <v>273</v>
      </c>
      <c r="C277" s="27"/>
      <c r="D277" s="27"/>
      <c r="E277" s="27"/>
      <c r="F277" s="54"/>
      <c r="G277" s="54"/>
      <c r="H277" s="54"/>
      <c r="I277" s="54"/>
      <c r="J277" s="54" t="str">
        <f ca="1">IF(F277="","",OFFSET(分類!$B$29,MATCH(F277,分類!$A$30:$A$46,0),0))</f>
        <v/>
      </c>
      <c r="K277" s="54" t="str">
        <f t="shared" si="8"/>
        <v/>
      </c>
      <c r="L277" s="54"/>
      <c r="M277" s="54"/>
    </row>
    <row r="278" spans="2:13">
      <c r="B278" s="27">
        <f t="shared" si="9"/>
        <v>274</v>
      </c>
      <c r="C278" s="27"/>
      <c r="D278" s="27"/>
      <c r="E278" s="27"/>
      <c r="F278" s="54"/>
      <c r="G278" s="54"/>
      <c r="H278" s="54"/>
      <c r="I278" s="54"/>
      <c r="J278" s="54" t="str">
        <f ca="1">IF(F278="","",OFFSET(分類!$B$29,MATCH(F278,分類!$A$30:$A$46,0),0))</f>
        <v/>
      </c>
      <c r="K278" s="54" t="str">
        <f t="shared" si="8"/>
        <v/>
      </c>
      <c r="L278" s="54"/>
      <c r="M278" s="54"/>
    </row>
    <row r="279" spans="2:13">
      <c r="B279" s="27">
        <f t="shared" si="9"/>
        <v>275</v>
      </c>
      <c r="C279" s="27"/>
      <c r="D279" s="27"/>
      <c r="E279" s="27"/>
      <c r="F279" s="54"/>
      <c r="G279" s="54"/>
      <c r="H279" s="54"/>
      <c r="I279" s="54"/>
      <c r="J279" s="54" t="str">
        <f ca="1">IF(F279="","",OFFSET(分類!$B$29,MATCH(F279,分類!$A$30:$A$46,0),0))</f>
        <v/>
      </c>
      <c r="K279" s="54" t="str">
        <f t="shared" si="8"/>
        <v/>
      </c>
      <c r="L279" s="54"/>
      <c r="M279" s="54"/>
    </row>
    <row r="280" spans="2:13">
      <c r="B280" s="27">
        <f t="shared" si="9"/>
        <v>276</v>
      </c>
      <c r="C280" s="27"/>
      <c r="D280" s="27"/>
      <c r="E280" s="27"/>
      <c r="F280" s="54"/>
      <c r="G280" s="54"/>
      <c r="H280" s="54"/>
      <c r="I280" s="54"/>
      <c r="J280" s="54" t="str">
        <f ca="1">IF(F280="","",OFFSET(分類!$B$29,MATCH(F280,分類!$A$30:$A$46,0),0))</f>
        <v/>
      </c>
      <c r="K280" s="54" t="str">
        <f t="shared" si="8"/>
        <v/>
      </c>
      <c r="L280" s="54"/>
      <c r="M280" s="54"/>
    </row>
    <row r="281" spans="2:13">
      <c r="B281" s="27">
        <f t="shared" si="9"/>
        <v>277</v>
      </c>
      <c r="C281" s="27"/>
      <c r="D281" s="27"/>
      <c r="E281" s="27"/>
      <c r="F281" s="54"/>
      <c r="G281" s="54"/>
      <c r="H281" s="54"/>
      <c r="I281" s="54"/>
      <c r="J281" s="54" t="str">
        <f ca="1">IF(F281="","",OFFSET(分類!$B$29,MATCH(F281,分類!$A$30:$A$46,0),0))</f>
        <v/>
      </c>
      <c r="K281" s="54" t="str">
        <f t="shared" si="8"/>
        <v/>
      </c>
      <c r="L281" s="54"/>
      <c r="M281" s="54"/>
    </row>
    <row r="282" spans="2:13">
      <c r="B282" s="27">
        <f t="shared" si="9"/>
        <v>278</v>
      </c>
      <c r="C282" s="27"/>
      <c r="D282" s="27"/>
      <c r="E282" s="27"/>
      <c r="F282" s="54"/>
      <c r="G282" s="54"/>
      <c r="H282" s="54"/>
      <c r="I282" s="54"/>
      <c r="J282" s="54" t="str">
        <f ca="1">IF(F282="","",OFFSET(分類!$B$29,MATCH(F282,分類!$A$30:$A$46,0),0))</f>
        <v/>
      </c>
      <c r="K282" s="54" t="str">
        <f t="shared" si="8"/>
        <v/>
      </c>
      <c r="L282" s="54"/>
      <c r="M282" s="54"/>
    </row>
    <row r="283" spans="2:13">
      <c r="B283" s="27">
        <f t="shared" si="9"/>
        <v>279</v>
      </c>
      <c r="C283" s="27"/>
      <c r="D283" s="27"/>
      <c r="E283" s="27"/>
      <c r="F283" s="54"/>
      <c r="G283" s="54"/>
      <c r="H283" s="54"/>
      <c r="I283" s="54"/>
      <c r="J283" s="54" t="str">
        <f ca="1">IF(F283="","",OFFSET(分類!$B$29,MATCH(F283,分類!$A$30:$A$46,0),0))</f>
        <v/>
      </c>
      <c r="K283" s="54" t="str">
        <f t="shared" si="8"/>
        <v/>
      </c>
      <c r="L283" s="54"/>
      <c r="M283" s="54"/>
    </row>
    <row r="284" spans="2:13">
      <c r="B284" s="27">
        <f t="shared" si="9"/>
        <v>280</v>
      </c>
      <c r="C284" s="27"/>
      <c r="D284" s="27"/>
      <c r="E284" s="27"/>
      <c r="F284" s="54"/>
      <c r="G284" s="54"/>
      <c r="H284" s="54"/>
      <c r="I284" s="54"/>
      <c r="J284" s="54" t="str">
        <f ca="1">IF(F284="","",OFFSET(分類!$B$29,MATCH(F284,分類!$A$30:$A$46,0),0))</f>
        <v/>
      </c>
      <c r="K284" s="54" t="str">
        <f t="shared" si="8"/>
        <v/>
      </c>
      <c r="L284" s="54"/>
      <c r="M284" s="54"/>
    </row>
    <row r="285" spans="2:13">
      <c r="B285" s="27">
        <f t="shared" si="9"/>
        <v>281</v>
      </c>
      <c r="C285" s="27"/>
      <c r="D285" s="27"/>
      <c r="E285" s="27"/>
      <c r="F285" s="54"/>
      <c r="G285" s="54"/>
      <c r="H285" s="54"/>
      <c r="I285" s="54"/>
      <c r="J285" s="54" t="str">
        <f ca="1">IF(F285="","",OFFSET(分類!$B$29,MATCH(F285,分類!$A$30:$A$46,0),0))</f>
        <v/>
      </c>
      <c r="K285" s="54" t="str">
        <f t="shared" si="8"/>
        <v/>
      </c>
      <c r="L285" s="54"/>
      <c r="M285" s="54"/>
    </row>
    <row r="286" spans="2:13">
      <c r="B286" s="27">
        <f t="shared" si="9"/>
        <v>282</v>
      </c>
      <c r="C286" s="27"/>
      <c r="D286" s="27"/>
      <c r="E286" s="27"/>
      <c r="F286" s="54"/>
      <c r="G286" s="54"/>
      <c r="H286" s="54"/>
      <c r="I286" s="54"/>
      <c r="J286" s="54" t="str">
        <f ca="1">IF(F286="","",OFFSET(分類!$B$29,MATCH(F286,分類!$A$30:$A$46,0),0))</f>
        <v/>
      </c>
      <c r="K286" s="54" t="str">
        <f t="shared" si="8"/>
        <v/>
      </c>
      <c r="L286" s="54"/>
      <c r="M286" s="54"/>
    </row>
    <row r="287" spans="2:13">
      <c r="B287" s="27">
        <f t="shared" si="9"/>
        <v>283</v>
      </c>
      <c r="C287" s="27"/>
      <c r="D287" s="27"/>
      <c r="E287" s="27"/>
      <c r="F287" s="54"/>
      <c r="G287" s="54"/>
      <c r="H287" s="54"/>
      <c r="I287" s="54"/>
      <c r="J287" s="54" t="str">
        <f ca="1">IF(F287="","",OFFSET(分類!$B$29,MATCH(F287,分類!$A$30:$A$46,0),0))</f>
        <v/>
      </c>
      <c r="K287" s="54" t="str">
        <f t="shared" si="8"/>
        <v/>
      </c>
      <c r="L287" s="54"/>
      <c r="M287" s="54"/>
    </row>
    <row r="288" spans="2:13">
      <c r="B288" s="27">
        <f t="shared" si="9"/>
        <v>284</v>
      </c>
      <c r="C288" s="27"/>
      <c r="D288" s="27"/>
      <c r="E288" s="27"/>
      <c r="F288" s="54"/>
      <c r="G288" s="54"/>
      <c r="H288" s="54"/>
      <c r="I288" s="54"/>
      <c r="J288" s="54" t="str">
        <f ca="1">IF(F288="","",OFFSET(分類!$B$29,MATCH(F288,分類!$A$30:$A$46,0),0))</f>
        <v/>
      </c>
      <c r="K288" s="54" t="str">
        <f t="shared" si="8"/>
        <v/>
      </c>
      <c r="L288" s="54"/>
      <c r="M288" s="54"/>
    </row>
    <row r="289" spans="2:13">
      <c r="B289" s="27">
        <f t="shared" si="9"/>
        <v>285</v>
      </c>
      <c r="C289" s="27"/>
      <c r="D289" s="27"/>
      <c r="E289" s="27"/>
      <c r="F289" s="54"/>
      <c r="G289" s="54"/>
      <c r="H289" s="54"/>
      <c r="I289" s="54"/>
      <c r="J289" s="54" t="str">
        <f ca="1">IF(F289="","",OFFSET(分類!$B$29,MATCH(F289,分類!$A$30:$A$46,0),0))</f>
        <v/>
      </c>
      <c r="K289" s="54" t="str">
        <f t="shared" si="8"/>
        <v/>
      </c>
      <c r="L289" s="54"/>
      <c r="M289" s="54"/>
    </row>
    <row r="290" spans="2:13">
      <c r="B290" s="27">
        <f t="shared" si="9"/>
        <v>286</v>
      </c>
      <c r="C290" s="27"/>
      <c r="D290" s="27"/>
      <c r="E290" s="27"/>
      <c r="F290" s="54"/>
      <c r="G290" s="54"/>
      <c r="H290" s="54"/>
      <c r="I290" s="54"/>
      <c r="J290" s="54" t="str">
        <f ca="1">IF(F290="","",OFFSET(分類!$B$29,MATCH(F290,分類!$A$30:$A$46,0),0))</f>
        <v/>
      </c>
      <c r="K290" s="54" t="str">
        <f t="shared" si="8"/>
        <v/>
      </c>
      <c r="L290" s="54"/>
      <c r="M290" s="54"/>
    </row>
    <row r="291" spans="2:13">
      <c r="B291" s="27">
        <f t="shared" si="9"/>
        <v>287</v>
      </c>
      <c r="C291" s="27"/>
      <c r="D291" s="27"/>
      <c r="E291" s="27"/>
      <c r="F291" s="54"/>
      <c r="G291" s="54"/>
      <c r="H291" s="54"/>
      <c r="I291" s="54"/>
      <c r="J291" s="54" t="str">
        <f ca="1">IF(F291="","",OFFSET(分類!$B$29,MATCH(F291,分類!$A$30:$A$46,0),0))</f>
        <v/>
      </c>
      <c r="K291" s="54" t="str">
        <f t="shared" si="8"/>
        <v/>
      </c>
      <c r="L291" s="54"/>
      <c r="M291" s="54"/>
    </row>
    <row r="292" spans="2:13">
      <c r="B292" s="27">
        <f t="shared" si="9"/>
        <v>288</v>
      </c>
      <c r="C292" s="27"/>
      <c r="D292" s="27"/>
      <c r="E292" s="27"/>
      <c r="F292" s="54"/>
      <c r="G292" s="54"/>
      <c r="H292" s="54"/>
      <c r="I292" s="54"/>
      <c r="J292" s="54" t="str">
        <f ca="1">IF(F292="","",OFFSET(分類!$B$29,MATCH(F292,分類!$A$30:$A$46,0),0))</f>
        <v/>
      </c>
      <c r="K292" s="54" t="str">
        <f t="shared" si="8"/>
        <v/>
      </c>
      <c r="L292" s="54"/>
      <c r="M292" s="54"/>
    </row>
    <row r="293" spans="2:13">
      <c r="B293" s="27">
        <f t="shared" si="9"/>
        <v>289</v>
      </c>
      <c r="C293" s="27"/>
      <c r="D293" s="27"/>
      <c r="E293" s="27"/>
      <c r="F293" s="54"/>
      <c r="G293" s="54"/>
      <c r="H293" s="54"/>
      <c r="I293" s="54"/>
      <c r="J293" s="54" t="str">
        <f ca="1">IF(F293="","",OFFSET(分類!$B$29,MATCH(F293,分類!$A$30:$A$46,0),0))</f>
        <v/>
      </c>
      <c r="K293" s="54" t="str">
        <f t="shared" si="8"/>
        <v/>
      </c>
      <c r="L293" s="54"/>
      <c r="M293" s="54"/>
    </row>
    <row r="294" spans="2:13">
      <c r="B294" s="27">
        <f t="shared" si="9"/>
        <v>290</v>
      </c>
      <c r="C294" s="27"/>
      <c r="D294" s="27"/>
      <c r="E294" s="27"/>
      <c r="F294" s="54"/>
      <c r="G294" s="54"/>
      <c r="H294" s="54"/>
      <c r="I294" s="54"/>
      <c r="J294" s="54" t="str">
        <f ca="1">IF(F294="","",OFFSET(分類!$B$29,MATCH(F294,分類!$A$30:$A$46,0),0))</f>
        <v/>
      </c>
      <c r="K294" s="54" t="str">
        <f t="shared" si="8"/>
        <v/>
      </c>
      <c r="L294" s="54"/>
      <c r="M294" s="54"/>
    </row>
    <row r="295" spans="2:13">
      <c r="B295" s="27">
        <f t="shared" si="9"/>
        <v>291</v>
      </c>
      <c r="C295" s="27"/>
      <c r="D295" s="27"/>
      <c r="E295" s="27"/>
      <c r="F295" s="54"/>
      <c r="G295" s="54"/>
      <c r="H295" s="54"/>
      <c r="I295" s="54"/>
      <c r="J295" s="54" t="str">
        <f ca="1">IF(F295="","",OFFSET(分類!$B$29,MATCH(F295,分類!$A$30:$A$46,0),0))</f>
        <v/>
      </c>
      <c r="K295" s="54" t="str">
        <f t="shared" si="8"/>
        <v/>
      </c>
      <c r="L295" s="54"/>
      <c r="M295" s="54"/>
    </row>
    <row r="296" spans="2:13">
      <c r="B296" s="27">
        <f t="shared" si="9"/>
        <v>292</v>
      </c>
      <c r="C296" s="27"/>
      <c r="D296" s="27"/>
      <c r="E296" s="27"/>
      <c r="F296" s="54"/>
      <c r="G296" s="54"/>
      <c r="H296" s="54"/>
      <c r="I296" s="54"/>
      <c r="J296" s="54" t="str">
        <f ca="1">IF(F296="","",OFFSET(分類!$B$29,MATCH(F296,分類!$A$30:$A$46,0),0))</f>
        <v/>
      </c>
      <c r="K296" s="54" t="str">
        <f t="shared" si="8"/>
        <v/>
      </c>
      <c r="L296" s="54"/>
      <c r="M296" s="54"/>
    </row>
    <row r="297" spans="2:13">
      <c r="B297" s="27">
        <f t="shared" si="9"/>
        <v>293</v>
      </c>
      <c r="C297" s="27"/>
      <c r="D297" s="27"/>
      <c r="E297" s="27"/>
      <c r="F297" s="54"/>
      <c r="G297" s="54"/>
      <c r="H297" s="54"/>
      <c r="I297" s="54"/>
      <c r="J297" s="54" t="str">
        <f ca="1">IF(F297="","",OFFSET(分類!$B$29,MATCH(F297,分類!$A$30:$A$46,0),0))</f>
        <v/>
      </c>
      <c r="K297" s="54" t="str">
        <f t="shared" si="8"/>
        <v/>
      </c>
      <c r="L297" s="54"/>
      <c r="M297" s="54"/>
    </row>
    <row r="298" spans="2:13">
      <c r="B298" s="27">
        <f t="shared" si="9"/>
        <v>294</v>
      </c>
      <c r="C298" s="27"/>
      <c r="D298" s="27"/>
      <c r="E298" s="27"/>
      <c r="F298" s="54"/>
      <c r="G298" s="54"/>
      <c r="H298" s="54"/>
      <c r="I298" s="54"/>
      <c r="J298" s="54" t="str">
        <f ca="1">IF(F298="","",OFFSET(分類!$B$29,MATCH(F298,分類!$A$30:$A$46,0),0))</f>
        <v/>
      </c>
      <c r="K298" s="54" t="str">
        <f t="shared" si="8"/>
        <v/>
      </c>
      <c r="L298" s="54"/>
      <c r="M298" s="54"/>
    </row>
    <row r="299" spans="2:13">
      <c r="B299" s="27">
        <f t="shared" si="9"/>
        <v>295</v>
      </c>
      <c r="C299" s="27"/>
      <c r="D299" s="27"/>
      <c r="E299" s="27"/>
      <c r="F299" s="54"/>
      <c r="G299" s="54"/>
      <c r="H299" s="54"/>
      <c r="I299" s="54"/>
      <c r="J299" s="54" t="str">
        <f ca="1">IF(F299="","",OFFSET(分類!$B$29,MATCH(F299,分類!$A$30:$A$46,0),0))</f>
        <v/>
      </c>
      <c r="K299" s="54" t="str">
        <f t="shared" si="8"/>
        <v/>
      </c>
      <c r="L299" s="54"/>
      <c r="M299" s="54"/>
    </row>
    <row r="300" spans="2:13">
      <c r="B300" s="27">
        <f t="shared" si="9"/>
        <v>296</v>
      </c>
      <c r="C300" s="27"/>
      <c r="D300" s="27"/>
      <c r="E300" s="27"/>
      <c r="F300" s="54"/>
      <c r="G300" s="54"/>
      <c r="H300" s="54"/>
      <c r="I300" s="54"/>
      <c r="J300" s="54" t="str">
        <f ca="1">IF(F300="","",OFFSET(分類!$B$29,MATCH(F300,分類!$A$30:$A$46,0),0))</f>
        <v/>
      </c>
      <c r="K300" s="54" t="str">
        <f t="shared" si="8"/>
        <v/>
      </c>
      <c r="L300" s="54"/>
      <c r="M300" s="54"/>
    </row>
    <row r="301" spans="2:13">
      <c r="B301" s="27">
        <f t="shared" si="9"/>
        <v>297</v>
      </c>
      <c r="C301" s="27"/>
      <c r="D301" s="27"/>
      <c r="E301" s="27"/>
      <c r="F301" s="54"/>
      <c r="G301" s="54"/>
      <c r="H301" s="54"/>
      <c r="I301" s="54"/>
      <c r="J301" s="54" t="str">
        <f ca="1">IF(F301="","",OFFSET(分類!$B$29,MATCH(F301,分類!$A$30:$A$46,0),0))</f>
        <v/>
      </c>
      <c r="K301" s="54" t="str">
        <f t="shared" si="8"/>
        <v/>
      </c>
      <c r="L301" s="54"/>
      <c r="M301" s="54"/>
    </row>
    <row r="302" spans="2:13">
      <c r="B302" s="27">
        <f t="shared" si="9"/>
        <v>298</v>
      </c>
      <c r="C302" s="27"/>
      <c r="D302" s="27"/>
      <c r="E302" s="27"/>
      <c r="F302" s="54"/>
      <c r="G302" s="54"/>
      <c r="H302" s="54"/>
      <c r="I302" s="54"/>
      <c r="J302" s="54" t="str">
        <f ca="1">IF(F302="","",OFFSET(分類!$B$29,MATCH(F302,分類!$A$30:$A$46,0),0))</f>
        <v/>
      </c>
      <c r="K302" s="54" t="str">
        <f t="shared" si="8"/>
        <v/>
      </c>
      <c r="L302" s="54"/>
      <c r="M302" s="54"/>
    </row>
    <row r="303" spans="2:13">
      <c r="B303" s="27">
        <f t="shared" si="9"/>
        <v>299</v>
      </c>
      <c r="C303" s="27"/>
      <c r="D303" s="27"/>
      <c r="E303" s="27"/>
      <c r="F303" s="54"/>
      <c r="G303" s="54"/>
      <c r="H303" s="54"/>
      <c r="I303" s="54"/>
      <c r="J303" s="54" t="str">
        <f ca="1">IF(F303="","",OFFSET(分類!$B$29,MATCH(F303,分類!$A$30:$A$46,0),0))</f>
        <v/>
      </c>
      <c r="K303" s="54" t="str">
        <f t="shared" si="8"/>
        <v/>
      </c>
      <c r="L303" s="54"/>
      <c r="M303" s="54"/>
    </row>
    <row r="304" spans="2:13">
      <c r="B304" s="27">
        <f t="shared" si="9"/>
        <v>300</v>
      </c>
      <c r="C304" s="27"/>
      <c r="D304" s="27"/>
      <c r="E304" s="27"/>
      <c r="F304" s="54"/>
      <c r="G304" s="54"/>
      <c r="H304" s="54"/>
      <c r="I304" s="54"/>
      <c r="J304" s="54" t="str">
        <f ca="1">IF(F304="","",OFFSET(分類!$B$29,MATCH(F304,分類!$A$30:$A$46,0),0))</f>
        <v/>
      </c>
      <c r="K304" s="54" t="str">
        <f t="shared" si="8"/>
        <v/>
      </c>
      <c r="L304" s="54"/>
      <c r="M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B2:K304"/>
  <sheetViews>
    <sheetView workbookViewId="0">
      <selection activeCell="C4" sqref="C4"/>
    </sheetView>
  </sheetViews>
  <sheetFormatPr defaultRowHeight="13.2"/>
  <cols>
    <col min="1" max="1" width="8.88671875" style="29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2:11" ht="16.2">
      <c r="B2" s="28" t="str" cm="1">
        <f t="array" aca="1" ref="B2" ca="1">RIGHT(CELL("filename",A1),LEN(CELL("filename",A1))-FIND("]",CELL("filename",A1)))</f>
        <v>外用</v>
      </c>
      <c r="C2" s="28"/>
    </row>
    <row r="4" spans="2:11" s="62" customFormat="1" ht="52.8">
      <c r="B4" s="61" t="s">
        <v>4038</v>
      </c>
      <c r="C4" s="61" t="s">
        <v>4228</v>
      </c>
      <c r="D4" s="61" t="s">
        <v>4039</v>
      </c>
      <c r="E4" s="61" t="s">
        <v>4040</v>
      </c>
      <c r="F4" s="61" t="s">
        <v>4216</v>
      </c>
      <c r="G4" s="61" t="s">
        <v>4063</v>
      </c>
      <c r="H4" s="61" t="s">
        <v>4064</v>
      </c>
      <c r="I4" s="61" t="s">
        <v>4219</v>
      </c>
      <c r="J4" s="61" t="s">
        <v>4222</v>
      </c>
      <c r="K4" s="61" t="s">
        <v>4226</v>
      </c>
    </row>
    <row r="5" spans="2:11">
      <c r="B5" s="27">
        <v>1</v>
      </c>
      <c r="C5" s="27" cm="1">
        <f t="array" aca="1" ref="C5:I67" ca="1">_xlfn._xlws.SORT(_xlfn.CHOOSECOLS(_xlfn._xlws.FILTER(IFERROR(統合マスタ!B2:Z1500,""),IFERROR(統合マスタ!R2:R1500=1,FALSE)*IFERROR(ISNUMBER(MATCH(統合マスタ!V2:V1500,分類!H8:H15,0)),FALSE)),1,2,23,25,4,5,10),2,1)</f>
        <v>25</v>
      </c>
      <c r="D5" s="27" t="str">
        <f ca="1"/>
        <v>ＳＰトローチ０．２５ｍｇ「明治」</v>
      </c>
      <c r="E5" s="27">
        <f ca="1"/>
        <v>0</v>
      </c>
      <c r="F5" s="54">
        <f ca="1"/>
        <v>3</v>
      </c>
      <c r="G5" s="54" t="str">
        <f ca="1"/>
        <v>ＰＴＰ</v>
      </c>
      <c r="H5" s="54" t="str">
        <f ca="1"/>
        <v>１２００Ｔ</v>
      </c>
      <c r="I5" s="54" t="str">
        <f ca="1"/>
        <v>錠</v>
      </c>
      <c r="J5" s="54" t="str">
        <f ca="1">IF(F5="","",OFFSET(分類!$B$29,MATCH(F5,分類!$A$30:$A$46,0),0))</f>
        <v>外用.臨時.散薬ヒート</v>
      </c>
    </row>
    <row r="6" spans="2:11">
      <c r="B6" s="27">
        <f>B5+1</f>
        <v>2</v>
      </c>
      <c r="C6" s="27">
        <f ca="1"/>
        <v>32</v>
      </c>
      <c r="D6" s="27" t="str">
        <f ca="1"/>
        <v>アクアチムクリーム１％</v>
      </c>
      <c r="E6" s="27">
        <f ca="1"/>
        <v>0</v>
      </c>
      <c r="F6" s="54">
        <f ca="1"/>
        <v>3</v>
      </c>
      <c r="G6" s="54" t="str">
        <f ca="1"/>
        <v/>
      </c>
      <c r="H6" s="54" t="str">
        <f ca="1"/>
        <v>１０ｇＸ１０</v>
      </c>
      <c r="I6" s="54" t="str">
        <f ca="1"/>
        <v>ｇ</v>
      </c>
      <c r="J6" s="54" t="str">
        <f ca="1">IF(F6="","",OFFSET(分類!$B$29,MATCH(F6,分類!$A$30:$A$46,0),0))</f>
        <v>外用.臨時.散薬ヒート</v>
      </c>
    </row>
    <row r="7" spans="2:11">
      <c r="B7" s="27">
        <f t="shared" ref="B7:B70" si="0">B6+1</f>
        <v>3</v>
      </c>
      <c r="C7" s="27">
        <f ca="1"/>
        <v>34</v>
      </c>
      <c r="D7" s="27" t="str">
        <f ca="1"/>
        <v>アクトシン軟膏３％</v>
      </c>
      <c r="E7" s="27">
        <f ca="1"/>
        <v>0</v>
      </c>
      <c r="F7" s="54">
        <f ca="1"/>
        <v>15</v>
      </c>
      <c r="G7" s="54" t="str">
        <f ca="1"/>
        <v/>
      </c>
      <c r="H7" s="54" t="str">
        <f ca="1"/>
        <v>３０ｇ</v>
      </c>
      <c r="I7" s="54" t="str">
        <f ca="1"/>
        <v>g</v>
      </c>
      <c r="J7" s="54" t="str">
        <f ca="1">IF(F7="","",OFFSET(分類!$B$29,MATCH(F7,分類!$A$30:$A$46,0),0))</f>
        <v>不良在庫</v>
      </c>
    </row>
    <row r="8" spans="2:11">
      <c r="B8" s="27">
        <f t="shared" si="0"/>
        <v>4</v>
      </c>
      <c r="C8" s="27">
        <f ca="1"/>
        <v>49</v>
      </c>
      <c r="D8" s="27" t="str">
        <f ca="1"/>
        <v>アズレン点眼液０．０２％「ニットー」</v>
      </c>
      <c r="E8" s="27">
        <f ca="1"/>
        <v>0</v>
      </c>
      <c r="F8" s="54">
        <f ca="1"/>
        <v>3</v>
      </c>
      <c r="G8" s="54" t="str">
        <f ca="1"/>
        <v/>
      </c>
      <c r="H8" s="54" t="str">
        <f ca="1"/>
        <v>５ｍｌｘ１０</v>
      </c>
      <c r="I8" s="54" t="str">
        <f ca="1"/>
        <v>瓶</v>
      </c>
      <c r="J8" s="54" t="str">
        <f ca="1">IF(F8="","",OFFSET(分類!$B$29,MATCH(F8,分類!$A$30:$A$46,0),0))</f>
        <v>外用.臨時.散薬ヒート</v>
      </c>
    </row>
    <row r="9" spans="2:11">
      <c r="B9" s="27">
        <f t="shared" si="0"/>
        <v>5</v>
      </c>
      <c r="C9" s="27">
        <f ca="1"/>
        <v>62</v>
      </c>
      <c r="D9" s="27" t="str">
        <f ca="1"/>
        <v>アドフィードパップ４０ｍｇ</v>
      </c>
      <c r="E9" s="27">
        <f ca="1"/>
        <v>0</v>
      </c>
      <c r="F9" s="54">
        <f ca="1"/>
        <v>12</v>
      </c>
      <c r="G9" s="54" t="str">
        <f ca="1"/>
        <v/>
      </c>
      <c r="H9" s="54" t="str">
        <f ca="1"/>
        <v>７枚ｘ５０</v>
      </c>
      <c r="I9" s="54" t="str">
        <f ca="1"/>
        <v>枚</v>
      </c>
      <c r="J9" s="54" t="str">
        <f ca="1">IF(F9="","",OFFSET(分類!$B$29,MATCH(F9,分類!$A$30:$A$46,0),0))</f>
        <v>湿布</v>
      </c>
    </row>
    <row r="10" spans="2:11">
      <c r="B10" s="27">
        <f t="shared" si="0"/>
        <v>6</v>
      </c>
      <c r="C10" s="27">
        <f ca="1"/>
        <v>80</v>
      </c>
      <c r="D10" s="27" t="str">
        <f ca="1"/>
        <v>アリドネパッチ２７．５ｍｇ</v>
      </c>
      <c r="E10" s="27">
        <f ca="1"/>
        <v>2</v>
      </c>
      <c r="F10" s="54">
        <f ca="1"/>
        <v>3</v>
      </c>
      <c r="G10" s="54" t="str">
        <f ca="1"/>
        <v/>
      </c>
      <c r="H10" s="54" t="str">
        <f ca="1"/>
        <v>２８枚</v>
      </c>
      <c r="I10" s="54" t="str">
        <f ca="1"/>
        <v>枚</v>
      </c>
      <c r="J10" s="54" t="str">
        <f ca="1">IF(F10="","",OFFSET(分類!$B$29,MATCH(F10,分類!$A$30:$A$46,0),0))</f>
        <v>外用.臨時.散薬ヒート</v>
      </c>
    </row>
    <row r="11" spans="2:11">
      <c r="B11" s="27">
        <f t="shared" si="0"/>
        <v>7</v>
      </c>
      <c r="C11" s="27">
        <f ca="1"/>
        <v>81</v>
      </c>
      <c r="D11" s="27" t="str">
        <f ca="1"/>
        <v>アリドネパッチ５５ｍｇ</v>
      </c>
      <c r="E11" s="27">
        <f ca="1"/>
        <v>2</v>
      </c>
      <c r="F11" s="54">
        <f ca="1"/>
        <v>3</v>
      </c>
      <c r="G11" s="54" t="str">
        <f ca="1"/>
        <v/>
      </c>
      <c r="H11" s="54" t="str">
        <f ca="1"/>
        <v>２８枚</v>
      </c>
      <c r="I11" s="54" t="str">
        <f ca="1"/>
        <v>枚</v>
      </c>
      <c r="J11" s="54" t="str">
        <f ca="1">IF(F11="","",OFFSET(分類!$B$29,MATCH(F11,分類!$A$30:$A$46,0),0))</f>
        <v>外用.臨時.散薬ヒート</v>
      </c>
    </row>
    <row r="12" spans="2:11">
      <c r="B12" s="27">
        <f t="shared" si="0"/>
        <v>8</v>
      </c>
      <c r="C12" s="27">
        <f ca="1"/>
        <v>116</v>
      </c>
      <c r="D12" s="27" t="str">
        <f ca="1"/>
        <v>インテバンクリーム１％　　　　　　　　　</v>
      </c>
      <c r="E12" s="27">
        <f ca="1"/>
        <v>0</v>
      </c>
      <c r="F12" s="54">
        <f ca="1"/>
        <v>1</v>
      </c>
      <c r="G12" s="54" t="str">
        <f ca="1"/>
        <v/>
      </c>
      <c r="H12" s="54" t="str">
        <f ca="1"/>
        <v>２５ｇｌｘ１０</v>
      </c>
      <c r="I12" s="54" t="str">
        <f ca="1"/>
        <v>ｇ</v>
      </c>
      <c r="J12" s="54" t="str">
        <f ca="1">IF(F12="","",OFFSET(分類!$B$29,MATCH(F12,分類!$A$30:$A$46,0),0))</f>
        <v>調剤棚</v>
      </c>
    </row>
    <row r="13" spans="2:11">
      <c r="B13" s="27">
        <f t="shared" si="0"/>
        <v>9</v>
      </c>
      <c r="C13" s="27">
        <f ca="1"/>
        <v>117</v>
      </c>
      <c r="D13" s="27" t="str">
        <f ca="1"/>
        <v>インテバン外用液１％　　　　　　　　　</v>
      </c>
      <c r="E13" s="27">
        <f ca="1"/>
        <v>0</v>
      </c>
      <c r="F13" s="54">
        <f ca="1"/>
        <v>3</v>
      </c>
      <c r="G13" s="54" t="str">
        <f ca="1"/>
        <v/>
      </c>
      <c r="H13" s="54" t="str">
        <f ca="1"/>
        <v>５０ｍｌｘ１０</v>
      </c>
      <c r="I13" s="54" t="str">
        <f ca="1"/>
        <v>ｍｌ</v>
      </c>
      <c r="J13" s="54" t="str">
        <f ca="1">IF(F13="","",OFFSET(分類!$B$29,MATCH(F13,分類!$A$30:$A$46,0),0))</f>
        <v>外用.臨時.散薬ヒート</v>
      </c>
    </row>
    <row r="14" spans="2:11">
      <c r="B14" s="27">
        <f t="shared" si="0"/>
        <v>10</v>
      </c>
      <c r="C14" s="27">
        <f ca="1"/>
        <v>152</v>
      </c>
      <c r="D14" s="27" t="str">
        <f ca="1"/>
        <v>オイラックスクリーム１０％</v>
      </c>
      <c r="E14" s="27">
        <f ca="1"/>
        <v>0</v>
      </c>
      <c r="F14" s="54">
        <f ca="1"/>
        <v>3</v>
      </c>
      <c r="G14" s="54" t="str">
        <f ca="1"/>
        <v/>
      </c>
      <c r="H14" s="54" t="str">
        <f ca="1"/>
        <v>１０ｇＸ１０</v>
      </c>
      <c r="I14" s="54" t="str">
        <f ca="1"/>
        <v>10ｇ</v>
      </c>
      <c r="J14" s="54" t="str">
        <f ca="1">IF(F14="","",OFFSET(分類!$B$29,MATCH(F14,分類!$A$30:$A$46,0),0))</f>
        <v>外用.臨時.散薬ヒート</v>
      </c>
    </row>
    <row r="15" spans="2:11">
      <c r="B15" s="27">
        <f t="shared" si="0"/>
        <v>11</v>
      </c>
      <c r="C15" s="27">
        <f ca="1"/>
        <v>154</v>
      </c>
      <c r="D15" s="27" t="str">
        <f ca="1"/>
        <v>オキサロール軟膏２５μｇ／ｇ０．００２５％</v>
      </c>
      <c r="E15" s="27">
        <f ca="1"/>
        <v>2</v>
      </c>
      <c r="F15" s="54">
        <f ca="1"/>
        <v>3</v>
      </c>
      <c r="G15" s="54" t="str">
        <f ca="1"/>
        <v/>
      </c>
      <c r="H15" s="54" t="str">
        <f ca="1"/>
        <v>１０ＧＸ１０</v>
      </c>
      <c r="I15" s="54" t="str">
        <f ca="1"/>
        <v>ｇ</v>
      </c>
      <c r="J15" s="54" t="str">
        <f ca="1">IF(F15="","",OFFSET(分類!$B$29,MATCH(F15,分類!$A$30:$A$46,0),0))</f>
        <v>外用.臨時.散薬ヒート</v>
      </c>
    </row>
    <row r="16" spans="2:11">
      <c r="B16" s="27">
        <f t="shared" si="0"/>
        <v>12</v>
      </c>
      <c r="C16" s="27">
        <f ca="1"/>
        <v>156</v>
      </c>
      <c r="D16" s="27" t="str">
        <f ca="1"/>
        <v>オフロキサシン点眼液０．３％「ＪＧ」</v>
      </c>
      <c r="E16" s="27">
        <f ca="1"/>
        <v>0</v>
      </c>
      <c r="F16" s="54">
        <f ca="1"/>
        <v>3</v>
      </c>
      <c r="G16" s="54" t="str">
        <f ca="1"/>
        <v/>
      </c>
      <c r="H16" s="54" t="str">
        <f ca="1"/>
        <v>５ｍｌｘ１０</v>
      </c>
      <c r="I16" s="54" t="str">
        <f ca="1"/>
        <v>ｍｌ</v>
      </c>
      <c r="J16" s="54" t="str">
        <f ca="1">IF(F16="","",OFFSET(分類!$B$29,MATCH(F16,分類!$A$30:$A$46,0),0))</f>
        <v>外用.臨時.散薬ヒート</v>
      </c>
    </row>
    <row r="17" spans="2:10">
      <c r="B17" s="27">
        <f t="shared" si="0"/>
        <v>13</v>
      </c>
      <c r="C17" s="27">
        <f ca="1"/>
        <v>183</v>
      </c>
      <c r="D17" s="27" t="str">
        <f ca="1"/>
        <v>キュバール１００エアゾール１５ｍｇ　　</v>
      </c>
      <c r="E17" s="27">
        <f ca="1"/>
        <v>0</v>
      </c>
      <c r="F17" s="54">
        <f ca="1"/>
        <v>3</v>
      </c>
      <c r="G17" s="54" t="str">
        <f ca="1"/>
        <v/>
      </c>
      <c r="H17" s="54" t="str">
        <f ca="1"/>
        <v>８．７ｇｘ１</v>
      </c>
      <c r="I17" s="54" t="str">
        <f ca="1"/>
        <v>本</v>
      </c>
      <c r="J17" s="54" t="str">
        <f ca="1">IF(F17="","",OFFSET(分類!$B$29,MATCH(F17,分類!$A$30:$A$46,0),0))</f>
        <v>外用.臨時.散薬ヒート</v>
      </c>
    </row>
    <row r="18" spans="2:10">
      <c r="B18" s="27">
        <f t="shared" si="0"/>
        <v>14</v>
      </c>
      <c r="C18" s="27">
        <f ca="1"/>
        <v>217</v>
      </c>
      <c r="D18" s="27" t="str">
        <f ca="1"/>
        <v>クロベタゾールプロピオン酸エステル軟膏０．０５％「イワキ」</v>
      </c>
      <c r="E18" s="27">
        <f ca="1"/>
        <v>2</v>
      </c>
      <c r="F18" s="54">
        <f ca="1"/>
        <v>3</v>
      </c>
      <c r="G18" s="54" t="str">
        <f ca="1"/>
        <v/>
      </c>
      <c r="H18" s="54" t="str">
        <f ca="1"/>
        <v>５ｇｘ１０</v>
      </c>
      <c r="I18" s="54" t="str">
        <f ca="1"/>
        <v>ｇ</v>
      </c>
      <c r="J18" s="54" t="str">
        <f ca="1">IF(F18="","",OFFSET(分類!$B$29,MATCH(F18,分類!$A$30:$A$46,0),0))</f>
        <v>外用.臨時.散薬ヒート</v>
      </c>
    </row>
    <row r="19" spans="2:10">
      <c r="B19" s="27">
        <f t="shared" si="0"/>
        <v>15</v>
      </c>
      <c r="C19" s="27">
        <f ca="1"/>
        <v>219</v>
      </c>
      <c r="D19" s="27" t="str">
        <f ca="1"/>
        <v>クロモグリク酸Ｎａ点眼液２％「ニットー」　</v>
      </c>
      <c r="E19" s="27">
        <f ca="1"/>
        <v>0</v>
      </c>
      <c r="F19" s="54">
        <f ca="1"/>
        <v>3</v>
      </c>
      <c r="G19" s="54" t="str">
        <f ca="1"/>
        <v/>
      </c>
      <c r="H19" s="54" t="str">
        <f ca="1"/>
        <v>５ＭＬＸ５Ｖ</v>
      </c>
      <c r="I19" s="54" t="str">
        <f ca="1"/>
        <v>瓶</v>
      </c>
      <c r="J19" s="54" t="str">
        <f ca="1">IF(F19="","",OFFSET(分類!$B$29,MATCH(F19,分類!$A$30:$A$46,0),0))</f>
        <v>外用.臨時.散薬ヒート</v>
      </c>
    </row>
    <row r="20" spans="2:10">
      <c r="B20" s="27">
        <f t="shared" si="0"/>
        <v>16</v>
      </c>
      <c r="C20" s="27">
        <f ca="1"/>
        <v>220</v>
      </c>
      <c r="D20" s="27" t="str">
        <f ca="1"/>
        <v>クロモグリク酸Ｎａ点眼液２％「ニットー」　</v>
      </c>
      <c r="E20" s="27">
        <f ca="1"/>
        <v>0</v>
      </c>
      <c r="F20" s="54">
        <f ca="1"/>
        <v>3</v>
      </c>
      <c r="G20" s="54" t="str">
        <f ca="1"/>
        <v/>
      </c>
      <c r="H20" s="54" t="str">
        <f ca="1"/>
        <v>５ＭＬＸ１０Ｖ</v>
      </c>
      <c r="I20" s="54" t="str">
        <f ca="1"/>
        <v>瓶</v>
      </c>
      <c r="J20" s="54" t="str">
        <f ca="1">IF(F20="","",OFFSET(分類!$B$29,MATCH(F20,分類!$A$30:$A$46,0),0))</f>
        <v>外用.臨時.散薬ヒート</v>
      </c>
    </row>
    <row r="21" spans="2:10">
      <c r="B21" s="27">
        <f t="shared" si="0"/>
        <v>17</v>
      </c>
      <c r="C21" s="27">
        <f ca="1"/>
        <v>222</v>
      </c>
      <c r="D21" s="27" t="str">
        <f ca="1"/>
        <v>ゲーベンクリーム１％　　　　　　　　　　</v>
      </c>
      <c r="E21" s="27">
        <f ca="1"/>
        <v>0</v>
      </c>
      <c r="F21" s="54">
        <f ca="1"/>
        <v>7</v>
      </c>
      <c r="G21" s="54" t="str">
        <f ca="1"/>
        <v/>
      </c>
      <c r="H21" s="54" t="str">
        <f ca="1"/>
        <v>１００ｇ</v>
      </c>
      <c r="I21" s="54" t="str">
        <f ca="1"/>
        <v>ｇ</v>
      </c>
      <c r="J21" s="54" t="str">
        <f ca="1">IF(F21="","",OFFSET(分類!$B$29,MATCH(F21,分類!$A$30:$A$46,0),0))</f>
        <v>軟膏</v>
      </c>
    </row>
    <row r="22" spans="2:10">
      <c r="B22" s="27">
        <f t="shared" si="0"/>
        <v>18</v>
      </c>
      <c r="C22" s="27">
        <f ca="1"/>
        <v>223</v>
      </c>
      <c r="D22" s="27" t="str">
        <f ca="1"/>
        <v>ケトチフェン点鼻液０．０５％「サワイ」</v>
      </c>
      <c r="E22" s="27">
        <f ca="1"/>
        <v>0</v>
      </c>
      <c r="F22" s="54">
        <f ca="1"/>
        <v>3</v>
      </c>
      <c r="G22" s="54" t="str">
        <f ca="1"/>
        <v/>
      </c>
      <c r="H22" s="54" t="str">
        <f ca="1"/>
        <v>６．０４８／８ｍｌｘ１０</v>
      </c>
      <c r="I22" s="54" t="str">
        <f ca="1"/>
        <v>瓶</v>
      </c>
      <c r="J22" s="54" t="str">
        <f ca="1">IF(F22="","",OFFSET(分類!$B$29,MATCH(F22,分類!$A$30:$A$46,0),0))</f>
        <v>外用.臨時.散薬ヒート</v>
      </c>
    </row>
    <row r="23" spans="2:10">
      <c r="B23" s="27">
        <f t="shared" si="0"/>
        <v>19</v>
      </c>
      <c r="C23" s="27">
        <f ca="1"/>
        <v>224</v>
      </c>
      <c r="D23" s="27" t="str">
        <f ca="1"/>
        <v>ケトプロフェンパップ３０ｍｇ　「三和」　　１０ｘ１４ｃｍ</v>
      </c>
      <c r="E23" s="27">
        <f ca="1"/>
        <v>0</v>
      </c>
      <c r="F23" s="54">
        <f ca="1"/>
        <v>12</v>
      </c>
      <c r="G23" s="54" t="str">
        <f ca="1"/>
        <v/>
      </c>
      <c r="H23" s="54" t="str">
        <f ca="1"/>
        <v>７枚ｘ１００</v>
      </c>
      <c r="I23" s="54" t="str">
        <f ca="1"/>
        <v>枚</v>
      </c>
      <c r="J23" s="54" t="str">
        <f ca="1">IF(F23="","",OFFSET(分類!$B$29,MATCH(F23,分類!$A$30:$A$46,0),0))</f>
        <v>湿布</v>
      </c>
    </row>
    <row r="24" spans="2:10">
      <c r="B24" s="27">
        <f t="shared" si="0"/>
        <v>20</v>
      </c>
      <c r="C24" s="27">
        <f ca="1"/>
        <v>228</v>
      </c>
      <c r="D24" s="27" t="str">
        <f ca="1"/>
        <v>ゲンタマイシン硫酸塩軟膏０．１％「イワキ」</v>
      </c>
      <c r="E24" s="27">
        <f ca="1"/>
        <v>0</v>
      </c>
      <c r="F24" s="54">
        <f ca="1"/>
        <v>3</v>
      </c>
      <c r="G24" s="54" t="str">
        <f ca="1"/>
        <v/>
      </c>
      <c r="H24" s="54" t="str">
        <f ca="1"/>
        <v>１０ｇＸ１０</v>
      </c>
      <c r="I24" s="54" t="str">
        <f ca="1"/>
        <v>ｇ</v>
      </c>
      <c r="J24" s="54" t="str">
        <f ca="1">IF(F24="","",OFFSET(分類!$B$29,MATCH(F24,分類!$A$30:$A$46,0),0))</f>
        <v>外用.臨時.散薬ヒート</v>
      </c>
    </row>
    <row r="25" spans="2:10">
      <c r="B25" s="27">
        <f t="shared" si="0"/>
        <v>21</v>
      </c>
      <c r="C25" s="27">
        <f ca="1"/>
        <v>230</v>
      </c>
      <c r="D25" s="27" t="str">
        <f ca="1"/>
        <v>コールタイジン点鼻液</v>
      </c>
      <c r="E25" s="27">
        <f ca="1"/>
        <v>0</v>
      </c>
      <c r="F25" s="54">
        <f ca="1"/>
        <v>3</v>
      </c>
      <c r="G25" s="54" t="str">
        <f ca="1"/>
        <v/>
      </c>
      <c r="H25" s="54" t="str">
        <f ca="1"/>
        <v>１５ｍＬＸ１０</v>
      </c>
      <c r="I25" s="54" t="str">
        <f ca="1"/>
        <v>ｍｌ</v>
      </c>
      <c r="J25" s="54" t="str">
        <f ca="1">IF(F25="","",OFFSET(分類!$B$29,MATCH(F25,分類!$A$30:$A$46,0),0))</f>
        <v>外用.臨時.散薬ヒート</v>
      </c>
    </row>
    <row r="26" spans="2:10">
      <c r="B26" s="27">
        <f t="shared" si="0"/>
        <v>22</v>
      </c>
      <c r="C26" s="27">
        <f ca="1"/>
        <v>248</v>
      </c>
      <c r="D26" s="27" t="str">
        <f ca="1"/>
        <v>シアノコバラミン点眼液０．０２％「日点」</v>
      </c>
      <c r="E26" s="27">
        <f ca="1"/>
        <v>0</v>
      </c>
      <c r="F26" s="54">
        <f ca="1"/>
        <v>3</v>
      </c>
      <c r="G26" s="54" t="str">
        <f ca="1"/>
        <v/>
      </c>
      <c r="H26" s="54" t="str">
        <f ca="1"/>
        <v>５ｍＬＸ１０</v>
      </c>
      <c r="I26" s="54" t="str">
        <f ca="1"/>
        <v>本</v>
      </c>
      <c r="J26" s="54" t="str">
        <f ca="1">IF(F26="","",OFFSET(分類!$B$29,MATCH(F26,分類!$A$30:$A$46,0),0))</f>
        <v>外用.臨時.散薬ヒート</v>
      </c>
    </row>
    <row r="27" spans="2:10">
      <c r="B27" s="27">
        <f t="shared" si="0"/>
        <v>23</v>
      </c>
      <c r="C27" s="27">
        <f ca="1"/>
        <v>270</v>
      </c>
      <c r="D27" s="27" t="str">
        <f ca="1"/>
        <v>スクロードパスタ</v>
      </c>
      <c r="E27" s="27">
        <f ca="1"/>
        <v>0</v>
      </c>
      <c r="F27" s="54">
        <f ca="1"/>
        <v>7</v>
      </c>
      <c r="G27" s="54" t="str">
        <f ca="1"/>
        <v/>
      </c>
      <c r="H27" s="54" t="str">
        <f ca="1"/>
        <v>１００ｇ</v>
      </c>
      <c r="I27" s="54" t="str">
        <f ca="1"/>
        <v>ｇ</v>
      </c>
      <c r="J27" s="54" t="str">
        <f ca="1">IF(F27="","",OFFSET(分類!$B$29,MATCH(F27,分類!$A$30:$A$46,0),0))</f>
        <v>軟膏</v>
      </c>
    </row>
    <row r="28" spans="2:10">
      <c r="B28" s="27">
        <f t="shared" si="0"/>
        <v>24</v>
      </c>
      <c r="C28" s="27">
        <f ca="1"/>
        <v>271</v>
      </c>
      <c r="D28" s="27" t="str">
        <f ca="1"/>
        <v>スタデルムクリーム５％</v>
      </c>
      <c r="E28" s="27">
        <f ca="1"/>
        <v>0</v>
      </c>
      <c r="F28" s="54">
        <f ca="1"/>
        <v>15</v>
      </c>
      <c r="G28" s="54" t="str">
        <f ca="1"/>
        <v/>
      </c>
      <c r="H28" s="54" t="str">
        <f ca="1"/>
        <v>１０ｇｘ１０本</v>
      </c>
      <c r="I28" s="54" t="str">
        <f ca="1"/>
        <v>ｇ</v>
      </c>
      <c r="J28" s="54" t="str">
        <f ca="1">IF(F28="","",OFFSET(分類!$B$29,MATCH(F28,分類!$A$30:$A$46,0),0))</f>
        <v>不良在庫</v>
      </c>
    </row>
    <row r="29" spans="2:10">
      <c r="B29" s="27">
        <f t="shared" si="0"/>
        <v>25</v>
      </c>
      <c r="C29" s="27">
        <f ca="1"/>
        <v>273</v>
      </c>
      <c r="D29" s="27" t="str">
        <f ca="1"/>
        <v>スピール膏Ｍ　ＳＰＭ１６</v>
      </c>
      <c r="E29" s="27">
        <f ca="1"/>
        <v>0</v>
      </c>
      <c r="F29" s="54">
        <f ca="1"/>
        <v>3</v>
      </c>
      <c r="G29" s="54" t="str">
        <f ca="1"/>
        <v/>
      </c>
      <c r="H29" s="54" t="str">
        <f ca="1"/>
        <v>６枚</v>
      </c>
      <c r="I29" s="54" t="str">
        <f ca="1"/>
        <v>枚</v>
      </c>
      <c r="J29" s="54" t="str">
        <f ca="1">IF(F29="","",OFFSET(分類!$B$29,MATCH(F29,分類!$A$30:$A$46,0),0))</f>
        <v>外用.臨時.散薬ヒート</v>
      </c>
    </row>
    <row r="30" spans="2:10">
      <c r="B30" s="27">
        <f t="shared" si="0"/>
        <v>26</v>
      </c>
      <c r="C30" s="27">
        <f ca="1"/>
        <v>339</v>
      </c>
      <c r="D30" s="27" t="str">
        <f ca="1"/>
        <v>タリビッド眼軟膏０．３％</v>
      </c>
      <c r="E30" s="27">
        <f ca="1"/>
        <v>0</v>
      </c>
      <c r="F30" s="54">
        <f ca="1"/>
        <v>3</v>
      </c>
      <c r="G30" s="54" t="str">
        <f ca="1"/>
        <v/>
      </c>
      <c r="H30" s="54" t="str">
        <f ca="1"/>
        <v>３．５ｇｘ１０</v>
      </c>
      <c r="I30" s="54" t="str">
        <f ca="1"/>
        <v>ｇ</v>
      </c>
      <c r="J30" s="54" t="str">
        <f ca="1">IF(F30="","",OFFSET(分類!$B$29,MATCH(F30,分類!$A$30:$A$46,0),0))</f>
        <v>外用.臨時.散薬ヒート</v>
      </c>
    </row>
    <row r="31" spans="2:10">
      <c r="B31" s="27">
        <f t="shared" si="0"/>
        <v>27</v>
      </c>
      <c r="C31" s="27">
        <f ca="1"/>
        <v>356</v>
      </c>
      <c r="D31" s="27" t="str">
        <f ca="1"/>
        <v>ツロブテロールテープ１ｍｇ「サワイ」</v>
      </c>
      <c r="E31" s="27">
        <f ca="1"/>
        <v>0</v>
      </c>
      <c r="F31" s="54">
        <f ca="1"/>
        <v>3</v>
      </c>
      <c r="G31" s="54" t="str">
        <f ca="1"/>
        <v/>
      </c>
      <c r="H31" s="54" t="str">
        <f ca="1"/>
        <v>７０枚</v>
      </c>
      <c r="I31" s="54" t="str">
        <f ca="1"/>
        <v>枚</v>
      </c>
      <c r="J31" s="54" t="str">
        <f ca="1">IF(F31="","",OFFSET(分類!$B$29,MATCH(F31,分類!$A$30:$A$46,0),0))</f>
        <v>外用.臨時.散薬ヒート</v>
      </c>
    </row>
    <row r="32" spans="2:10">
      <c r="B32" s="27">
        <f t="shared" si="0"/>
        <v>28</v>
      </c>
      <c r="C32" s="27">
        <f ca="1"/>
        <v>365</v>
      </c>
      <c r="D32" s="27" t="str">
        <f ca="1"/>
        <v>デキサメタゾン口腔用軟膏０．１％「日医工」</v>
      </c>
      <c r="E32" s="27">
        <f ca="1"/>
        <v>0</v>
      </c>
      <c r="F32" s="54">
        <f ca="1"/>
        <v>3</v>
      </c>
      <c r="G32" s="54" t="str">
        <f ca="1"/>
        <v/>
      </c>
      <c r="H32" s="54" t="str">
        <f ca="1"/>
        <v>５ｇＸ１０</v>
      </c>
      <c r="I32" s="54" t="str">
        <f ca="1"/>
        <v>ｇ</v>
      </c>
      <c r="J32" s="54" t="str">
        <f ca="1">IF(F32="","",OFFSET(分類!$B$29,MATCH(F32,分類!$A$30:$A$46,0),0))</f>
        <v>外用.臨時.散薬ヒート</v>
      </c>
    </row>
    <row r="33" spans="2:10">
      <c r="B33" s="27">
        <f t="shared" si="0"/>
        <v>29</v>
      </c>
      <c r="C33" s="27">
        <f ca="1"/>
        <v>367</v>
      </c>
      <c r="D33" s="27" t="str">
        <f ca="1"/>
        <v>テクスメテン　ユニバーサル　クリーム０．１％</v>
      </c>
      <c r="E33" s="27">
        <f ca="1"/>
        <v>2</v>
      </c>
      <c r="F33" s="54">
        <f ca="1"/>
        <v>3</v>
      </c>
      <c r="G33" s="54" t="str">
        <f ca="1"/>
        <v/>
      </c>
      <c r="H33" s="54" t="str">
        <f ca="1"/>
        <v>１０ｇｘ１０</v>
      </c>
      <c r="I33" s="54" t="str">
        <f ca="1"/>
        <v>ｇ</v>
      </c>
      <c r="J33" s="54" t="str">
        <f ca="1">IF(F33="","",OFFSET(分類!$B$29,MATCH(F33,分類!$A$30:$A$46,0),0))</f>
        <v>外用.臨時.散薬ヒート</v>
      </c>
    </row>
    <row r="34" spans="2:10">
      <c r="B34" s="27">
        <f t="shared" si="0"/>
        <v>30</v>
      </c>
      <c r="C34" s="27">
        <f ca="1"/>
        <v>382</v>
      </c>
      <c r="D34" s="27" t="str">
        <f ca="1"/>
        <v>テルビナフィン塩酸塩クリーム　１％「サワイ」</v>
      </c>
      <c r="E34" s="27">
        <f ca="1"/>
        <v>0</v>
      </c>
      <c r="F34" s="54">
        <f ca="1"/>
        <v>3</v>
      </c>
      <c r="G34" s="54" t="str">
        <f ca="1"/>
        <v/>
      </c>
      <c r="H34" s="54" t="str">
        <f ca="1"/>
        <v>１０ｇＸ１０</v>
      </c>
      <c r="I34" s="54" t="str">
        <f ca="1"/>
        <v>ｇ</v>
      </c>
      <c r="J34" s="54" t="str">
        <f ca="1">IF(F34="","",OFFSET(分類!$B$29,MATCH(F34,分類!$A$30:$A$46,0),0))</f>
        <v>外用.臨時.散薬ヒート</v>
      </c>
    </row>
    <row r="35" spans="2:10">
      <c r="B35" s="27">
        <f t="shared" si="0"/>
        <v>31</v>
      </c>
      <c r="C35" s="27">
        <f ca="1"/>
        <v>383</v>
      </c>
      <c r="D35" s="27" t="str">
        <f ca="1"/>
        <v>テルビナフィン塩酸塩外用液１％「サワイ」</v>
      </c>
      <c r="E35" s="27">
        <f ca="1"/>
        <v>0</v>
      </c>
      <c r="F35" s="54">
        <f ca="1"/>
        <v>3</v>
      </c>
      <c r="G35" s="54" t="str">
        <f ca="1"/>
        <v/>
      </c>
      <c r="H35" s="54" t="str">
        <f ca="1"/>
        <v>１０ｇＸ１０</v>
      </c>
      <c r="I35" s="54" t="str">
        <f ca="1"/>
        <v>ｇ</v>
      </c>
      <c r="J35" s="54" t="str">
        <f ca="1">IF(F35="","",OFFSET(分類!$B$29,MATCH(F35,分類!$A$30:$A$46,0),0))</f>
        <v>外用.臨時.散薬ヒート</v>
      </c>
    </row>
    <row r="36" spans="2:10">
      <c r="B36" s="27">
        <f t="shared" si="0"/>
        <v>32</v>
      </c>
      <c r="C36" s="27">
        <f ca="1"/>
        <v>386</v>
      </c>
      <c r="D36" s="27" t="str">
        <f ca="1"/>
        <v>デルモゾールＧ軟膏</v>
      </c>
      <c r="E36" s="27">
        <f ca="1"/>
        <v>0</v>
      </c>
      <c r="F36" s="54">
        <f ca="1"/>
        <v>3</v>
      </c>
      <c r="G36" s="54" t="str">
        <f ca="1"/>
        <v/>
      </c>
      <c r="H36" s="54" t="str">
        <f ca="1"/>
        <v>５ｇＸ５０</v>
      </c>
      <c r="I36" s="54" t="str">
        <f ca="1"/>
        <v>ｇ</v>
      </c>
      <c r="J36" s="54" t="str">
        <f ca="1">IF(F36="","",OFFSET(分類!$B$29,MATCH(F36,分類!$A$30:$A$46,0),0))</f>
        <v>外用.臨時.散薬ヒート</v>
      </c>
    </row>
    <row r="37" spans="2:10">
      <c r="B37" s="27">
        <f t="shared" si="0"/>
        <v>33</v>
      </c>
      <c r="C37" s="27">
        <f ca="1"/>
        <v>387</v>
      </c>
      <c r="D37" s="27" t="str">
        <f ca="1"/>
        <v>デルモゾールＧ軟膏</v>
      </c>
      <c r="E37" s="27">
        <f ca="1"/>
        <v>0</v>
      </c>
      <c r="F37" s="54">
        <f ca="1"/>
        <v>3</v>
      </c>
      <c r="G37" s="54" t="str">
        <f ca="1"/>
        <v/>
      </c>
      <c r="H37" s="54" t="str">
        <f ca="1"/>
        <v>５００ｇ</v>
      </c>
      <c r="I37" s="54" t="str">
        <f ca="1"/>
        <v>ｇ</v>
      </c>
      <c r="J37" s="54" t="str">
        <f ca="1">IF(F37="","",OFFSET(分類!$B$29,MATCH(F37,分類!$A$30:$A$46,0),0))</f>
        <v>外用.臨時.散薬ヒート</v>
      </c>
    </row>
    <row r="38" spans="2:10">
      <c r="B38" s="27">
        <f t="shared" si="0"/>
        <v>34</v>
      </c>
      <c r="C38" s="27">
        <f ca="1"/>
        <v>430</v>
      </c>
      <c r="D38" s="27" t="str">
        <f ca="1"/>
        <v>ニゾラールクリーム２％　　　　　　　　　</v>
      </c>
      <c r="E38" s="27">
        <f ca="1"/>
        <v>0</v>
      </c>
      <c r="F38" s="54">
        <f ca="1"/>
        <v>3</v>
      </c>
      <c r="G38" s="54" t="str">
        <f ca="1"/>
        <v/>
      </c>
      <c r="H38" s="54" t="str">
        <f ca="1"/>
        <v>１０ｇｘ２０</v>
      </c>
      <c r="I38" s="54" t="str">
        <f ca="1"/>
        <v>ｇ</v>
      </c>
      <c r="J38" s="54" t="str">
        <f ca="1">IF(F38="","",OFFSET(分類!$B$29,MATCH(F38,分類!$A$30:$A$46,0),0))</f>
        <v>外用.臨時.散薬ヒート</v>
      </c>
    </row>
    <row r="39" spans="2:10">
      <c r="B39" s="27">
        <f t="shared" si="0"/>
        <v>35</v>
      </c>
      <c r="C39" s="27">
        <f ca="1"/>
        <v>431</v>
      </c>
      <c r="D39" s="27" t="str">
        <f ca="1"/>
        <v>ニゾラールローション２％</v>
      </c>
      <c r="E39" s="27">
        <f ca="1"/>
        <v>0</v>
      </c>
      <c r="F39" s="54">
        <f ca="1"/>
        <v>15</v>
      </c>
      <c r="G39" s="54" t="str">
        <f ca="1"/>
        <v/>
      </c>
      <c r="H39" s="54" t="str">
        <f ca="1"/>
        <v>１０ｇ×１０本</v>
      </c>
      <c r="I39" s="54" t="str">
        <f ca="1"/>
        <v>ｇ</v>
      </c>
      <c r="J39" s="54" t="str">
        <f ca="1">IF(F39="","",OFFSET(分類!$B$29,MATCH(F39,分類!$A$30:$A$46,0),0))</f>
        <v>不良在庫</v>
      </c>
    </row>
    <row r="40" spans="2:10">
      <c r="B40" s="27">
        <f t="shared" si="0"/>
        <v>36</v>
      </c>
      <c r="C40" s="27">
        <f ca="1"/>
        <v>444</v>
      </c>
      <c r="D40" s="27" t="str">
        <f ca="1"/>
        <v>ネオメドロールＥＥ軟膏</v>
      </c>
      <c r="E40" s="27">
        <f ca="1"/>
        <v>0</v>
      </c>
      <c r="F40" s="54">
        <f ca="1"/>
        <v>3</v>
      </c>
      <c r="G40" s="54" t="str">
        <f ca="1"/>
        <v/>
      </c>
      <c r="H40" s="54" t="str">
        <f ca="1"/>
        <v>３ｇｘ１０</v>
      </c>
      <c r="I40" s="54" t="str">
        <f ca="1"/>
        <v>ｇ</v>
      </c>
      <c r="J40" s="54" t="str">
        <f ca="1">IF(F40="","",OFFSET(分類!$B$29,MATCH(F40,分類!$A$30:$A$46,0),0))</f>
        <v>外用.臨時.散薬ヒート</v>
      </c>
    </row>
    <row r="41" spans="2:10">
      <c r="B41" s="27">
        <f t="shared" si="0"/>
        <v>37</v>
      </c>
      <c r="C41" s="27">
        <f ca="1"/>
        <v>479</v>
      </c>
      <c r="D41" s="27" t="str">
        <f ca="1"/>
        <v>ヒアルロン酸Ｎａ点眼液０．１％「ニットー」</v>
      </c>
      <c r="E41" s="27">
        <f ca="1"/>
        <v>0</v>
      </c>
      <c r="F41" s="54">
        <f ca="1"/>
        <v>3</v>
      </c>
      <c r="G41" s="54" t="str">
        <f ca="1"/>
        <v/>
      </c>
      <c r="H41" s="54" t="str">
        <f ca="1"/>
        <v>５ｍｌｘ１０</v>
      </c>
      <c r="I41" s="54" t="str">
        <f ca="1"/>
        <v>瓶</v>
      </c>
      <c r="J41" s="54" t="str">
        <f ca="1">IF(F41="","",OFFSET(分類!$B$29,MATCH(F41,分類!$A$30:$A$46,0),0))</f>
        <v>外用.臨時.散薬ヒート</v>
      </c>
    </row>
    <row r="42" spans="2:10">
      <c r="B42" s="27">
        <f t="shared" si="0"/>
        <v>38</v>
      </c>
      <c r="C42" s="27">
        <f ca="1"/>
        <v>495</v>
      </c>
      <c r="D42" s="27" t="str">
        <f ca="1"/>
        <v>ビダラビン軟膏３％「ＳＷ」</v>
      </c>
      <c r="E42" s="27">
        <f ca="1"/>
        <v>0</v>
      </c>
      <c r="F42" s="54">
        <f ca="1"/>
        <v>3</v>
      </c>
      <c r="G42" s="54" t="str">
        <f ca="1"/>
        <v/>
      </c>
      <c r="H42" s="54" t="str">
        <f ca="1"/>
        <v>５ｇＸ５</v>
      </c>
      <c r="I42" s="54" t="str">
        <f ca="1"/>
        <v>ｇ</v>
      </c>
      <c r="J42" s="54" t="str">
        <f ca="1">IF(F42="","",OFFSET(分類!$B$29,MATCH(F42,分類!$A$30:$A$46,0),0))</f>
        <v>外用.臨時.散薬ヒート</v>
      </c>
    </row>
    <row r="43" spans="2:10">
      <c r="B43" s="27">
        <f t="shared" si="0"/>
        <v>39</v>
      </c>
      <c r="C43" s="27">
        <f ca="1"/>
        <v>516</v>
      </c>
      <c r="D43" s="27" t="str">
        <f ca="1"/>
        <v>ヒルドイドソフト軟膏　０．３％</v>
      </c>
      <c r="E43" s="27">
        <f ca="1"/>
        <v>0</v>
      </c>
      <c r="F43" s="54">
        <f ca="1"/>
        <v>3</v>
      </c>
      <c r="G43" s="54" t="str">
        <f ca="1"/>
        <v/>
      </c>
      <c r="H43" s="54" t="str">
        <f ca="1"/>
        <v>２５ｇｘ１０本</v>
      </c>
      <c r="I43" s="54" t="str">
        <f ca="1"/>
        <v>ｇ</v>
      </c>
      <c r="J43" s="54" t="str">
        <f ca="1">IF(F43="","",OFFSET(分類!$B$29,MATCH(F43,分類!$A$30:$A$46,0),0))</f>
        <v>外用.臨時.散薬ヒート</v>
      </c>
    </row>
    <row r="44" spans="2:10">
      <c r="B44" s="27">
        <f t="shared" si="0"/>
        <v>40</v>
      </c>
      <c r="C44" s="27">
        <f ca="1"/>
        <v>550</v>
      </c>
      <c r="D44" s="27" t="str">
        <f ca="1"/>
        <v>フランドルテープ４０ｍｇ</v>
      </c>
      <c r="E44" s="27">
        <f ca="1"/>
        <v>0</v>
      </c>
      <c r="F44" s="54">
        <f ca="1"/>
        <v>3</v>
      </c>
      <c r="G44" s="54" t="str">
        <f ca="1"/>
        <v/>
      </c>
      <c r="H44" s="54" t="str">
        <f ca="1"/>
        <v>７０マイ</v>
      </c>
      <c r="I44" s="54" t="str">
        <f ca="1"/>
        <v>枚</v>
      </c>
      <c r="J44" s="54" t="str">
        <f ca="1">IF(F44="","",OFFSET(分類!$B$29,MATCH(F44,分類!$A$30:$A$46,0),0))</f>
        <v>外用.臨時.散薬ヒート</v>
      </c>
    </row>
    <row r="45" spans="2:10">
      <c r="B45" s="27">
        <f t="shared" si="0"/>
        <v>41</v>
      </c>
      <c r="C45" s="27">
        <f ca="1"/>
        <v>563</v>
      </c>
      <c r="D45" s="27" t="str">
        <f ca="1"/>
        <v>プロスタンディン軟膏０．００３％</v>
      </c>
      <c r="E45" s="27">
        <f ca="1"/>
        <v>2</v>
      </c>
      <c r="F45" s="54">
        <f ca="1"/>
        <v>3</v>
      </c>
      <c r="G45" s="54" t="str">
        <f ca="1"/>
        <v/>
      </c>
      <c r="H45" s="54" t="str">
        <f ca="1"/>
        <v>３０ｇｘ１</v>
      </c>
      <c r="I45" s="54" t="str">
        <f ca="1"/>
        <v>ｇ</v>
      </c>
      <c r="J45" s="54" t="str">
        <f ca="1">IF(F45="","",OFFSET(分類!$B$29,MATCH(F45,分類!$A$30:$A$46,0),0))</f>
        <v>外用.臨時.散薬ヒート</v>
      </c>
    </row>
    <row r="46" spans="2:10">
      <c r="B46" s="27">
        <f t="shared" si="0"/>
        <v>42</v>
      </c>
      <c r="C46" s="27">
        <f ca="1"/>
        <v>580</v>
      </c>
      <c r="D46" s="27" t="str">
        <f ca="1"/>
        <v>ブロムヘキシン塩酸塩吸入液０．２％「タイヨー」</v>
      </c>
      <c r="E46" s="27">
        <f ca="1"/>
        <v>0</v>
      </c>
      <c r="F46" s="54">
        <f ca="1"/>
        <v>3</v>
      </c>
      <c r="G46" s="54" t="str">
        <f ca="1"/>
        <v/>
      </c>
      <c r="H46" s="54" t="str">
        <f ca="1"/>
        <v>４５ｍｌ</v>
      </c>
      <c r="I46" s="54" t="str">
        <f ca="1"/>
        <v>ｍｌ</v>
      </c>
      <c r="J46" s="54" t="str">
        <f ca="1">IF(F46="","",OFFSET(分類!$B$29,MATCH(F46,分類!$A$30:$A$46,0),0))</f>
        <v>外用.臨時.散薬ヒート</v>
      </c>
    </row>
    <row r="47" spans="2:10">
      <c r="B47" s="27">
        <f t="shared" si="0"/>
        <v>43</v>
      </c>
      <c r="C47" s="27">
        <f ca="1"/>
        <v>590</v>
      </c>
      <c r="D47" s="27" t="str">
        <f ca="1"/>
        <v>ベタメタゾン吉草酸エステルロ－ション０．１２％「イワキ」</v>
      </c>
      <c r="E47" s="27">
        <f ca="1"/>
        <v>0</v>
      </c>
      <c r="F47" s="54">
        <f ca="1"/>
        <v>3</v>
      </c>
      <c r="G47" s="54" t="str">
        <f ca="1"/>
        <v/>
      </c>
      <c r="H47" s="54" t="str">
        <f ca="1"/>
        <v>１０ＭＬＸ１０</v>
      </c>
      <c r="I47" s="54" t="str">
        <f ca="1"/>
        <v>ｍｌ</v>
      </c>
      <c r="J47" s="54" t="str">
        <f ca="1">IF(F47="","",OFFSET(分類!$B$29,MATCH(F47,分類!$A$30:$A$46,0),0))</f>
        <v>外用.臨時.散薬ヒート</v>
      </c>
    </row>
    <row r="48" spans="2:10">
      <c r="B48" s="27">
        <f t="shared" si="0"/>
        <v>44</v>
      </c>
      <c r="C48" s="27">
        <f ca="1"/>
        <v>595</v>
      </c>
      <c r="D48" s="27" t="str">
        <f ca="1"/>
        <v>ヘパリン類似物質油性クリーム０．３％「ニチイコウ」</v>
      </c>
      <c r="E48" s="27">
        <f ca="1"/>
        <v>0</v>
      </c>
      <c r="F48" s="54">
        <f ca="1"/>
        <v>5</v>
      </c>
      <c r="G48" s="54" t="str">
        <f ca="1"/>
        <v/>
      </c>
      <c r="H48" s="54" t="str">
        <f ca="1"/>
        <v>１００ｇ</v>
      </c>
      <c r="I48" s="54" t="str">
        <f ca="1"/>
        <v>ｇ</v>
      </c>
      <c r="J48" s="54" t="str">
        <f ca="1">IF(F48="","",OFFSET(分類!$B$29,MATCH(F48,分類!$A$30:$A$46,0),0))</f>
        <v>普通薬バラ</v>
      </c>
    </row>
    <row r="49" spans="2:10">
      <c r="B49" s="27">
        <f t="shared" si="0"/>
        <v>45</v>
      </c>
      <c r="C49" s="27">
        <f ca="1"/>
        <v>598</v>
      </c>
      <c r="D49" s="27" t="str">
        <f ca="1"/>
        <v>ペミロラストＫ点眼液０．１％「ＴＳ」</v>
      </c>
      <c r="E49" s="27">
        <f ca="1"/>
        <v>0</v>
      </c>
      <c r="F49" s="54">
        <f ca="1"/>
        <v>3</v>
      </c>
      <c r="G49" s="54" t="str">
        <f ca="1"/>
        <v/>
      </c>
      <c r="H49" s="54" t="str">
        <f ca="1"/>
        <v>５ｍｌｘ１０</v>
      </c>
      <c r="I49" s="54" t="str">
        <f ca="1"/>
        <v>瓶</v>
      </c>
      <c r="J49" s="54" t="str">
        <f ca="1">IF(F49="","",OFFSET(分類!$B$29,MATCH(F49,分類!$A$30:$A$46,0),0))</f>
        <v>外用.臨時.散薬ヒート</v>
      </c>
    </row>
    <row r="50" spans="2:10">
      <c r="B50" s="27">
        <f t="shared" si="0"/>
        <v>46</v>
      </c>
      <c r="C50" s="27">
        <f ca="1"/>
        <v>599</v>
      </c>
      <c r="D50" s="27" t="str">
        <f ca="1"/>
        <v>ヘモレックス軟膏</v>
      </c>
      <c r="E50" s="27">
        <f ca="1"/>
        <v>0</v>
      </c>
      <c r="F50" s="54">
        <f ca="1"/>
        <v>3</v>
      </c>
      <c r="G50" s="54" t="str">
        <f ca="1"/>
        <v/>
      </c>
      <c r="H50" s="54" t="str">
        <f ca="1"/>
        <v>２ｇｘ７０</v>
      </c>
      <c r="I50" s="54" t="str">
        <f ca="1"/>
        <v>ｇ</v>
      </c>
      <c r="J50" s="54" t="str">
        <f ca="1">IF(F50="","",OFFSET(分類!$B$29,MATCH(F50,分類!$A$30:$A$46,0),0))</f>
        <v>外用.臨時.散薬ヒート</v>
      </c>
    </row>
    <row r="51" spans="2:10">
      <c r="B51" s="27">
        <f t="shared" si="0"/>
        <v>47</v>
      </c>
      <c r="C51" s="27">
        <f ca="1"/>
        <v>609</v>
      </c>
      <c r="D51" s="27" t="str">
        <f ca="1"/>
        <v>ボアラ軟膏０．１２％</v>
      </c>
      <c r="E51" s="27">
        <f ca="1"/>
        <v>0</v>
      </c>
      <c r="F51" s="54">
        <f ca="1"/>
        <v>8</v>
      </c>
      <c r="G51" s="54" t="str">
        <f ca="1"/>
        <v/>
      </c>
      <c r="H51" s="54" t="str">
        <f ca="1"/>
        <v>１００ｇ</v>
      </c>
      <c r="I51" s="54" t="str">
        <f ca="1"/>
        <v>ｇ</v>
      </c>
      <c r="J51" s="54" t="str">
        <f ca="1">IF(F51="","",OFFSET(分類!$B$29,MATCH(F51,分類!$A$30:$A$46,0),0))</f>
        <v>抗生剤.小輸液</v>
      </c>
    </row>
    <row r="52" spans="2:10">
      <c r="B52" s="27">
        <f t="shared" si="0"/>
        <v>48</v>
      </c>
      <c r="C52" s="27">
        <f ca="1"/>
        <v>626</v>
      </c>
      <c r="D52" s="27" t="str">
        <f ca="1"/>
        <v>マイザー軟膏０．０５％</v>
      </c>
      <c r="E52" s="27">
        <f ca="1"/>
        <v>0</v>
      </c>
      <c r="F52" s="54">
        <f ca="1"/>
        <v>3</v>
      </c>
      <c r="G52" s="54" t="str">
        <f ca="1"/>
        <v/>
      </c>
      <c r="H52" s="54" t="str">
        <f ca="1"/>
        <v>５ｇｘ１０</v>
      </c>
      <c r="I52" s="54" t="str">
        <f ca="1"/>
        <v>ｇ</v>
      </c>
      <c r="J52" s="54" t="str">
        <f ca="1">IF(F52="","",OFFSET(分類!$B$29,MATCH(F52,分類!$A$30:$A$46,0),0))</f>
        <v>外用.臨時.散薬ヒート</v>
      </c>
    </row>
    <row r="53" spans="2:10">
      <c r="B53" s="27">
        <f t="shared" si="0"/>
        <v>49</v>
      </c>
      <c r="C53" s="27">
        <f ca="1"/>
        <v>652</v>
      </c>
      <c r="D53" s="27" t="str">
        <f ca="1"/>
        <v>メプチンエア－１０μｇ吸入１００回　　０．０１４３％</v>
      </c>
      <c r="E53" s="27">
        <f ca="1"/>
        <v>0</v>
      </c>
      <c r="F53" s="54">
        <f ca="1"/>
        <v>3</v>
      </c>
      <c r="G53" s="54" t="str">
        <f ca="1"/>
        <v/>
      </c>
      <c r="H53" s="54" t="str">
        <f ca="1"/>
        <v>５ｍｌｘ１０</v>
      </c>
      <c r="I53" s="54" t="str">
        <f ca="1"/>
        <v>本</v>
      </c>
      <c r="J53" s="54" t="str">
        <f ca="1">IF(F53="","",OFFSET(分類!$B$29,MATCH(F53,分類!$A$30:$A$46,0),0))</f>
        <v>外用.臨時.散薬ヒート</v>
      </c>
    </row>
    <row r="54" spans="2:10">
      <c r="B54" s="27">
        <f t="shared" si="0"/>
        <v>50</v>
      </c>
      <c r="C54" s="27">
        <f ca="1"/>
        <v>678</v>
      </c>
      <c r="D54" s="27" t="str">
        <f ca="1"/>
        <v>ラタノプロスト点眼液０．００５％「センジュ」</v>
      </c>
      <c r="E54" s="27">
        <f ca="1"/>
        <v>0</v>
      </c>
      <c r="F54" s="54">
        <f ca="1"/>
        <v>11</v>
      </c>
      <c r="G54" s="54" t="str">
        <f ca="1"/>
        <v/>
      </c>
      <c r="H54" s="54" t="str">
        <f ca="1"/>
        <v>２．５ｍｌｘ１０</v>
      </c>
      <c r="I54" s="54" t="str">
        <f ca="1"/>
        <v>ｍｌ</v>
      </c>
      <c r="J54" s="54" t="str">
        <f ca="1">IF(F54="","",OFFSET(分類!$B$29,MATCH(F54,分類!$A$30:$A$46,0),0))</f>
        <v>冷蔵庫</v>
      </c>
    </row>
    <row r="55" spans="2:10">
      <c r="B55" s="27">
        <f t="shared" si="0"/>
        <v>51</v>
      </c>
      <c r="C55" s="27">
        <f ca="1"/>
        <v>726</v>
      </c>
      <c r="D55" s="27" t="str">
        <f ca="1"/>
        <v>リバスチグミンテープ１３．５ｍｇ「トーワ」　</v>
      </c>
      <c r="E55" s="27">
        <f ca="1"/>
        <v>2</v>
      </c>
      <c r="F55" s="54">
        <f ca="1"/>
        <v>3</v>
      </c>
      <c r="G55" s="54" t="str">
        <f ca="1"/>
        <v/>
      </c>
      <c r="H55" s="54" t="str">
        <f ca="1"/>
        <v>１４枚</v>
      </c>
      <c r="I55" s="54" t="str">
        <f ca="1"/>
        <v>枚</v>
      </c>
      <c r="J55" s="54" t="str">
        <f ca="1">IF(F55="","",OFFSET(分類!$B$29,MATCH(F55,分類!$A$30:$A$46,0),0))</f>
        <v>外用.臨時.散薬ヒート</v>
      </c>
    </row>
    <row r="56" spans="2:10">
      <c r="B56" s="27">
        <f t="shared" si="0"/>
        <v>52</v>
      </c>
      <c r="C56" s="27">
        <f ca="1"/>
        <v>727</v>
      </c>
      <c r="D56" s="27" t="str">
        <f ca="1"/>
        <v>リバスチグミンテープ１８ｍｇ「トーワ」　</v>
      </c>
      <c r="E56" s="27">
        <f ca="1"/>
        <v>2</v>
      </c>
      <c r="F56" s="54">
        <f ca="1"/>
        <v>3</v>
      </c>
      <c r="G56" s="54" t="str">
        <f ca="1"/>
        <v/>
      </c>
      <c r="H56" s="54" t="str">
        <f ca="1"/>
        <v>１４枚</v>
      </c>
      <c r="I56" s="54" t="str">
        <f ca="1"/>
        <v>枚</v>
      </c>
      <c r="J56" s="54" t="str">
        <f ca="1">IF(F56="","",OFFSET(分類!$B$29,MATCH(F56,分類!$A$30:$A$46,0),0))</f>
        <v>外用.臨時.散薬ヒート</v>
      </c>
    </row>
    <row r="57" spans="2:10">
      <c r="B57" s="27">
        <f t="shared" si="0"/>
        <v>53</v>
      </c>
      <c r="C57" s="27">
        <f ca="1"/>
        <v>728</v>
      </c>
      <c r="D57" s="27" t="str">
        <f ca="1"/>
        <v>リバスチグミンテープ４．５ｍｇ「トーワ」</v>
      </c>
      <c r="E57" s="27">
        <f ca="1"/>
        <v>2</v>
      </c>
      <c r="F57" s="54">
        <f ca="1"/>
        <v>3</v>
      </c>
      <c r="G57" s="54" t="str">
        <f ca="1"/>
        <v/>
      </c>
      <c r="H57" s="54" t="str">
        <f ca="1"/>
        <v>１４枚</v>
      </c>
      <c r="I57" s="54" t="str">
        <f ca="1"/>
        <v>枚</v>
      </c>
      <c r="J57" s="54" t="str">
        <f ca="1">IF(F57="","",OFFSET(分類!$B$29,MATCH(F57,分類!$A$30:$A$46,0),0))</f>
        <v>外用.臨時.散薬ヒート</v>
      </c>
    </row>
    <row r="58" spans="2:10">
      <c r="B58" s="27">
        <f t="shared" si="0"/>
        <v>54</v>
      </c>
      <c r="C58" s="27">
        <f ca="1"/>
        <v>729</v>
      </c>
      <c r="D58" s="27" t="str">
        <f ca="1"/>
        <v>リバスチグミンテープ９ｍｇ「トーワ」　</v>
      </c>
      <c r="E58" s="27">
        <f ca="1"/>
        <v>2</v>
      </c>
      <c r="F58" s="54">
        <f ca="1"/>
        <v>3</v>
      </c>
      <c r="G58" s="54" t="str">
        <f ca="1"/>
        <v/>
      </c>
      <c r="H58" s="54" t="str">
        <f ca="1"/>
        <v>１４枚</v>
      </c>
      <c r="I58" s="54" t="str">
        <f ca="1"/>
        <v>枚</v>
      </c>
      <c r="J58" s="54" t="str">
        <f ca="1">IF(F58="","",OFFSET(分類!$B$29,MATCH(F58,分類!$A$30:$A$46,0),0))</f>
        <v>外用.臨時.散薬ヒート</v>
      </c>
    </row>
    <row r="59" spans="2:10">
      <c r="B59" s="27">
        <f t="shared" si="0"/>
        <v>55</v>
      </c>
      <c r="C59" s="27">
        <f ca="1"/>
        <v>740</v>
      </c>
      <c r="D59" s="27" t="str">
        <f ca="1"/>
        <v>リンデロン－Ｖ　クリーム０．１２％</v>
      </c>
      <c r="E59" s="27">
        <f ca="1"/>
        <v>0</v>
      </c>
      <c r="F59" s="54">
        <f ca="1"/>
        <v>3</v>
      </c>
      <c r="G59" s="54" t="str">
        <f ca="1"/>
        <v/>
      </c>
      <c r="H59" s="54" t="str">
        <f ca="1"/>
        <v>５ｇＸ１０入</v>
      </c>
      <c r="I59" s="54" t="str">
        <f ca="1"/>
        <v>ｇ</v>
      </c>
      <c r="J59" s="54" t="str">
        <f ca="1">IF(F59="","",OFFSET(分類!$B$29,MATCH(F59,分類!$A$30:$A$46,0),0))</f>
        <v>外用.臨時.散薬ヒート</v>
      </c>
    </row>
    <row r="60" spans="2:10">
      <c r="B60" s="27">
        <f t="shared" si="0"/>
        <v>56</v>
      </c>
      <c r="C60" s="27">
        <f ca="1"/>
        <v>742</v>
      </c>
      <c r="D60" s="27" t="str">
        <f ca="1"/>
        <v>リンデロン点眼点耳点鼻液０．１％</v>
      </c>
      <c r="E60" s="27">
        <f ca="1"/>
        <v>0</v>
      </c>
      <c r="F60" s="54">
        <f ca="1"/>
        <v>3</v>
      </c>
      <c r="G60" s="54" t="str">
        <f ca="1"/>
        <v/>
      </c>
      <c r="H60" s="54" t="str">
        <f ca="1"/>
        <v>５ｍｌｘ１０</v>
      </c>
      <c r="I60" s="54" t="str">
        <f ca="1"/>
        <v>本</v>
      </c>
      <c r="J60" s="54" t="str">
        <f ca="1">IF(F60="","",OFFSET(分類!$B$29,MATCH(F60,分類!$A$30:$A$46,0),0))</f>
        <v>外用.臨時.散薬ヒート</v>
      </c>
    </row>
    <row r="61" spans="2:10">
      <c r="B61" s="27">
        <f t="shared" si="0"/>
        <v>57</v>
      </c>
      <c r="C61" s="27">
        <f ca="1"/>
        <v>759</v>
      </c>
      <c r="D61" s="27" t="str">
        <f ca="1"/>
        <v>レスタミンコーワクリーム１％</v>
      </c>
      <c r="E61" s="27">
        <f ca="1"/>
        <v>0</v>
      </c>
      <c r="F61" s="54">
        <f ca="1"/>
        <v>7</v>
      </c>
      <c r="G61" s="54" t="str">
        <f ca="1"/>
        <v/>
      </c>
      <c r="H61" s="54" t="str">
        <f ca="1"/>
        <v>５００ｇ</v>
      </c>
      <c r="I61" s="54" t="str">
        <f ca="1"/>
        <v>10ｇ</v>
      </c>
      <c r="J61" s="54" t="str">
        <f ca="1">IF(F61="","",OFFSET(分類!$B$29,MATCH(F61,分類!$A$30:$A$46,0),0))</f>
        <v>軟膏</v>
      </c>
    </row>
    <row r="62" spans="2:10">
      <c r="B62" s="27">
        <f t="shared" si="0"/>
        <v>58</v>
      </c>
      <c r="C62" s="27">
        <f ca="1"/>
        <v>779</v>
      </c>
      <c r="D62" s="27" t="str">
        <f ca="1"/>
        <v>ロキソプロフェンＮａテープ１００ｍｇ「ＤＳＥＰ」</v>
      </c>
      <c r="E62" s="27">
        <f ca="1"/>
        <v>0</v>
      </c>
      <c r="F62" s="54">
        <f ca="1"/>
        <v>12</v>
      </c>
      <c r="G62" s="54" t="str">
        <f ca="1"/>
        <v/>
      </c>
      <c r="H62" s="54" t="str">
        <f ca="1"/>
        <v>７００枚</v>
      </c>
      <c r="I62" s="54" t="str">
        <f ca="1"/>
        <v>枚</v>
      </c>
      <c r="J62" s="54" t="str">
        <f ca="1">IF(F62="","",OFFSET(分類!$B$29,MATCH(F62,分類!$A$30:$A$46,0),0))</f>
        <v>湿布</v>
      </c>
    </row>
    <row r="63" spans="2:10">
      <c r="B63" s="27">
        <f t="shared" si="0"/>
        <v>59</v>
      </c>
      <c r="C63" s="27">
        <f ca="1"/>
        <v>783</v>
      </c>
      <c r="D63" s="27" t="str">
        <f ca="1"/>
        <v>ロコイド軟膏０．１％</v>
      </c>
      <c r="E63" s="27">
        <f ca="1"/>
        <v>0</v>
      </c>
      <c r="F63" s="54">
        <f ca="1"/>
        <v>3</v>
      </c>
      <c r="G63" s="54" t="str">
        <f ca="1"/>
        <v/>
      </c>
      <c r="H63" s="54" t="str">
        <f ca="1"/>
        <v>５ｇｘ１０</v>
      </c>
      <c r="I63" s="54" t="str">
        <f ca="1"/>
        <v>ｇ</v>
      </c>
      <c r="J63" s="54" t="str">
        <f ca="1">IF(F63="","",OFFSET(分類!$B$29,MATCH(F63,分類!$A$30:$A$46,0),0))</f>
        <v>外用.臨時.散薬ヒート</v>
      </c>
    </row>
    <row r="64" spans="2:10">
      <c r="B64" s="27">
        <f t="shared" si="0"/>
        <v>60</v>
      </c>
      <c r="C64" s="27">
        <f ca="1"/>
        <v>792</v>
      </c>
      <c r="D64" s="27" t="str">
        <f ca="1"/>
        <v>ロナセンテープ２０ｍｇ</v>
      </c>
      <c r="E64" s="27">
        <f ca="1"/>
        <v>2</v>
      </c>
      <c r="F64" s="54">
        <f ca="1"/>
        <v>3</v>
      </c>
      <c r="G64" s="54" t="str">
        <f ca="1"/>
        <v/>
      </c>
      <c r="H64" s="54" t="str">
        <f ca="1"/>
        <v>７０枚</v>
      </c>
      <c r="I64" s="54" t="str">
        <f ca="1"/>
        <v>枚</v>
      </c>
      <c r="J64" s="54" t="str">
        <f ca="1">IF(F64="","",OFFSET(分類!$B$29,MATCH(F64,分類!$A$30:$A$46,0),0))</f>
        <v>外用.臨時.散薬ヒート</v>
      </c>
    </row>
    <row r="65" spans="2:10">
      <c r="B65" s="27">
        <f t="shared" si="0"/>
        <v>61</v>
      </c>
      <c r="C65" s="27">
        <f ca="1"/>
        <v>793</v>
      </c>
      <c r="D65" s="27" t="str">
        <f ca="1"/>
        <v>ロナセンテープ４０ｍｇ</v>
      </c>
      <c r="E65" s="27">
        <f ca="1"/>
        <v>2</v>
      </c>
      <c r="F65" s="54">
        <f ca="1"/>
        <v>3</v>
      </c>
      <c r="G65" s="54" t="str">
        <f ca="1"/>
        <v/>
      </c>
      <c r="H65" s="54" t="str">
        <f ca="1"/>
        <v>７０枚</v>
      </c>
      <c r="I65" s="54" t="str">
        <f ca="1"/>
        <v>枚</v>
      </c>
      <c r="J65" s="54" t="str">
        <f ca="1">IF(F65="","",OFFSET(分類!$B$29,MATCH(F65,分類!$A$30:$A$46,0),0))</f>
        <v>外用.臨時.散薬ヒート</v>
      </c>
    </row>
    <row r="66" spans="2:10">
      <c r="B66" s="27">
        <f t="shared" si="0"/>
        <v>62</v>
      </c>
      <c r="C66" s="27">
        <f ca="1"/>
        <v>804</v>
      </c>
      <c r="D66" s="27" t="str">
        <f ca="1"/>
        <v>亜鉛華軟膏「ニッコー」　</v>
      </c>
      <c r="E66" s="27">
        <f ca="1"/>
        <v>0</v>
      </c>
      <c r="F66" s="54">
        <f ca="1"/>
        <v>7</v>
      </c>
      <c r="G66" s="54" t="str">
        <f ca="1"/>
        <v/>
      </c>
      <c r="H66" s="54" t="str">
        <f ca="1"/>
        <v>５００ｇ</v>
      </c>
      <c r="I66" s="54" t="str">
        <f ca="1"/>
        <v>10ｇ</v>
      </c>
      <c r="J66" s="54" t="str">
        <f ca="1">IF(F66="","",OFFSET(分類!$B$29,MATCH(F66,分類!$A$30:$A$46,0),0))</f>
        <v>軟膏</v>
      </c>
    </row>
    <row r="67" spans="2:10">
      <c r="B67" s="27">
        <f t="shared" si="0"/>
        <v>63</v>
      </c>
      <c r="C67" s="27">
        <f ca="1"/>
        <v>832</v>
      </c>
      <c r="D67" s="27" t="str">
        <f ca="1"/>
        <v>尿素クリーム１０％「日医工」</v>
      </c>
      <c r="E67" s="27">
        <f ca="1"/>
        <v>0</v>
      </c>
      <c r="F67" s="54">
        <f ca="1"/>
        <v>3</v>
      </c>
      <c r="G67" s="54" t="str">
        <f ca="1"/>
        <v/>
      </c>
      <c r="H67" s="54" t="str">
        <f ca="1"/>
        <v>２０ｇＸ１０</v>
      </c>
      <c r="I67" s="54" t="str">
        <f ca="1"/>
        <v>ｇ</v>
      </c>
      <c r="J67" s="54" t="str">
        <f ca="1">IF(F67="","",OFFSET(分類!$B$29,MATCH(F67,分類!$A$30:$A$46,0),0))</f>
        <v>外用.臨時.散薬ヒート</v>
      </c>
    </row>
    <row r="68" spans="2:10">
      <c r="B68" s="27">
        <f t="shared" si="0"/>
        <v>64</v>
      </c>
      <c r="C68" s="27"/>
      <c r="D68" s="27"/>
      <c r="E68" s="27"/>
      <c r="F68" s="54"/>
      <c r="G68" s="54"/>
      <c r="H68" s="54"/>
      <c r="I68" s="54"/>
      <c r="J68" s="54" t="str">
        <f ca="1">IF(F68="","",OFFSET(分類!$B$29,MATCH(F68,分類!$A$30:$A$46,0),0))</f>
        <v/>
      </c>
    </row>
    <row r="69" spans="2:10">
      <c r="B69" s="27">
        <f t="shared" si="0"/>
        <v>65</v>
      </c>
      <c r="C69" s="27"/>
      <c r="D69" s="27"/>
      <c r="E69" s="27"/>
      <c r="F69" s="54"/>
      <c r="G69" s="54"/>
      <c r="H69" s="54"/>
      <c r="I69" s="54"/>
      <c r="J69" s="54" t="str">
        <f ca="1">IF(F69="","",OFFSET(分類!$B$29,MATCH(F69,分類!$A$30:$A$46,0),0))</f>
        <v/>
      </c>
    </row>
    <row r="70" spans="2:10">
      <c r="B70" s="27">
        <f t="shared" si="0"/>
        <v>66</v>
      </c>
      <c r="C70" s="27"/>
      <c r="D70" s="27"/>
      <c r="E70" s="27"/>
      <c r="F70" s="54"/>
      <c r="G70" s="54"/>
      <c r="H70" s="54"/>
      <c r="I70" s="54"/>
      <c r="J70" s="54" t="str">
        <f ca="1">IF(F70="","",OFFSET(分類!$B$29,MATCH(F70,分類!$A$30:$A$46,0),0))</f>
        <v/>
      </c>
    </row>
    <row r="71" spans="2:10">
      <c r="B71" s="27">
        <f t="shared" ref="B71:B134" si="1">B70+1</f>
        <v>67</v>
      </c>
      <c r="C71" s="27"/>
      <c r="D71" s="27"/>
      <c r="E71" s="27"/>
      <c r="F71" s="54"/>
      <c r="G71" s="54"/>
      <c r="H71" s="54"/>
      <c r="I71" s="54"/>
      <c r="J71" s="54" t="str">
        <f ca="1">IF(F71="","",OFFSET(分類!$B$29,MATCH(F71,分類!$A$30:$A$46,0),0))</f>
        <v/>
      </c>
    </row>
    <row r="72" spans="2:10">
      <c r="B72" s="27">
        <f t="shared" si="1"/>
        <v>68</v>
      </c>
      <c r="C72" s="27"/>
      <c r="D72" s="27"/>
      <c r="E72" s="27"/>
      <c r="F72" s="54"/>
      <c r="G72" s="54"/>
      <c r="H72" s="54"/>
      <c r="I72" s="54"/>
      <c r="J72" s="54" t="str">
        <f ca="1">IF(F72="","",OFFSET(分類!$B$29,MATCH(F72,分類!$A$30:$A$46,0),0))</f>
        <v/>
      </c>
    </row>
    <row r="73" spans="2:10">
      <c r="B73" s="27">
        <f t="shared" si="1"/>
        <v>69</v>
      </c>
      <c r="C73" s="27"/>
      <c r="D73" s="27"/>
      <c r="E73" s="27"/>
      <c r="F73" s="54"/>
      <c r="G73" s="54"/>
      <c r="H73" s="54"/>
      <c r="I73" s="54"/>
      <c r="J73" s="54" t="str">
        <f ca="1">IF(F73="","",OFFSET(分類!$B$29,MATCH(F73,分類!$A$30:$A$46,0),0))</f>
        <v/>
      </c>
    </row>
    <row r="74" spans="2:10">
      <c r="B74" s="27">
        <f t="shared" si="1"/>
        <v>70</v>
      </c>
      <c r="C74" s="27"/>
      <c r="D74" s="27"/>
      <c r="E74" s="27"/>
      <c r="F74" s="54"/>
      <c r="G74" s="54"/>
      <c r="H74" s="54"/>
      <c r="I74" s="54"/>
      <c r="J74" s="54" t="str">
        <f ca="1">IF(F74="","",OFFSET(分類!$B$29,MATCH(F74,分類!$A$30:$A$46,0),0))</f>
        <v/>
      </c>
    </row>
    <row r="75" spans="2:10">
      <c r="B75" s="27">
        <f t="shared" si="1"/>
        <v>71</v>
      </c>
      <c r="C75" s="27"/>
      <c r="D75" s="27"/>
      <c r="E75" s="27"/>
      <c r="F75" s="54"/>
      <c r="G75" s="54"/>
      <c r="H75" s="54"/>
      <c r="I75" s="54"/>
      <c r="J75" s="54" t="str">
        <f ca="1">IF(F75="","",OFFSET(分類!$B$29,MATCH(F75,分類!$A$30:$A$46,0),0))</f>
        <v/>
      </c>
    </row>
    <row r="76" spans="2:10">
      <c r="B76" s="27">
        <f t="shared" si="1"/>
        <v>72</v>
      </c>
      <c r="C76" s="27"/>
      <c r="D76" s="27"/>
      <c r="E76" s="27"/>
      <c r="F76" s="54"/>
      <c r="G76" s="54"/>
      <c r="H76" s="54"/>
      <c r="I76" s="54"/>
      <c r="J76" s="54" t="str">
        <f ca="1">IF(F76="","",OFFSET(分類!$B$29,MATCH(F76,分類!$A$30:$A$46,0),0))</f>
        <v/>
      </c>
    </row>
    <row r="77" spans="2:10">
      <c r="B77" s="27">
        <f t="shared" si="1"/>
        <v>73</v>
      </c>
      <c r="C77" s="27"/>
      <c r="D77" s="27"/>
      <c r="E77" s="27"/>
      <c r="F77" s="54"/>
      <c r="G77" s="54"/>
      <c r="H77" s="54"/>
      <c r="I77" s="54"/>
      <c r="J77" s="54" t="str">
        <f ca="1">IF(F77="","",OFFSET(分類!$B$29,MATCH(F77,分類!$A$30:$A$46,0),0))</f>
        <v/>
      </c>
    </row>
    <row r="78" spans="2:10">
      <c r="B78" s="27">
        <f t="shared" si="1"/>
        <v>74</v>
      </c>
      <c r="C78" s="27"/>
      <c r="D78" s="27"/>
      <c r="E78" s="27"/>
      <c r="F78" s="54"/>
      <c r="G78" s="54"/>
      <c r="H78" s="54"/>
      <c r="I78" s="54"/>
      <c r="J78" s="54" t="str">
        <f ca="1">IF(F78="","",OFFSET(分類!$B$29,MATCH(F78,分類!$A$30:$A$46,0),0))</f>
        <v/>
      </c>
    </row>
    <row r="79" spans="2:10">
      <c r="B79" s="27">
        <f t="shared" si="1"/>
        <v>75</v>
      </c>
      <c r="C79" s="27"/>
      <c r="D79" s="27"/>
      <c r="E79" s="27"/>
      <c r="F79" s="54"/>
      <c r="G79" s="54"/>
      <c r="H79" s="54"/>
      <c r="I79" s="54"/>
      <c r="J79" s="54" t="str">
        <f ca="1">IF(F79="","",OFFSET(分類!$B$29,MATCH(F79,分類!$A$30:$A$46,0),0))</f>
        <v/>
      </c>
    </row>
    <row r="80" spans="2:10">
      <c r="B80" s="27">
        <f t="shared" si="1"/>
        <v>76</v>
      </c>
      <c r="C80" s="27"/>
      <c r="D80" s="27"/>
      <c r="E80" s="27"/>
      <c r="F80" s="54"/>
      <c r="G80" s="54"/>
      <c r="H80" s="54"/>
      <c r="I80" s="54"/>
      <c r="J80" s="54" t="str">
        <f ca="1">IF(F80="","",OFFSET(分類!$B$29,MATCH(F80,分類!$A$30:$A$46,0),0))</f>
        <v/>
      </c>
    </row>
    <row r="81" spans="2:10">
      <c r="B81" s="27">
        <f t="shared" si="1"/>
        <v>77</v>
      </c>
      <c r="C81" s="27"/>
      <c r="D81" s="27"/>
      <c r="E81" s="27"/>
      <c r="F81" s="54"/>
      <c r="G81" s="54"/>
      <c r="H81" s="54"/>
      <c r="I81" s="54"/>
      <c r="J81" s="54" t="str">
        <f ca="1">IF(F81="","",OFFSET(分類!$B$29,MATCH(F81,分類!$A$30:$A$46,0),0))</f>
        <v/>
      </c>
    </row>
    <row r="82" spans="2:10">
      <c r="B82" s="27">
        <f t="shared" si="1"/>
        <v>78</v>
      </c>
      <c r="C82" s="27"/>
      <c r="D82" s="27"/>
      <c r="E82" s="27"/>
      <c r="F82" s="54"/>
      <c r="G82" s="54"/>
      <c r="H82" s="54"/>
      <c r="I82" s="54"/>
      <c r="J82" s="54" t="str">
        <f ca="1">IF(F82="","",OFFSET(分類!$B$29,MATCH(F82,分類!$A$30:$A$46,0),0))</f>
        <v/>
      </c>
    </row>
    <row r="83" spans="2:10">
      <c r="B83" s="27">
        <f t="shared" si="1"/>
        <v>79</v>
      </c>
      <c r="C83" s="27"/>
      <c r="D83" s="27"/>
      <c r="E83" s="27"/>
      <c r="F83" s="54"/>
      <c r="G83" s="54"/>
      <c r="H83" s="54"/>
      <c r="I83" s="54"/>
      <c r="J83" s="54" t="str">
        <f ca="1">IF(F83="","",OFFSET(分類!$B$29,MATCH(F83,分類!$A$30:$A$46,0),0))</f>
        <v/>
      </c>
    </row>
    <row r="84" spans="2:10">
      <c r="B84" s="27">
        <f t="shared" si="1"/>
        <v>80</v>
      </c>
      <c r="C84" s="27"/>
      <c r="D84" s="27"/>
      <c r="E84" s="27"/>
      <c r="F84" s="54"/>
      <c r="G84" s="54"/>
      <c r="H84" s="54"/>
      <c r="I84" s="54"/>
      <c r="J84" s="54" t="str">
        <f ca="1">IF(F84="","",OFFSET(分類!$B$29,MATCH(F84,分類!$A$30:$A$46,0),0))</f>
        <v/>
      </c>
    </row>
    <row r="85" spans="2:10">
      <c r="B85" s="27">
        <f t="shared" si="1"/>
        <v>81</v>
      </c>
      <c r="C85" s="27"/>
      <c r="D85" s="27"/>
      <c r="E85" s="27"/>
      <c r="F85" s="54"/>
      <c r="G85" s="54"/>
      <c r="H85" s="54"/>
      <c r="I85" s="54"/>
      <c r="J85" s="54" t="str">
        <f ca="1">IF(F85="","",OFFSET(分類!$B$29,MATCH(F85,分類!$A$30:$A$46,0),0))</f>
        <v/>
      </c>
    </row>
    <row r="86" spans="2:10">
      <c r="B86" s="27">
        <f t="shared" si="1"/>
        <v>82</v>
      </c>
      <c r="C86" s="27"/>
      <c r="D86" s="27"/>
      <c r="E86" s="27"/>
      <c r="F86" s="54"/>
      <c r="G86" s="54"/>
      <c r="H86" s="54"/>
      <c r="I86" s="54"/>
      <c r="J86" s="54" t="str">
        <f ca="1">IF(F86="","",OFFSET(分類!$B$29,MATCH(F86,分類!$A$30:$A$46,0),0))</f>
        <v/>
      </c>
    </row>
    <row r="87" spans="2:10">
      <c r="B87" s="27">
        <f t="shared" si="1"/>
        <v>83</v>
      </c>
      <c r="C87" s="27"/>
      <c r="D87" s="27"/>
      <c r="E87" s="27"/>
      <c r="F87" s="54"/>
      <c r="G87" s="54"/>
      <c r="H87" s="54"/>
      <c r="I87" s="54"/>
      <c r="J87" s="54" t="str">
        <f ca="1">IF(F87="","",OFFSET(分類!$B$29,MATCH(F87,分類!$A$30:$A$46,0),0))</f>
        <v/>
      </c>
    </row>
    <row r="88" spans="2:10">
      <c r="B88" s="27">
        <f t="shared" si="1"/>
        <v>84</v>
      </c>
      <c r="C88" s="27"/>
      <c r="D88" s="27"/>
      <c r="E88" s="27"/>
      <c r="F88" s="54"/>
      <c r="G88" s="54"/>
      <c r="H88" s="54"/>
      <c r="I88" s="54"/>
      <c r="J88" s="54" t="str">
        <f ca="1">IF(F88="","",OFFSET(分類!$B$29,MATCH(F88,分類!$A$30:$A$46,0),0))</f>
        <v/>
      </c>
    </row>
    <row r="89" spans="2:10">
      <c r="B89" s="27">
        <f t="shared" si="1"/>
        <v>85</v>
      </c>
      <c r="C89" s="27"/>
      <c r="D89" s="27"/>
      <c r="E89" s="27"/>
      <c r="F89" s="54"/>
      <c r="G89" s="54"/>
      <c r="H89" s="54"/>
      <c r="I89" s="54"/>
      <c r="J89" s="54" t="str">
        <f ca="1">IF(F89="","",OFFSET(分類!$B$29,MATCH(F89,分類!$A$30:$A$46,0),0))</f>
        <v/>
      </c>
    </row>
    <row r="90" spans="2:10">
      <c r="B90" s="27">
        <f t="shared" si="1"/>
        <v>86</v>
      </c>
      <c r="C90" s="27"/>
      <c r="D90" s="27"/>
      <c r="E90" s="27"/>
      <c r="F90" s="54"/>
      <c r="G90" s="54"/>
      <c r="H90" s="54"/>
      <c r="I90" s="54"/>
      <c r="J90" s="54" t="str">
        <f ca="1">IF(F90="","",OFFSET(分類!$B$29,MATCH(F90,分類!$A$30:$A$46,0),0))</f>
        <v/>
      </c>
    </row>
    <row r="91" spans="2:10">
      <c r="B91" s="27">
        <f t="shared" si="1"/>
        <v>87</v>
      </c>
      <c r="C91" s="27"/>
      <c r="D91" s="27"/>
      <c r="E91" s="27"/>
      <c r="F91" s="54"/>
      <c r="G91" s="54"/>
      <c r="H91" s="54"/>
      <c r="I91" s="54"/>
      <c r="J91" s="54" t="str">
        <f ca="1">IF(F91="","",OFFSET(分類!$B$29,MATCH(F91,分類!$A$30:$A$46,0),0))</f>
        <v/>
      </c>
    </row>
    <row r="92" spans="2:10">
      <c r="B92" s="27">
        <f t="shared" si="1"/>
        <v>88</v>
      </c>
      <c r="C92" s="27"/>
      <c r="D92" s="27"/>
      <c r="E92" s="27"/>
      <c r="F92" s="54"/>
      <c r="G92" s="54"/>
      <c r="H92" s="54"/>
      <c r="I92" s="54"/>
      <c r="J92" s="54" t="str">
        <f ca="1">IF(F92="","",OFFSET(分類!$B$29,MATCH(F92,分類!$A$30:$A$46,0),0))</f>
        <v/>
      </c>
    </row>
    <row r="93" spans="2:10">
      <c r="B93" s="27">
        <f t="shared" si="1"/>
        <v>89</v>
      </c>
      <c r="C93" s="27"/>
      <c r="D93" s="27"/>
      <c r="E93" s="27"/>
      <c r="F93" s="54"/>
      <c r="G93" s="54"/>
      <c r="H93" s="54"/>
      <c r="I93" s="54"/>
      <c r="J93" s="54" t="str">
        <f ca="1">IF(F93="","",OFFSET(分類!$B$29,MATCH(F93,分類!$A$30:$A$46,0),0))</f>
        <v/>
      </c>
    </row>
    <row r="94" spans="2:10">
      <c r="B94" s="27">
        <f t="shared" si="1"/>
        <v>90</v>
      </c>
      <c r="C94" s="27"/>
      <c r="D94" s="27"/>
      <c r="E94" s="27"/>
      <c r="F94" s="54"/>
      <c r="G94" s="54"/>
      <c r="H94" s="54"/>
      <c r="I94" s="54"/>
      <c r="J94" s="54" t="str">
        <f ca="1">IF(F94="","",OFFSET(分類!$B$29,MATCH(F94,分類!$A$30:$A$46,0),0))</f>
        <v/>
      </c>
    </row>
    <row r="95" spans="2:10">
      <c r="B95" s="27">
        <f t="shared" si="1"/>
        <v>91</v>
      </c>
      <c r="C95" s="27"/>
      <c r="D95" s="27"/>
      <c r="E95" s="27"/>
      <c r="F95" s="54"/>
      <c r="G95" s="54"/>
      <c r="H95" s="54"/>
      <c r="I95" s="54"/>
      <c r="J95" s="54" t="str">
        <f ca="1">IF(F95="","",OFFSET(分類!$B$29,MATCH(F95,分類!$A$30:$A$46,0),0))</f>
        <v/>
      </c>
    </row>
    <row r="96" spans="2:10">
      <c r="B96" s="27">
        <f t="shared" si="1"/>
        <v>92</v>
      </c>
      <c r="C96" s="27"/>
      <c r="D96" s="27"/>
      <c r="E96" s="27"/>
      <c r="F96" s="54"/>
      <c r="G96" s="54"/>
      <c r="H96" s="54"/>
      <c r="I96" s="54"/>
      <c r="J96" s="54" t="str">
        <f ca="1">IF(F96="","",OFFSET(分類!$B$29,MATCH(F96,分類!$A$30:$A$46,0),0))</f>
        <v/>
      </c>
    </row>
    <row r="97" spans="2:10">
      <c r="B97" s="27">
        <f t="shared" si="1"/>
        <v>93</v>
      </c>
      <c r="C97" s="27"/>
      <c r="D97" s="27"/>
      <c r="E97" s="27"/>
      <c r="F97" s="54"/>
      <c r="G97" s="54"/>
      <c r="H97" s="54"/>
      <c r="I97" s="54"/>
      <c r="J97" s="54" t="str">
        <f ca="1">IF(F97="","",OFFSET(分類!$B$29,MATCH(F97,分類!$A$30:$A$46,0),0))</f>
        <v/>
      </c>
    </row>
    <row r="98" spans="2:10">
      <c r="B98" s="27">
        <f t="shared" si="1"/>
        <v>94</v>
      </c>
      <c r="C98" s="27"/>
      <c r="D98" s="27"/>
      <c r="E98" s="27"/>
      <c r="F98" s="54"/>
      <c r="G98" s="54"/>
      <c r="H98" s="54"/>
      <c r="I98" s="54"/>
      <c r="J98" s="54" t="str">
        <f ca="1">IF(F98="","",OFFSET(分類!$B$29,MATCH(F98,分類!$A$30:$A$46,0),0))</f>
        <v/>
      </c>
    </row>
    <row r="99" spans="2:10">
      <c r="B99" s="27">
        <f t="shared" si="1"/>
        <v>95</v>
      </c>
      <c r="C99" s="27"/>
      <c r="D99" s="27"/>
      <c r="E99" s="27"/>
      <c r="F99" s="54"/>
      <c r="G99" s="54"/>
      <c r="H99" s="54"/>
      <c r="I99" s="54"/>
      <c r="J99" s="54" t="str">
        <f ca="1">IF(F99="","",OFFSET(分類!$B$29,MATCH(F99,分類!$A$30:$A$46,0),0))</f>
        <v/>
      </c>
    </row>
    <row r="100" spans="2:10">
      <c r="B100" s="27">
        <f t="shared" si="1"/>
        <v>96</v>
      </c>
      <c r="C100" s="27"/>
      <c r="D100" s="27"/>
      <c r="E100" s="27"/>
      <c r="F100" s="54"/>
      <c r="G100" s="54"/>
      <c r="H100" s="54"/>
      <c r="I100" s="54"/>
      <c r="J100" s="54" t="str">
        <f ca="1">IF(F100="","",OFFSET(分類!$B$29,MATCH(F100,分類!$A$30:$A$46,0),0))</f>
        <v/>
      </c>
    </row>
    <row r="101" spans="2:10">
      <c r="B101" s="27">
        <f t="shared" si="1"/>
        <v>97</v>
      </c>
      <c r="C101" s="27"/>
      <c r="D101" s="27"/>
      <c r="E101" s="27"/>
      <c r="F101" s="54"/>
      <c r="G101" s="54"/>
      <c r="H101" s="54"/>
      <c r="I101" s="54"/>
      <c r="J101" s="54" t="str">
        <f ca="1">IF(F101="","",OFFSET(分類!$B$29,MATCH(F101,分類!$A$30:$A$46,0),0))</f>
        <v/>
      </c>
    </row>
    <row r="102" spans="2:10">
      <c r="B102" s="27">
        <f t="shared" si="1"/>
        <v>98</v>
      </c>
      <c r="C102" s="27"/>
      <c r="D102" s="27"/>
      <c r="E102" s="27"/>
      <c r="F102" s="54"/>
      <c r="G102" s="54"/>
      <c r="H102" s="54"/>
      <c r="I102" s="54"/>
      <c r="J102" s="54" t="str">
        <f ca="1">IF(F102="","",OFFSET(分類!$B$29,MATCH(F102,分類!$A$30:$A$46,0),0))</f>
        <v/>
      </c>
    </row>
    <row r="103" spans="2:10">
      <c r="B103" s="27">
        <f t="shared" si="1"/>
        <v>99</v>
      </c>
      <c r="C103" s="27"/>
      <c r="D103" s="27"/>
      <c r="E103" s="27"/>
      <c r="F103" s="54"/>
      <c r="G103" s="54"/>
      <c r="H103" s="54"/>
      <c r="I103" s="54"/>
      <c r="J103" s="54" t="str">
        <f ca="1">IF(F103="","",OFFSET(分類!$B$29,MATCH(F103,分類!$A$30:$A$46,0),0))</f>
        <v/>
      </c>
    </row>
    <row r="104" spans="2:10">
      <c r="B104" s="27">
        <f t="shared" si="1"/>
        <v>100</v>
      </c>
      <c r="C104" s="27"/>
      <c r="D104" s="27"/>
      <c r="E104" s="27"/>
      <c r="F104" s="54"/>
      <c r="G104" s="54"/>
      <c r="H104" s="54"/>
      <c r="I104" s="54"/>
      <c r="J104" s="54" t="str">
        <f ca="1">IF(F104="","",OFFSET(分類!$B$29,MATCH(F104,分類!$A$30:$A$46,0),0))</f>
        <v/>
      </c>
    </row>
    <row r="105" spans="2:10">
      <c r="B105" s="27">
        <f t="shared" si="1"/>
        <v>101</v>
      </c>
      <c r="C105" s="27"/>
      <c r="D105" s="27"/>
      <c r="E105" s="27"/>
      <c r="F105" s="54"/>
      <c r="G105" s="54"/>
      <c r="H105" s="54"/>
      <c r="I105" s="54"/>
      <c r="J105" s="54" t="str">
        <f ca="1">IF(F105="","",OFFSET(分類!$B$29,MATCH(F105,分類!$A$30:$A$46,0),0))</f>
        <v/>
      </c>
    </row>
    <row r="106" spans="2:10">
      <c r="B106" s="27">
        <f t="shared" si="1"/>
        <v>102</v>
      </c>
      <c r="C106" s="27"/>
      <c r="D106" s="27"/>
      <c r="E106" s="27"/>
      <c r="F106" s="54"/>
      <c r="G106" s="54"/>
      <c r="H106" s="54"/>
      <c r="I106" s="54"/>
      <c r="J106" s="54" t="str">
        <f ca="1">IF(F106="","",OFFSET(分類!$B$29,MATCH(F106,分類!$A$30:$A$46,0),0))</f>
        <v/>
      </c>
    </row>
    <row r="107" spans="2:10">
      <c r="B107" s="27">
        <f t="shared" si="1"/>
        <v>103</v>
      </c>
      <c r="C107" s="27"/>
      <c r="D107" s="27"/>
      <c r="E107" s="27"/>
      <c r="F107" s="54"/>
      <c r="G107" s="54"/>
      <c r="H107" s="54"/>
      <c r="I107" s="54"/>
      <c r="J107" s="54" t="str">
        <f ca="1">IF(F107="","",OFFSET(分類!$B$29,MATCH(F107,分類!$A$30:$A$46,0),0))</f>
        <v/>
      </c>
    </row>
    <row r="108" spans="2:10">
      <c r="B108" s="27">
        <f t="shared" si="1"/>
        <v>104</v>
      </c>
      <c r="C108" s="27"/>
      <c r="D108" s="27"/>
      <c r="E108" s="27"/>
      <c r="F108" s="54"/>
      <c r="G108" s="54"/>
      <c r="H108" s="54"/>
      <c r="I108" s="54"/>
      <c r="J108" s="54" t="str">
        <f ca="1">IF(F108="","",OFFSET(分類!$B$29,MATCH(F108,分類!$A$30:$A$46,0),0))</f>
        <v/>
      </c>
    </row>
    <row r="109" spans="2:10">
      <c r="B109" s="27">
        <f t="shared" si="1"/>
        <v>105</v>
      </c>
      <c r="C109" s="27"/>
      <c r="D109" s="27"/>
      <c r="E109" s="27"/>
      <c r="F109" s="54"/>
      <c r="G109" s="54"/>
      <c r="H109" s="54"/>
      <c r="I109" s="54"/>
      <c r="J109" s="54" t="str">
        <f ca="1">IF(F109="","",OFFSET(分類!$B$29,MATCH(F109,分類!$A$30:$A$46,0),0))</f>
        <v/>
      </c>
    </row>
    <row r="110" spans="2:10">
      <c r="B110" s="27">
        <f t="shared" si="1"/>
        <v>106</v>
      </c>
      <c r="C110" s="27"/>
      <c r="D110" s="27"/>
      <c r="E110" s="27"/>
      <c r="F110" s="54"/>
      <c r="G110" s="54"/>
      <c r="H110" s="54"/>
      <c r="I110" s="54"/>
      <c r="J110" s="54" t="str">
        <f ca="1">IF(F110="","",OFFSET(分類!$B$29,MATCH(F110,分類!$A$30:$A$46,0),0))</f>
        <v/>
      </c>
    </row>
    <row r="111" spans="2:10">
      <c r="B111" s="27">
        <f t="shared" si="1"/>
        <v>107</v>
      </c>
      <c r="C111" s="27"/>
      <c r="D111" s="27"/>
      <c r="E111" s="27"/>
      <c r="F111" s="54"/>
      <c r="G111" s="54"/>
      <c r="H111" s="54"/>
      <c r="I111" s="54"/>
      <c r="J111" s="54" t="str">
        <f ca="1">IF(F111="","",OFFSET(分類!$B$29,MATCH(F111,分類!$A$30:$A$46,0),0))</f>
        <v/>
      </c>
    </row>
    <row r="112" spans="2:10">
      <c r="B112" s="27">
        <f t="shared" si="1"/>
        <v>108</v>
      </c>
      <c r="C112" s="27"/>
      <c r="D112" s="27"/>
      <c r="E112" s="27"/>
      <c r="F112" s="54"/>
      <c r="G112" s="54"/>
      <c r="H112" s="54"/>
      <c r="I112" s="54"/>
      <c r="J112" s="54" t="str">
        <f ca="1">IF(F112="","",OFFSET(分類!$B$29,MATCH(F112,分類!$A$30:$A$46,0),0))</f>
        <v/>
      </c>
    </row>
    <row r="113" spans="2:10">
      <c r="B113" s="27">
        <f t="shared" si="1"/>
        <v>109</v>
      </c>
      <c r="C113" s="27"/>
      <c r="D113" s="27"/>
      <c r="E113" s="27"/>
      <c r="F113" s="54"/>
      <c r="G113" s="54"/>
      <c r="H113" s="54"/>
      <c r="I113" s="54"/>
      <c r="J113" s="54" t="str">
        <f ca="1">IF(F113="","",OFFSET(分類!$B$29,MATCH(F113,分類!$A$30:$A$46,0),0))</f>
        <v/>
      </c>
    </row>
    <row r="114" spans="2:10">
      <c r="B114" s="27">
        <f t="shared" si="1"/>
        <v>110</v>
      </c>
      <c r="C114" s="27"/>
      <c r="D114" s="27"/>
      <c r="E114" s="27"/>
      <c r="F114" s="54"/>
      <c r="G114" s="54"/>
      <c r="H114" s="54"/>
      <c r="I114" s="54"/>
      <c r="J114" s="54" t="str">
        <f ca="1">IF(F114="","",OFFSET(分類!$B$29,MATCH(F114,分類!$A$30:$A$46,0),0))</f>
        <v/>
      </c>
    </row>
    <row r="115" spans="2:10">
      <c r="B115" s="27">
        <f t="shared" si="1"/>
        <v>111</v>
      </c>
      <c r="C115" s="27"/>
      <c r="D115" s="27"/>
      <c r="E115" s="27"/>
      <c r="F115" s="54"/>
      <c r="G115" s="54"/>
      <c r="H115" s="54"/>
      <c r="I115" s="54"/>
      <c r="J115" s="54" t="str">
        <f ca="1">IF(F115="","",OFFSET(分類!$B$29,MATCH(F115,分類!$A$30:$A$46,0),0))</f>
        <v/>
      </c>
    </row>
    <row r="116" spans="2:10">
      <c r="B116" s="27">
        <f t="shared" si="1"/>
        <v>112</v>
      </c>
      <c r="C116" s="27"/>
      <c r="D116" s="27"/>
      <c r="E116" s="27"/>
      <c r="F116" s="54"/>
      <c r="G116" s="54"/>
      <c r="H116" s="54"/>
      <c r="I116" s="54"/>
      <c r="J116" s="54" t="str">
        <f ca="1">IF(F116="","",OFFSET(分類!$B$29,MATCH(F116,分類!$A$30:$A$46,0),0))</f>
        <v/>
      </c>
    </row>
    <row r="117" spans="2:10">
      <c r="B117" s="27">
        <f t="shared" si="1"/>
        <v>113</v>
      </c>
      <c r="C117" s="27"/>
      <c r="D117" s="27"/>
      <c r="E117" s="27"/>
      <c r="F117" s="54"/>
      <c r="G117" s="54"/>
      <c r="H117" s="54"/>
      <c r="I117" s="54"/>
      <c r="J117" s="54" t="str">
        <f ca="1">IF(F117="","",OFFSET(分類!$B$29,MATCH(F117,分類!$A$30:$A$46,0),0))</f>
        <v/>
      </c>
    </row>
    <row r="118" spans="2:10">
      <c r="B118" s="27">
        <f t="shared" si="1"/>
        <v>114</v>
      </c>
      <c r="C118" s="27"/>
      <c r="D118" s="27"/>
      <c r="E118" s="27"/>
      <c r="F118" s="54"/>
      <c r="G118" s="54"/>
      <c r="H118" s="54"/>
      <c r="I118" s="54"/>
      <c r="J118" s="54" t="str">
        <f ca="1">IF(F118="","",OFFSET(分類!$B$29,MATCH(F118,分類!$A$30:$A$46,0),0))</f>
        <v/>
      </c>
    </row>
    <row r="119" spans="2:10">
      <c r="B119" s="27">
        <f t="shared" si="1"/>
        <v>115</v>
      </c>
      <c r="C119" s="27"/>
      <c r="D119" s="27"/>
      <c r="E119" s="27"/>
      <c r="F119" s="54"/>
      <c r="G119" s="54"/>
      <c r="H119" s="54"/>
      <c r="I119" s="54"/>
      <c r="J119" s="54" t="str">
        <f ca="1">IF(F119="","",OFFSET(分類!$B$29,MATCH(F119,分類!$A$30:$A$46,0),0))</f>
        <v/>
      </c>
    </row>
    <row r="120" spans="2:10">
      <c r="B120" s="27">
        <f t="shared" si="1"/>
        <v>116</v>
      </c>
      <c r="C120" s="27"/>
      <c r="D120" s="27"/>
      <c r="E120" s="27"/>
      <c r="F120" s="54"/>
      <c r="G120" s="54"/>
      <c r="H120" s="54"/>
      <c r="I120" s="54"/>
      <c r="J120" s="54" t="str">
        <f ca="1">IF(F120="","",OFFSET(分類!$B$29,MATCH(F120,分類!$A$30:$A$46,0),0))</f>
        <v/>
      </c>
    </row>
    <row r="121" spans="2:10">
      <c r="B121" s="27">
        <f t="shared" si="1"/>
        <v>117</v>
      </c>
      <c r="C121" s="27"/>
      <c r="D121" s="27"/>
      <c r="E121" s="27"/>
      <c r="F121" s="54"/>
      <c r="G121" s="54"/>
      <c r="H121" s="54"/>
      <c r="I121" s="54"/>
      <c r="J121" s="54" t="str">
        <f ca="1">IF(F121="","",OFFSET(分類!$B$29,MATCH(F121,分類!$A$30:$A$46,0),0))</f>
        <v/>
      </c>
    </row>
    <row r="122" spans="2:10">
      <c r="B122" s="27">
        <f t="shared" si="1"/>
        <v>118</v>
      </c>
      <c r="C122" s="27"/>
      <c r="D122" s="27"/>
      <c r="E122" s="27"/>
      <c r="F122" s="54"/>
      <c r="G122" s="54"/>
      <c r="H122" s="54"/>
      <c r="I122" s="54"/>
      <c r="J122" s="54" t="str">
        <f ca="1">IF(F122="","",OFFSET(分類!$B$29,MATCH(F122,分類!$A$30:$A$46,0),0))</f>
        <v/>
      </c>
    </row>
    <row r="123" spans="2:10">
      <c r="B123" s="27">
        <f t="shared" si="1"/>
        <v>119</v>
      </c>
      <c r="C123" s="27"/>
      <c r="D123" s="27"/>
      <c r="E123" s="27"/>
      <c r="F123" s="54"/>
      <c r="G123" s="54"/>
      <c r="H123" s="54"/>
      <c r="I123" s="54"/>
      <c r="J123" s="54" t="str">
        <f ca="1">IF(F123="","",OFFSET(分類!$B$29,MATCH(F123,分類!$A$30:$A$46,0),0))</f>
        <v/>
      </c>
    </row>
    <row r="124" spans="2:10">
      <c r="B124" s="27">
        <f t="shared" si="1"/>
        <v>120</v>
      </c>
      <c r="C124" s="27"/>
      <c r="D124" s="27"/>
      <c r="E124" s="27"/>
      <c r="F124" s="54"/>
      <c r="G124" s="54"/>
      <c r="H124" s="54"/>
      <c r="I124" s="54"/>
      <c r="J124" s="54" t="str">
        <f ca="1">IF(F124="","",OFFSET(分類!$B$29,MATCH(F124,分類!$A$30:$A$46,0),0))</f>
        <v/>
      </c>
    </row>
    <row r="125" spans="2:10">
      <c r="B125" s="27">
        <f t="shared" si="1"/>
        <v>121</v>
      </c>
      <c r="C125" s="27"/>
      <c r="D125" s="27"/>
      <c r="E125" s="27"/>
      <c r="F125" s="54"/>
      <c r="G125" s="54"/>
      <c r="H125" s="54"/>
      <c r="I125" s="54"/>
      <c r="J125" s="54" t="str">
        <f ca="1">IF(F125="","",OFFSET(分類!$B$29,MATCH(F125,分類!$A$30:$A$46,0),0))</f>
        <v/>
      </c>
    </row>
    <row r="126" spans="2:10">
      <c r="B126" s="27">
        <f t="shared" si="1"/>
        <v>122</v>
      </c>
      <c r="C126" s="27"/>
      <c r="D126" s="27"/>
      <c r="E126" s="27"/>
      <c r="F126" s="54"/>
      <c r="G126" s="54"/>
      <c r="H126" s="54"/>
      <c r="I126" s="54"/>
      <c r="J126" s="54" t="str">
        <f ca="1">IF(F126="","",OFFSET(分類!$B$29,MATCH(F126,分類!$A$30:$A$46,0),0))</f>
        <v/>
      </c>
    </row>
    <row r="127" spans="2:10">
      <c r="B127" s="27">
        <f t="shared" si="1"/>
        <v>123</v>
      </c>
      <c r="C127" s="27"/>
      <c r="D127" s="27"/>
      <c r="E127" s="27"/>
      <c r="F127" s="54"/>
      <c r="G127" s="54"/>
      <c r="H127" s="54"/>
      <c r="I127" s="54"/>
      <c r="J127" s="54" t="str">
        <f ca="1">IF(F127="","",OFFSET(分類!$B$29,MATCH(F127,分類!$A$30:$A$46,0),0))</f>
        <v/>
      </c>
    </row>
    <row r="128" spans="2:10">
      <c r="B128" s="27">
        <f t="shared" si="1"/>
        <v>124</v>
      </c>
      <c r="C128" s="27"/>
      <c r="D128" s="27"/>
      <c r="E128" s="27"/>
      <c r="F128" s="54"/>
      <c r="G128" s="54"/>
      <c r="H128" s="54"/>
      <c r="I128" s="54"/>
      <c r="J128" s="54" t="str">
        <f ca="1">IF(F128="","",OFFSET(分類!$B$29,MATCH(F128,分類!$A$30:$A$46,0),0))</f>
        <v/>
      </c>
    </row>
    <row r="129" spans="2:10">
      <c r="B129" s="27">
        <f t="shared" si="1"/>
        <v>125</v>
      </c>
      <c r="C129" s="27"/>
      <c r="D129" s="27"/>
      <c r="E129" s="27"/>
      <c r="F129" s="54"/>
      <c r="G129" s="54"/>
      <c r="H129" s="54"/>
      <c r="I129" s="54"/>
      <c r="J129" s="54" t="str">
        <f ca="1">IF(F129="","",OFFSET(分類!$B$29,MATCH(F129,分類!$A$30:$A$46,0),0))</f>
        <v/>
      </c>
    </row>
    <row r="130" spans="2:10">
      <c r="B130" s="27">
        <f t="shared" si="1"/>
        <v>126</v>
      </c>
      <c r="C130" s="27"/>
      <c r="D130" s="27"/>
      <c r="E130" s="27"/>
      <c r="F130" s="54"/>
      <c r="G130" s="54"/>
      <c r="H130" s="54"/>
      <c r="I130" s="54"/>
      <c r="J130" s="54" t="str">
        <f ca="1">IF(F130="","",OFFSET(分類!$B$29,MATCH(F130,分類!$A$30:$A$46,0),0))</f>
        <v/>
      </c>
    </row>
    <row r="131" spans="2:10">
      <c r="B131" s="27">
        <f t="shared" si="1"/>
        <v>127</v>
      </c>
      <c r="C131" s="27"/>
      <c r="D131" s="27"/>
      <c r="E131" s="27"/>
      <c r="F131" s="54"/>
      <c r="G131" s="54"/>
      <c r="H131" s="54"/>
      <c r="I131" s="54"/>
      <c r="J131" s="54" t="str">
        <f ca="1">IF(F131="","",OFFSET(分類!$B$29,MATCH(F131,分類!$A$30:$A$46,0),0))</f>
        <v/>
      </c>
    </row>
    <row r="132" spans="2:10">
      <c r="B132" s="27">
        <f t="shared" si="1"/>
        <v>128</v>
      </c>
      <c r="C132" s="27"/>
      <c r="D132" s="27"/>
      <c r="E132" s="27"/>
      <c r="F132" s="54"/>
      <c r="G132" s="54"/>
      <c r="H132" s="54"/>
      <c r="I132" s="54"/>
      <c r="J132" s="54" t="str">
        <f ca="1">IF(F132="","",OFFSET(分類!$B$29,MATCH(F132,分類!$A$30:$A$46,0),0))</f>
        <v/>
      </c>
    </row>
    <row r="133" spans="2:10">
      <c r="B133" s="27">
        <f t="shared" si="1"/>
        <v>129</v>
      </c>
      <c r="C133" s="27"/>
      <c r="D133" s="27"/>
      <c r="E133" s="27"/>
      <c r="F133" s="54"/>
      <c r="G133" s="54"/>
      <c r="H133" s="54"/>
      <c r="I133" s="54"/>
      <c r="J133" s="54" t="str">
        <f ca="1">IF(F133="","",OFFSET(分類!$B$29,MATCH(F133,分類!$A$30:$A$46,0),0))</f>
        <v/>
      </c>
    </row>
    <row r="134" spans="2:10">
      <c r="B134" s="27">
        <f t="shared" si="1"/>
        <v>130</v>
      </c>
      <c r="C134" s="27"/>
      <c r="D134" s="27"/>
      <c r="E134" s="27"/>
      <c r="F134" s="54"/>
      <c r="G134" s="54"/>
      <c r="H134" s="54"/>
      <c r="I134" s="54"/>
      <c r="J134" s="54" t="str">
        <f ca="1">IF(F134="","",OFFSET(分類!$B$29,MATCH(F134,分類!$A$30:$A$46,0),0))</f>
        <v/>
      </c>
    </row>
    <row r="135" spans="2:10">
      <c r="B135" s="27">
        <f t="shared" ref="B135:B198" si="2">B134+1</f>
        <v>131</v>
      </c>
      <c r="C135" s="27"/>
      <c r="D135" s="27"/>
      <c r="E135" s="27"/>
      <c r="F135" s="54"/>
      <c r="G135" s="54"/>
      <c r="H135" s="54"/>
      <c r="I135" s="54"/>
      <c r="J135" s="54" t="str">
        <f ca="1">IF(F135="","",OFFSET(分類!$B$29,MATCH(F135,分類!$A$30:$A$46,0),0))</f>
        <v/>
      </c>
    </row>
    <row r="136" spans="2:10">
      <c r="B136" s="27">
        <f t="shared" si="2"/>
        <v>132</v>
      </c>
      <c r="C136" s="27"/>
      <c r="D136" s="27"/>
      <c r="E136" s="27"/>
      <c r="F136" s="54"/>
      <c r="G136" s="54"/>
      <c r="H136" s="54"/>
      <c r="I136" s="54"/>
      <c r="J136" s="54" t="str">
        <f ca="1">IF(F136="","",OFFSET(分類!$B$29,MATCH(F136,分類!$A$30:$A$46,0),0))</f>
        <v/>
      </c>
    </row>
    <row r="137" spans="2:10">
      <c r="B137" s="27">
        <f t="shared" si="2"/>
        <v>133</v>
      </c>
      <c r="C137" s="27"/>
      <c r="D137" s="27"/>
      <c r="E137" s="27"/>
      <c r="F137" s="54"/>
      <c r="G137" s="54"/>
      <c r="H137" s="54"/>
      <c r="I137" s="54"/>
      <c r="J137" s="54" t="str">
        <f ca="1">IF(F137="","",OFFSET(分類!$B$29,MATCH(F137,分類!$A$30:$A$46,0),0))</f>
        <v/>
      </c>
    </row>
    <row r="138" spans="2:10">
      <c r="B138" s="27">
        <f t="shared" si="2"/>
        <v>134</v>
      </c>
      <c r="C138" s="27"/>
      <c r="D138" s="27"/>
      <c r="E138" s="27"/>
      <c r="F138" s="54"/>
      <c r="G138" s="54"/>
      <c r="H138" s="54"/>
      <c r="I138" s="54"/>
      <c r="J138" s="54" t="str">
        <f ca="1">IF(F138="","",OFFSET(分類!$B$29,MATCH(F138,分類!$A$30:$A$46,0),0))</f>
        <v/>
      </c>
    </row>
    <row r="139" spans="2:10">
      <c r="B139" s="27">
        <f t="shared" si="2"/>
        <v>135</v>
      </c>
      <c r="C139" s="27"/>
      <c r="D139" s="27"/>
      <c r="E139" s="27"/>
      <c r="F139" s="54"/>
      <c r="G139" s="54"/>
      <c r="H139" s="54"/>
      <c r="I139" s="54"/>
      <c r="J139" s="54" t="str">
        <f ca="1">IF(F139="","",OFFSET(分類!$B$29,MATCH(F139,分類!$A$30:$A$46,0),0))</f>
        <v/>
      </c>
    </row>
    <row r="140" spans="2:10">
      <c r="B140" s="27">
        <f t="shared" si="2"/>
        <v>136</v>
      </c>
      <c r="C140" s="27"/>
      <c r="D140" s="27"/>
      <c r="E140" s="27"/>
      <c r="F140" s="54"/>
      <c r="G140" s="54"/>
      <c r="H140" s="54"/>
      <c r="I140" s="54"/>
      <c r="J140" s="54" t="str">
        <f ca="1">IF(F140="","",OFFSET(分類!$B$29,MATCH(F140,分類!$A$30:$A$46,0),0))</f>
        <v/>
      </c>
    </row>
    <row r="141" spans="2:10">
      <c r="B141" s="27">
        <f t="shared" si="2"/>
        <v>137</v>
      </c>
      <c r="C141" s="27"/>
      <c r="D141" s="27"/>
      <c r="E141" s="27"/>
      <c r="F141" s="54"/>
      <c r="G141" s="54"/>
      <c r="H141" s="54"/>
      <c r="I141" s="54"/>
      <c r="J141" s="54" t="str">
        <f ca="1">IF(F141="","",OFFSET(分類!$B$29,MATCH(F141,分類!$A$30:$A$46,0),0))</f>
        <v/>
      </c>
    </row>
    <row r="142" spans="2:10">
      <c r="B142" s="27">
        <f t="shared" si="2"/>
        <v>138</v>
      </c>
      <c r="C142" s="27"/>
      <c r="D142" s="27"/>
      <c r="E142" s="27"/>
      <c r="F142" s="54"/>
      <c r="G142" s="54"/>
      <c r="H142" s="54"/>
      <c r="I142" s="54"/>
      <c r="J142" s="54" t="str">
        <f ca="1">IF(F142="","",OFFSET(分類!$B$29,MATCH(F142,分類!$A$30:$A$46,0),0))</f>
        <v/>
      </c>
    </row>
    <row r="143" spans="2:10">
      <c r="B143" s="27">
        <f t="shared" si="2"/>
        <v>139</v>
      </c>
      <c r="C143" s="27"/>
      <c r="D143" s="27"/>
      <c r="E143" s="27"/>
      <c r="F143" s="54"/>
      <c r="G143" s="54"/>
      <c r="H143" s="54"/>
      <c r="I143" s="54"/>
      <c r="J143" s="54" t="str">
        <f ca="1">IF(F143="","",OFFSET(分類!$B$29,MATCH(F143,分類!$A$30:$A$46,0),0))</f>
        <v/>
      </c>
    </row>
    <row r="144" spans="2:10">
      <c r="B144" s="27">
        <f t="shared" si="2"/>
        <v>140</v>
      </c>
      <c r="C144" s="27"/>
      <c r="D144" s="27"/>
      <c r="E144" s="27"/>
      <c r="F144" s="54"/>
      <c r="G144" s="54"/>
      <c r="H144" s="54"/>
      <c r="I144" s="54"/>
      <c r="J144" s="54" t="str">
        <f ca="1">IF(F144="","",OFFSET(分類!$B$29,MATCH(F144,分類!$A$30:$A$46,0),0))</f>
        <v/>
      </c>
    </row>
    <row r="145" spans="2:10">
      <c r="B145" s="27">
        <f t="shared" si="2"/>
        <v>141</v>
      </c>
      <c r="C145" s="27"/>
      <c r="D145" s="27"/>
      <c r="E145" s="27"/>
      <c r="F145" s="54"/>
      <c r="G145" s="54"/>
      <c r="H145" s="54"/>
      <c r="I145" s="54"/>
      <c r="J145" s="54" t="str">
        <f ca="1">IF(F145="","",OFFSET(分類!$B$29,MATCH(F145,分類!$A$30:$A$46,0),0))</f>
        <v/>
      </c>
    </row>
    <row r="146" spans="2:10">
      <c r="B146" s="27">
        <f t="shared" si="2"/>
        <v>142</v>
      </c>
      <c r="C146" s="27"/>
      <c r="D146" s="27"/>
      <c r="E146" s="27"/>
      <c r="F146" s="54"/>
      <c r="G146" s="54"/>
      <c r="H146" s="54"/>
      <c r="I146" s="54"/>
      <c r="J146" s="54" t="str">
        <f ca="1">IF(F146="","",OFFSET(分類!$B$29,MATCH(F146,分類!$A$30:$A$46,0),0))</f>
        <v/>
      </c>
    </row>
    <row r="147" spans="2:10">
      <c r="B147" s="27">
        <f t="shared" si="2"/>
        <v>143</v>
      </c>
      <c r="C147" s="27"/>
      <c r="D147" s="27"/>
      <c r="E147" s="27"/>
      <c r="F147" s="54"/>
      <c r="G147" s="54"/>
      <c r="H147" s="54"/>
      <c r="I147" s="54"/>
      <c r="J147" s="54" t="str">
        <f ca="1">IF(F147="","",OFFSET(分類!$B$29,MATCH(F147,分類!$A$30:$A$46,0),0))</f>
        <v/>
      </c>
    </row>
    <row r="148" spans="2:10">
      <c r="B148" s="27">
        <f t="shared" si="2"/>
        <v>144</v>
      </c>
      <c r="C148" s="27"/>
      <c r="D148" s="27"/>
      <c r="E148" s="27"/>
      <c r="F148" s="54"/>
      <c r="G148" s="54"/>
      <c r="H148" s="54"/>
      <c r="I148" s="54"/>
      <c r="J148" s="54" t="str">
        <f ca="1">IF(F148="","",OFFSET(分類!$B$29,MATCH(F148,分類!$A$30:$A$46,0),0))</f>
        <v/>
      </c>
    </row>
    <row r="149" spans="2:10">
      <c r="B149" s="27">
        <f t="shared" si="2"/>
        <v>145</v>
      </c>
      <c r="C149" s="27"/>
      <c r="D149" s="27"/>
      <c r="E149" s="27"/>
      <c r="F149" s="54"/>
      <c r="G149" s="54"/>
      <c r="H149" s="54"/>
      <c r="I149" s="54"/>
      <c r="J149" s="54" t="str">
        <f ca="1">IF(F149="","",OFFSET(分類!$B$29,MATCH(F149,分類!$A$30:$A$46,0),0))</f>
        <v/>
      </c>
    </row>
    <row r="150" spans="2:10">
      <c r="B150" s="27">
        <f t="shared" si="2"/>
        <v>146</v>
      </c>
      <c r="C150" s="27"/>
      <c r="D150" s="27"/>
      <c r="E150" s="27"/>
      <c r="F150" s="54"/>
      <c r="G150" s="54"/>
      <c r="H150" s="54"/>
      <c r="I150" s="54"/>
      <c r="J150" s="54" t="str">
        <f ca="1">IF(F150="","",OFFSET(分類!$B$29,MATCH(F150,分類!$A$30:$A$46,0),0))</f>
        <v/>
      </c>
    </row>
    <row r="151" spans="2:10">
      <c r="B151" s="27">
        <f t="shared" si="2"/>
        <v>147</v>
      </c>
      <c r="C151" s="27"/>
      <c r="D151" s="27"/>
      <c r="E151" s="27"/>
      <c r="F151" s="54"/>
      <c r="G151" s="54"/>
      <c r="H151" s="54"/>
      <c r="I151" s="54"/>
      <c r="J151" s="54" t="str">
        <f ca="1">IF(F151="","",OFFSET(分類!$B$29,MATCH(F151,分類!$A$30:$A$46,0),0))</f>
        <v/>
      </c>
    </row>
    <row r="152" spans="2:10">
      <c r="B152" s="27">
        <f t="shared" si="2"/>
        <v>148</v>
      </c>
      <c r="C152" s="27"/>
      <c r="D152" s="27"/>
      <c r="E152" s="27"/>
      <c r="F152" s="54"/>
      <c r="G152" s="54"/>
      <c r="H152" s="54"/>
      <c r="I152" s="54"/>
      <c r="J152" s="54" t="str">
        <f ca="1">IF(F152="","",OFFSET(分類!$B$29,MATCH(F152,分類!$A$30:$A$46,0),0))</f>
        <v/>
      </c>
    </row>
    <row r="153" spans="2:10">
      <c r="B153" s="27">
        <f t="shared" si="2"/>
        <v>149</v>
      </c>
      <c r="C153" s="27"/>
      <c r="D153" s="27"/>
      <c r="E153" s="27"/>
      <c r="F153" s="54"/>
      <c r="G153" s="54"/>
      <c r="H153" s="54"/>
      <c r="I153" s="54"/>
      <c r="J153" s="54" t="str">
        <f ca="1">IF(F153="","",OFFSET(分類!$B$29,MATCH(F153,分類!$A$30:$A$46,0),0))</f>
        <v/>
      </c>
    </row>
    <row r="154" spans="2:10">
      <c r="B154" s="27">
        <f t="shared" si="2"/>
        <v>150</v>
      </c>
      <c r="C154" s="27"/>
      <c r="D154" s="27"/>
      <c r="E154" s="27"/>
      <c r="F154" s="54"/>
      <c r="G154" s="54"/>
      <c r="H154" s="54"/>
      <c r="I154" s="54"/>
      <c r="J154" s="54" t="str">
        <f ca="1">IF(F154="","",OFFSET(分類!$B$29,MATCH(F154,分類!$A$30:$A$46,0),0))</f>
        <v/>
      </c>
    </row>
    <row r="155" spans="2:10">
      <c r="B155" s="27">
        <f t="shared" si="2"/>
        <v>151</v>
      </c>
      <c r="C155" s="27"/>
      <c r="D155" s="27"/>
      <c r="E155" s="27"/>
      <c r="F155" s="54"/>
      <c r="G155" s="54"/>
      <c r="H155" s="54"/>
      <c r="I155" s="54"/>
      <c r="J155" s="54" t="str">
        <f ca="1">IF(F155="","",OFFSET(分類!$B$29,MATCH(F155,分類!$A$30:$A$46,0),0))</f>
        <v/>
      </c>
    </row>
    <row r="156" spans="2:10">
      <c r="B156" s="27">
        <f t="shared" si="2"/>
        <v>152</v>
      </c>
      <c r="C156" s="27"/>
      <c r="D156" s="27"/>
      <c r="E156" s="27"/>
      <c r="F156" s="54"/>
      <c r="G156" s="54"/>
      <c r="H156" s="54"/>
      <c r="I156" s="54"/>
      <c r="J156" s="54" t="str">
        <f ca="1">IF(F156="","",OFFSET(分類!$B$29,MATCH(F156,分類!$A$30:$A$46,0),0))</f>
        <v/>
      </c>
    </row>
    <row r="157" spans="2:10">
      <c r="B157" s="27">
        <f t="shared" si="2"/>
        <v>153</v>
      </c>
      <c r="C157" s="27"/>
      <c r="D157" s="27"/>
      <c r="E157" s="27"/>
      <c r="F157" s="54"/>
      <c r="G157" s="54"/>
      <c r="H157" s="54"/>
      <c r="I157" s="54"/>
      <c r="J157" s="54" t="str">
        <f ca="1">IF(F157="","",OFFSET(分類!$B$29,MATCH(F157,分類!$A$30:$A$46,0),0))</f>
        <v/>
      </c>
    </row>
    <row r="158" spans="2:10">
      <c r="B158" s="27">
        <f t="shared" si="2"/>
        <v>154</v>
      </c>
      <c r="C158" s="27"/>
      <c r="D158" s="27"/>
      <c r="E158" s="27"/>
      <c r="F158" s="54"/>
      <c r="G158" s="54"/>
      <c r="H158" s="54"/>
      <c r="I158" s="54"/>
      <c r="J158" s="54" t="str">
        <f ca="1">IF(F158="","",OFFSET(分類!$B$29,MATCH(F158,分類!$A$30:$A$46,0),0))</f>
        <v/>
      </c>
    </row>
    <row r="159" spans="2:10">
      <c r="B159" s="27">
        <f t="shared" si="2"/>
        <v>155</v>
      </c>
      <c r="C159" s="27"/>
      <c r="D159" s="27"/>
      <c r="E159" s="27"/>
      <c r="F159" s="54"/>
      <c r="G159" s="54"/>
      <c r="H159" s="54"/>
      <c r="I159" s="54"/>
      <c r="J159" s="54" t="str">
        <f ca="1">IF(F159="","",OFFSET(分類!$B$29,MATCH(F159,分類!$A$30:$A$46,0),0))</f>
        <v/>
      </c>
    </row>
    <row r="160" spans="2:10">
      <c r="B160" s="27">
        <f t="shared" si="2"/>
        <v>156</v>
      </c>
      <c r="C160" s="27"/>
      <c r="D160" s="27"/>
      <c r="E160" s="27"/>
      <c r="F160" s="54"/>
      <c r="G160" s="54"/>
      <c r="H160" s="54"/>
      <c r="I160" s="54"/>
      <c r="J160" s="54" t="str">
        <f ca="1">IF(F160="","",OFFSET(分類!$B$29,MATCH(F160,分類!$A$30:$A$46,0),0))</f>
        <v/>
      </c>
    </row>
    <row r="161" spans="2:10">
      <c r="B161" s="27">
        <f t="shared" si="2"/>
        <v>157</v>
      </c>
      <c r="C161" s="27"/>
      <c r="D161" s="27"/>
      <c r="E161" s="27"/>
      <c r="F161" s="54"/>
      <c r="G161" s="54"/>
      <c r="H161" s="54"/>
      <c r="I161" s="54"/>
      <c r="J161" s="54" t="str">
        <f ca="1">IF(F161="","",OFFSET(分類!$B$29,MATCH(F161,分類!$A$30:$A$46,0),0))</f>
        <v/>
      </c>
    </row>
    <row r="162" spans="2:10">
      <c r="B162" s="27">
        <f t="shared" si="2"/>
        <v>158</v>
      </c>
      <c r="C162" s="27"/>
      <c r="D162" s="27"/>
      <c r="E162" s="27"/>
      <c r="F162" s="54"/>
      <c r="G162" s="54"/>
      <c r="H162" s="54"/>
      <c r="I162" s="54"/>
      <c r="J162" s="54" t="str">
        <f ca="1">IF(F162="","",OFFSET(分類!$B$29,MATCH(F162,分類!$A$30:$A$46,0),0))</f>
        <v/>
      </c>
    </row>
    <row r="163" spans="2:10">
      <c r="B163" s="27">
        <f t="shared" si="2"/>
        <v>159</v>
      </c>
      <c r="C163" s="27"/>
      <c r="D163" s="27"/>
      <c r="E163" s="27"/>
      <c r="F163" s="54"/>
      <c r="G163" s="54"/>
      <c r="H163" s="54"/>
      <c r="I163" s="54"/>
      <c r="J163" s="54" t="str">
        <f ca="1">IF(F163="","",OFFSET(分類!$B$29,MATCH(F163,分類!$A$30:$A$46,0),0))</f>
        <v/>
      </c>
    </row>
    <row r="164" spans="2:10">
      <c r="B164" s="27">
        <f t="shared" si="2"/>
        <v>160</v>
      </c>
      <c r="C164" s="27"/>
      <c r="D164" s="27"/>
      <c r="E164" s="27"/>
      <c r="F164" s="54"/>
      <c r="G164" s="54"/>
      <c r="H164" s="54"/>
      <c r="I164" s="54"/>
      <c r="J164" s="54" t="str">
        <f ca="1">IF(F164="","",OFFSET(分類!$B$29,MATCH(F164,分類!$A$30:$A$46,0),0))</f>
        <v/>
      </c>
    </row>
    <row r="165" spans="2:10">
      <c r="B165" s="27">
        <f t="shared" si="2"/>
        <v>161</v>
      </c>
      <c r="C165" s="27"/>
      <c r="D165" s="27"/>
      <c r="E165" s="27"/>
      <c r="F165" s="54"/>
      <c r="G165" s="54"/>
      <c r="H165" s="54"/>
      <c r="I165" s="54"/>
      <c r="J165" s="54" t="str">
        <f ca="1">IF(F165="","",OFFSET(分類!$B$29,MATCH(F165,分類!$A$30:$A$46,0),0))</f>
        <v/>
      </c>
    </row>
    <row r="166" spans="2:10">
      <c r="B166" s="27">
        <f t="shared" si="2"/>
        <v>162</v>
      </c>
      <c r="C166" s="27"/>
      <c r="D166" s="27"/>
      <c r="E166" s="27"/>
      <c r="F166" s="54"/>
      <c r="G166" s="54"/>
      <c r="H166" s="54"/>
      <c r="I166" s="54"/>
      <c r="J166" s="54" t="str">
        <f ca="1">IF(F166="","",OFFSET(分類!$B$29,MATCH(F166,分類!$A$30:$A$46,0),0))</f>
        <v/>
      </c>
    </row>
    <row r="167" spans="2:10">
      <c r="B167" s="27">
        <f t="shared" si="2"/>
        <v>163</v>
      </c>
      <c r="C167" s="27"/>
      <c r="D167" s="27"/>
      <c r="E167" s="27"/>
      <c r="F167" s="54"/>
      <c r="G167" s="54"/>
      <c r="H167" s="54"/>
      <c r="I167" s="54"/>
      <c r="J167" s="54" t="str">
        <f ca="1">IF(F167="","",OFFSET(分類!$B$29,MATCH(F167,分類!$A$30:$A$46,0),0))</f>
        <v/>
      </c>
    </row>
    <row r="168" spans="2:10">
      <c r="B168" s="27">
        <f t="shared" si="2"/>
        <v>164</v>
      </c>
      <c r="C168" s="27"/>
      <c r="D168" s="27"/>
      <c r="E168" s="27"/>
      <c r="F168" s="54"/>
      <c r="G168" s="54"/>
      <c r="H168" s="54"/>
      <c r="I168" s="54"/>
      <c r="J168" s="54" t="str">
        <f ca="1">IF(F168="","",OFFSET(分類!$B$29,MATCH(F168,分類!$A$30:$A$46,0),0))</f>
        <v/>
      </c>
    </row>
    <row r="169" spans="2:10">
      <c r="B169" s="27">
        <f t="shared" si="2"/>
        <v>165</v>
      </c>
      <c r="C169" s="27"/>
      <c r="D169" s="27"/>
      <c r="E169" s="27"/>
      <c r="F169" s="54"/>
      <c r="G169" s="54"/>
      <c r="H169" s="54"/>
      <c r="I169" s="54"/>
      <c r="J169" s="54" t="str">
        <f ca="1">IF(F169="","",OFFSET(分類!$B$29,MATCH(F169,分類!$A$30:$A$46,0),0))</f>
        <v/>
      </c>
    </row>
    <row r="170" spans="2:10">
      <c r="B170" s="27">
        <f t="shared" si="2"/>
        <v>166</v>
      </c>
      <c r="C170" s="27"/>
      <c r="D170" s="27"/>
      <c r="E170" s="27"/>
      <c r="F170" s="54"/>
      <c r="G170" s="54"/>
      <c r="H170" s="54"/>
      <c r="I170" s="54"/>
      <c r="J170" s="54" t="str">
        <f ca="1">IF(F170="","",OFFSET(分類!$B$29,MATCH(F170,分類!$A$30:$A$46,0),0))</f>
        <v/>
      </c>
    </row>
    <row r="171" spans="2:10">
      <c r="B171" s="27">
        <f t="shared" si="2"/>
        <v>167</v>
      </c>
      <c r="C171" s="27"/>
      <c r="D171" s="27"/>
      <c r="E171" s="27"/>
      <c r="F171" s="54"/>
      <c r="G171" s="54"/>
      <c r="H171" s="54"/>
      <c r="I171" s="54"/>
      <c r="J171" s="54" t="str">
        <f ca="1">IF(F171="","",OFFSET(分類!$B$29,MATCH(F171,分類!$A$30:$A$46,0),0))</f>
        <v/>
      </c>
    </row>
    <row r="172" spans="2:10">
      <c r="B172" s="27">
        <f t="shared" si="2"/>
        <v>168</v>
      </c>
      <c r="C172" s="27"/>
      <c r="D172" s="27"/>
      <c r="E172" s="27"/>
      <c r="F172" s="54"/>
      <c r="G172" s="54"/>
      <c r="H172" s="54"/>
      <c r="I172" s="54"/>
      <c r="J172" s="54" t="str">
        <f ca="1">IF(F172="","",OFFSET(分類!$B$29,MATCH(F172,分類!$A$30:$A$46,0),0))</f>
        <v/>
      </c>
    </row>
    <row r="173" spans="2:10">
      <c r="B173" s="27">
        <f t="shared" si="2"/>
        <v>169</v>
      </c>
      <c r="C173" s="27"/>
      <c r="D173" s="27"/>
      <c r="E173" s="27"/>
      <c r="F173" s="54"/>
      <c r="G173" s="54"/>
      <c r="H173" s="54"/>
      <c r="I173" s="54"/>
      <c r="J173" s="54" t="str">
        <f ca="1">IF(F173="","",OFFSET(分類!$B$29,MATCH(F173,分類!$A$30:$A$46,0),0))</f>
        <v/>
      </c>
    </row>
    <row r="174" spans="2:10">
      <c r="B174" s="27">
        <f t="shared" si="2"/>
        <v>170</v>
      </c>
      <c r="C174" s="27"/>
      <c r="D174" s="27"/>
      <c r="E174" s="27"/>
      <c r="F174" s="54"/>
      <c r="G174" s="54"/>
      <c r="H174" s="54"/>
      <c r="I174" s="54"/>
      <c r="J174" s="54" t="str">
        <f ca="1">IF(F174="","",OFFSET(分類!$B$29,MATCH(F174,分類!$A$30:$A$46,0),0))</f>
        <v/>
      </c>
    </row>
    <row r="175" spans="2:10">
      <c r="B175" s="27">
        <f t="shared" si="2"/>
        <v>171</v>
      </c>
      <c r="C175" s="27"/>
      <c r="D175" s="27"/>
      <c r="E175" s="27"/>
      <c r="F175" s="54"/>
      <c r="G175" s="54"/>
      <c r="H175" s="54"/>
      <c r="I175" s="54"/>
      <c r="J175" s="54" t="str">
        <f ca="1">IF(F175="","",OFFSET(分類!$B$29,MATCH(F175,分類!$A$30:$A$46,0),0))</f>
        <v/>
      </c>
    </row>
    <row r="176" spans="2:10">
      <c r="B176" s="27">
        <f t="shared" si="2"/>
        <v>172</v>
      </c>
      <c r="C176" s="27"/>
      <c r="D176" s="27"/>
      <c r="E176" s="27"/>
      <c r="F176" s="54"/>
      <c r="G176" s="54"/>
      <c r="H176" s="54"/>
      <c r="I176" s="54"/>
      <c r="J176" s="54" t="str">
        <f ca="1">IF(F176="","",OFFSET(分類!$B$29,MATCH(F176,分類!$A$30:$A$46,0),0))</f>
        <v/>
      </c>
    </row>
    <row r="177" spans="2:10">
      <c r="B177" s="27">
        <f t="shared" si="2"/>
        <v>173</v>
      </c>
      <c r="C177" s="27"/>
      <c r="D177" s="27"/>
      <c r="E177" s="27"/>
      <c r="F177" s="54"/>
      <c r="G177" s="54"/>
      <c r="H177" s="54"/>
      <c r="I177" s="54"/>
      <c r="J177" s="54" t="str">
        <f ca="1">IF(F177="","",OFFSET(分類!$B$29,MATCH(F177,分類!$A$30:$A$46,0),0))</f>
        <v/>
      </c>
    </row>
    <row r="178" spans="2:10">
      <c r="B178" s="27">
        <f t="shared" si="2"/>
        <v>174</v>
      </c>
      <c r="C178" s="27"/>
      <c r="D178" s="27"/>
      <c r="E178" s="27"/>
      <c r="F178" s="54"/>
      <c r="G178" s="54"/>
      <c r="H178" s="54"/>
      <c r="I178" s="54"/>
      <c r="J178" s="54" t="str">
        <f ca="1">IF(F178="","",OFFSET(分類!$B$29,MATCH(F178,分類!$A$30:$A$46,0),0))</f>
        <v/>
      </c>
    </row>
    <row r="179" spans="2:10">
      <c r="B179" s="27">
        <f t="shared" si="2"/>
        <v>175</v>
      </c>
      <c r="C179" s="27"/>
      <c r="D179" s="27"/>
      <c r="E179" s="27"/>
      <c r="F179" s="54"/>
      <c r="G179" s="54"/>
      <c r="H179" s="54"/>
      <c r="I179" s="54"/>
      <c r="J179" s="54" t="str">
        <f ca="1">IF(F179="","",OFFSET(分類!$B$29,MATCH(F179,分類!$A$30:$A$46,0),0))</f>
        <v/>
      </c>
    </row>
    <row r="180" spans="2:10">
      <c r="B180" s="27">
        <f t="shared" si="2"/>
        <v>176</v>
      </c>
      <c r="C180" s="27"/>
      <c r="D180" s="27"/>
      <c r="E180" s="27"/>
      <c r="F180" s="54"/>
      <c r="G180" s="54"/>
      <c r="H180" s="54"/>
      <c r="I180" s="54"/>
      <c r="J180" s="54" t="str">
        <f ca="1">IF(F180="","",OFFSET(分類!$B$29,MATCH(F180,分類!$A$30:$A$46,0),0))</f>
        <v/>
      </c>
    </row>
    <row r="181" spans="2:10">
      <c r="B181" s="27">
        <f t="shared" si="2"/>
        <v>177</v>
      </c>
      <c r="C181" s="27"/>
      <c r="D181" s="27"/>
      <c r="E181" s="27"/>
      <c r="F181" s="54"/>
      <c r="G181" s="54"/>
      <c r="H181" s="54"/>
      <c r="I181" s="54"/>
      <c r="J181" s="54" t="str">
        <f ca="1">IF(F181="","",OFFSET(分類!$B$29,MATCH(F181,分類!$A$30:$A$46,0),0))</f>
        <v/>
      </c>
    </row>
    <row r="182" spans="2:10">
      <c r="B182" s="27">
        <f t="shared" si="2"/>
        <v>178</v>
      </c>
      <c r="C182" s="27"/>
      <c r="D182" s="27"/>
      <c r="E182" s="27"/>
      <c r="F182" s="54"/>
      <c r="G182" s="54"/>
      <c r="H182" s="54"/>
      <c r="I182" s="54"/>
      <c r="J182" s="54" t="str">
        <f ca="1">IF(F182="","",OFFSET(分類!$B$29,MATCH(F182,分類!$A$30:$A$46,0),0))</f>
        <v/>
      </c>
    </row>
    <row r="183" spans="2:10">
      <c r="B183" s="27">
        <f t="shared" si="2"/>
        <v>179</v>
      </c>
      <c r="C183" s="27"/>
      <c r="D183" s="27"/>
      <c r="E183" s="27"/>
      <c r="F183" s="54"/>
      <c r="G183" s="54"/>
      <c r="H183" s="54"/>
      <c r="I183" s="54"/>
      <c r="J183" s="54" t="str">
        <f ca="1">IF(F183="","",OFFSET(分類!$B$29,MATCH(F183,分類!$A$30:$A$46,0),0))</f>
        <v/>
      </c>
    </row>
    <row r="184" spans="2:10">
      <c r="B184" s="27">
        <f t="shared" si="2"/>
        <v>180</v>
      </c>
      <c r="C184" s="27"/>
      <c r="D184" s="27"/>
      <c r="E184" s="27"/>
      <c r="F184" s="54"/>
      <c r="G184" s="54"/>
      <c r="H184" s="54"/>
      <c r="I184" s="54"/>
      <c r="J184" s="54" t="str">
        <f ca="1">IF(F184="","",OFFSET(分類!$B$29,MATCH(F184,分類!$A$30:$A$46,0),0))</f>
        <v/>
      </c>
    </row>
    <row r="185" spans="2:10">
      <c r="B185" s="27">
        <f t="shared" si="2"/>
        <v>181</v>
      </c>
      <c r="C185" s="27"/>
      <c r="D185" s="27"/>
      <c r="E185" s="27"/>
      <c r="F185" s="54"/>
      <c r="G185" s="54"/>
      <c r="H185" s="54"/>
      <c r="I185" s="54"/>
      <c r="J185" s="54" t="str">
        <f ca="1">IF(F185="","",OFFSET(分類!$B$29,MATCH(F185,分類!$A$30:$A$46,0),0))</f>
        <v/>
      </c>
    </row>
    <row r="186" spans="2:10">
      <c r="B186" s="27">
        <f t="shared" si="2"/>
        <v>182</v>
      </c>
      <c r="C186" s="27"/>
      <c r="D186" s="27"/>
      <c r="E186" s="27"/>
      <c r="F186" s="54"/>
      <c r="G186" s="54"/>
      <c r="H186" s="54"/>
      <c r="I186" s="54"/>
      <c r="J186" s="54" t="str">
        <f ca="1">IF(F186="","",OFFSET(分類!$B$29,MATCH(F186,分類!$A$30:$A$46,0),0))</f>
        <v/>
      </c>
    </row>
    <row r="187" spans="2:10">
      <c r="B187" s="27">
        <f t="shared" si="2"/>
        <v>183</v>
      </c>
      <c r="C187" s="27"/>
      <c r="D187" s="27"/>
      <c r="E187" s="27"/>
      <c r="F187" s="54"/>
      <c r="G187" s="54"/>
      <c r="H187" s="54"/>
      <c r="I187" s="54"/>
      <c r="J187" s="54" t="str">
        <f ca="1">IF(F187="","",OFFSET(分類!$B$29,MATCH(F187,分類!$A$30:$A$46,0),0))</f>
        <v/>
      </c>
    </row>
    <row r="188" spans="2:10">
      <c r="B188" s="27">
        <f t="shared" si="2"/>
        <v>184</v>
      </c>
      <c r="C188" s="27"/>
      <c r="D188" s="27"/>
      <c r="E188" s="27"/>
      <c r="F188" s="54"/>
      <c r="G188" s="54"/>
      <c r="H188" s="54"/>
      <c r="I188" s="54"/>
      <c r="J188" s="54" t="str">
        <f ca="1">IF(F188="","",OFFSET(分類!$B$29,MATCH(F188,分類!$A$30:$A$46,0),0))</f>
        <v/>
      </c>
    </row>
    <row r="189" spans="2:10">
      <c r="B189" s="27">
        <f t="shared" si="2"/>
        <v>185</v>
      </c>
      <c r="C189" s="27"/>
      <c r="D189" s="27"/>
      <c r="E189" s="27"/>
      <c r="F189" s="54"/>
      <c r="G189" s="54"/>
      <c r="H189" s="54"/>
      <c r="I189" s="54"/>
      <c r="J189" s="54" t="str">
        <f ca="1">IF(F189="","",OFFSET(分類!$B$29,MATCH(F189,分類!$A$30:$A$46,0),0))</f>
        <v/>
      </c>
    </row>
    <row r="190" spans="2:10">
      <c r="B190" s="27">
        <f t="shared" si="2"/>
        <v>186</v>
      </c>
      <c r="C190" s="27"/>
      <c r="D190" s="27"/>
      <c r="E190" s="27"/>
      <c r="F190" s="54"/>
      <c r="G190" s="54"/>
      <c r="H190" s="54"/>
      <c r="I190" s="54"/>
      <c r="J190" s="54" t="str">
        <f ca="1">IF(F190="","",OFFSET(分類!$B$29,MATCH(F190,分類!$A$30:$A$46,0),0))</f>
        <v/>
      </c>
    </row>
    <row r="191" spans="2:10">
      <c r="B191" s="27">
        <f t="shared" si="2"/>
        <v>187</v>
      </c>
      <c r="C191" s="27"/>
      <c r="D191" s="27"/>
      <c r="E191" s="27"/>
      <c r="F191" s="54"/>
      <c r="G191" s="54"/>
      <c r="H191" s="54"/>
      <c r="I191" s="54"/>
      <c r="J191" s="54" t="str">
        <f ca="1">IF(F191="","",OFFSET(分類!$B$29,MATCH(F191,分類!$A$30:$A$46,0),0))</f>
        <v/>
      </c>
    </row>
    <row r="192" spans="2:10">
      <c r="B192" s="27">
        <f t="shared" si="2"/>
        <v>188</v>
      </c>
      <c r="C192" s="27"/>
      <c r="D192" s="27"/>
      <c r="E192" s="27"/>
      <c r="F192" s="54"/>
      <c r="G192" s="54"/>
      <c r="H192" s="54"/>
      <c r="I192" s="54"/>
      <c r="J192" s="54" t="str">
        <f ca="1">IF(F192="","",OFFSET(分類!$B$29,MATCH(F192,分類!$A$30:$A$46,0),0))</f>
        <v/>
      </c>
    </row>
    <row r="193" spans="2:10">
      <c r="B193" s="27">
        <f t="shared" si="2"/>
        <v>189</v>
      </c>
      <c r="C193" s="27"/>
      <c r="D193" s="27"/>
      <c r="E193" s="27"/>
      <c r="F193" s="54"/>
      <c r="G193" s="54"/>
      <c r="H193" s="54"/>
      <c r="I193" s="54"/>
      <c r="J193" s="54" t="str">
        <f ca="1">IF(F193="","",OFFSET(分類!$B$29,MATCH(F193,分類!$A$30:$A$46,0),0))</f>
        <v/>
      </c>
    </row>
    <row r="194" spans="2:10">
      <c r="B194" s="27">
        <f t="shared" si="2"/>
        <v>190</v>
      </c>
      <c r="C194" s="27"/>
      <c r="D194" s="27"/>
      <c r="E194" s="27"/>
      <c r="F194" s="54"/>
      <c r="G194" s="54"/>
      <c r="H194" s="54"/>
      <c r="I194" s="54"/>
      <c r="J194" s="54" t="str">
        <f ca="1">IF(F194="","",OFFSET(分類!$B$29,MATCH(F194,分類!$A$30:$A$46,0),0))</f>
        <v/>
      </c>
    </row>
    <row r="195" spans="2:10">
      <c r="B195" s="27">
        <f t="shared" si="2"/>
        <v>191</v>
      </c>
      <c r="C195" s="27"/>
      <c r="D195" s="27"/>
      <c r="E195" s="27"/>
      <c r="F195" s="54"/>
      <c r="G195" s="54"/>
      <c r="H195" s="54"/>
      <c r="I195" s="54"/>
      <c r="J195" s="54" t="str">
        <f ca="1">IF(F195="","",OFFSET(分類!$B$29,MATCH(F195,分類!$A$30:$A$46,0),0))</f>
        <v/>
      </c>
    </row>
    <row r="196" spans="2:10">
      <c r="B196" s="27">
        <f t="shared" si="2"/>
        <v>192</v>
      </c>
      <c r="C196" s="27"/>
      <c r="D196" s="27"/>
      <c r="E196" s="27"/>
      <c r="F196" s="54"/>
      <c r="G196" s="54"/>
      <c r="H196" s="54"/>
      <c r="I196" s="54"/>
      <c r="J196" s="54" t="str">
        <f ca="1">IF(F196="","",OFFSET(分類!$B$29,MATCH(F196,分類!$A$30:$A$46,0),0))</f>
        <v/>
      </c>
    </row>
    <row r="197" spans="2:10">
      <c r="B197" s="27">
        <f t="shared" si="2"/>
        <v>193</v>
      </c>
      <c r="C197" s="27"/>
      <c r="D197" s="27"/>
      <c r="E197" s="27"/>
      <c r="F197" s="54"/>
      <c r="G197" s="54"/>
      <c r="H197" s="54"/>
      <c r="I197" s="54"/>
      <c r="J197" s="54" t="str">
        <f ca="1">IF(F197="","",OFFSET(分類!$B$29,MATCH(F197,分類!$A$30:$A$46,0),0))</f>
        <v/>
      </c>
    </row>
    <row r="198" spans="2:10">
      <c r="B198" s="27">
        <f t="shared" si="2"/>
        <v>194</v>
      </c>
      <c r="C198" s="27"/>
      <c r="D198" s="27"/>
      <c r="E198" s="27"/>
      <c r="F198" s="54"/>
      <c r="G198" s="54"/>
      <c r="H198" s="54"/>
      <c r="I198" s="54"/>
      <c r="J198" s="54" t="str">
        <f ca="1">IF(F198="","",OFFSET(分類!$B$29,MATCH(F198,分類!$A$30:$A$46,0),0))</f>
        <v/>
      </c>
    </row>
    <row r="199" spans="2:10">
      <c r="B199" s="27">
        <f t="shared" ref="B199:B262" si="3">B198+1</f>
        <v>195</v>
      </c>
      <c r="C199" s="27"/>
      <c r="D199" s="27"/>
      <c r="E199" s="27"/>
      <c r="F199" s="54"/>
      <c r="G199" s="54"/>
      <c r="H199" s="54"/>
      <c r="I199" s="54"/>
      <c r="J199" s="54" t="str">
        <f ca="1">IF(F199="","",OFFSET(分類!$B$29,MATCH(F199,分類!$A$30:$A$46,0),0))</f>
        <v/>
      </c>
    </row>
    <row r="200" spans="2:10">
      <c r="B200" s="27">
        <f t="shared" si="3"/>
        <v>196</v>
      </c>
      <c r="C200" s="27"/>
      <c r="D200" s="27"/>
      <c r="E200" s="27"/>
      <c r="F200" s="54"/>
      <c r="G200" s="54"/>
      <c r="H200" s="54"/>
      <c r="I200" s="54"/>
      <c r="J200" s="54" t="str">
        <f ca="1">IF(F200="","",OFFSET(分類!$B$29,MATCH(F200,分類!$A$30:$A$46,0),0))</f>
        <v/>
      </c>
    </row>
    <row r="201" spans="2:10">
      <c r="B201" s="27">
        <f t="shared" si="3"/>
        <v>197</v>
      </c>
      <c r="C201" s="27"/>
      <c r="D201" s="27"/>
      <c r="E201" s="27"/>
      <c r="F201" s="54"/>
      <c r="G201" s="54"/>
      <c r="H201" s="54"/>
      <c r="I201" s="54"/>
      <c r="J201" s="54" t="str">
        <f ca="1">IF(F201="","",OFFSET(分類!$B$29,MATCH(F201,分類!$A$30:$A$46,0),0))</f>
        <v/>
      </c>
    </row>
    <row r="202" spans="2:10">
      <c r="B202" s="27">
        <f t="shared" si="3"/>
        <v>198</v>
      </c>
      <c r="C202" s="27"/>
      <c r="D202" s="27"/>
      <c r="E202" s="27"/>
      <c r="F202" s="54"/>
      <c r="G202" s="54"/>
      <c r="H202" s="54"/>
      <c r="I202" s="54"/>
      <c r="J202" s="54" t="str">
        <f ca="1">IF(F202="","",OFFSET(分類!$B$29,MATCH(F202,分類!$A$30:$A$46,0),0))</f>
        <v/>
      </c>
    </row>
    <row r="203" spans="2:10">
      <c r="B203" s="27">
        <f t="shared" si="3"/>
        <v>199</v>
      </c>
      <c r="C203" s="27"/>
      <c r="D203" s="27"/>
      <c r="E203" s="27"/>
      <c r="F203" s="54"/>
      <c r="G203" s="54"/>
      <c r="H203" s="54"/>
      <c r="I203" s="54"/>
      <c r="J203" s="54" t="str">
        <f ca="1">IF(F203="","",OFFSET(分類!$B$29,MATCH(F203,分類!$A$30:$A$46,0),0))</f>
        <v/>
      </c>
    </row>
    <row r="204" spans="2:10">
      <c r="B204" s="27">
        <f t="shared" si="3"/>
        <v>200</v>
      </c>
      <c r="C204" s="27"/>
      <c r="D204" s="27"/>
      <c r="E204" s="27"/>
      <c r="F204" s="54"/>
      <c r="G204" s="54"/>
      <c r="H204" s="54"/>
      <c r="I204" s="54"/>
      <c r="J204" s="54" t="str">
        <f ca="1">IF(F204="","",OFFSET(分類!$B$29,MATCH(F204,分類!$A$30:$A$46,0),0))</f>
        <v/>
      </c>
    </row>
    <row r="205" spans="2:10">
      <c r="B205" s="27">
        <f t="shared" si="3"/>
        <v>201</v>
      </c>
      <c r="C205" s="27"/>
      <c r="D205" s="27"/>
      <c r="E205" s="27"/>
      <c r="F205" s="54"/>
      <c r="G205" s="54"/>
      <c r="H205" s="54"/>
      <c r="I205" s="54"/>
      <c r="J205" s="54" t="str">
        <f ca="1">IF(F205="","",OFFSET(分類!$B$29,MATCH(F205,分類!$A$30:$A$46,0),0))</f>
        <v/>
      </c>
    </row>
    <row r="206" spans="2:10">
      <c r="B206" s="27">
        <f t="shared" si="3"/>
        <v>202</v>
      </c>
      <c r="C206" s="27"/>
      <c r="D206" s="27"/>
      <c r="E206" s="27"/>
      <c r="F206" s="54"/>
      <c r="G206" s="54"/>
      <c r="H206" s="54"/>
      <c r="I206" s="54"/>
      <c r="J206" s="54" t="str">
        <f ca="1">IF(F206="","",OFFSET(分類!$B$29,MATCH(F206,分類!$A$30:$A$46,0),0))</f>
        <v/>
      </c>
    </row>
    <row r="207" spans="2:10">
      <c r="B207" s="27">
        <f t="shared" si="3"/>
        <v>203</v>
      </c>
      <c r="C207" s="27"/>
      <c r="D207" s="27"/>
      <c r="E207" s="27"/>
      <c r="F207" s="54"/>
      <c r="G207" s="54"/>
      <c r="H207" s="54"/>
      <c r="I207" s="54"/>
      <c r="J207" s="54" t="str">
        <f ca="1">IF(F207="","",OFFSET(分類!$B$29,MATCH(F207,分類!$A$30:$A$46,0),0))</f>
        <v/>
      </c>
    </row>
    <row r="208" spans="2:10">
      <c r="B208" s="27">
        <f t="shared" si="3"/>
        <v>204</v>
      </c>
      <c r="C208" s="27"/>
      <c r="D208" s="27"/>
      <c r="E208" s="27"/>
      <c r="F208" s="54"/>
      <c r="G208" s="54"/>
      <c r="H208" s="54"/>
      <c r="I208" s="54"/>
      <c r="J208" s="54" t="str">
        <f ca="1">IF(F208="","",OFFSET(分類!$B$29,MATCH(F208,分類!$A$30:$A$46,0),0))</f>
        <v/>
      </c>
    </row>
    <row r="209" spans="2:10">
      <c r="B209" s="27">
        <f t="shared" si="3"/>
        <v>205</v>
      </c>
      <c r="C209" s="27"/>
      <c r="D209" s="27"/>
      <c r="E209" s="27"/>
      <c r="F209" s="54"/>
      <c r="G209" s="54"/>
      <c r="H209" s="54"/>
      <c r="I209" s="54"/>
      <c r="J209" s="54" t="str">
        <f ca="1">IF(F209="","",OFFSET(分類!$B$29,MATCH(F209,分類!$A$30:$A$46,0),0))</f>
        <v/>
      </c>
    </row>
    <row r="210" spans="2:10">
      <c r="B210" s="27">
        <f t="shared" si="3"/>
        <v>206</v>
      </c>
      <c r="C210" s="27"/>
      <c r="D210" s="27"/>
      <c r="E210" s="27"/>
      <c r="F210" s="54"/>
      <c r="G210" s="54"/>
      <c r="H210" s="54"/>
      <c r="I210" s="54"/>
      <c r="J210" s="54" t="str">
        <f ca="1">IF(F210="","",OFFSET(分類!$B$29,MATCH(F210,分類!$A$30:$A$46,0),0))</f>
        <v/>
      </c>
    </row>
    <row r="211" spans="2:10">
      <c r="B211" s="27">
        <f t="shared" si="3"/>
        <v>207</v>
      </c>
      <c r="C211" s="27"/>
      <c r="D211" s="27"/>
      <c r="E211" s="27"/>
      <c r="F211" s="54"/>
      <c r="G211" s="54"/>
      <c r="H211" s="54"/>
      <c r="I211" s="54"/>
      <c r="J211" s="54" t="str">
        <f ca="1">IF(F211="","",OFFSET(分類!$B$29,MATCH(F211,分類!$A$30:$A$46,0),0))</f>
        <v/>
      </c>
    </row>
    <row r="212" spans="2:10">
      <c r="B212" s="27">
        <f t="shared" si="3"/>
        <v>208</v>
      </c>
      <c r="C212" s="27"/>
      <c r="D212" s="27"/>
      <c r="E212" s="27"/>
      <c r="F212" s="54"/>
      <c r="G212" s="54"/>
      <c r="H212" s="54"/>
      <c r="I212" s="54"/>
      <c r="J212" s="54" t="str">
        <f ca="1">IF(F212="","",OFFSET(分類!$B$29,MATCH(F212,分類!$A$30:$A$46,0),0))</f>
        <v/>
      </c>
    </row>
    <row r="213" spans="2:10">
      <c r="B213" s="27">
        <f t="shared" si="3"/>
        <v>209</v>
      </c>
      <c r="C213" s="27"/>
      <c r="D213" s="27"/>
      <c r="E213" s="27"/>
      <c r="F213" s="54"/>
      <c r="G213" s="54"/>
      <c r="H213" s="54"/>
      <c r="I213" s="54"/>
      <c r="J213" s="54" t="str">
        <f ca="1">IF(F213="","",OFFSET(分類!$B$29,MATCH(F213,分類!$A$30:$A$46,0),0))</f>
        <v/>
      </c>
    </row>
    <row r="214" spans="2:10">
      <c r="B214" s="27">
        <f t="shared" si="3"/>
        <v>210</v>
      </c>
      <c r="C214" s="27"/>
      <c r="D214" s="27"/>
      <c r="E214" s="27"/>
      <c r="F214" s="54"/>
      <c r="G214" s="54"/>
      <c r="H214" s="54"/>
      <c r="I214" s="54"/>
      <c r="J214" s="54" t="str">
        <f ca="1">IF(F214="","",OFFSET(分類!$B$29,MATCH(F214,分類!$A$30:$A$46,0),0))</f>
        <v/>
      </c>
    </row>
    <row r="215" spans="2:10">
      <c r="B215" s="27">
        <f t="shared" si="3"/>
        <v>211</v>
      </c>
      <c r="C215" s="27"/>
      <c r="D215" s="27"/>
      <c r="E215" s="27"/>
      <c r="F215" s="54"/>
      <c r="G215" s="54"/>
      <c r="H215" s="54"/>
      <c r="I215" s="54"/>
      <c r="J215" s="54" t="str">
        <f ca="1">IF(F215="","",OFFSET(分類!$B$29,MATCH(F215,分類!$A$30:$A$46,0),0))</f>
        <v/>
      </c>
    </row>
    <row r="216" spans="2:10">
      <c r="B216" s="27">
        <f t="shared" si="3"/>
        <v>212</v>
      </c>
      <c r="C216" s="27"/>
      <c r="D216" s="27"/>
      <c r="E216" s="27"/>
      <c r="F216" s="54"/>
      <c r="G216" s="54"/>
      <c r="H216" s="54"/>
      <c r="I216" s="54"/>
      <c r="J216" s="54" t="str">
        <f ca="1">IF(F216="","",OFFSET(分類!$B$29,MATCH(F216,分類!$A$30:$A$46,0),0))</f>
        <v/>
      </c>
    </row>
    <row r="217" spans="2:10">
      <c r="B217" s="27">
        <f t="shared" si="3"/>
        <v>213</v>
      </c>
      <c r="C217" s="27"/>
      <c r="D217" s="27"/>
      <c r="E217" s="27"/>
      <c r="F217" s="54"/>
      <c r="G217" s="54"/>
      <c r="H217" s="54"/>
      <c r="I217" s="54"/>
      <c r="J217" s="54" t="str">
        <f ca="1">IF(F217="","",OFFSET(分類!$B$29,MATCH(F217,分類!$A$30:$A$46,0),0))</f>
        <v/>
      </c>
    </row>
    <row r="218" spans="2:10">
      <c r="B218" s="27">
        <f t="shared" si="3"/>
        <v>214</v>
      </c>
      <c r="C218" s="27"/>
      <c r="D218" s="27"/>
      <c r="E218" s="27"/>
      <c r="F218" s="54"/>
      <c r="G218" s="54"/>
      <c r="H218" s="54"/>
      <c r="I218" s="54"/>
      <c r="J218" s="54" t="str">
        <f ca="1">IF(F218="","",OFFSET(分類!$B$29,MATCH(F218,分類!$A$30:$A$46,0),0))</f>
        <v/>
      </c>
    </row>
    <row r="219" spans="2:10">
      <c r="B219" s="27">
        <f t="shared" si="3"/>
        <v>215</v>
      </c>
      <c r="C219" s="27"/>
      <c r="D219" s="27"/>
      <c r="E219" s="27"/>
      <c r="F219" s="54"/>
      <c r="G219" s="54"/>
      <c r="H219" s="54"/>
      <c r="I219" s="54"/>
      <c r="J219" s="54" t="str">
        <f ca="1">IF(F219="","",OFFSET(分類!$B$29,MATCH(F219,分類!$A$30:$A$46,0),0))</f>
        <v/>
      </c>
    </row>
    <row r="220" spans="2:10">
      <c r="B220" s="27">
        <f t="shared" si="3"/>
        <v>216</v>
      </c>
      <c r="C220" s="27"/>
      <c r="D220" s="27"/>
      <c r="E220" s="27"/>
      <c r="F220" s="54"/>
      <c r="G220" s="54"/>
      <c r="H220" s="54"/>
      <c r="I220" s="54"/>
      <c r="J220" s="54" t="str">
        <f ca="1">IF(F220="","",OFFSET(分類!$B$29,MATCH(F220,分類!$A$30:$A$46,0),0))</f>
        <v/>
      </c>
    </row>
    <row r="221" spans="2:10">
      <c r="B221" s="27">
        <f t="shared" si="3"/>
        <v>217</v>
      </c>
      <c r="C221" s="27"/>
      <c r="D221" s="27"/>
      <c r="E221" s="27"/>
      <c r="F221" s="54"/>
      <c r="G221" s="54"/>
      <c r="H221" s="54"/>
      <c r="I221" s="54"/>
      <c r="J221" s="54" t="str">
        <f ca="1">IF(F221="","",OFFSET(分類!$B$29,MATCH(F221,分類!$A$30:$A$46,0),0))</f>
        <v/>
      </c>
    </row>
    <row r="222" spans="2:10">
      <c r="B222" s="27">
        <f t="shared" si="3"/>
        <v>218</v>
      </c>
      <c r="C222" s="27"/>
      <c r="D222" s="27"/>
      <c r="E222" s="27"/>
      <c r="F222" s="54"/>
      <c r="G222" s="54"/>
      <c r="H222" s="54"/>
      <c r="I222" s="54"/>
      <c r="J222" s="54" t="str">
        <f ca="1">IF(F222="","",OFFSET(分類!$B$29,MATCH(F222,分類!$A$30:$A$46,0),0))</f>
        <v/>
      </c>
    </row>
    <row r="223" spans="2:10">
      <c r="B223" s="27">
        <f t="shared" si="3"/>
        <v>219</v>
      </c>
      <c r="C223" s="27"/>
      <c r="D223" s="27"/>
      <c r="E223" s="27"/>
      <c r="F223" s="54"/>
      <c r="G223" s="54"/>
      <c r="H223" s="54"/>
      <c r="I223" s="54"/>
      <c r="J223" s="54" t="str">
        <f ca="1">IF(F223="","",OFFSET(分類!$B$29,MATCH(F223,分類!$A$30:$A$46,0),0))</f>
        <v/>
      </c>
    </row>
    <row r="224" spans="2:10">
      <c r="B224" s="27">
        <f t="shared" si="3"/>
        <v>220</v>
      </c>
      <c r="C224" s="27"/>
      <c r="D224" s="27"/>
      <c r="E224" s="27"/>
      <c r="F224" s="54"/>
      <c r="G224" s="54"/>
      <c r="H224" s="54"/>
      <c r="I224" s="54"/>
      <c r="J224" s="54" t="str">
        <f ca="1">IF(F224="","",OFFSET(分類!$B$29,MATCH(F224,分類!$A$30:$A$46,0),0))</f>
        <v/>
      </c>
    </row>
    <row r="225" spans="2:10">
      <c r="B225" s="27">
        <f t="shared" si="3"/>
        <v>221</v>
      </c>
      <c r="C225" s="27"/>
      <c r="D225" s="27"/>
      <c r="E225" s="27"/>
      <c r="F225" s="54"/>
      <c r="G225" s="54"/>
      <c r="H225" s="54"/>
      <c r="I225" s="54"/>
      <c r="J225" s="54" t="str">
        <f ca="1">IF(F225="","",OFFSET(分類!$B$29,MATCH(F225,分類!$A$30:$A$46,0),0))</f>
        <v/>
      </c>
    </row>
    <row r="226" spans="2:10">
      <c r="B226" s="27">
        <f t="shared" si="3"/>
        <v>222</v>
      </c>
      <c r="C226" s="27"/>
      <c r="D226" s="27"/>
      <c r="E226" s="27"/>
      <c r="F226" s="54"/>
      <c r="G226" s="54"/>
      <c r="H226" s="54"/>
      <c r="I226" s="54"/>
      <c r="J226" s="54" t="str">
        <f ca="1">IF(F226="","",OFFSET(分類!$B$29,MATCH(F226,分類!$A$30:$A$46,0),0))</f>
        <v/>
      </c>
    </row>
    <row r="227" spans="2:10">
      <c r="B227" s="27">
        <f t="shared" si="3"/>
        <v>223</v>
      </c>
      <c r="C227" s="27"/>
      <c r="D227" s="27"/>
      <c r="E227" s="27"/>
      <c r="F227" s="54"/>
      <c r="G227" s="54"/>
      <c r="H227" s="54"/>
      <c r="I227" s="54"/>
      <c r="J227" s="54" t="str">
        <f ca="1">IF(F227="","",OFFSET(分類!$B$29,MATCH(F227,分類!$A$30:$A$46,0),0))</f>
        <v/>
      </c>
    </row>
    <row r="228" spans="2:10">
      <c r="B228" s="27">
        <f t="shared" si="3"/>
        <v>224</v>
      </c>
      <c r="C228" s="27"/>
      <c r="D228" s="27"/>
      <c r="E228" s="27"/>
      <c r="F228" s="54"/>
      <c r="G228" s="54"/>
      <c r="H228" s="54"/>
      <c r="I228" s="54"/>
      <c r="J228" s="54" t="str">
        <f ca="1">IF(F228="","",OFFSET(分類!$B$29,MATCH(F228,分類!$A$30:$A$46,0),0))</f>
        <v/>
      </c>
    </row>
    <row r="229" spans="2:10">
      <c r="B229" s="27">
        <f t="shared" si="3"/>
        <v>225</v>
      </c>
      <c r="C229" s="27"/>
      <c r="D229" s="27"/>
      <c r="E229" s="27"/>
      <c r="F229" s="54"/>
      <c r="G229" s="54"/>
      <c r="H229" s="54"/>
      <c r="I229" s="54"/>
      <c r="J229" s="54" t="str">
        <f ca="1">IF(F229="","",OFFSET(分類!$B$29,MATCH(F229,分類!$A$30:$A$46,0),0))</f>
        <v/>
      </c>
    </row>
    <row r="230" spans="2:10">
      <c r="B230" s="27">
        <f t="shared" si="3"/>
        <v>226</v>
      </c>
      <c r="C230" s="27"/>
      <c r="D230" s="27"/>
      <c r="E230" s="27"/>
      <c r="F230" s="54"/>
      <c r="G230" s="54"/>
      <c r="H230" s="54"/>
      <c r="I230" s="54"/>
      <c r="J230" s="54" t="str">
        <f ca="1">IF(F230="","",OFFSET(分類!$B$29,MATCH(F230,分類!$A$30:$A$46,0),0))</f>
        <v/>
      </c>
    </row>
    <row r="231" spans="2:10">
      <c r="B231" s="27">
        <f t="shared" si="3"/>
        <v>227</v>
      </c>
      <c r="C231" s="27"/>
      <c r="D231" s="27"/>
      <c r="E231" s="27"/>
      <c r="F231" s="54"/>
      <c r="G231" s="54"/>
      <c r="H231" s="54"/>
      <c r="I231" s="54"/>
      <c r="J231" s="54" t="str">
        <f ca="1">IF(F231="","",OFFSET(分類!$B$29,MATCH(F231,分類!$A$30:$A$46,0),0))</f>
        <v/>
      </c>
    </row>
    <row r="232" spans="2:10">
      <c r="B232" s="27">
        <f t="shared" si="3"/>
        <v>228</v>
      </c>
      <c r="C232" s="27"/>
      <c r="D232" s="27"/>
      <c r="E232" s="27"/>
      <c r="F232" s="54"/>
      <c r="G232" s="54"/>
      <c r="H232" s="54"/>
      <c r="I232" s="54"/>
      <c r="J232" s="54" t="str">
        <f ca="1">IF(F232="","",OFFSET(分類!$B$29,MATCH(F232,分類!$A$30:$A$46,0),0))</f>
        <v/>
      </c>
    </row>
    <row r="233" spans="2:10">
      <c r="B233" s="27">
        <f t="shared" si="3"/>
        <v>229</v>
      </c>
      <c r="C233" s="27"/>
      <c r="D233" s="27"/>
      <c r="E233" s="27"/>
      <c r="F233" s="54"/>
      <c r="G233" s="54"/>
      <c r="H233" s="54"/>
      <c r="I233" s="54"/>
      <c r="J233" s="54" t="str">
        <f ca="1">IF(F233="","",OFFSET(分類!$B$29,MATCH(F233,分類!$A$30:$A$46,0),0))</f>
        <v/>
      </c>
    </row>
    <row r="234" spans="2:10">
      <c r="B234" s="27">
        <f t="shared" si="3"/>
        <v>230</v>
      </c>
      <c r="C234" s="27"/>
      <c r="D234" s="27"/>
      <c r="E234" s="27"/>
      <c r="F234" s="54"/>
      <c r="G234" s="54"/>
      <c r="H234" s="54"/>
      <c r="I234" s="54"/>
      <c r="J234" s="54" t="str">
        <f ca="1">IF(F234="","",OFFSET(分類!$B$29,MATCH(F234,分類!$A$30:$A$46,0),0))</f>
        <v/>
      </c>
    </row>
    <row r="235" spans="2:10">
      <c r="B235" s="27">
        <f t="shared" si="3"/>
        <v>231</v>
      </c>
      <c r="C235" s="27"/>
      <c r="D235" s="27"/>
      <c r="E235" s="27"/>
      <c r="F235" s="54"/>
      <c r="G235" s="54"/>
      <c r="H235" s="54"/>
      <c r="I235" s="54"/>
      <c r="J235" s="54" t="str">
        <f ca="1">IF(F235="","",OFFSET(分類!$B$29,MATCH(F235,分類!$A$30:$A$46,0),0))</f>
        <v/>
      </c>
    </row>
    <row r="236" spans="2:10">
      <c r="B236" s="27">
        <f t="shared" si="3"/>
        <v>232</v>
      </c>
      <c r="C236" s="27"/>
      <c r="D236" s="27"/>
      <c r="E236" s="27"/>
      <c r="F236" s="54"/>
      <c r="G236" s="54"/>
      <c r="H236" s="54"/>
      <c r="I236" s="54"/>
      <c r="J236" s="54" t="str">
        <f ca="1">IF(F236="","",OFFSET(分類!$B$29,MATCH(F236,分類!$A$30:$A$46,0),0))</f>
        <v/>
      </c>
    </row>
    <row r="237" spans="2:10">
      <c r="B237" s="27">
        <f t="shared" si="3"/>
        <v>233</v>
      </c>
      <c r="C237" s="27"/>
      <c r="D237" s="27"/>
      <c r="E237" s="27"/>
      <c r="F237" s="54"/>
      <c r="G237" s="54"/>
      <c r="H237" s="54"/>
      <c r="I237" s="54"/>
      <c r="J237" s="54" t="str">
        <f ca="1">IF(F237="","",OFFSET(分類!$B$29,MATCH(F237,分類!$A$30:$A$46,0),0))</f>
        <v/>
      </c>
    </row>
    <row r="238" spans="2:10">
      <c r="B238" s="27">
        <f t="shared" si="3"/>
        <v>234</v>
      </c>
      <c r="C238" s="27"/>
      <c r="D238" s="27"/>
      <c r="E238" s="27"/>
      <c r="F238" s="54"/>
      <c r="G238" s="54"/>
      <c r="H238" s="54"/>
      <c r="I238" s="54"/>
      <c r="J238" s="54" t="str">
        <f ca="1">IF(F238="","",OFFSET(分類!$B$29,MATCH(F238,分類!$A$30:$A$46,0),0))</f>
        <v/>
      </c>
    </row>
    <row r="239" spans="2:10">
      <c r="B239" s="27">
        <f t="shared" si="3"/>
        <v>235</v>
      </c>
      <c r="C239" s="27"/>
      <c r="D239" s="27"/>
      <c r="E239" s="27"/>
      <c r="F239" s="54"/>
      <c r="G239" s="54"/>
      <c r="H239" s="54"/>
      <c r="I239" s="54"/>
      <c r="J239" s="54" t="str">
        <f ca="1">IF(F239="","",OFFSET(分類!$B$29,MATCH(F239,分類!$A$30:$A$46,0),0))</f>
        <v/>
      </c>
    </row>
    <row r="240" spans="2:10">
      <c r="B240" s="27">
        <f t="shared" si="3"/>
        <v>236</v>
      </c>
      <c r="C240" s="27"/>
      <c r="D240" s="27"/>
      <c r="E240" s="27"/>
      <c r="F240" s="54"/>
      <c r="G240" s="54"/>
      <c r="H240" s="54"/>
      <c r="I240" s="54"/>
      <c r="J240" s="54" t="str">
        <f ca="1">IF(F240="","",OFFSET(分類!$B$29,MATCH(F240,分類!$A$30:$A$46,0),0))</f>
        <v/>
      </c>
    </row>
    <row r="241" spans="2:10">
      <c r="B241" s="27">
        <f t="shared" si="3"/>
        <v>237</v>
      </c>
      <c r="C241" s="27"/>
      <c r="D241" s="27"/>
      <c r="E241" s="27"/>
      <c r="F241" s="54"/>
      <c r="G241" s="54"/>
      <c r="H241" s="54"/>
      <c r="I241" s="54"/>
      <c r="J241" s="54" t="str">
        <f ca="1">IF(F241="","",OFFSET(分類!$B$29,MATCH(F241,分類!$A$30:$A$46,0),0))</f>
        <v/>
      </c>
    </row>
    <row r="242" spans="2:10">
      <c r="B242" s="27">
        <f t="shared" si="3"/>
        <v>238</v>
      </c>
      <c r="C242" s="27"/>
      <c r="D242" s="27"/>
      <c r="E242" s="27"/>
      <c r="F242" s="54"/>
      <c r="G242" s="54"/>
      <c r="H242" s="54"/>
      <c r="I242" s="54"/>
      <c r="J242" s="54" t="str">
        <f ca="1">IF(F242="","",OFFSET(分類!$B$29,MATCH(F242,分類!$A$30:$A$46,0),0))</f>
        <v/>
      </c>
    </row>
    <row r="243" spans="2:10">
      <c r="B243" s="27">
        <f t="shared" si="3"/>
        <v>239</v>
      </c>
      <c r="C243" s="27"/>
      <c r="D243" s="27"/>
      <c r="E243" s="27"/>
      <c r="F243" s="54"/>
      <c r="G243" s="54"/>
      <c r="H243" s="54"/>
      <c r="I243" s="54"/>
      <c r="J243" s="54" t="str">
        <f ca="1">IF(F243="","",OFFSET(分類!$B$29,MATCH(F243,分類!$A$30:$A$46,0),0))</f>
        <v/>
      </c>
    </row>
    <row r="244" spans="2:10">
      <c r="B244" s="27">
        <f t="shared" si="3"/>
        <v>240</v>
      </c>
      <c r="C244" s="27"/>
      <c r="D244" s="27"/>
      <c r="E244" s="27"/>
      <c r="F244" s="54"/>
      <c r="G244" s="54"/>
      <c r="H244" s="54"/>
      <c r="I244" s="54"/>
      <c r="J244" s="54" t="str">
        <f ca="1">IF(F244="","",OFFSET(分類!$B$29,MATCH(F244,分類!$A$30:$A$46,0),0))</f>
        <v/>
      </c>
    </row>
    <row r="245" spans="2:10">
      <c r="B245" s="27">
        <f t="shared" si="3"/>
        <v>241</v>
      </c>
      <c r="C245" s="27"/>
      <c r="D245" s="27"/>
      <c r="E245" s="27"/>
      <c r="F245" s="54"/>
      <c r="G245" s="54"/>
      <c r="H245" s="54"/>
      <c r="I245" s="54"/>
      <c r="J245" s="54" t="str">
        <f ca="1">IF(F245="","",OFFSET(分類!$B$29,MATCH(F245,分類!$A$30:$A$46,0),0))</f>
        <v/>
      </c>
    </row>
    <row r="246" spans="2:10">
      <c r="B246" s="27">
        <f t="shared" si="3"/>
        <v>242</v>
      </c>
      <c r="C246" s="27"/>
      <c r="D246" s="27"/>
      <c r="E246" s="27"/>
      <c r="F246" s="54"/>
      <c r="G246" s="54"/>
      <c r="H246" s="54"/>
      <c r="I246" s="54"/>
      <c r="J246" s="54" t="str">
        <f ca="1">IF(F246="","",OFFSET(分類!$B$29,MATCH(F246,分類!$A$30:$A$46,0),0))</f>
        <v/>
      </c>
    </row>
    <row r="247" spans="2:10">
      <c r="B247" s="27">
        <f t="shared" si="3"/>
        <v>243</v>
      </c>
      <c r="C247" s="27"/>
      <c r="D247" s="27"/>
      <c r="E247" s="27"/>
      <c r="F247" s="54"/>
      <c r="G247" s="54"/>
      <c r="H247" s="54"/>
      <c r="I247" s="54"/>
      <c r="J247" s="54" t="str">
        <f ca="1">IF(F247="","",OFFSET(分類!$B$29,MATCH(F247,分類!$A$30:$A$46,0),0))</f>
        <v/>
      </c>
    </row>
    <row r="248" spans="2:10">
      <c r="B248" s="27">
        <f t="shared" si="3"/>
        <v>244</v>
      </c>
      <c r="C248" s="27"/>
      <c r="D248" s="27"/>
      <c r="E248" s="27"/>
      <c r="F248" s="54"/>
      <c r="G248" s="54"/>
      <c r="H248" s="54"/>
      <c r="I248" s="54"/>
      <c r="J248" s="54" t="str">
        <f ca="1">IF(F248="","",OFFSET(分類!$B$29,MATCH(F248,分類!$A$30:$A$46,0),0))</f>
        <v/>
      </c>
    </row>
    <row r="249" spans="2:10">
      <c r="B249" s="27">
        <f t="shared" si="3"/>
        <v>245</v>
      </c>
      <c r="C249" s="27"/>
      <c r="D249" s="27"/>
      <c r="E249" s="27"/>
      <c r="F249" s="54"/>
      <c r="G249" s="54"/>
      <c r="H249" s="54"/>
      <c r="I249" s="54"/>
      <c r="J249" s="54" t="str">
        <f ca="1">IF(F249="","",OFFSET(分類!$B$29,MATCH(F249,分類!$A$30:$A$46,0),0))</f>
        <v/>
      </c>
    </row>
    <row r="250" spans="2:10">
      <c r="B250" s="27">
        <f t="shared" si="3"/>
        <v>246</v>
      </c>
      <c r="C250" s="27"/>
      <c r="D250" s="27"/>
      <c r="E250" s="27"/>
      <c r="F250" s="54"/>
      <c r="G250" s="54"/>
      <c r="H250" s="54"/>
      <c r="I250" s="54"/>
      <c r="J250" s="54" t="str">
        <f ca="1">IF(F250="","",OFFSET(分類!$B$29,MATCH(F250,分類!$A$30:$A$46,0),0))</f>
        <v/>
      </c>
    </row>
    <row r="251" spans="2:10">
      <c r="B251" s="27">
        <f t="shared" si="3"/>
        <v>247</v>
      </c>
      <c r="C251" s="27"/>
      <c r="D251" s="27"/>
      <c r="E251" s="27"/>
      <c r="F251" s="54"/>
      <c r="G251" s="54"/>
      <c r="H251" s="54"/>
      <c r="I251" s="54"/>
      <c r="J251" s="54" t="str">
        <f ca="1">IF(F251="","",OFFSET(分類!$B$29,MATCH(F251,分類!$A$30:$A$46,0),0))</f>
        <v/>
      </c>
    </row>
    <row r="252" spans="2:10">
      <c r="B252" s="27">
        <f t="shared" si="3"/>
        <v>248</v>
      </c>
      <c r="C252" s="27"/>
      <c r="D252" s="27"/>
      <c r="E252" s="27"/>
      <c r="F252" s="54"/>
      <c r="G252" s="54"/>
      <c r="H252" s="54"/>
      <c r="I252" s="54"/>
      <c r="J252" s="54" t="str">
        <f ca="1">IF(F252="","",OFFSET(分類!$B$29,MATCH(F252,分類!$A$30:$A$46,0),0))</f>
        <v/>
      </c>
    </row>
    <row r="253" spans="2:10">
      <c r="B253" s="27">
        <f t="shared" si="3"/>
        <v>249</v>
      </c>
      <c r="C253" s="27"/>
      <c r="D253" s="27"/>
      <c r="E253" s="27"/>
      <c r="F253" s="54"/>
      <c r="G253" s="54"/>
      <c r="H253" s="54"/>
      <c r="I253" s="54"/>
      <c r="J253" s="54" t="str">
        <f ca="1">IF(F253="","",OFFSET(分類!$B$29,MATCH(F253,分類!$A$30:$A$46,0),0))</f>
        <v/>
      </c>
    </row>
    <row r="254" spans="2:10">
      <c r="B254" s="27">
        <f t="shared" si="3"/>
        <v>250</v>
      </c>
      <c r="C254" s="27"/>
      <c r="D254" s="27"/>
      <c r="E254" s="27"/>
      <c r="F254" s="54"/>
      <c r="G254" s="54"/>
      <c r="H254" s="54"/>
      <c r="I254" s="54"/>
      <c r="J254" s="54" t="str">
        <f ca="1">IF(F254="","",OFFSET(分類!$B$29,MATCH(F254,分類!$A$30:$A$46,0),0))</f>
        <v/>
      </c>
    </row>
    <row r="255" spans="2:10">
      <c r="B255" s="27">
        <f t="shared" si="3"/>
        <v>251</v>
      </c>
      <c r="C255" s="27"/>
      <c r="D255" s="27"/>
      <c r="E255" s="27"/>
      <c r="F255" s="54"/>
      <c r="G255" s="54"/>
      <c r="H255" s="54"/>
      <c r="I255" s="54"/>
      <c r="J255" s="54" t="str">
        <f ca="1">IF(F255="","",OFFSET(分類!$B$29,MATCH(F255,分類!$A$30:$A$46,0),0))</f>
        <v/>
      </c>
    </row>
    <row r="256" spans="2:10">
      <c r="B256" s="27">
        <f t="shared" si="3"/>
        <v>252</v>
      </c>
      <c r="C256" s="27"/>
      <c r="D256" s="27"/>
      <c r="E256" s="27"/>
      <c r="F256" s="54"/>
      <c r="G256" s="54"/>
      <c r="H256" s="54"/>
      <c r="I256" s="54"/>
      <c r="J256" s="54" t="str">
        <f ca="1">IF(F256="","",OFFSET(分類!$B$29,MATCH(F256,分類!$A$30:$A$46,0),0))</f>
        <v/>
      </c>
    </row>
    <row r="257" spans="2:10">
      <c r="B257" s="27">
        <f t="shared" si="3"/>
        <v>253</v>
      </c>
      <c r="C257" s="27"/>
      <c r="D257" s="27"/>
      <c r="E257" s="27"/>
      <c r="F257" s="54"/>
      <c r="G257" s="54"/>
      <c r="H257" s="54"/>
      <c r="I257" s="54"/>
      <c r="J257" s="54" t="str">
        <f ca="1">IF(F257="","",OFFSET(分類!$B$29,MATCH(F257,分類!$A$30:$A$46,0),0))</f>
        <v/>
      </c>
    </row>
    <row r="258" spans="2:10">
      <c r="B258" s="27">
        <f t="shared" si="3"/>
        <v>254</v>
      </c>
      <c r="C258" s="27"/>
      <c r="D258" s="27"/>
      <c r="E258" s="27"/>
      <c r="F258" s="54"/>
      <c r="G258" s="54"/>
      <c r="H258" s="54"/>
      <c r="I258" s="54"/>
      <c r="J258" s="54" t="str">
        <f ca="1">IF(F258="","",OFFSET(分類!$B$29,MATCH(F258,分類!$A$30:$A$46,0),0))</f>
        <v/>
      </c>
    </row>
    <row r="259" spans="2:10">
      <c r="B259" s="27">
        <f t="shared" si="3"/>
        <v>255</v>
      </c>
      <c r="C259" s="27"/>
      <c r="D259" s="27"/>
      <c r="E259" s="27"/>
      <c r="F259" s="54"/>
      <c r="G259" s="54"/>
      <c r="H259" s="54"/>
      <c r="I259" s="54"/>
      <c r="J259" s="54" t="str">
        <f ca="1">IF(F259="","",OFFSET(分類!$B$29,MATCH(F259,分類!$A$30:$A$46,0),0))</f>
        <v/>
      </c>
    </row>
    <row r="260" spans="2:10">
      <c r="B260" s="27">
        <f t="shared" si="3"/>
        <v>256</v>
      </c>
      <c r="C260" s="27"/>
      <c r="D260" s="27"/>
      <c r="E260" s="27"/>
      <c r="F260" s="54"/>
      <c r="G260" s="54"/>
      <c r="H260" s="54"/>
      <c r="I260" s="54"/>
      <c r="J260" s="54" t="str">
        <f ca="1">IF(F260="","",OFFSET(分類!$B$29,MATCH(F260,分類!$A$30:$A$46,0),0))</f>
        <v/>
      </c>
    </row>
    <row r="261" spans="2:10">
      <c r="B261" s="27">
        <f t="shared" si="3"/>
        <v>257</v>
      </c>
      <c r="C261" s="27"/>
      <c r="D261" s="27"/>
      <c r="E261" s="27"/>
      <c r="F261" s="54"/>
      <c r="G261" s="54"/>
      <c r="H261" s="54"/>
      <c r="I261" s="54"/>
      <c r="J261" s="54" t="str">
        <f ca="1">IF(F261="","",OFFSET(分類!$B$29,MATCH(F261,分類!$A$30:$A$46,0),0))</f>
        <v/>
      </c>
    </row>
    <row r="262" spans="2:10">
      <c r="B262" s="27">
        <f t="shared" si="3"/>
        <v>258</v>
      </c>
      <c r="C262" s="27"/>
      <c r="D262" s="27"/>
      <c r="E262" s="27"/>
      <c r="F262" s="54"/>
      <c r="G262" s="54"/>
      <c r="H262" s="54"/>
      <c r="I262" s="54"/>
      <c r="J262" s="54" t="str">
        <f ca="1">IF(F262="","",OFFSET(分類!$B$29,MATCH(F262,分類!$A$30:$A$46,0),0))</f>
        <v/>
      </c>
    </row>
    <row r="263" spans="2:10">
      <c r="B263" s="27">
        <f t="shared" ref="B263:B304" si="4">B262+1</f>
        <v>259</v>
      </c>
      <c r="C263" s="27"/>
      <c r="D263" s="27"/>
      <c r="E263" s="27"/>
      <c r="F263" s="54"/>
      <c r="G263" s="54"/>
      <c r="H263" s="54"/>
      <c r="I263" s="54"/>
      <c r="J263" s="54" t="str">
        <f ca="1">IF(F263="","",OFFSET(分類!$B$29,MATCH(F263,分類!$A$30:$A$46,0),0))</f>
        <v/>
      </c>
    </row>
    <row r="264" spans="2:10">
      <c r="B264" s="27">
        <f t="shared" si="4"/>
        <v>260</v>
      </c>
      <c r="C264" s="27"/>
      <c r="D264" s="27"/>
      <c r="E264" s="27"/>
      <c r="F264" s="54"/>
      <c r="G264" s="54"/>
      <c r="H264" s="54"/>
      <c r="I264" s="54"/>
      <c r="J264" s="54" t="str">
        <f ca="1">IF(F264="","",OFFSET(分類!$B$29,MATCH(F264,分類!$A$30:$A$46,0),0))</f>
        <v/>
      </c>
    </row>
    <row r="265" spans="2:10">
      <c r="B265" s="27">
        <f t="shared" si="4"/>
        <v>261</v>
      </c>
      <c r="C265" s="27"/>
      <c r="D265" s="27"/>
      <c r="E265" s="27"/>
      <c r="F265" s="54"/>
      <c r="G265" s="54"/>
      <c r="H265" s="54"/>
      <c r="I265" s="54"/>
      <c r="J265" s="54" t="str">
        <f ca="1">IF(F265="","",OFFSET(分類!$B$29,MATCH(F265,分類!$A$30:$A$46,0),0))</f>
        <v/>
      </c>
    </row>
    <row r="266" spans="2:10">
      <c r="B266" s="27">
        <f t="shared" si="4"/>
        <v>262</v>
      </c>
      <c r="C266" s="27"/>
      <c r="D266" s="27"/>
      <c r="E266" s="27"/>
      <c r="F266" s="54"/>
      <c r="G266" s="54"/>
      <c r="H266" s="54"/>
      <c r="I266" s="54"/>
      <c r="J266" s="54" t="str">
        <f ca="1">IF(F266="","",OFFSET(分類!$B$29,MATCH(F266,分類!$A$30:$A$46,0),0))</f>
        <v/>
      </c>
    </row>
    <row r="267" spans="2:10">
      <c r="B267" s="27">
        <f t="shared" si="4"/>
        <v>263</v>
      </c>
      <c r="C267" s="27"/>
      <c r="D267" s="27"/>
      <c r="E267" s="27"/>
      <c r="F267" s="54"/>
      <c r="G267" s="54"/>
      <c r="H267" s="54"/>
      <c r="I267" s="54"/>
      <c r="J267" s="54" t="str">
        <f ca="1">IF(F267="","",OFFSET(分類!$B$29,MATCH(F267,分類!$A$30:$A$46,0),0))</f>
        <v/>
      </c>
    </row>
    <row r="268" spans="2:10">
      <c r="B268" s="27">
        <f t="shared" si="4"/>
        <v>264</v>
      </c>
      <c r="C268" s="27"/>
      <c r="D268" s="27"/>
      <c r="E268" s="27"/>
      <c r="F268" s="54"/>
      <c r="G268" s="54"/>
      <c r="H268" s="54"/>
      <c r="I268" s="54"/>
      <c r="J268" s="54" t="str">
        <f ca="1">IF(F268="","",OFFSET(分類!$B$29,MATCH(F268,分類!$A$30:$A$46,0),0))</f>
        <v/>
      </c>
    </row>
    <row r="269" spans="2:10">
      <c r="B269" s="27">
        <f t="shared" si="4"/>
        <v>265</v>
      </c>
      <c r="C269" s="27"/>
      <c r="D269" s="27"/>
      <c r="E269" s="27"/>
      <c r="F269" s="54"/>
      <c r="G269" s="54"/>
      <c r="H269" s="54"/>
      <c r="I269" s="54"/>
      <c r="J269" s="54" t="str">
        <f ca="1">IF(F269="","",OFFSET(分類!$B$29,MATCH(F269,分類!$A$30:$A$46,0),0))</f>
        <v/>
      </c>
    </row>
    <row r="270" spans="2:10">
      <c r="B270" s="27">
        <f t="shared" si="4"/>
        <v>266</v>
      </c>
      <c r="C270" s="27"/>
      <c r="D270" s="27"/>
      <c r="E270" s="27"/>
      <c r="F270" s="54"/>
      <c r="G270" s="54"/>
      <c r="H270" s="54"/>
      <c r="I270" s="54"/>
      <c r="J270" s="54" t="str">
        <f ca="1">IF(F270="","",OFFSET(分類!$B$29,MATCH(F270,分類!$A$30:$A$46,0),0))</f>
        <v/>
      </c>
    </row>
    <row r="271" spans="2:10">
      <c r="B271" s="27">
        <f t="shared" si="4"/>
        <v>267</v>
      </c>
      <c r="C271" s="27"/>
      <c r="D271" s="27"/>
      <c r="E271" s="27"/>
      <c r="F271" s="54"/>
      <c r="G271" s="54"/>
      <c r="H271" s="54"/>
      <c r="I271" s="54"/>
      <c r="J271" s="54" t="str">
        <f ca="1">IF(F271="","",OFFSET(分類!$B$29,MATCH(F271,分類!$A$30:$A$46,0),0))</f>
        <v/>
      </c>
    </row>
    <row r="272" spans="2:10">
      <c r="B272" s="27">
        <f t="shared" si="4"/>
        <v>268</v>
      </c>
      <c r="C272" s="27"/>
      <c r="D272" s="27"/>
      <c r="E272" s="27"/>
      <c r="F272" s="54"/>
      <c r="G272" s="54"/>
      <c r="H272" s="54"/>
      <c r="I272" s="54"/>
      <c r="J272" s="54" t="str">
        <f ca="1">IF(F272="","",OFFSET(分類!$B$29,MATCH(F272,分類!$A$30:$A$46,0),0))</f>
        <v/>
      </c>
    </row>
    <row r="273" spans="2:10">
      <c r="B273" s="27">
        <f t="shared" si="4"/>
        <v>269</v>
      </c>
      <c r="C273" s="27"/>
      <c r="D273" s="27"/>
      <c r="E273" s="27"/>
      <c r="F273" s="54"/>
      <c r="G273" s="54"/>
      <c r="H273" s="54"/>
      <c r="I273" s="54"/>
      <c r="J273" s="54" t="str">
        <f ca="1">IF(F273="","",OFFSET(分類!$B$29,MATCH(F273,分類!$A$30:$A$46,0),0))</f>
        <v/>
      </c>
    </row>
    <row r="274" spans="2:10">
      <c r="B274" s="27">
        <f t="shared" si="4"/>
        <v>270</v>
      </c>
      <c r="C274" s="27"/>
      <c r="D274" s="27"/>
      <c r="E274" s="27"/>
      <c r="F274" s="54"/>
      <c r="G274" s="54"/>
      <c r="H274" s="54"/>
      <c r="I274" s="54"/>
      <c r="J274" s="54" t="str">
        <f ca="1">IF(F274="","",OFFSET(分類!$B$29,MATCH(F274,分類!$A$30:$A$46,0),0))</f>
        <v/>
      </c>
    </row>
    <row r="275" spans="2:10">
      <c r="B275" s="27">
        <f t="shared" si="4"/>
        <v>271</v>
      </c>
      <c r="C275" s="27"/>
      <c r="D275" s="27"/>
      <c r="E275" s="27"/>
      <c r="F275" s="54"/>
      <c r="G275" s="54"/>
      <c r="H275" s="54"/>
      <c r="I275" s="54"/>
      <c r="J275" s="54" t="str">
        <f ca="1">IF(F275="","",OFFSET(分類!$B$29,MATCH(F275,分類!$A$30:$A$46,0),0))</f>
        <v/>
      </c>
    </row>
    <row r="276" spans="2:10">
      <c r="B276" s="27">
        <f t="shared" si="4"/>
        <v>272</v>
      </c>
      <c r="C276" s="27"/>
      <c r="D276" s="27"/>
      <c r="E276" s="27"/>
      <c r="F276" s="54"/>
      <c r="G276" s="54"/>
      <c r="H276" s="54"/>
      <c r="I276" s="54"/>
      <c r="J276" s="54" t="str">
        <f ca="1">IF(F276="","",OFFSET(分類!$B$29,MATCH(F276,分類!$A$30:$A$46,0),0))</f>
        <v/>
      </c>
    </row>
    <row r="277" spans="2:10">
      <c r="B277" s="27">
        <f t="shared" si="4"/>
        <v>273</v>
      </c>
      <c r="C277" s="27"/>
      <c r="D277" s="27"/>
      <c r="E277" s="27"/>
      <c r="F277" s="54"/>
      <c r="G277" s="54"/>
      <c r="H277" s="54"/>
      <c r="I277" s="54"/>
      <c r="J277" s="54" t="str">
        <f ca="1">IF(F277="","",OFFSET(分類!$B$29,MATCH(F277,分類!$A$30:$A$46,0),0))</f>
        <v/>
      </c>
    </row>
    <row r="278" spans="2:10">
      <c r="B278" s="27">
        <f t="shared" si="4"/>
        <v>274</v>
      </c>
      <c r="C278" s="27"/>
      <c r="D278" s="27"/>
      <c r="E278" s="27"/>
      <c r="F278" s="54"/>
      <c r="G278" s="54"/>
      <c r="H278" s="54"/>
      <c r="I278" s="54"/>
      <c r="J278" s="54" t="str">
        <f ca="1">IF(F278="","",OFFSET(分類!$B$29,MATCH(F278,分類!$A$30:$A$46,0),0))</f>
        <v/>
      </c>
    </row>
    <row r="279" spans="2:10">
      <c r="B279" s="27">
        <f t="shared" si="4"/>
        <v>275</v>
      </c>
      <c r="C279" s="27"/>
      <c r="D279" s="27"/>
      <c r="E279" s="27"/>
      <c r="F279" s="54"/>
      <c r="G279" s="54"/>
      <c r="H279" s="54"/>
      <c r="I279" s="54"/>
      <c r="J279" s="54" t="str">
        <f ca="1">IF(F279="","",OFFSET(分類!$B$29,MATCH(F279,分類!$A$30:$A$46,0),0))</f>
        <v/>
      </c>
    </row>
    <row r="280" spans="2:10">
      <c r="B280" s="27">
        <f t="shared" si="4"/>
        <v>276</v>
      </c>
      <c r="C280" s="27"/>
      <c r="D280" s="27"/>
      <c r="E280" s="27"/>
      <c r="F280" s="54"/>
      <c r="G280" s="54"/>
      <c r="H280" s="54"/>
      <c r="I280" s="54"/>
      <c r="J280" s="54" t="str">
        <f ca="1">IF(F280="","",OFFSET(分類!$B$29,MATCH(F280,分類!$A$30:$A$46,0),0))</f>
        <v/>
      </c>
    </row>
    <row r="281" spans="2:10">
      <c r="B281" s="27">
        <f t="shared" si="4"/>
        <v>277</v>
      </c>
      <c r="C281" s="27"/>
      <c r="D281" s="27"/>
      <c r="E281" s="27"/>
      <c r="F281" s="54"/>
      <c r="G281" s="54"/>
      <c r="H281" s="54"/>
      <c r="I281" s="54"/>
      <c r="J281" s="54" t="str">
        <f ca="1">IF(F281="","",OFFSET(分類!$B$29,MATCH(F281,分類!$A$30:$A$46,0),0))</f>
        <v/>
      </c>
    </row>
    <row r="282" spans="2:10">
      <c r="B282" s="27">
        <f t="shared" si="4"/>
        <v>278</v>
      </c>
      <c r="C282" s="27"/>
      <c r="D282" s="27"/>
      <c r="E282" s="27"/>
      <c r="F282" s="54"/>
      <c r="G282" s="54"/>
      <c r="H282" s="54"/>
      <c r="I282" s="54"/>
      <c r="J282" s="54" t="str">
        <f ca="1">IF(F282="","",OFFSET(分類!$B$29,MATCH(F282,分類!$A$30:$A$46,0),0))</f>
        <v/>
      </c>
    </row>
    <row r="283" spans="2:10">
      <c r="B283" s="27">
        <f t="shared" si="4"/>
        <v>279</v>
      </c>
      <c r="C283" s="27"/>
      <c r="D283" s="27"/>
      <c r="E283" s="27"/>
      <c r="F283" s="54"/>
      <c r="G283" s="54"/>
      <c r="H283" s="54"/>
      <c r="I283" s="54"/>
      <c r="J283" s="54" t="str">
        <f ca="1">IF(F283="","",OFFSET(分類!$B$29,MATCH(F283,分類!$A$30:$A$46,0),0))</f>
        <v/>
      </c>
    </row>
    <row r="284" spans="2:10">
      <c r="B284" s="27">
        <f t="shared" si="4"/>
        <v>280</v>
      </c>
      <c r="C284" s="27"/>
      <c r="D284" s="27"/>
      <c r="E284" s="27"/>
      <c r="F284" s="54"/>
      <c r="G284" s="54"/>
      <c r="H284" s="54"/>
      <c r="I284" s="54"/>
      <c r="J284" s="54" t="str">
        <f ca="1">IF(F284="","",OFFSET(分類!$B$29,MATCH(F284,分類!$A$30:$A$46,0),0))</f>
        <v/>
      </c>
    </row>
    <row r="285" spans="2:10">
      <c r="B285" s="27">
        <f t="shared" si="4"/>
        <v>281</v>
      </c>
      <c r="C285" s="27"/>
      <c r="D285" s="27"/>
      <c r="E285" s="27"/>
      <c r="F285" s="54"/>
      <c r="G285" s="54"/>
      <c r="H285" s="54"/>
      <c r="I285" s="54"/>
      <c r="J285" s="54" t="str">
        <f ca="1">IF(F285="","",OFFSET(分類!$B$29,MATCH(F285,分類!$A$30:$A$46,0),0))</f>
        <v/>
      </c>
    </row>
    <row r="286" spans="2:10">
      <c r="B286" s="27">
        <f t="shared" si="4"/>
        <v>282</v>
      </c>
      <c r="C286" s="27"/>
      <c r="D286" s="27"/>
      <c r="E286" s="27"/>
      <c r="F286" s="54"/>
      <c r="G286" s="54"/>
      <c r="H286" s="54"/>
      <c r="I286" s="54"/>
      <c r="J286" s="54" t="str">
        <f ca="1">IF(F286="","",OFFSET(分類!$B$29,MATCH(F286,分類!$A$30:$A$46,0),0))</f>
        <v/>
      </c>
    </row>
    <row r="287" spans="2:10">
      <c r="B287" s="27">
        <f t="shared" si="4"/>
        <v>283</v>
      </c>
      <c r="C287" s="27"/>
      <c r="D287" s="27"/>
      <c r="E287" s="27"/>
      <c r="F287" s="54"/>
      <c r="G287" s="54"/>
      <c r="H287" s="54"/>
      <c r="I287" s="54"/>
      <c r="J287" s="54" t="str">
        <f ca="1">IF(F287="","",OFFSET(分類!$B$29,MATCH(F287,分類!$A$30:$A$46,0),0))</f>
        <v/>
      </c>
    </row>
    <row r="288" spans="2:10">
      <c r="B288" s="27">
        <f t="shared" si="4"/>
        <v>284</v>
      </c>
      <c r="C288" s="27"/>
      <c r="D288" s="27"/>
      <c r="E288" s="27"/>
      <c r="F288" s="54"/>
      <c r="G288" s="54"/>
      <c r="H288" s="54"/>
      <c r="I288" s="54"/>
      <c r="J288" s="54" t="str">
        <f ca="1">IF(F288="","",OFFSET(分類!$B$29,MATCH(F288,分類!$A$30:$A$46,0),0))</f>
        <v/>
      </c>
    </row>
    <row r="289" spans="2:10">
      <c r="B289" s="27">
        <f t="shared" si="4"/>
        <v>285</v>
      </c>
      <c r="C289" s="27"/>
      <c r="D289" s="27"/>
      <c r="E289" s="27"/>
      <c r="F289" s="54"/>
      <c r="G289" s="54"/>
      <c r="H289" s="54"/>
      <c r="I289" s="54"/>
      <c r="J289" s="54" t="str">
        <f ca="1">IF(F289="","",OFFSET(分類!$B$29,MATCH(F289,分類!$A$30:$A$46,0),0))</f>
        <v/>
      </c>
    </row>
    <row r="290" spans="2:10">
      <c r="B290" s="27">
        <f t="shared" si="4"/>
        <v>286</v>
      </c>
      <c r="C290" s="27"/>
      <c r="D290" s="27"/>
      <c r="E290" s="27"/>
      <c r="F290" s="54"/>
      <c r="G290" s="54"/>
      <c r="H290" s="54"/>
      <c r="I290" s="54"/>
      <c r="J290" s="54" t="str">
        <f ca="1">IF(F290="","",OFFSET(分類!$B$29,MATCH(F290,分類!$A$30:$A$46,0),0))</f>
        <v/>
      </c>
    </row>
    <row r="291" spans="2:10">
      <c r="B291" s="27">
        <f t="shared" si="4"/>
        <v>287</v>
      </c>
      <c r="C291" s="27"/>
      <c r="D291" s="27"/>
      <c r="E291" s="27"/>
      <c r="F291" s="54"/>
      <c r="G291" s="54"/>
      <c r="H291" s="54"/>
      <c r="I291" s="54"/>
      <c r="J291" s="54" t="str">
        <f ca="1">IF(F291="","",OFFSET(分類!$B$29,MATCH(F291,分類!$A$30:$A$46,0),0))</f>
        <v/>
      </c>
    </row>
    <row r="292" spans="2:10">
      <c r="B292" s="27">
        <f t="shared" si="4"/>
        <v>288</v>
      </c>
      <c r="C292" s="27"/>
      <c r="D292" s="27"/>
      <c r="E292" s="27"/>
      <c r="F292" s="54"/>
      <c r="G292" s="54"/>
      <c r="H292" s="54"/>
      <c r="I292" s="54"/>
      <c r="J292" s="54" t="str">
        <f ca="1">IF(F292="","",OFFSET(分類!$B$29,MATCH(F292,分類!$A$30:$A$46,0),0))</f>
        <v/>
      </c>
    </row>
    <row r="293" spans="2:10">
      <c r="B293" s="27">
        <f t="shared" si="4"/>
        <v>289</v>
      </c>
      <c r="C293" s="27"/>
      <c r="D293" s="27"/>
      <c r="E293" s="27"/>
      <c r="F293" s="54"/>
      <c r="G293" s="54"/>
      <c r="H293" s="54"/>
      <c r="I293" s="54"/>
      <c r="J293" s="54" t="str">
        <f ca="1">IF(F293="","",OFFSET(分類!$B$29,MATCH(F293,分類!$A$30:$A$46,0),0))</f>
        <v/>
      </c>
    </row>
    <row r="294" spans="2:10">
      <c r="B294" s="27">
        <f t="shared" si="4"/>
        <v>290</v>
      </c>
      <c r="C294" s="27"/>
      <c r="D294" s="27"/>
      <c r="E294" s="27"/>
      <c r="F294" s="54"/>
      <c r="G294" s="54"/>
      <c r="H294" s="54"/>
      <c r="I294" s="54"/>
      <c r="J294" s="54" t="str">
        <f ca="1">IF(F294="","",OFFSET(分類!$B$29,MATCH(F294,分類!$A$30:$A$46,0),0))</f>
        <v/>
      </c>
    </row>
    <row r="295" spans="2:10">
      <c r="B295" s="27">
        <f t="shared" si="4"/>
        <v>291</v>
      </c>
      <c r="C295" s="27"/>
      <c r="D295" s="27"/>
      <c r="E295" s="27"/>
      <c r="F295" s="54"/>
      <c r="G295" s="54"/>
      <c r="H295" s="54"/>
      <c r="I295" s="54"/>
      <c r="J295" s="54" t="str">
        <f ca="1">IF(F295="","",OFFSET(分類!$B$29,MATCH(F295,分類!$A$30:$A$46,0),0))</f>
        <v/>
      </c>
    </row>
    <row r="296" spans="2:10">
      <c r="B296" s="27">
        <f t="shared" si="4"/>
        <v>292</v>
      </c>
      <c r="C296" s="27"/>
      <c r="D296" s="27"/>
      <c r="E296" s="27"/>
      <c r="F296" s="54"/>
      <c r="G296" s="54"/>
      <c r="H296" s="54"/>
      <c r="I296" s="54"/>
      <c r="J296" s="54" t="str">
        <f ca="1">IF(F296="","",OFFSET(分類!$B$29,MATCH(F296,分類!$A$30:$A$46,0),0))</f>
        <v/>
      </c>
    </row>
    <row r="297" spans="2:10">
      <c r="B297" s="27">
        <f t="shared" si="4"/>
        <v>293</v>
      </c>
      <c r="C297" s="27"/>
      <c r="D297" s="27"/>
      <c r="E297" s="27"/>
      <c r="F297" s="54"/>
      <c r="G297" s="54"/>
      <c r="H297" s="54"/>
      <c r="I297" s="54"/>
      <c r="J297" s="54" t="str">
        <f ca="1">IF(F297="","",OFFSET(分類!$B$29,MATCH(F297,分類!$A$30:$A$46,0),0))</f>
        <v/>
      </c>
    </row>
    <row r="298" spans="2:10">
      <c r="B298" s="27">
        <f t="shared" si="4"/>
        <v>294</v>
      </c>
      <c r="C298" s="27"/>
      <c r="D298" s="27"/>
      <c r="E298" s="27"/>
      <c r="F298" s="54"/>
      <c r="G298" s="54"/>
      <c r="H298" s="54"/>
      <c r="I298" s="54"/>
      <c r="J298" s="54" t="str">
        <f ca="1">IF(F298="","",OFFSET(分類!$B$29,MATCH(F298,分類!$A$30:$A$46,0),0))</f>
        <v/>
      </c>
    </row>
    <row r="299" spans="2:10">
      <c r="B299" s="27">
        <f t="shared" si="4"/>
        <v>295</v>
      </c>
      <c r="C299" s="27"/>
      <c r="D299" s="27"/>
      <c r="E299" s="27"/>
      <c r="F299" s="54"/>
      <c r="G299" s="54"/>
      <c r="H299" s="54"/>
      <c r="I299" s="54"/>
      <c r="J299" s="54" t="str">
        <f ca="1">IF(F299="","",OFFSET(分類!$B$29,MATCH(F299,分類!$A$30:$A$46,0),0))</f>
        <v/>
      </c>
    </row>
    <row r="300" spans="2:10">
      <c r="B300" s="27">
        <f t="shared" si="4"/>
        <v>296</v>
      </c>
      <c r="C300" s="27"/>
      <c r="D300" s="27"/>
      <c r="E300" s="27"/>
      <c r="F300" s="54"/>
      <c r="G300" s="54"/>
      <c r="H300" s="54"/>
      <c r="I300" s="54"/>
      <c r="J300" s="54" t="str">
        <f ca="1">IF(F300="","",OFFSET(分類!$B$29,MATCH(F300,分類!$A$30:$A$46,0),0))</f>
        <v/>
      </c>
    </row>
    <row r="301" spans="2:10">
      <c r="B301" s="27">
        <f t="shared" si="4"/>
        <v>297</v>
      </c>
      <c r="C301" s="27"/>
      <c r="D301" s="27"/>
      <c r="E301" s="27"/>
      <c r="F301" s="54"/>
      <c r="G301" s="54"/>
      <c r="H301" s="54"/>
      <c r="I301" s="54"/>
      <c r="J301" s="54" t="str">
        <f ca="1">IF(F301="","",OFFSET(分類!$B$29,MATCH(F301,分類!$A$30:$A$46,0),0))</f>
        <v/>
      </c>
    </row>
    <row r="302" spans="2:10">
      <c r="B302" s="27">
        <f t="shared" si="4"/>
        <v>298</v>
      </c>
      <c r="C302" s="27"/>
      <c r="D302" s="27"/>
      <c r="E302" s="27"/>
      <c r="F302" s="54"/>
      <c r="G302" s="54"/>
      <c r="H302" s="54"/>
      <c r="I302" s="54"/>
      <c r="J302" s="54" t="str">
        <f ca="1">IF(F302="","",OFFSET(分類!$B$29,MATCH(F302,分類!$A$30:$A$46,0),0))</f>
        <v/>
      </c>
    </row>
    <row r="303" spans="2:10">
      <c r="B303" s="27">
        <f t="shared" si="4"/>
        <v>299</v>
      </c>
      <c r="C303" s="27"/>
      <c r="D303" s="27"/>
      <c r="E303" s="27"/>
      <c r="F303" s="54"/>
      <c r="G303" s="54"/>
      <c r="H303" s="54"/>
      <c r="I303" s="54"/>
      <c r="J303" s="54" t="str">
        <f ca="1">IF(F303="","",OFFSET(分類!$B$29,MATCH(F303,分類!$A$30:$A$46,0),0))</f>
        <v/>
      </c>
    </row>
    <row r="304" spans="2:10">
      <c r="B304" s="27">
        <f t="shared" si="4"/>
        <v>300</v>
      </c>
      <c r="C304" s="27"/>
      <c r="D304" s="27"/>
      <c r="E304" s="27"/>
      <c r="F304" s="54"/>
      <c r="G304" s="54"/>
      <c r="H304" s="54"/>
      <c r="I304" s="54"/>
      <c r="J304" s="54" t="str">
        <f ca="1">IF(F304="","",OFFSET(分類!$B$29,MATCH(F304,分類!$A$30:$A$46,0),0))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B2:M304"/>
  <sheetViews>
    <sheetView workbookViewId="0">
      <selection activeCell="O17" sqref="O17"/>
    </sheetView>
  </sheetViews>
  <sheetFormatPr defaultRowHeight="13.2"/>
  <cols>
    <col min="1" max="1" width="8.88671875" style="29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2:13" ht="16.2">
      <c r="B2" s="28" t="str" cm="1">
        <f t="array" aca="1" ref="B2" ca="1">RIGHT(CELL("filename",A1),LEN(CELL("filename",A1))-FIND("]",CELL("filename",A1)))</f>
        <v>散剤</v>
      </c>
      <c r="C2" s="28"/>
    </row>
    <row r="4" spans="2:13" s="62" customFormat="1" ht="52.8">
      <c r="B4" s="61" t="s">
        <v>4038</v>
      </c>
      <c r="C4" s="61" t="s">
        <v>4228</v>
      </c>
      <c r="D4" s="61" t="s">
        <v>4039</v>
      </c>
      <c r="E4" s="61" t="s">
        <v>4040</v>
      </c>
      <c r="F4" s="61" t="s">
        <v>4216</v>
      </c>
      <c r="G4" s="61" t="s">
        <v>4063</v>
      </c>
      <c r="H4" s="61" t="s">
        <v>4064</v>
      </c>
      <c r="I4" s="61" t="s">
        <v>4219</v>
      </c>
      <c r="J4" s="61" t="s">
        <v>4222</v>
      </c>
      <c r="K4" s="61" t="s">
        <v>4215</v>
      </c>
      <c r="L4" s="61" t="s">
        <v>4227</v>
      </c>
      <c r="M4" s="61" t="s">
        <v>4226</v>
      </c>
    </row>
    <row r="5" spans="2:13">
      <c r="B5" s="27">
        <v>1</v>
      </c>
      <c r="C5" s="27" cm="1">
        <f t="array" aca="1" ref="C5:I46" ca="1">_xlfn._xlws.SORT(_xlfn.CHOOSECOLS(_xlfn._xlws.FILTER(IFERROR(統合マスタ!B2:Z1500,""),IFERROR(統合マスタ!R2:R1500=1,FALSE)*IFERROR(ISNUMBER(MATCH(統合マスタ!V2:V1500,分類!K8:K15,0)),FALSE)),1,2,23,25,4,5,10),2,1)</f>
        <v>5</v>
      </c>
      <c r="D5" s="27" t="str">
        <f ca="1"/>
        <v>０１７　ツムラ　ゴレイサン</v>
      </c>
      <c r="E5" s="27">
        <f ca="1"/>
        <v>0</v>
      </c>
      <c r="F5" s="54">
        <f ca="1"/>
        <v>4</v>
      </c>
      <c r="G5" s="54" t="str">
        <f ca="1"/>
        <v>粉</v>
      </c>
      <c r="H5" s="54" t="str">
        <f ca="1"/>
        <v>２．５ｇｘ１８９</v>
      </c>
      <c r="I5" s="54" t="str">
        <f ca="1"/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9">
        <v>0</v>
      </c>
      <c r="M5" s="54">
        <f ca="1">IF(K5="",L5,K5*L5)</f>
        <v>0</v>
      </c>
    </row>
    <row r="6" spans="2:13">
      <c r="B6" s="27">
        <f>B5+1</f>
        <v>2</v>
      </c>
      <c r="C6" s="27">
        <f ca="1"/>
        <v>9</v>
      </c>
      <c r="D6" s="27" t="str">
        <f ca="1"/>
        <v>０５４　ツムラ　ヨクカンサン</v>
      </c>
      <c r="E6" s="27">
        <f ca="1"/>
        <v>0</v>
      </c>
      <c r="F6" s="54">
        <f ca="1"/>
        <v>4</v>
      </c>
      <c r="G6" s="54" t="str">
        <f ca="1"/>
        <v>粉</v>
      </c>
      <c r="H6" s="54" t="str">
        <f ca="1"/>
        <v>２．５ｇＸ１８９</v>
      </c>
      <c r="I6" s="54" t="str">
        <f ca="1"/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9">
        <v>1</v>
      </c>
      <c r="M6" s="54">
        <f t="shared" ref="M6:M69" ca="1" si="1">IF(K6="",L6,K6*L6)</f>
        <v>2.5</v>
      </c>
    </row>
    <row r="7" spans="2:13">
      <c r="B7" s="27">
        <f t="shared" ref="B7:B70" si="2">B6+1</f>
        <v>3</v>
      </c>
      <c r="C7" s="27">
        <f ca="1"/>
        <v>10</v>
      </c>
      <c r="D7" s="27" t="str">
        <f ca="1"/>
        <v>０６２　ツムラ　　ボウフウツウシヨウサン</v>
      </c>
      <c r="E7" s="27">
        <f ca="1"/>
        <v>0</v>
      </c>
      <c r="F7" s="54">
        <f ca="1"/>
        <v>4</v>
      </c>
      <c r="G7" s="54" t="str">
        <f ca="1"/>
        <v>粉</v>
      </c>
      <c r="H7" s="54" t="str">
        <f ca="1"/>
        <v>２．５ｇｘ１８９</v>
      </c>
      <c r="I7" s="54" t="str">
        <f ca="1"/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9">
        <v>2</v>
      </c>
      <c r="M7" s="54">
        <f t="shared" ca="1" si="1"/>
        <v>5</v>
      </c>
    </row>
    <row r="8" spans="2:13">
      <c r="B8" s="27">
        <f t="shared" si="2"/>
        <v>4</v>
      </c>
      <c r="C8" s="27">
        <f ca="1"/>
        <v>11</v>
      </c>
      <c r="D8" s="27" t="str">
        <f ca="1"/>
        <v>０６８　ツムラ　シャクヤクカンゾウトウ</v>
      </c>
      <c r="E8" s="27">
        <f ca="1"/>
        <v>0</v>
      </c>
      <c r="F8" s="54">
        <f ca="1"/>
        <v>4</v>
      </c>
      <c r="G8" s="54" t="str">
        <f ca="1"/>
        <v>粉</v>
      </c>
      <c r="H8" s="54" t="str">
        <f ca="1"/>
        <v>２．５ｇｘ４２</v>
      </c>
      <c r="I8" s="54" t="str">
        <f ca="1"/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9">
        <v>3</v>
      </c>
      <c r="M8" s="54">
        <f t="shared" ca="1" si="1"/>
        <v>7.5</v>
      </c>
    </row>
    <row r="9" spans="2:13">
      <c r="B9" s="27">
        <f t="shared" si="2"/>
        <v>5</v>
      </c>
      <c r="C9" s="27">
        <f ca="1"/>
        <v>12</v>
      </c>
      <c r="D9" s="27" t="str">
        <f ca="1"/>
        <v>０８３　ツムラ　ヨクカンサンカチンピハンゲ</v>
      </c>
      <c r="E9" s="27">
        <f ca="1"/>
        <v>0</v>
      </c>
      <c r="F9" s="54">
        <f ca="1"/>
        <v>4</v>
      </c>
      <c r="G9" s="54" t="str">
        <f ca="1"/>
        <v>粉</v>
      </c>
      <c r="H9" s="54" t="str">
        <f ca="1"/>
        <v>２．５ｇｘ１８９</v>
      </c>
      <c r="I9" s="54" t="str">
        <f ca="1"/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9">
        <v>4</v>
      </c>
      <c r="M9" s="54">
        <f t="shared" ca="1" si="1"/>
        <v>10</v>
      </c>
    </row>
    <row r="10" spans="2:13">
      <c r="B10" s="27">
        <f t="shared" si="2"/>
        <v>6</v>
      </c>
      <c r="C10" s="27">
        <f ca="1"/>
        <v>13</v>
      </c>
      <c r="D10" s="27" t="str">
        <f ca="1"/>
        <v>１００　ツムラ　ダイケンチユウトウ</v>
      </c>
      <c r="E10" s="27">
        <f ca="1"/>
        <v>0</v>
      </c>
      <c r="F10" s="54">
        <f ca="1"/>
        <v>4</v>
      </c>
      <c r="G10" s="54" t="str">
        <f ca="1"/>
        <v>粉</v>
      </c>
      <c r="H10" s="54" t="str">
        <f ca="1"/>
        <v>２．５ｇＸ１８９</v>
      </c>
      <c r="I10" s="54" t="str">
        <f ca="1"/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9">
        <v>5</v>
      </c>
      <c r="M10" s="54">
        <f t="shared" ca="1" si="1"/>
        <v>12.5</v>
      </c>
    </row>
    <row r="11" spans="2:13">
      <c r="B11" s="27">
        <f t="shared" si="2"/>
        <v>7</v>
      </c>
      <c r="C11" s="27">
        <f ca="1"/>
        <v>17</v>
      </c>
      <c r="D11" s="27" t="str">
        <f ca="1"/>
        <v>ＥＫ１　葛根湯エキス細粒</v>
      </c>
      <c r="E11" s="27">
        <f ca="1"/>
        <v>0</v>
      </c>
      <c r="F11" s="54">
        <f ca="1"/>
        <v>4</v>
      </c>
      <c r="G11" s="54" t="str">
        <f ca="1"/>
        <v>粉</v>
      </c>
      <c r="H11" s="54" t="str">
        <f ca="1"/>
        <v>２．５ｇ×２９４</v>
      </c>
      <c r="I11" s="54" t="str">
        <f ca="1"/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9">
        <v>6</v>
      </c>
      <c r="M11" s="54">
        <f t="shared" ca="1" si="1"/>
        <v>15</v>
      </c>
    </row>
    <row r="12" spans="2:13">
      <c r="B12" s="27">
        <f t="shared" si="2"/>
        <v>8</v>
      </c>
      <c r="C12" s="27">
        <f ca="1"/>
        <v>21</v>
      </c>
      <c r="D12" s="27" t="str">
        <f ca="1"/>
        <v>ＥＫ２４　加味逍遥散料エキス細粒</v>
      </c>
      <c r="E12" s="27">
        <f ca="1"/>
        <v>0</v>
      </c>
      <c r="F12" s="54">
        <f ca="1"/>
        <v>4</v>
      </c>
      <c r="G12" s="54" t="str">
        <f ca="1"/>
        <v>粉</v>
      </c>
      <c r="H12" s="54" t="str">
        <f ca="1"/>
        <v>２ｇｘ４２包</v>
      </c>
      <c r="I12" s="54" t="str">
        <f ca="1"/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9">
        <v>7</v>
      </c>
      <c r="M12" s="54">
        <f t="shared" ca="1" si="1"/>
        <v>14</v>
      </c>
    </row>
    <row r="13" spans="2:13">
      <c r="B13" s="27">
        <f t="shared" si="2"/>
        <v>9</v>
      </c>
      <c r="C13" s="27">
        <f ca="1"/>
        <v>23</v>
      </c>
      <c r="D13" s="27" t="str">
        <f ca="1"/>
        <v>ＥＫ４１　補中益気湯エキス細粒</v>
      </c>
      <c r="E13" s="27">
        <f ca="1"/>
        <v>0</v>
      </c>
      <c r="F13" s="54">
        <f ca="1"/>
        <v>4</v>
      </c>
      <c r="G13" s="54" t="str">
        <f ca="1"/>
        <v>粉</v>
      </c>
      <c r="H13" s="54" t="str">
        <f ca="1"/>
        <v>２．５ｇｘ２９４</v>
      </c>
      <c r="I13" s="54" t="str">
        <f ca="1"/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9">
        <v>8</v>
      </c>
      <c r="M13" s="54">
        <f t="shared" ca="1" si="1"/>
        <v>20</v>
      </c>
    </row>
    <row r="14" spans="2:13">
      <c r="B14" s="27">
        <f t="shared" si="2"/>
        <v>10</v>
      </c>
      <c r="C14" s="27">
        <f ca="1"/>
        <v>45</v>
      </c>
      <c r="D14" s="27" t="str">
        <f ca="1"/>
        <v>アスパラカリウム散５０％</v>
      </c>
      <c r="E14" s="27">
        <f ca="1"/>
        <v>0</v>
      </c>
      <c r="F14" s="54">
        <f ca="1"/>
        <v>2</v>
      </c>
      <c r="G14" s="54" t="str">
        <f ca="1"/>
        <v>粉</v>
      </c>
      <c r="H14" s="54" t="str">
        <f ca="1"/>
        <v>５００ｇ</v>
      </c>
      <c r="I14" s="54" t="str">
        <f ca="1"/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9">
        <v>9</v>
      </c>
      <c r="M14" s="54">
        <f t="shared" ca="1" si="1"/>
        <v>4500</v>
      </c>
    </row>
    <row r="15" spans="2:13">
      <c r="B15" s="27">
        <f t="shared" si="2"/>
        <v>11</v>
      </c>
      <c r="C15" s="27">
        <f ca="1"/>
        <v>58</v>
      </c>
      <c r="D15" s="27" t="str">
        <f ca="1"/>
        <v>アドナ散１０％</v>
      </c>
      <c r="E15" s="27">
        <f ca="1"/>
        <v>0</v>
      </c>
      <c r="F15" s="54">
        <f ca="1"/>
        <v>2</v>
      </c>
      <c r="G15" s="54" t="str">
        <f ca="1"/>
        <v>粉</v>
      </c>
      <c r="H15" s="54" t="str">
        <f ca="1"/>
        <v>１００ｇ</v>
      </c>
      <c r="I15" s="54" t="str">
        <f ca="1"/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9">
        <v>10</v>
      </c>
      <c r="M15" s="54">
        <f t="shared" ca="1" si="1"/>
        <v>1000</v>
      </c>
    </row>
    <row r="16" spans="2:13">
      <c r="B16" s="27">
        <f t="shared" si="2"/>
        <v>12</v>
      </c>
      <c r="C16" s="27">
        <f ca="1"/>
        <v>76</v>
      </c>
      <c r="D16" s="27" t="str">
        <f ca="1"/>
        <v>アミノレバンＥＮ配合散　　　　　コーヒー味</v>
      </c>
      <c r="E16" s="27">
        <f ca="1"/>
        <v>0</v>
      </c>
      <c r="F16" s="54">
        <f ca="1"/>
        <v>15</v>
      </c>
      <c r="G16" s="54" t="str">
        <f ca="1"/>
        <v>粉</v>
      </c>
      <c r="H16" s="54" t="str">
        <f ca="1"/>
        <v>５０ｇＸ２１包</v>
      </c>
      <c r="I16" s="54" t="str">
        <f ca="1"/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9">
        <v>11</v>
      </c>
      <c r="M16" s="54">
        <f t="shared" ca="1" si="1"/>
        <v>550</v>
      </c>
    </row>
    <row r="17" spans="2:13">
      <c r="B17" s="27">
        <f t="shared" si="2"/>
        <v>13</v>
      </c>
      <c r="C17" s="27">
        <f ca="1"/>
        <v>88</v>
      </c>
      <c r="D17" s="27" t="str">
        <f ca="1"/>
        <v>アリピプラゾール散１％「ニプロ」</v>
      </c>
      <c r="E17" s="27">
        <f ca="1"/>
        <v>2</v>
      </c>
      <c r="F17" s="54">
        <f ca="1"/>
        <v>2</v>
      </c>
      <c r="G17" s="54" t="str">
        <f ca="1"/>
        <v>粉</v>
      </c>
      <c r="H17" s="54" t="str">
        <f ca="1"/>
        <v>１００ｇ</v>
      </c>
      <c r="I17" s="54" t="str">
        <f ca="1"/>
        <v>ｇ</v>
      </c>
      <c r="J17" s="54" t="str">
        <f ca="1">IF(F17="","",OFFSET(分類!$B$29,MATCH(F17,分類!$A$30:$A$46,0),0))</f>
        <v>散薬調剤台</v>
      </c>
      <c r="K17" s="54">
        <f t="shared" ca="1" si="0"/>
        <v>100</v>
      </c>
      <c r="L17" s="69">
        <v>12</v>
      </c>
      <c r="M17" s="54">
        <f t="shared" ca="1" si="1"/>
        <v>1200</v>
      </c>
    </row>
    <row r="18" spans="2:13">
      <c r="B18" s="27">
        <f t="shared" si="2"/>
        <v>14</v>
      </c>
      <c r="C18" s="27">
        <f ca="1"/>
        <v>95</v>
      </c>
      <c r="D18" s="27" t="str">
        <f ca="1"/>
        <v>アレビアチン散１０％</v>
      </c>
      <c r="E18" s="27">
        <f ca="1"/>
        <v>2</v>
      </c>
      <c r="F18" s="54">
        <f ca="1"/>
        <v>2</v>
      </c>
      <c r="G18" s="54" t="str">
        <f ca="1"/>
        <v>粉</v>
      </c>
      <c r="H18" s="54" t="str">
        <f ca="1"/>
        <v>５００ｇ</v>
      </c>
      <c r="I18" s="54" t="str">
        <f ca="1"/>
        <v>ｇ</v>
      </c>
      <c r="J18" s="54" t="str">
        <f ca="1">IF(F18="","",OFFSET(分類!$B$29,MATCH(F18,分類!$A$30:$A$46,0),0))</f>
        <v>散薬調剤台</v>
      </c>
      <c r="K18" s="54">
        <f t="shared" ca="1" si="0"/>
        <v>500</v>
      </c>
      <c r="L18" s="69">
        <v>13</v>
      </c>
      <c r="M18" s="54">
        <f t="shared" ca="1" si="1"/>
        <v>6500</v>
      </c>
    </row>
    <row r="19" spans="2:13">
      <c r="B19" s="27">
        <f t="shared" si="2"/>
        <v>15</v>
      </c>
      <c r="C19" s="27">
        <f ca="1"/>
        <v>172</v>
      </c>
      <c r="D19" s="27" t="str">
        <f ca="1"/>
        <v>カルバマゼピン細粒５０％「アメル」　　　</v>
      </c>
      <c r="E19" s="27">
        <f ca="1"/>
        <v>0</v>
      </c>
      <c r="F19" s="54">
        <f ca="1"/>
        <v>2</v>
      </c>
      <c r="G19" s="54" t="str">
        <f ca="1"/>
        <v>粉</v>
      </c>
      <c r="H19" s="54" t="str">
        <f ca="1"/>
        <v>５００ｇ</v>
      </c>
      <c r="I19" s="54" t="str">
        <f ca="1"/>
        <v>ｇ</v>
      </c>
      <c r="J19" s="54" t="str">
        <f ca="1">IF(F19="","",OFFSET(分類!$B$29,MATCH(F19,分類!$A$30:$A$46,0),0))</f>
        <v>散薬調剤台</v>
      </c>
      <c r="K19" s="54">
        <f t="shared" ca="1" si="0"/>
        <v>500</v>
      </c>
      <c r="L19" s="69">
        <v>14</v>
      </c>
      <c r="M19" s="54">
        <f t="shared" ca="1" si="1"/>
        <v>7000</v>
      </c>
    </row>
    <row r="20" spans="2:13">
      <c r="B20" s="27">
        <f t="shared" si="2"/>
        <v>16</v>
      </c>
      <c r="C20" s="27">
        <f ca="1"/>
        <v>189</v>
      </c>
      <c r="D20" s="27" t="str">
        <f ca="1"/>
        <v>クエチアピン細粒５０％「アメル」</v>
      </c>
      <c r="E20" s="27">
        <f ca="1"/>
        <v>2</v>
      </c>
      <c r="F20" s="54">
        <f ca="1"/>
        <v>2</v>
      </c>
      <c r="G20" s="54" t="str">
        <f ca="1"/>
        <v>粉</v>
      </c>
      <c r="H20" s="54" t="str">
        <f ca="1"/>
        <v>１００ｇ</v>
      </c>
      <c r="I20" s="54" t="str">
        <f ca="1"/>
        <v>ｇ</v>
      </c>
      <c r="J20" s="54" t="str">
        <f ca="1">IF(F20="","",OFFSET(分類!$B$29,MATCH(F20,分類!$A$30:$A$46,0),0))</f>
        <v>散薬調剤台</v>
      </c>
      <c r="K20" s="54">
        <f t="shared" ca="1" si="0"/>
        <v>100</v>
      </c>
      <c r="L20" s="69">
        <v>15</v>
      </c>
      <c r="M20" s="54">
        <f t="shared" ca="1" si="1"/>
        <v>1500</v>
      </c>
    </row>
    <row r="21" spans="2:13">
      <c r="B21" s="27">
        <f t="shared" si="2"/>
        <v>17</v>
      </c>
      <c r="C21" s="27">
        <f ca="1"/>
        <v>201</v>
      </c>
      <c r="D21" s="27" t="str">
        <f ca="1"/>
        <v>グラマリール細粒１０％</v>
      </c>
      <c r="E21" s="27">
        <f ca="1"/>
        <v>0</v>
      </c>
      <c r="F21" s="54">
        <f ca="1"/>
        <v>2</v>
      </c>
      <c r="G21" s="54" t="str">
        <f ca="1"/>
        <v>粉</v>
      </c>
      <c r="H21" s="54" t="str">
        <f ca="1"/>
        <v>１００ｇ</v>
      </c>
      <c r="I21" s="54" t="str">
        <f ca="1"/>
        <v>ｇ</v>
      </c>
      <c r="J21" s="54" t="str">
        <f ca="1">IF(F21="","",OFFSET(分類!$B$29,MATCH(F21,分類!$A$30:$A$46,0),0))</f>
        <v>散薬調剤台</v>
      </c>
      <c r="K21" s="54">
        <f t="shared" ca="1" si="0"/>
        <v>100</v>
      </c>
      <c r="L21" s="69">
        <v>16</v>
      </c>
      <c r="M21" s="54">
        <f t="shared" ca="1" si="1"/>
        <v>1600</v>
      </c>
    </row>
    <row r="22" spans="2:13">
      <c r="B22" s="27">
        <f t="shared" si="2"/>
        <v>18</v>
      </c>
      <c r="C22" s="27">
        <f ca="1"/>
        <v>212</v>
      </c>
      <c r="D22" s="27" t="str">
        <f ca="1"/>
        <v>クレメジン細粒分包２ｇ</v>
      </c>
      <c r="E22" s="27">
        <f ca="1"/>
        <v>0</v>
      </c>
      <c r="F22" s="54">
        <f ca="1"/>
        <v>3</v>
      </c>
      <c r="G22" s="54" t="str">
        <f ca="1"/>
        <v/>
      </c>
      <c r="H22" s="54" t="str">
        <f ca="1"/>
        <v>２ｇｘ８４包</v>
      </c>
      <c r="I22" s="54" t="str">
        <f ca="1"/>
        <v>ｇ</v>
      </c>
      <c r="J22" s="54" t="str">
        <f ca="1">IF(F22="","",OFFSET(分類!$B$29,MATCH(F22,分類!$A$30:$A$46,0),0))</f>
        <v>外用.臨時.散薬ヒート</v>
      </c>
      <c r="K22" s="54" t="str">
        <f t="shared" ca="1" si="0"/>
        <v/>
      </c>
      <c r="L22" s="69">
        <v>17</v>
      </c>
      <c r="M22" s="54">
        <f t="shared" ca="1" si="1"/>
        <v>17</v>
      </c>
    </row>
    <row r="23" spans="2:13">
      <c r="B23" s="27">
        <f t="shared" si="2"/>
        <v>19</v>
      </c>
      <c r="C23" s="27">
        <f ca="1"/>
        <v>249</v>
      </c>
      <c r="D23" s="27" t="str">
        <f ca="1"/>
        <v>シーピー配合顆粒</v>
      </c>
      <c r="E23" s="27">
        <f ca="1"/>
        <v>0</v>
      </c>
      <c r="F23" s="54">
        <f ca="1"/>
        <v>3</v>
      </c>
      <c r="G23" s="54" t="str">
        <f ca="1"/>
        <v>粉</v>
      </c>
      <c r="H23" s="54" t="str">
        <f ca="1"/>
        <v>１ｇｘ１０５０包</v>
      </c>
      <c r="I23" s="54" t="str">
        <f ca="1"/>
        <v>ｇ</v>
      </c>
      <c r="J23" s="54" t="str">
        <f ca="1">IF(F23="","",OFFSET(分類!$B$29,MATCH(F23,分類!$A$30:$A$46,0),0))</f>
        <v>外用.臨時.散薬ヒート</v>
      </c>
      <c r="K23" s="54">
        <f t="shared" ca="1" si="0"/>
        <v>1</v>
      </c>
      <c r="L23" s="69">
        <v>18</v>
      </c>
      <c r="M23" s="54">
        <f t="shared" ca="1" si="1"/>
        <v>18</v>
      </c>
    </row>
    <row r="24" spans="2:13">
      <c r="B24" s="27">
        <f t="shared" si="2"/>
        <v>20</v>
      </c>
      <c r="C24" s="27">
        <f ca="1"/>
        <v>308</v>
      </c>
      <c r="D24" s="27" t="str">
        <f ca="1"/>
        <v>センブリ・重曹散</v>
      </c>
      <c r="E24" s="27">
        <f ca="1"/>
        <v>0</v>
      </c>
      <c r="F24" s="54">
        <f ca="1"/>
        <v>2</v>
      </c>
      <c r="G24" s="54" t="str">
        <f ca="1"/>
        <v>粉</v>
      </c>
      <c r="H24" s="54" t="str">
        <f ca="1"/>
        <v>５００ｇ</v>
      </c>
      <c r="I24" s="54" t="str">
        <f ca="1"/>
        <v>ｇ</v>
      </c>
      <c r="J24" s="54" t="str">
        <f ca="1">IF(F24="","",OFFSET(分類!$B$29,MATCH(F24,分類!$A$30:$A$46,0),0))</f>
        <v>散薬調剤台</v>
      </c>
      <c r="K24" s="54">
        <f t="shared" ca="1" si="0"/>
        <v>500</v>
      </c>
      <c r="L24" s="69">
        <v>19</v>
      </c>
      <c r="M24" s="54">
        <f t="shared" ca="1" si="1"/>
        <v>9500</v>
      </c>
    </row>
    <row r="25" spans="2:13">
      <c r="B25" s="27">
        <f t="shared" si="2"/>
        <v>21</v>
      </c>
      <c r="C25" s="27">
        <f ca="1"/>
        <v>346</v>
      </c>
      <c r="D25" s="27" t="str">
        <f ca="1"/>
        <v>タンニン酸アルブミン「ＶＴＲＳ」原末　　　</v>
      </c>
      <c r="E25" s="27">
        <f ca="1"/>
        <v>0</v>
      </c>
      <c r="F25" s="54">
        <f ca="1"/>
        <v>2</v>
      </c>
      <c r="G25" s="54" t="str">
        <f ca="1"/>
        <v>粉</v>
      </c>
      <c r="H25" s="54" t="str">
        <f ca="1"/>
        <v>５００ｇ</v>
      </c>
      <c r="I25" s="54" t="str">
        <f ca="1"/>
        <v>ｇ</v>
      </c>
      <c r="J25" s="54" t="str">
        <f ca="1">IF(F25="","",OFFSET(分類!$B$29,MATCH(F25,分類!$A$30:$A$46,0),0))</f>
        <v>散薬調剤台</v>
      </c>
      <c r="K25" s="54">
        <f t="shared" ca="1" si="0"/>
        <v>500</v>
      </c>
      <c r="L25" s="69">
        <v>20</v>
      </c>
      <c r="M25" s="54">
        <f t="shared" ca="1" si="1"/>
        <v>10000</v>
      </c>
    </row>
    <row r="26" spans="2:13">
      <c r="B26" s="27">
        <f t="shared" si="2"/>
        <v>22</v>
      </c>
      <c r="C26" s="27">
        <f ca="1"/>
        <v>375</v>
      </c>
      <c r="D26" s="27" t="str">
        <f ca="1"/>
        <v>テプレノン細粒１０％「ＹＤ」</v>
      </c>
      <c r="E26" s="27">
        <f ca="1"/>
        <v>0</v>
      </c>
      <c r="F26" s="54">
        <f ca="1"/>
        <v>2</v>
      </c>
      <c r="G26" s="54" t="str">
        <f ca="1"/>
        <v>粉</v>
      </c>
      <c r="H26" s="54" t="str">
        <f ca="1"/>
        <v>１００ｇ</v>
      </c>
      <c r="I26" s="54" t="str">
        <f ca="1"/>
        <v>ｇ</v>
      </c>
      <c r="J26" s="54" t="str">
        <f ca="1">IF(F26="","",OFFSET(分類!$B$29,MATCH(F26,分類!$A$30:$A$46,0),0))</f>
        <v>散薬調剤台</v>
      </c>
      <c r="K26" s="54">
        <f t="shared" ca="1" si="0"/>
        <v>100</v>
      </c>
      <c r="L26" s="69">
        <v>21</v>
      </c>
      <c r="M26" s="54">
        <f t="shared" ca="1" si="1"/>
        <v>2100</v>
      </c>
    </row>
    <row r="27" spans="2:13">
      <c r="B27" s="27">
        <f t="shared" si="2"/>
        <v>23</v>
      </c>
      <c r="C27" s="27">
        <f ca="1"/>
        <v>390</v>
      </c>
      <c r="D27" s="27" t="str">
        <f ca="1"/>
        <v>トーワチーム配合顆粒</v>
      </c>
      <c r="E27" s="27">
        <f ca="1"/>
        <v>2</v>
      </c>
      <c r="F27" s="54">
        <f ca="1"/>
        <v>3</v>
      </c>
      <c r="G27" s="54" t="str">
        <f ca="1"/>
        <v>粉</v>
      </c>
      <c r="H27" s="54" t="str">
        <f ca="1"/>
        <v>１ｇｘ８００</v>
      </c>
      <c r="I27" s="54" t="str">
        <f ca="1"/>
        <v>ｇ</v>
      </c>
      <c r="J27" s="54" t="str">
        <f ca="1">IF(F27="","",OFFSET(分類!$B$29,MATCH(F27,分類!$A$30:$A$46,0),0))</f>
        <v>外用.臨時.散薬ヒート</v>
      </c>
      <c r="K27" s="54">
        <f t="shared" ca="1" si="0"/>
        <v>1</v>
      </c>
      <c r="L27" s="69">
        <v>22</v>
      </c>
      <c r="M27" s="54">
        <f t="shared" ca="1" si="1"/>
        <v>22</v>
      </c>
    </row>
    <row r="28" spans="2:13">
      <c r="B28" s="27">
        <f t="shared" si="2"/>
        <v>24</v>
      </c>
      <c r="C28" s="27">
        <f ca="1"/>
        <v>465</v>
      </c>
      <c r="D28" s="27" t="str">
        <f ca="1"/>
        <v>ハロペリドール細粒１％「ヨシトミ」　　　　　　　</v>
      </c>
      <c r="E28" s="27">
        <f ca="1"/>
        <v>2</v>
      </c>
      <c r="F28" s="54">
        <f ca="1"/>
        <v>2</v>
      </c>
      <c r="G28" s="54" t="str">
        <f ca="1"/>
        <v>粉</v>
      </c>
      <c r="H28" s="54" t="str">
        <f ca="1"/>
        <v>１００ｇ</v>
      </c>
      <c r="I28" s="54" t="str">
        <f ca="1"/>
        <v>ｇ</v>
      </c>
      <c r="J28" s="54" t="str">
        <f ca="1">IF(F28="","",OFFSET(分類!$B$29,MATCH(F28,分類!$A$30:$A$46,0),0))</f>
        <v>散薬調剤台</v>
      </c>
      <c r="K28" s="54">
        <f t="shared" ca="1" si="0"/>
        <v>100</v>
      </c>
      <c r="L28" s="69">
        <v>23</v>
      </c>
      <c r="M28" s="54">
        <f t="shared" ca="1" si="1"/>
        <v>2300</v>
      </c>
    </row>
    <row r="29" spans="2:13">
      <c r="B29" s="27">
        <f t="shared" si="2"/>
        <v>25</v>
      </c>
      <c r="C29" s="27">
        <f ca="1"/>
        <v>475</v>
      </c>
      <c r="D29" s="27" t="str">
        <f ca="1"/>
        <v>パントシン散２０％</v>
      </c>
      <c r="E29" s="27">
        <f ca="1"/>
        <v>0</v>
      </c>
      <c r="F29" s="54">
        <f ca="1"/>
        <v>2</v>
      </c>
      <c r="G29" s="54" t="str">
        <f ca="1"/>
        <v>粉</v>
      </c>
      <c r="H29" s="54" t="str">
        <f ca="1"/>
        <v>１００ｇ</v>
      </c>
      <c r="I29" s="54" t="str">
        <f ca="1"/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9">
        <v>24</v>
      </c>
      <c r="M29" s="54">
        <f t="shared" ca="1" si="1"/>
        <v>2400</v>
      </c>
    </row>
    <row r="30" spans="2:13">
      <c r="B30" s="27">
        <f t="shared" si="2"/>
        <v>26</v>
      </c>
      <c r="C30" s="27">
        <f ca="1"/>
        <v>484</v>
      </c>
      <c r="D30" s="27" t="str">
        <f ca="1"/>
        <v>ビオフェルミン配合散</v>
      </c>
      <c r="E30" s="27">
        <f ca="1"/>
        <v>0</v>
      </c>
      <c r="F30" s="54">
        <f ca="1"/>
        <v>3</v>
      </c>
      <c r="G30" s="54" t="str">
        <f ca="1"/>
        <v>粉</v>
      </c>
      <c r="H30" s="54" t="str">
        <f ca="1"/>
        <v>１ｇｘ１２０</v>
      </c>
      <c r="I30" s="54" t="str">
        <f ca="1"/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1</v>
      </c>
      <c r="L30" s="69">
        <v>25</v>
      </c>
      <c r="M30" s="54">
        <f t="shared" ca="1" si="1"/>
        <v>25</v>
      </c>
    </row>
    <row r="31" spans="2:13">
      <c r="B31" s="27">
        <f t="shared" si="2"/>
        <v>27</v>
      </c>
      <c r="C31" s="27">
        <f ca="1"/>
        <v>485</v>
      </c>
      <c r="D31" s="27" t="str">
        <f ca="1"/>
        <v>ビオフェルミン配合散</v>
      </c>
      <c r="E31" s="27">
        <f ca="1"/>
        <v>0</v>
      </c>
      <c r="F31" s="54">
        <f ca="1"/>
        <v>3</v>
      </c>
      <c r="G31" s="54" t="str">
        <f ca="1"/>
        <v>粉</v>
      </c>
      <c r="H31" s="54" t="str">
        <f ca="1"/>
        <v>１ｇｘ６００</v>
      </c>
      <c r="I31" s="54" t="str">
        <f ca="1"/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</v>
      </c>
      <c r="L31" s="69">
        <v>26</v>
      </c>
      <c r="M31" s="54">
        <f t="shared" ca="1" si="1"/>
        <v>26</v>
      </c>
    </row>
    <row r="32" spans="2:13">
      <c r="B32" s="27">
        <f t="shared" si="2"/>
        <v>28</v>
      </c>
      <c r="C32" s="27">
        <f ca="1"/>
        <v>486</v>
      </c>
      <c r="D32" s="27" t="str">
        <f ca="1"/>
        <v>ビオフェルミン配合散</v>
      </c>
      <c r="E32" s="27">
        <f ca="1"/>
        <v>0</v>
      </c>
      <c r="F32" s="54">
        <f ca="1"/>
        <v>3</v>
      </c>
      <c r="G32" s="54" t="str">
        <f ca="1"/>
        <v>粉</v>
      </c>
      <c r="H32" s="54" t="str">
        <f ca="1"/>
        <v>１ｋｇ</v>
      </c>
      <c r="I32" s="54" t="str">
        <f ca="1"/>
        <v>ｇ</v>
      </c>
      <c r="J32" s="54" t="str">
        <f ca="1">IF(F32="","",OFFSET(分類!$B$29,MATCH(F32,分類!$A$30:$A$46,0),0))</f>
        <v>外用.臨時.散薬ヒート</v>
      </c>
      <c r="K32" s="54" t="e">
        <f t="shared" ca="1" si="0"/>
        <v>#VALUE!</v>
      </c>
      <c r="L32" s="69">
        <v>27</v>
      </c>
      <c r="M32" s="54" t="e">
        <f t="shared" ca="1" si="1"/>
        <v>#VALUE!</v>
      </c>
    </row>
    <row r="33" spans="2:13">
      <c r="B33" s="27">
        <f t="shared" si="2"/>
        <v>29</v>
      </c>
      <c r="C33" s="27">
        <f ca="1"/>
        <v>532</v>
      </c>
      <c r="D33" s="27" t="str">
        <f ca="1"/>
        <v>フェノバルビタール散１０％「ホエイ」</v>
      </c>
      <c r="E33" s="27">
        <f ca="1"/>
        <v>2</v>
      </c>
      <c r="F33" s="54">
        <f ca="1"/>
        <v>2</v>
      </c>
      <c r="G33" s="54" t="str">
        <f ca="1"/>
        <v>粉</v>
      </c>
      <c r="H33" s="54" t="str">
        <f ca="1"/>
        <v>５００ｇ</v>
      </c>
      <c r="I33" s="54" t="str">
        <f ca="1"/>
        <v>ｇ</v>
      </c>
      <c r="J33" s="54" t="str">
        <f ca="1">IF(F33="","",OFFSET(分類!$B$29,MATCH(F33,分類!$A$30:$A$46,0),0))</f>
        <v>散薬調剤台</v>
      </c>
      <c r="K33" s="54">
        <f t="shared" ca="1" si="0"/>
        <v>500</v>
      </c>
      <c r="L33" s="69">
        <v>28</v>
      </c>
      <c r="M33" s="54">
        <f t="shared" ca="1" si="1"/>
        <v>14000</v>
      </c>
    </row>
    <row r="34" spans="2:13">
      <c r="B34" s="27">
        <f t="shared" si="2"/>
        <v>30</v>
      </c>
      <c r="C34" s="27">
        <f ca="1"/>
        <v>564</v>
      </c>
      <c r="D34" s="27" t="str">
        <f ca="1"/>
        <v>フロセミド細粒４％「ＥＭＥＣ」</v>
      </c>
      <c r="E34" s="27">
        <f ca="1"/>
        <v>0</v>
      </c>
      <c r="F34" s="54">
        <f ca="1"/>
        <v>2</v>
      </c>
      <c r="G34" s="54" t="str">
        <f ca="1"/>
        <v>粉</v>
      </c>
      <c r="H34" s="54" t="str">
        <f ca="1"/>
        <v>１００ｇ</v>
      </c>
      <c r="I34" s="54" t="str">
        <f ca="1"/>
        <v>ｇ</v>
      </c>
      <c r="J34" s="54" t="str">
        <f ca="1">IF(F34="","",OFFSET(分類!$B$29,MATCH(F34,分類!$A$30:$A$46,0),0))</f>
        <v>散薬調剤台</v>
      </c>
      <c r="K34" s="54">
        <f t="shared" ca="1" si="0"/>
        <v>100</v>
      </c>
      <c r="L34" s="69">
        <v>29</v>
      </c>
      <c r="M34" s="54">
        <f t="shared" ca="1" si="1"/>
        <v>2900</v>
      </c>
    </row>
    <row r="35" spans="2:13">
      <c r="B35" s="27">
        <f t="shared" si="2"/>
        <v>31</v>
      </c>
      <c r="C35" s="27">
        <f ca="1"/>
        <v>571</v>
      </c>
      <c r="D35" s="27" t="str">
        <f ca="1"/>
        <v>ブロナンセリン散２％「ＤＳＰＢ」</v>
      </c>
      <c r="E35" s="27">
        <f ca="1"/>
        <v>2</v>
      </c>
      <c r="F35" s="54">
        <f ca="1"/>
        <v>2</v>
      </c>
      <c r="G35" s="54" t="str">
        <f ca="1"/>
        <v>粉</v>
      </c>
      <c r="H35" s="54" t="str">
        <f ca="1"/>
        <v>１００ｇ</v>
      </c>
      <c r="I35" s="54" t="str">
        <f ca="1"/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9">
        <v>30</v>
      </c>
      <c r="M35" s="54">
        <f t="shared" ca="1" si="1"/>
        <v>3000</v>
      </c>
    </row>
    <row r="36" spans="2:13">
      <c r="B36" s="27">
        <f t="shared" si="2"/>
        <v>32</v>
      </c>
      <c r="C36" s="27">
        <f ca="1"/>
        <v>624</v>
      </c>
      <c r="D36" s="27" t="str">
        <f ca="1"/>
        <v>マーズレンＳ配合顆粒</v>
      </c>
      <c r="E36" s="27">
        <f ca="1"/>
        <v>0</v>
      </c>
      <c r="F36" s="54">
        <f ca="1"/>
        <v>3</v>
      </c>
      <c r="G36" s="54" t="str">
        <f ca="1"/>
        <v>粉</v>
      </c>
      <c r="H36" s="54" t="str">
        <f ca="1"/>
        <v>４００ｇ（０．６７ｆｘ６００）</v>
      </c>
      <c r="I36" s="54" t="str">
        <f ca="1"/>
        <v>ｇ</v>
      </c>
      <c r="J36" s="54" t="str">
        <f ca="1">IF(F36="","",OFFSET(分類!$B$29,MATCH(F36,分類!$A$30:$A$46,0),0))</f>
        <v>外用.臨時.散薬ヒート</v>
      </c>
      <c r="K36" s="54">
        <f t="shared" ca="1" si="0"/>
        <v>400</v>
      </c>
      <c r="L36" s="69">
        <v>31</v>
      </c>
      <c r="M36" s="54">
        <f t="shared" ca="1" si="1"/>
        <v>12400</v>
      </c>
    </row>
    <row r="37" spans="2:13">
      <c r="B37" s="27">
        <f t="shared" si="2"/>
        <v>33</v>
      </c>
      <c r="C37" s="27">
        <f ca="1"/>
        <v>625</v>
      </c>
      <c r="D37" s="27" t="str">
        <f ca="1"/>
        <v>マーズレンＳ配合顆粒</v>
      </c>
      <c r="E37" s="27">
        <f ca="1"/>
        <v>0</v>
      </c>
      <c r="F37" s="54">
        <f ca="1"/>
        <v>3</v>
      </c>
      <c r="G37" s="54" t="str">
        <f ca="1"/>
        <v>粉</v>
      </c>
      <c r="H37" s="54" t="str">
        <f ca="1"/>
        <v>１０００ｇ</v>
      </c>
      <c r="I37" s="54" t="str">
        <f ca="1"/>
        <v>ｇ</v>
      </c>
      <c r="J37" s="54" t="str">
        <f ca="1">IF(F37="","",OFFSET(分類!$B$29,MATCH(F37,分類!$A$30:$A$46,0),0))</f>
        <v>外用.臨時.散薬ヒート</v>
      </c>
      <c r="K37" s="54">
        <f t="shared" ca="1" si="0"/>
        <v>1000</v>
      </c>
      <c r="L37" s="69">
        <v>32</v>
      </c>
      <c r="M37" s="54">
        <f t="shared" ca="1" si="1"/>
        <v>32000</v>
      </c>
    </row>
    <row r="38" spans="2:13">
      <c r="B38" s="27">
        <f t="shared" si="2"/>
        <v>34</v>
      </c>
      <c r="C38" s="27">
        <f ca="1"/>
        <v>660</v>
      </c>
      <c r="D38" s="27" t="str">
        <f ca="1"/>
        <v>モサプリドクエン酸塩散１％「日医工」</v>
      </c>
      <c r="E38" s="27">
        <f ca="1"/>
        <v>0</v>
      </c>
      <c r="F38" s="54">
        <f ca="1"/>
        <v>2</v>
      </c>
      <c r="G38" s="54" t="str">
        <f ca="1"/>
        <v>粉</v>
      </c>
      <c r="H38" s="54" t="str">
        <f ca="1"/>
        <v>１００ｇ</v>
      </c>
      <c r="I38" s="54" t="str">
        <f ca="1"/>
        <v>ｇ</v>
      </c>
      <c r="J38" s="54" t="str">
        <f ca="1">IF(F38="","",OFFSET(分類!$B$29,MATCH(F38,分類!$A$30:$A$46,0),0))</f>
        <v>散薬調剤台</v>
      </c>
      <c r="K38" s="54">
        <f t="shared" ca="1" si="0"/>
        <v>100</v>
      </c>
      <c r="L38" s="69">
        <v>33</v>
      </c>
      <c r="M38" s="54">
        <f t="shared" ca="1" si="1"/>
        <v>3300</v>
      </c>
    </row>
    <row r="39" spans="2:13">
      <c r="B39" s="27">
        <f t="shared" si="2"/>
        <v>35</v>
      </c>
      <c r="C39" s="27">
        <f ca="1"/>
        <v>664</v>
      </c>
      <c r="D39" s="27" t="str">
        <f ca="1"/>
        <v>モビコール配合内用剤ＬＤ（１）　　　６．８５２３ｇ／１包</v>
      </c>
      <c r="E39" s="27">
        <f ca="1"/>
        <v>0</v>
      </c>
      <c r="F39" s="54">
        <f ca="1"/>
        <v>3</v>
      </c>
      <c r="G39" s="54" t="str">
        <f ca="1"/>
        <v>粉</v>
      </c>
      <c r="H39" s="54" t="str">
        <f ca="1"/>
        <v>１００包</v>
      </c>
      <c r="I39" s="54" t="str">
        <f ca="1"/>
        <v>包</v>
      </c>
      <c r="J39" s="54" t="str">
        <f ca="1">IF(F39="","",OFFSET(分類!$B$29,MATCH(F39,分類!$A$30:$A$46,0),0))</f>
        <v>外用.臨時.散薬ヒート</v>
      </c>
      <c r="K39" s="54" t="e">
        <f t="shared" ca="1" si="0"/>
        <v>#VALUE!</v>
      </c>
      <c r="L39" s="69">
        <v>34</v>
      </c>
      <c r="M39" s="54" t="e">
        <f t="shared" ca="1" si="1"/>
        <v>#VALUE!</v>
      </c>
    </row>
    <row r="40" spans="2:13">
      <c r="B40" s="27">
        <f t="shared" si="2"/>
        <v>36</v>
      </c>
      <c r="C40" s="27">
        <f ca="1"/>
        <v>700</v>
      </c>
      <c r="D40" s="27" t="str">
        <f ca="1"/>
        <v>リスパダール細粒１％</v>
      </c>
      <c r="E40" s="27">
        <f ca="1"/>
        <v>2</v>
      </c>
      <c r="F40" s="54">
        <f ca="1"/>
        <v>1</v>
      </c>
      <c r="G40" s="54" t="str">
        <f ca="1"/>
        <v>粉</v>
      </c>
      <c r="H40" s="54" t="str">
        <f ca="1"/>
        <v>１００ｇ</v>
      </c>
      <c r="I40" s="54" t="str">
        <f ca="1"/>
        <v>ｇ</v>
      </c>
      <c r="J40" s="54" t="str">
        <f ca="1">IF(F40="","",OFFSET(分類!$B$29,MATCH(F40,分類!$A$30:$A$46,0),0))</f>
        <v>調剤棚</v>
      </c>
      <c r="K40" s="54">
        <f t="shared" ca="1" si="0"/>
        <v>100</v>
      </c>
      <c r="L40" s="69">
        <v>35</v>
      </c>
      <c r="M40" s="54">
        <f t="shared" ca="1" si="1"/>
        <v>3500</v>
      </c>
    </row>
    <row r="41" spans="2:13">
      <c r="B41" s="27">
        <f t="shared" si="2"/>
        <v>37</v>
      </c>
      <c r="C41" s="27">
        <f ca="1"/>
        <v>764</v>
      </c>
      <c r="D41" s="27" t="str">
        <f ca="1"/>
        <v>レベチラセタムＤＳ５０％「トーワ」</v>
      </c>
      <c r="E41" s="27">
        <f ca="1"/>
        <v>0</v>
      </c>
      <c r="F41" s="54">
        <f ca="1"/>
        <v>2</v>
      </c>
      <c r="G41" s="54" t="str">
        <f ca="1"/>
        <v>粉</v>
      </c>
      <c r="H41" s="54" t="str">
        <f ca="1"/>
        <v>１００Ｇ</v>
      </c>
      <c r="I41" s="54" t="str">
        <f ca="1"/>
        <v>ｇ</v>
      </c>
      <c r="J41" s="54" t="str">
        <f ca="1">IF(F41="","",OFFSET(分類!$B$29,MATCH(F41,分類!$A$30:$A$46,0),0))</f>
        <v>散薬調剤台</v>
      </c>
      <c r="K41" s="54" t="e">
        <f t="shared" ca="1" si="0"/>
        <v>#VALUE!</v>
      </c>
      <c r="L41" s="69">
        <v>36</v>
      </c>
      <c r="M41" s="54" t="e">
        <f t="shared" ca="1" si="1"/>
        <v>#VALUE!</v>
      </c>
    </row>
    <row r="42" spans="2:13">
      <c r="B42" s="27">
        <f t="shared" si="2"/>
        <v>38</v>
      </c>
      <c r="C42" s="27">
        <f ca="1"/>
        <v>778</v>
      </c>
      <c r="D42" s="27" t="str">
        <f ca="1"/>
        <v>ロキソニン細粒１０％</v>
      </c>
      <c r="E42" s="27">
        <f ca="1"/>
        <v>0</v>
      </c>
      <c r="F42" s="54">
        <f ca="1"/>
        <v>2</v>
      </c>
      <c r="G42" s="54" t="str">
        <f ca="1"/>
        <v>粉</v>
      </c>
      <c r="H42" s="54" t="str">
        <f ca="1"/>
        <v>１００ｇ</v>
      </c>
      <c r="I42" s="54" t="str">
        <f ca="1"/>
        <v>ｇ</v>
      </c>
      <c r="J42" s="54" t="str">
        <f ca="1">IF(F42="","",OFFSET(分類!$B$29,MATCH(F42,分類!$A$30:$A$46,0),0))</f>
        <v>散薬調剤台</v>
      </c>
      <c r="K42" s="54">
        <f t="shared" ca="1" si="0"/>
        <v>100</v>
      </c>
      <c r="L42" s="69">
        <v>37</v>
      </c>
      <c r="M42" s="54">
        <f t="shared" ca="1" si="1"/>
        <v>3700</v>
      </c>
    </row>
    <row r="43" spans="2:13">
      <c r="B43" s="27">
        <f t="shared" si="2"/>
        <v>39</v>
      </c>
      <c r="C43" s="27">
        <f ca="1"/>
        <v>787</v>
      </c>
      <c r="D43" s="27" t="str">
        <f ca="1"/>
        <v>ロドピン細粒５０％</v>
      </c>
      <c r="E43" s="27">
        <f ca="1"/>
        <v>2</v>
      </c>
      <c r="F43" s="54">
        <f ca="1"/>
        <v>2</v>
      </c>
      <c r="G43" s="54" t="str">
        <f ca="1"/>
        <v/>
      </c>
      <c r="H43" s="54" t="str">
        <f ca="1"/>
        <v>１００ｇ</v>
      </c>
      <c r="I43" s="54" t="str">
        <f ca="1"/>
        <v>ｇ</v>
      </c>
      <c r="J43" s="54" t="str">
        <f ca="1">IF(F43="","",OFFSET(分類!$B$29,MATCH(F43,分類!$A$30:$A$46,0),0))</f>
        <v>散薬調剤台</v>
      </c>
      <c r="K43" s="54" t="str">
        <f t="shared" ca="1" si="0"/>
        <v/>
      </c>
      <c r="L43" s="69">
        <v>38</v>
      </c>
      <c r="M43" s="54">
        <f t="shared" ca="1" si="1"/>
        <v>38</v>
      </c>
    </row>
    <row r="44" spans="2:13">
      <c r="B44" s="27">
        <f t="shared" si="2"/>
        <v>40</v>
      </c>
      <c r="C44" s="27">
        <f ca="1"/>
        <v>805</v>
      </c>
      <c r="D44" s="27" t="str">
        <f ca="1"/>
        <v>塩化カリウム</v>
      </c>
      <c r="E44" s="27">
        <f ca="1"/>
        <v>0</v>
      </c>
      <c r="F44" s="54">
        <f ca="1"/>
        <v>2</v>
      </c>
      <c r="G44" s="54" t="str">
        <f ca="1"/>
        <v>粉</v>
      </c>
      <c r="H44" s="54" t="str">
        <f ca="1"/>
        <v>５００ｇ</v>
      </c>
      <c r="I44" s="54" t="str">
        <f ca="1"/>
        <v>10ｇ</v>
      </c>
      <c r="J44" s="54" t="str">
        <f ca="1">IF(F44="","",OFFSET(分類!$B$29,MATCH(F44,分類!$A$30:$A$46,0),0))</f>
        <v>散薬調剤台</v>
      </c>
      <c r="K44" s="54">
        <f t="shared" ca="1" si="0"/>
        <v>500</v>
      </c>
      <c r="L44" s="69">
        <v>39</v>
      </c>
      <c r="M44" s="54">
        <f t="shared" ca="1" si="1"/>
        <v>19500</v>
      </c>
    </row>
    <row r="45" spans="2:13">
      <c r="B45" s="27">
        <f t="shared" si="2"/>
        <v>41</v>
      </c>
      <c r="C45" s="27">
        <f ca="1"/>
        <v>806</v>
      </c>
      <c r="D45" s="27" t="str">
        <f ca="1"/>
        <v>塩化ナトリウム</v>
      </c>
      <c r="E45" s="27">
        <f ca="1"/>
        <v>0</v>
      </c>
      <c r="F45" s="54">
        <f ca="1"/>
        <v>2</v>
      </c>
      <c r="G45" s="54" t="str">
        <f ca="1"/>
        <v>粉</v>
      </c>
      <c r="H45" s="54" t="str">
        <f ca="1"/>
        <v>５００ｇ</v>
      </c>
      <c r="I45" s="54" t="str">
        <f ca="1"/>
        <v>10ｇ</v>
      </c>
      <c r="J45" s="54" t="str">
        <f ca="1">IF(F45="","",OFFSET(分類!$B$29,MATCH(F45,分類!$A$30:$A$46,0),0))</f>
        <v>散薬調剤台</v>
      </c>
      <c r="K45" s="54">
        <f t="shared" ca="1" si="0"/>
        <v>500</v>
      </c>
      <c r="L45" s="69">
        <v>40</v>
      </c>
      <c r="M45" s="54">
        <f t="shared" ca="1" si="1"/>
        <v>20000</v>
      </c>
    </row>
    <row r="46" spans="2:13">
      <c r="B46" s="27">
        <f t="shared" si="2"/>
        <v>42</v>
      </c>
      <c r="C46" s="27">
        <f ca="1"/>
        <v>828</v>
      </c>
      <c r="D46" s="27" t="str">
        <f ca="1"/>
        <v>炭酸水素ナトリウム</v>
      </c>
      <c r="E46" s="27">
        <f ca="1"/>
        <v>0</v>
      </c>
      <c r="F46" s="54">
        <f ca="1"/>
        <v>2</v>
      </c>
      <c r="G46" s="54" t="str">
        <f ca="1"/>
        <v>粉</v>
      </c>
      <c r="H46" s="54" t="str">
        <f ca="1"/>
        <v>５００ｇ</v>
      </c>
      <c r="I46" s="54" t="str">
        <f ca="1"/>
        <v>10ｇ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9">
        <v>41</v>
      </c>
      <c r="M46" s="54">
        <f t="shared" ca="1" si="1"/>
        <v>20500</v>
      </c>
    </row>
    <row r="47" spans="2:13">
      <c r="B47" s="27">
        <f t="shared" si="2"/>
        <v>43</v>
      </c>
      <c r="C47" s="27"/>
      <c r="D47" s="27"/>
      <c r="E47" s="27"/>
      <c r="F47" s="54"/>
      <c r="G47" s="54"/>
      <c r="H47" s="54"/>
      <c r="I47" s="54"/>
      <c r="J47" s="54" t="str">
        <f ca="1">IF(F47="","",OFFSET(分類!$B$29,MATCH(F47,分類!$A$30:$A$46,0),0))</f>
        <v/>
      </c>
      <c r="K47" s="54" t="str">
        <f t="shared" si="0"/>
        <v/>
      </c>
      <c r="L47" s="69">
        <v>42</v>
      </c>
      <c r="M47" s="54">
        <f t="shared" si="1"/>
        <v>42</v>
      </c>
    </row>
    <row r="48" spans="2:13">
      <c r="B48" s="27">
        <f t="shared" si="2"/>
        <v>44</v>
      </c>
      <c r="C48" s="27"/>
      <c r="D48" s="27"/>
      <c r="E48" s="27"/>
      <c r="F48" s="54"/>
      <c r="G48" s="54"/>
      <c r="H48" s="54"/>
      <c r="I48" s="54"/>
      <c r="J48" s="54" t="str">
        <f ca="1">IF(F48="","",OFFSET(分類!$B$29,MATCH(F48,分類!$A$30:$A$46,0),0))</f>
        <v/>
      </c>
      <c r="K48" s="54" t="str">
        <f t="shared" si="0"/>
        <v/>
      </c>
      <c r="L48" s="69">
        <v>43</v>
      </c>
      <c r="M48" s="54">
        <f t="shared" si="1"/>
        <v>43</v>
      </c>
    </row>
    <row r="49" spans="2:13">
      <c r="B49" s="27">
        <f t="shared" si="2"/>
        <v>45</v>
      </c>
      <c r="C49" s="27"/>
      <c r="D49" s="27"/>
      <c r="E49" s="27"/>
      <c r="F49" s="54"/>
      <c r="G49" s="54"/>
      <c r="H49" s="54"/>
      <c r="I49" s="54"/>
      <c r="J49" s="54" t="str">
        <f ca="1">IF(F49="","",OFFSET(分類!$B$29,MATCH(F49,分類!$A$30:$A$46,0),0))</f>
        <v/>
      </c>
      <c r="K49" s="54" t="str">
        <f t="shared" si="0"/>
        <v/>
      </c>
      <c r="L49" s="69">
        <v>44</v>
      </c>
      <c r="M49" s="54">
        <f t="shared" si="1"/>
        <v>44</v>
      </c>
    </row>
    <row r="50" spans="2:13">
      <c r="B50" s="27">
        <f t="shared" si="2"/>
        <v>46</v>
      </c>
      <c r="C50" s="27"/>
      <c r="D50" s="27"/>
      <c r="E50" s="27"/>
      <c r="F50" s="54"/>
      <c r="G50" s="54"/>
      <c r="H50" s="54"/>
      <c r="I50" s="54"/>
      <c r="J50" s="54" t="str">
        <f ca="1">IF(F50="","",OFFSET(分類!$B$29,MATCH(F50,分類!$A$30:$A$46,0),0))</f>
        <v/>
      </c>
      <c r="K50" s="54" t="str">
        <f t="shared" si="0"/>
        <v/>
      </c>
      <c r="L50" s="69">
        <v>45</v>
      </c>
      <c r="M50" s="54">
        <f t="shared" si="1"/>
        <v>45</v>
      </c>
    </row>
    <row r="51" spans="2:13">
      <c r="B51" s="27">
        <f t="shared" si="2"/>
        <v>47</v>
      </c>
      <c r="C51" s="27"/>
      <c r="D51" s="27"/>
      <c r="E51" s="27"/>
      <c r="F51" s="54"/>
      <c r="G51" s="54"/>
      <c r="H51" s="54"/>
      <c r="I51" s="54"/>
      <c r="J51" s="54" t="str">
        <f ca="1">IF(F51="","",OFFSET(分類!$B$29,MATCH(F51,分類!$A$30:$A$46,0),0))</f>
        <v/>
      </c>
      <c r="K51" s="54" t="str">
        <f t="shared" si="0"/>
        <v/>
      </c>
      <c r="L51" s="69">
        <v>46</v>
      </c>
      <c r="M51" s="54">
        <f t="shared" si="1"/>
        <v>46</v>
      </c>
    </row>
    <row r="52" spans="2:13">
      <c r="B52" s="27">
        <f t="shared" si="2"/>
        <v>48</v>
      </c>
      <c r="C52" s="27"/>
      <c r="D52" s="27"/>
      <c r="E52" s="27"/>
      <c r="F52" s="54"/>
      <c r="G52" s="54"/>
      <c r="H52" s="54"/>
      <c r="I52" s="54"/>
      <c r="J52" s="54" t="str">
        <f ca="1">IF(F52="","",OFFSET(分類!$B$29,MATCH(F52,分類!$A$30:$A$46,0),0))</f>
        <v/>
      </c>
      <c r="K52" s="54" t="str">
        <f t="shared" si="0"/>
        <v/>
      </c>
      <c r="L52" s="69">
        <v>47</v>
      </c>
      <c r="M52" s="54">
        <f t="shared" si="1"/>
        <v>47</v>
      </c>
    </row>
    <row r="53" spans="2:13">
      <c r="B53" s="27">
        <f t="shared" si="2"/>
        <v>49</v>
      </c>
      <c r="C53" s="27"/>
      <c r="D53" s="27"/>
      <c r="E53" s="27"/>
      <c r="F53" s="54"/>
      <c r="G53" s="54"/>
      <c r="H53" s="54"/>
      <c r="I53" s="54"/>
      <c r="J53" s="54" t="str">
        <f ca="1">IF(F53="","",OFFSET(分類!$B$29,MATCH(F53,分類!$A$30:$A$46,0),0))</f>
        <v/>
      </c>
      <c r="K53" s="54" t="str">
        <f t="shared" si="0"/>
        <v/>
      </c>
      <c r="L53" s="69">
        <v>48</v>
      </c>
      <c r="M53" s="54">
        <f t="shared" si="1"/>
        <v>48</v>
      </c>
    </row>
    <row r="54" spans="2:13">
      <c r="B54" s="27">
        <f t="shared" si="2"/>
        <v>50</v>
      </c>
      <c r="C54" s="27"/>
      <c r="D54" s="27"/>
      <c r="E54" s="27"/>
      <c r="F54" s="54"/>
      <c r="G54" s="54"/>
      <c r="H54" s="54"/>
      <c r="I54" s="54"/>
      <c r="J54" s="54" t="str">
        <f ca="1">IF(F54="","",OFFSET(分類!$B$29,MATCH(F54,分類!$A$30:$A$46,0),0))</f>
        <v/>
      </c>
      <c r="K54" s="54" t="str">
        <f t="shared" si="0"/>
        <v/>
      </c>
      <c r="L54" s="69">
        <v>49</v>
      </c>
      <c r="M54" s="54">
        <f t="shared" si="1"/>
        <v>49</v>
      </c>
    </row>
    <row r="55" spans="2:13">
      <c r="B55" s="27">
        <f t="shared" si="2"/>
        <v>51</v>
      </c>
      <c r="C55" s="27"/>
      <c r="D55" s="27"/>
      <c r="E55" s="27"/>
      <c r="F55" s="54"/>
      <c r="G55" s="54"/>
      <c r="H55" s="54"/>
      <c r="I55" s="54"/>
      <c r="J55" s="54" t="str">
        <f ca="1">IF(F55="","",OFFSET(分類!$B$29,MATCH(F55,分類!$A$30:$A$46,0),0))</f>
        <v/>
      </c>
      <c r="K55" s="54" t="str">
        <f t="shared" si="0"/>
        <v/>
      </c>
      <c r="L55" s="69">
        <v>50</v>
      </c>
      <c r="M55" s="54">
        <f t="shared" si="1"/>
        <v>50</v>
      </c>
    </row>
    <row r="56" spans="2:13">
      <c r="B56" s="27">
        <f t="shared" si="2"/>
        <v>52</v>
      </c>
      <c r="C56" s="27"/>
      <c r="D56" s="27"/>
      <c r="E56" s="27"/>
      <c r="F56" s="54"/>
      <c r="G56" s="54"/>
      <c r="H56" s="54"/>
      <c r="I56" s="54"/>
      <c r="J56" s="54" t="str">
        <f ca="1">IF(F56="","",OFFSET(分類!$B$29,MATCH(F56,分類!$A$30:$A$46,0),0))</f>
        <v/>
      </c>
      <c r="K56" s="54" t="str">
        <f t="shared" si="0"/>
        <v/>
      </c>
      <c r="L56" s="69">
        <v>51</v>
      </c>
      <c r="M56" s="54">
        <f t="shared" si="1"/>
        <v>51</v>
      </c>
    </row>
    <row r="57" spans="2:13">
      <c r="B57" s="27">
        <f t="shared" si="2"/>
        <v>53</v>
      </c>
      <c r="C57" s="27"/>
      <c r="D57" s="27"/>
      <c r="E57" s="27"/>
      <c r="F57" s="54"/>
      <c r="G57" s="54"/>
      <c r="H57" s="54"/>
      <c r="I57" s="54"/>
      <c r="J57" s="54" t="str">
        <f ca="1">IF(F57="","",OFFSET(分類!$B$29,MATCH(F57,分類!$A$30:$A$46,0),0))</f>
        <v/>
      </c>
      <c r="K57" s="54" t="str">
        <f t="shared" si="0"/>
        <v/>
      </c>
      <c r="L57" s="69">
        <v>52</v>
      </c>
      <c r="M57" s="54">
        <f t="shared" si="1"/>
        <v>52</v>
      </c>
    </row>
    <row r="58" spans="2:13">
      <c r="B58" s="27">
        <f t="shared" si="2"/>
        <v>54</v>
      </c>
      <c r="C58" s="27"/>
      <c r="D58" s="27"/>
      <c r="E58" s="27"/>
      <c r="F58" s="54"/>
      <c r="G58" s="54"/>
      <c r="H58" s="54"/>
      <c r="I58" s="54"/>
      <c r="J58" s="54" t="str">
        <f ca="1">IF(F58="","",OFFSET(分類!$B$29,MATCH(F58,分類!$A$30:$A$46,0),0))</f>
        <v/>
      </c>
      <c r="K58" s="54" t="str">
        <f t="shared" si="0"/>
        <v/>
      </c>
      <c r="L58" s="69">
        <v>53</v>
      </c>
      <c r="M58" s="54">
        <f t="shared" si="1"/>
        <v>53</v>
      </c>
    </row>
    <row r="59" spans="2:13">
      <c r="B59" s="27">
        <f t="shared" si="2"/>
        <v>55</v>
      </c>
      <c r="C59" s="27"/>
      <c r="D59" s="27"/>
      <c r="E59" s="27"/>
      <c r="F59" s="54"/>
      <c r="G59" s="54"/>
      <c r="H59" s="54"/>
      <c r="I59" s="54"/>
      <c r="J59" s="54" t="str">
        <f ca="1">IF(F59="","",OFFSET(分類!$B$29,MATCH(F59,分類!$A$30:$A$46,0),0))</f>
        <v/>
      </c>
      <c r="K59" s="54" t="str">
        <f t="shared" si="0"/>
        <v/>
      </c>
      <c r="L59" s="69">
        <v>54</v>
      </c>
      <c r="M59" s="54">
        <f t="shared" si="1"/>
        <v>54</v>
      </c>
    </row>
    <row r="60" spans="2:13">
      <c r="B60" s="27">
        <f t="shared" si="2"/>
        <v>56</v>
      </c>
      <c r="C60" s="27"/>
      <c r="D60" s="27"/>
      <c r="E60" s="27"/>
      <c r="F60" s="54"/>
      <c r="G60" s="54"/>
      <c r="H60" s="54"/>
      <c r="I60" s="54"/>
      <c r="J60" s="54" t="str">
        <f ca="1">IF(F60="","",OFFSET(分類!$B$29,MATCH(F60,分類!$A$30:$A$46,0),0))</f>
        <v/>
      </c>
      <c r="K60" s="54" t="str">
        <f t="shared" si="0"/>
        <v/>
      </c>
      <c r="L60" s="69">
        <v>55</v>
      </c>
      <c r="M60" s="54">
        <f t="shared" si="1"/>
        <v>55</v>
      </c>
    </row>
    <row r="61" spans="2:13">
      <c r="B61" s="27">
        <f t="shared" si="2"/>
        <v>57</v>
      </c>
      <c r="C61" s="27"/>
      <c r="D61" s="27"/>
      <c r="E61" s="27"/>
      <c r="F61" s="54"/>
      <c r="G61" s="54"/>
      <c r="H61" s="54"/>
      <c r="I61" s="54"/>
      <c r="J61" s="54" t="str">
        <f ca="1">IF(F61="","",OFFSET(分類!$B$29,MATCH(F61,分類!$A$30:$A$46,0),0))</f>
        <v/>
      </c>
      <c r="K61" s="54" t="str">
        <f t="shared" si="0"/>
        <v/>
      </c>
      <c r="L61" s="69">
        <v>56</v>
      </c>
      <c r="M61" s="54">
        <f t="shared" si="1"/>
        <v>56</v>
      </c>
    </row>
    <row r="62" spans="2:13">
      <c r="B62" s="27">
        <f t="shared" si="2"/>
        <v>58</v>
      </c>
      <c r="C62" s="27"/>
      <c r="D62" s="27"/>
      <c r="E62" s="27"/>
      <c r="F62" s="54"/>
      <c r="G62" s="54"/>
      <c r="H62" s="54"/>
      <c r="I62" s="54"/>
      <c r="J62" s="54" t="str">
        <f ca="1">IF(F62="","",OFFSET(分類!$B$29,MATCH(F62,分類!$A$30:$A$46,0),0))</f>
        <v/>
      </c>
      <c r="K62" s="54" t="str">
        <f t="shared" si="0"/>
        <v/>
      </c>
      <c r="L62" s="69">
        <v>57</v>
      </c>
      <c r="M62" s="54">
        <f t="shared" si="1"/>
        <v>57</v>
      </c>
    </row>
    <row r="63" spans="2:13">
      <c r="B63" s="27">
        <f t="shared" si="2"/>
        <v>59</v>
      </c>
      <c r="C63" s="27"/>
      <c r="D63" s="27"/>
      <c r="E63" s="27"/>
      <c r="F63" s="54"/>
      <c r="G63" s="54"/>
      <c r="H63" s="54"/>
      <c r="I63" s="54"/>
      <c r="J63" s="54" t="str">
        <f ca="1">IF(F63="","",OFFSET(分類!$B$29,MATCH(F63,分類!$A$30:$A$46,0),0))</f>
        <v/>
      </c>
      <c r="K63" s="54" t="str">
        <f t="shared" si="0"/>
        <v/>
      </c>
      <c r="L63" s="69">
        <v>58</v>
      </c>
      <c r="M63" s="54">
        <f t="shared" si="1"/>
        <v>58</v>
      </c>
    </row>
    <row r="64" spans="2:13">
      <c r="B64" s="27">
        <f t="shared" si="2"/>
        <v>60</v>
      </c>
      <c r="C64" s="27"/>
      <c r="D64" s="27"/>
      <c r="E64" s="27"/>
      <c r="F64" s="54"/>
      <c r="G64" s="54"/>
      <c r="H64" s="54"/>
      <c r="I64" s="54"/>
      <c r="J64" s="54" t="str">
        <f ca="1">IF(F64="","",OFFSET(分類!$B$29,MATCH(F64,分類!$A$30:$A$46,0),0))</f>
        <v/>
      </c>
      <c r="K64" s="54" t="str">
        <f t="shared" si="0"/>
        <v/>
      </c>
      <c r="L64" s="69">
        <v>59</v>
      </c>
      <c r="M64" s="54">
        <f t="shared" si="1"/>
        <v>59</v>
      </c>
    </row>
    <row r="65" spans="2:13">
      <c r="B65" s="27">
        <f t="shared" si="2"/>
        <v>61</v>
      </c>
      <c r="C65" s="27"/>
      <c r="D65" s="27"/>
      <c r="E65" s="27"/>
      <c r="F65" s="54"/>
      <c r="G65" s="54"/>
      <c r="H65" s="54"/>
      <c r="I65" s="54"/>
      <c r="J65" s="54" t="str">
        <f ca="1">IF(F65="","",OFFSET(分類!$B$29,MATCH(F65,分類!$A$30:$A$46,0),0))</f>
        <v/>
      </c>
      <c r="K65" s="54" t="str">
        <f t="shared" si="0"/>
        <v/>
      </c>
      <c r="L65" s="69">
        <v>60</v>
      </c>
      <c r="M65" s="54">
        <f t="shared" si="1"/>
        <v>60</v>
      </c>
    </row>
    <row r="66" spans="2:13">
      <c r="B66" s="27">
        <f t="shared" si="2"/>
        <v>62</v>
      </c>
      <c r="C66" s="27"/>
      <c r="D66" s="27"/>
      <c r="E66" s="27"/>
      <c r="F66" s="54"/>
      <c r="G66" s="54"/>
      <c r="H66" s="54"/>
      <c r="I66" s="54"/>
      <c r="J66" s="54" t="str">
        <f ca="1">IF(F66="","",OFFSET(分類!$B$29,MATCH(F66,分類!$A$30:$A$46,0),0))</f>
        <v/>
      </c>
      <c r="K66" s="54" t="str">
        <f t="shared" si="0"/>
        <v/>
      </c>
      <c r="L66" s="69">
        <v>61</v>
      </c>
      <c r="M66" s="54">
        <f t="shared" si="1"/>
        <v>61</v>
      </c>
    </row>
    <row r="67" spans="2:13">
      <c r="B67" s="27">
        <f t="shared" si="2"/>
        <v>63</v>
      </c>
      <c r="C67" s="27"/>
      <c r="D67" s="27"/>
      <c r="E67" s="27"/>
      <c r="F67" s="54"/>
      <c r="G67" s="54"/>
      <c r="H67" s="54"/>
      <c r="I67" s="54"/>
      <c r="J67" s="54" t="str">
        <f ca="1">IF(F67="","",OFFSET(分類!$B$29,MATCH(F67,分類!$A$30:$A$46,0),0))</f>
        <v/>
      </c>
      <c r="K67" s="54" t="str">
        <f t="shared" si="0"/>
        <v/>
      </c>
      <c r="L67" s="69">
        <v>62</v>
      </c>
      <c r="M67" s="54">
        <f t="shared" si="1"/>
        <v>62</v>
      </c>
    </row>
    <row r="68" spans="2:13">
      <c r="B68" s="27">
        <f t="shared" si="2"/>
        <v>64</v>
      </c>
      <c r="C68" s="27"/>
      <c r="D68" s="27"/>
      <c r="E68" s="27"/>
      <c r="F68" s="54"/>
      <c r="G68" s="54"/>
      <c r="H68" s="54"/>
      <c r="I68" s="54"/>
      <c r="J68" s="54" t="str">
        <f ca="1">IF(F68="","",OFFSET(分類!$B$29,MATCH(F68,分類!$A$30:$A$46,0),0))</f>
        <v/>
      </c>
      <c r="K68" s="54" t="str">
        <f t="shared" si="0"/>
        <v/>
      </c>
      <c r="L68" s="69">
        <v>63</v>
      </c>
      <c r="M68" s="54">
        <f t="shared" si="1"/>
        <v>63</v>
      </c>
    </row>
    <row r="69" spans="2:13">
      <c r="B69" s="27">
        <f t="shared" si="2"/>
        <v>65</v>
      </c>
      <c r="C69" s="27"/>
      <c r="D69" s="27"/>
      <c r="E69" s="27"/>
      <c r="F69" s="54"/>
      <c r="G69" s="54"/>
      <c r="H69" s="54"/>
      <c r="I69" s="54"/>
      <c r="J69" s="54" t="str">
        <f ca="1">IF(F69="","",OFFSET(分類!$B$29,MATCH(F69,分類!$A$30:$A$46,0),0))</f>
        <v/>
      </c>
      <c r="K69" s="54" t="str">
        <f t="shared" si="0"/>
        <v/>
      </c>
      <c r="L69" s="69">
        <v>64</v>
      </c>
      <c r="M69" s="54">
        <f t="shared" si="1"/>
        <v>64</v>
      </c>
    </row>
    <row r="70" spans="2:13">
      <c r="B70" s="27">
        <f t="shared" si="2"/>
        <v>66</v>
      </c>
      <c r="C70" s="27"/>
      <c r="D70" s="27"/>
      <c r="E70" s="27"/>
      <c r="F70" s="54"/>
      <c r="G70" s="54"/>
      <c r="H70" s="54"/>
      <c r="I70" s="54"/>
      <c r="J70" s="54" t="str">
        <f ca="1">IF(F70="","",OFFSET(分類!$B$29,MATCH(F70,分類!$A$30:$A$46,0),0))</f>
        <v/>
      </c>
      <c r="K70" s="54" t="str">
        <f t="shared" ref="K70:K133" si="3">IF(G70="粉",VALUE(SUBSTITUTE(SUBSTITUTE(LEFT(H70, FIND("ｇ", H70) - 1), "．", "."), "　", "")),"")</f>
        <v/>
      </c>
      <c r="L70" s="69">
        <v>65</v>
      </c>
      <c r="M70" s="54">
        <f t="shared" ref="M70:M133" si="4">IF(K70="",L70,K70*L70)</f>
        <v>65</v>
      </c>
    </row>
    <row r="71" spans="2:13">
      <c r="B71" s="27">
        <f t="shared" ref="B71:B134" si="5">B70+1</f>
        <v>67</v>
      </c>
      <c r="C71" s="27"/>
      <c r="D71" s="27"/>
      <c r="E71" s="27"/>
      <c r="F71" s="54"/>
      <c r="G71" s="54"/>
      <c r="H71" s="54"/>
      <c r="I71" s="54"/>
      <c r="J71" s="54" t="str">
        <f ca="1">IF(F71="","",OFFSET(分類!$B$29,MATCH(F71,分類!$A$30:$A$46,0),0))</f>
        <v/>
      </c>
      <c r="K71" s="54" t="str">
        <f t="shared" si="3"/>
        <v/>
      </c>
      <c r="L71" s="69">
        <v>66</v>
      </c>
      <c r="M71" s="54">
        <f t="shared" si="4"/>
        <v>66</v>
      </c>
    </row>
    <row r="72" spans="2:13">
      <c r="B72" s="27">
        <f t="shared" si="5"/>
        <v>68</v>
      </c>
      <c r="C72" s="27"/>
      <c r="D72" s="27"/>
      <c r="E72" s="27"/>
      <c r="F72" s="54"/>
      <c r="G72" s="54"/>
      <c r="H72" s="54"/>
      <c r="I72" s="54"/>
      <c r="J72" s="54" t="str">
        <f ca="1">IF(F72="","",OFFSET(分類!$B$29,MATCH(F72,分類!$A$30:$A$46,0),0))</f>
        <v/>
      </c>
      <c r="K72" s="54" t="str">
        <f t="shared" si="3"/>
        <v/>
      </c>
      <c r="L72" s="69">
        <v>67</v>
      </c>
      <c r="M72" s="54">
        <f t="shared" si="4"/>
        <v>67</v>
      </c>
    </row>
    <row r="73" spans="2:13">
      <c r="B73" s="27">
        <f t="shared" si="5"/>
        <v>69</v>
      </c>
      <c r="C73" s="27"/>
      <c r="D73" s="27"/>
      <c r="E73" s="27"/>
      <c r="F73" s="54"/>
      <c r="G73" s="54"/>
      <c r="H73" s="54"/>
      <c r="I73" s="54"/>
      <c r="J73" s="54" t="str">
        <f ca="1">IF(F73="","",OFFSET(分類!$B$29,MATCH(F73,分類!$A$30:$A$46,0),0))</f>
        <v/>
      </c>
      <c r="K73" s="54" t="str">
        <f t="shared" si="3"/>
        <v/>
      </c>
      <c r="L73" s="69">
        <v>68</v>
      </c>
      <c r="M73" s="54">
        <f t="shared" si="4"/>
        <v>68</v>
      </c>
    </row>
    <row r="74" spans="2:13">
      <c r="B74" s="27">
        <f t="shared" si="5"/>
        <v>70</v>
      </c>
      <c r="C74" s="27"/>
      <c r="D74" s="27"/>
      <c r="E74" s="27"/>
      <c r="F74" s="54"/>
      <c r="G74" s="54"/>
      <c r="H74" s="54"/>
      <c r="I74" s="54"/>
      <c r="J74" s="54" t="str">
        <f ca="1">IF(F74="","",OFFSET(分類!$B$29,MATCH(F74,分類!$A$30:$A$46,0),0))</f>
        <v/>
      </c>
      <c r="K74" s="54" t="str">
        <f t="shared" si="3"/>
        <v/>
      </c>
      <c r="L74" s="69">
        <v>69</v>
      </c>
      <c r="M74" s="54">
        <f t="shared" si="4"/>
        <v>69</v>
      </c>
    </row>
    <row r="75" spans="2:13">
      <c r="B75" s="27">
        <f t="shared" si="5"/>
        <v>71</v>
      </c>
      <c r="C75" s="27"/>
      <c r="D75" s="27"/>
      <c r="E75" s="27"/>
      <c r="F75" s="54"/>
      <c r="G75" s="54"/>
      <c r="H75" s="54"/>
      <c r="I75" s="54"/>
      <c r="J75" s="54" t="str">
        <f ca="1">IF(F75="","",OFFSET(分類!$B$29,MATCH(F75,分類!$A$30:$A$46,0),0))</f>
        <v/>
      </c>
      <c r="K75" s="54" t="str">
        <f t="shared" si="3"/>
        <v/>
      </c>
      <c r="L75" s="69">
        <v>70</v>
      </c>
      <c r="M75" s="54">
        <f t="shared" si="4"/>
        <v>70</v>
      </c>
    </row>
    <row r="76" spans="2:13">
      <c r="B76" s="27">
        <f t="shared" si="5"/>
        <v>72</v>
      </c>
      <c r="C76" s="27"/>
      <c r="D76" s="27"/>
      <c r="E76" s="27"/>
      <c r="F76" s="54"/>
      <c r="G76" s="54"/>
      <c r="H76" s="54"/>
      <c r="I76" s="54"/>
      <c r="J76" s="54" t="str">
        <f ca="1">IF(F76="","",OFFSET(分類!$B$29,MATCH(F76,分類!$A$30:$A$46,0),0))</f>
        <v/>
      </c>
      <c r="K76" s="54" t="str">
        <f t="shared" si="3"/>
        <v/>
      </c>
      <c r="L76" s="69">
        <v>71</v>
      </c>
      <c r="M76" s="54">
        <f t="shared" si="4"/>
        <v>71</v>
      </c>
    </row>
    <row r="77" spans="2:13">
      <c r="B77" s="27">
        <f t="shared" si="5"/>
        <v>73</v>
      </c>
      <c r="C77" s="27"/>
      <c r="D77" s="27"/>
      <c r="E77" s="27"/>
      <c r="F77" s="54"/>
      <c r="G77" s="54"/>
      <c r="H77" s="54"/>
      <c r="I77" s="54"/>
      <c r="J77" s="54" t="str">
        <f ca="1">IF(F77="","",OFFSET(分類!$B$29,MATCH(F77,分類!$A$30:$A$46,0),0))</f>
        <v/>
      </c>
      <c r="K77" s="54" t="str">
        <f t="shared" si="3"/>
        <v/>
      </c>
      <c r="L77" s="69">
        <v>72</v>
      </c>
      <c r="M77" s="54">
        <f t="shared" si="4"/>
        <v>72</v>
      </c>
    </row>
    <row r="78" spans="2:13">
      <c r="B78" s="27">
        <f t="shared" si="5"/>
        <v>74</v>
      </c>
      <c r="C78" s="27"/>
      <c r="D78" s="27"/>
      <c r="E78" s="27"/>
      <c r="F78" s="54"/>
      <c r="G78" s="54"/>
      <c r="H78" s="54"/>
      <c r="I78" s="54"/>
      <c r="J78" s="54" t="str">
        <f ca="1">IF(F78="","",OFFSET(分類!$B$29,MATCH(F78,分類!$A$30:$A$46,0),0))</f>
        <v/>
      </c>
      <c r="K78" s="54" t="str">
        <f t="shared" si="3"/>
        <v/>
      </c>
      <c r="L78" s="69">
        <v>73</v>
      </c>
      <c r="M78" s="54">
        <f t="shared" si="4"/>
        <v>73</v>
      </c>
    </row>
    <row r="79" spans="2:13">
      <c r="B79" s="27">
        <f t="shared" si="5"/>
        <v>75</v>
      </c>
      <c r="C79" s="27"/>
      <c r="D79" s="27"/>
      <c r="E79" s="27"/>
      <c r="F79" s="54"/>
      <c r="G79" s="54"/>
      <c r="H79" s="54"/>
      <c r="I79" s="54"/>
      <c r="J79" s="54" t="str">
        <f ca="1">IF(F79="","",OFFSET(分類!$B$29,MATCH(F79,分類!$A$30:$A$46,0),0))</f>
        <v/>
      </c>
      <c r="K79" s="54" t="str">
        <f t="shared" si="3"/>
        <v/>
      </c>
      <c r="L79" s="69">
        <v>74</v>
      </c>
      <c r="M79" s="54">
        <f t="shared" si="4"/>
        <v>74</v>
      </c>
    </row>
    <row r="80" spans="2:13">
      <c r="B80" s="27">
        <f t="shared" si="5"/>
        <v>76</v>
      </c>
      <c r="C80" s="27"/>
      <c r="D80" s="27"/>
      <c r="E80" s="27"/>
      <c r="F80" s="54"/>
      <c r="G80" s="54"/>
      <c r="H80" s="54"/>
      <c r="I80" s="54"/>
      <c r="J80" s="54" t="str">
        <f ca="1">IF(F80="","",OFFSET(分類!$B$29,MATCH(F80,分類!$A$30:$A$46,0),0))</f>
        <v/>
      </c>
      <c r="K80" s="54" t="str">
        <f t="shared" si="3"/>
        <v/>
      </c>
      <c r="L80" s="69">
        <v>75</v>
      </c>
      <c r="M80" s="54">
        <f t="shared" si="4"/>
        <v>75</v>
      </c>
    </row>
    <row r="81" spans="2:13">
      <c r="B81" s="27">
        <f t="shared" si="5"/>
        <v>77</v>
      </c>
      <c r="C81" s="27"/>
      <c r="D81" s="27"/>
      <c r="E81" s="27"/>
      <c r="F81" s="54"/>
      <c r="G81" s="54"/>
      <c r="H81" s="54"/>
      <c r="I81" s="54"/>
      <c r="J81" s="54" t="str">
        <f ca="1">IF(F81="","",OFFSET(分類!$B$29,MATCH(F81,分類!$A$30:$A$46,0),0))</f>
        <v/>
      </c>
      <c r="K81" s="54" t="str">
        <f t="shared" si="3"/>
        <v/>
      </c>
      <c r="L81" s="69">
        <v>76</v>
      </c>
      <c r="M81" s="54">
        <f t="shared" si="4"/>
        <v>76</v>
      </c>
    </row>
    <row r="82" spans="2:13">
      <c r="B82" s="27">
        <f t="shared" si="5"/>
        <v>78</v>
      </c>
      <c r="C82" s="27"/>
      <c r="D82" s="27"/>
      <c r="E82" s="27"/>
      <c r="F82" s="54"/>
      <c r="G82" s="54"/>
      <c r="H82" s="54"/>
      <c r="I82" s="54"/>
      <c r="J82" s="54" t="str">
        <f ca="1">IF(F82="","",OFFSET(分類!$B$29,MATCH(F82,分類!$A$30:$A$46,0),0))</f>
        <v/>
      </c>
      <c r="K82" s="54" t="str">
        <f t="shared" si="3"/>
        <v/>
      </c>
      <c r="L82" s="69">
        <v>77</v>
      </c>
      <c r="M82" s="54">
        <f t="shared" si="4"/>
        <v>77</v>
      </c>
    </row>
    <row r="83" spans="2:13">
      <c r="B83" s="27">
        <f t="shared" si="5"/>
        <v>79</v>
      </c>
      <c r="C83" s="27"/>
      <c r="D83" s="27"/>
      <c r="E83" s="27"/>
      <c r="F83" s="54"/>
      <c r="G83" s="54"/>
      <c r="H83" s="54"/>
      <c r="I83" s="54"/>
      <c r="J83" s="54" t="str">
        <f ca="1">IF(F83="","",OFFSET(分類!$B$29,MATCH(F83,分類!$A$30:$A$46,0),0))</f>
        <v/>
      </c>
      <c r="K83" s="54" t="str">
        <f t="shared" si="3"/>
        <v/>
      </c>
      <c r="L83" s="69">
        <v>78</v>
      </c>
      <c r="M83" s="54">
        <f t="shared" si="4"/>
        <v>78</v>
      </c>
    </row>
    <row r="84" spans="2:13">
      <c r="B84" s="27">
        <f t="shared" si="5"/>
        <v>80</v>
      </c>
      <c r="C84" s="27"/>
      <c r="D84" s="27"/>
      <c r="E84" s="27"/>
      <c r="F84" s="54"/>
      <c r="G84" s="54"/>
      <c r="H84" s="54"/>
      <c r="I84" s="54"/>
      <c r="J84" s="54" t="str">
        <f ca="1">IF(F84="","",OFFSET(分類!$B$29,MATCH(F84,分類!$A$30:$A$46,0),0))</f>
        <v/>
      </c>
      <c r="K84" s="54" t="str">
        <f t="shared" si="3"/>
        <v/>
      </c>
      <c r="L84" s="69">
        <v>79</v>
      </c>
      <c r="M84" s="54">
        <f t="shared" si="4"/>
        <v>79</v>
      </c>
    </row>
    <row r="85" spans="2:13">
      <c r="B85" s="27">
        <f t="shared" si="5"/>
        <v>81</v>
      </c>
      <c r="C85" s="27"/>
      <c r="D85" s="27"/>
      <c r="E85" s="27"/>
      <c r="F85" s="54"/>
      <c r="G85" s="54"/>
      <c r="H85" s="54"/>
      <c r="I85" s="54"/>
      <c r="J85" s="54" t="str">
        <f ca="1">IF(F85="","",OFFSET(分類!$B$29,MATCH(F85,分類!$A$30:$A$46,0),0))</f>
        <v/>
      </c>
      <c r="K85" s="54" t="str">
        <f t="shared" si="3"/>
        <v/>
      </c>
      <c r="L85" s="69">
        <v>80</v>
      </c>
      <c r="M85" s="54">
        <f t="shared" si="4"/>
        <v>80</v>
      </c>
    </row>
    <row r="86" spans="2:13">
      <c r="B86" s="27">
        <f t="shared" si="5"/>
        <v>82</v>
      </c>
      <c r="C86" s="27"/>
      <c r="D86" s="27"/>
      <c r="E86" s="27"/>
      <c r="F86" s="54"/>
      <c r="G86" s="54"/>
      <c r="H86" s="54"/>
      <c r="I86" s="54"/>
      <c r="J86" s="54" t="str">
        <f ca="1">IF(F86="","",OFFSET(分類!$B$29,MATCH(F86,分類!$A$30:$A$46,0),0))</f>
        <v/>
      </c>
      <c r="K86" s="54" t="str">
        <f t="shared" si="3"/>
        <v/>
      </c>
      <c r="L86" s="69">
        <v>81</v>
      </c>
      <c r="M86" s="54">
        <f t="shared" si="4"/>
        <v>81</v>
      </c>
    </row>
    <row r="87" spans="2:13">
      <c r="B87" s="27">
        <f t="shared" si="5"/>
        <v>83</v>
      </c>
      <c r="C87" s="27"/>
      <c r="D87" s="27"/>
      <c r="E87" s="27"/>
      <c r="F87" s="54"/>
      <c r="G87" s="54"/>
      <c r="H87" s="54"/>
      <c r="I87" s="54"/>
      <c r="J87" s="54" t="str">
        <f ca="1">IF(F87="","",OFFSET(分類!$B$29,MATCH(F87,分類!$A$30:$A$46,0),0))</f>
        <v/>
      </c>
      <c r="K87" s="54" t="str">
        <f t="shared" si="3"/>
        <v/>
      </c>
      <c r="L87" s="69">
        <v>82</v>
      </c>
      <c r="M87" s="54">
        <f t="shared" si="4"/>
        <v>82</v>
      </c>
    </row>
    <row r="88" spans="2:13">
      <c r="B88" s="27">
        <f t="shared" si="5"/>
        <v>84</v>
      </c>
      <c r="C88" s="27"/>
      <c r="D88" s="27"/>
      <c r="E88" s="27"/>
      <c r="F88" s="54"/>
      <c r="G88" s="54"/>
      <c r="H88" s="54"/>
      <c r="I88" s="54"/>
      <c r="J88" s="54" t="str">
        <f ca="1">IF(F88="","",OFFSET(分類!$B$29,MATCH(F88,分類!$A$30:$A$46,0),0))</f>
        <v/>
      </c>
      <c r="K88" s="54" t="str">
        <f t="shared" si="3"/>
        <v/>
      </c>
      <c r="L88" s="69">
        <v>83</v>
      </c>
      <c r="M88" s="54">
        <f t="shared" si="4"/>
        <v>83</v>
      </c>
    </row>
    <row r="89" spans="2:13">
      <c r="B89" s="27">
        <f t="shared" si="5"/>
        <v>85</v>
      </c>
      <c r="C89" s="27"/>
      <c r="D89" s="27"/>
      <c r="E89" s="27"/>
      <c r="F89" s="54"/>
      <c r="G89" s="54"/>
      <c r="H89" s="54"/>
      <c r="I89" s="54"/>
      <c r="J89" s="54" t="str">
        <f ca="1">IF(F89="","",OFFSET(分類!$B$29,MATCH(F89,分類!$A$30:$A$46,0),0))</f>
        <v/>
      </c>
      <c r="K89" s="54" t="str">
        <f t="shared" si="3"/>
        <v/>
      </c>
      <c r="L89" s="69">
        <v>84</v>
      </c>
      <c r="M89" s="54">
        <f t="shared" si="4"/>
        <v>84</v>
      </c>
    </row>
    <row r="90" spans="2:13">
      <c r="B90" s="27">
        <f t="shared" si="5"/>
        <v>86</v>
      </c>
      <c r="C90" s="27"/>
      <c r="D90" s="27"/>
      <c r="E90" s="27"/>
      <c r="F90" s="54"/>
      <c r="G90" s="54"/>
      <c r="H90" s="54"/>
      <c r="I90" s="54"/>
      <c r="J90" s="54" t="str">
        <f ca="1">IF(F90="","",OFFSET(分類!$B$29,MATCH(F90,分類!$A$30:$A$46,0),0))</f>
        <v/>
      </c>
      <c r="K90" s="54" t="str">
        <f t="shared" si="3"/>
        <v/>
      </c>
      <c r="L90" s="69">
        <v>85</v>
      </c>
      <c r="M90" s="54">
        <f t="shared" si="4"/>
        <v>85</v>
      </c>
    </row>
    <row r="91" spans="2:13">
      <c r="B91" s="27">
        <f t="shared" si="5"/>
        <v>87</v>
      </c>
      <c r="C91" s="27"/>
      <c r="D91" s="27"/>
      <c r="E91" s="27"/>
      <c r="F91" s="54"/>
      <c r="G91" s="54"/>
      <c r="H91" s="54"/>
      <c r="I91" s="54"/>
      <c r="J91" s="54" t="str">
        <f ca="1">IF(F91="","",OFFSET(分類!$B$29,MATCH(F91,分類!$A$30:$A$46,0),0))</f>
        <v/>
      </c>
      <c r="K91" s="54" t="str">
        <f t="shared" si="3"/>
        <v/>
      </c>
      <c r="L91" s="69">
        <v>86</v>
      </c>
      <c r="M91" s="54">
        <f t="shared" si="4"/>
        <v>86</v>
      </c>
    </row>
    <row r="92" spans="2:13">
      <c r="B92" s="27">
        <f t="shared" si="5"/>
        <v>88</v>
      </c>
      <c r="C92" s="27"/>
      <c r="D92" s="27"/>
      <c r="E92" s="27"/>
      <c r="F92" s="54"/>
      <c r="G92" s="54"/>
      <c r="H92" s="54"/>
      <c r="I92" s="54"/>
      <c r="J92" s="54" t="str">
        <f ca="1">IF(F92="","",OFFSET(分類!$B$29,MATCH(F92,分類!$A$30:$A$46,0),0))</f>
        <v/>
      </c>
      <c r="K92" s="54" t="str">
        <f t="shared" si="3"/>
        <v/>
      </c>
      <c r="L92" s="69">
        <v>87</v>
      </c>
      <c r="M92" s="54">
        <f t="shared" si="4"/>
        <v>87</v>
      </c>
    </row>
    <row r="93" spans="2:13">
      <c r="B93" s="27">
        <f t="shared" si="5"/>
        <v>89</v>
      </c>
      <c r="C93" s="27"/>
      <c r="D93" s="27"/>
      <c r="E93" s="27"/>
      <c r="F93" s="54"/>
      <c r="G93" s="54"/>
      <c r="H93" s="54"/>
      <c r="I93" s="54"/>
      <c r="J93" s="54" t="str">
        <f ca="1">IF(F93="","",OFFSET(分類!$B$29,MATCH(F93,分類!$A$30:$A$46,0),0))</f>
        <v/>
      </c>
      <c r="K93" s="54" t="str">
        <f t="shared" si="3"/>
        <v/>
      </c>
      <c r="L93" s="69">
        <v>88</v>
      </c>
      <c r="M93" s="54">
        <f t="shared" si="4"/>
        <v>88</v>
      </c>
    </row>
    <row r="94" spans="2:13">
      <c r="B94" s="27">
        <f t="shared" si="5"/>
        <v>90</v>
      </c>
      <c r="C94" s="27"/>
      <c r="D94" s="27"/>
      <c r="E94" s="27"/>
      <c r="F94" s="54"/>
      <c r="G94" s="54"/>
      <c r="H94" s="54"/>
      <c r="I94" s="54"/>
      <c r="J94" s="54" t="str">
        <f ca="1">IF(F94="","",OFFSET(分類!$B$29,MATCH(F94,分類!$A$30:$A$46,0),0))</f>
        <v/>
      </c>
      <c r="K94" s="54" t="str">
        <f t="shared" si="3"/>
        <v/>
      </c>
      <c r="L94" s="69">
        <v>89</v>
      </c>
      <c r="M94" s="54">
        <f t="shared" si="4"/>
        <v>89</v>
      </c>
    </row>
    <row r="95" spans="2:13">
      <c r="B95" s="27">
        <f t="shared" si="5"/>
        <v>91</v>
      </c>
      <c r="C95" s="27"/>
      <c r="D95" s="27"/>
      <c r="E95" s="27"/>
      <c r="F95" s="54"/>
      <c r="G95" s="54"/>
      <c r="H95" s="54"/>
      <c r="I95" s="54"/>
      <c r="J95" s="54" t="str">
        <f ca="1">IF(F95="","",OFFSET(分類!$B$29,MATCH(F95,分類!$A$30:$A$46,0),0))</f>
        <v/>
      </c>
      <c r="K95" s="54" t="str">
        <f t="shared" si="3"/>
        <v/>
      </c>
      <c r="L95" s="69">
        <v>90</v>
      </c>
      <c r="M95" s="54">
        <f t="shared" si="4"/>
        <v>90</v>
      </c>
    </row>
    <row r="96" spans="2:13">
      <c r="B96" s="27">
        <f t="shared" si="5"/>
        <v>92</v>
      </c>
      <c r="C96" s="27"/>
      <c r="D96" s="27"/>
      <c r="E96" s="27"/>
      <c r="F96" s="54"/>
      <c r="G96" s="54"/>
      <c r="H96" s="54"/>
      <c r="I96" s="54"/>
      <c r="J96" s="54" t="str">
        <f ca="1">IF(F96="","",OFFSET(分類!$B$29,MATCH(F96,分類!$A$30:$A$46,0),0))</f>
        <v/>
      </c>
      <c r="K96" s="54" t="str">
        <f t="shared" si="3"/>
        <v/>
      </c>
      <c r="L96" s="69">
        <v>91</v>
      </c>
      <c r="M96" s="54">
        <f t="shared" si="4"/>
        <v>91</v>
      </c>
    </row>
    <row r="97" spans="2:13">
      <c r="B97" s="27">
        <f t="shared" si="5"/>
        <v>93</v>
      </c>
      <c r="C97" s="27"/>
      <c r="D97" s="27"/>
      <c r="E97" s="27"/>
      <c r="F97" s="54"/>
      <c r="G97" s="54"/>
      <c r="H97" s="54"/>
      <c r="I97" s="54"/>
      <c r="J97" s="54" t="str">
        <f ca="1">IF(F97="","",OFFSET(分類!$B$29,MATCH(F97,分類!$A$30:$A$46,0),0))</f>
        <v/>
      </c>
      <c r="K97" s="54" t="str">
        <f t="shared" si="3"/>
        <v/>
      </c>
      <c r="L97" s="69">
        <v>92</v>
      </c>
      <c r="M97" s="54">
        <f t="shared" si="4"/>
        <v>92</v>
      </c>
    </row>
    <row r="98" spans="2:13">
      <c r="B98" s="27">
        <f t="shared" si="5"/>
        <v>94</v>
      </c>
      <c r="C98" s="27"/>
      <c r="D98" s="27"/>
      <c r="E98" s="27"/>
      <c r="F98" s="54"/>
      <c r="G98" s="54"/>
      <c r="H98" s="54"/>
      <c r="I98" s="54"/>
      <c r="J98" s="54" t="str">
        <f ca="1">IF(F98="","",OFFSET(分類!$B$29,MATCH(F98,分類!$A$30:$A$46,0),0))</f>
        <v/>
      </c>
      <c r="K98" s="54" t="str">
        <f t="shared" si="3"/>
        <v/>
      </c>
      <c r="L98" s="69">
        <v>93</v>
      </c>
      <c r="M98" s="54">
        <f t="shared" si="4"/>
        <v>93</v>
      </c>
    </row>
    <row r="99" spans="2:13">
      <c r="B99" s="27">
        <f t="shared" si="5"/>
        <v>95</v>
      </c>
      <c r="C99" s="27"/>
      <c r="D99" s="27"/>
      <c r="E99" s="27"/>
      <c r="F99" s="54"/>
      <c r="G99" s="54"/>
      <c r="H99" s="54"/>
      <c r="I99" s="54"/>
      <c r="J99" s="54" t="str">
        <f ca="1">IF(F99="","",OFFSET(分類!$B$29,MATCH(F99,分類!$A$30:$A$46,0),0))</f>
        <v/>
      </c>
      <c r="K99" s="54" t="str">
        <f t="shared" si="3"/>
        <v/>
      </c>
      <c r="L99" s="69">
        <v>94</v>
      </c>
      <c r="M99" s="54">
        <f t="shared" si="4"/>
        <v>94</v>
      </c>
    </row>
    <row r="100" spans="2:13">
      <c r="B100" s="27">
        <f t="shared" si="5"/>
        <v>96</v>
      </c>
      <c r="C100" s="27"/>
      <c r="D100" s="27"/>
      <c r="E100" s="27"/>
      <c r="F100" s="54"/>
      <c r="G100" s="54"/>
      <c r="H100" s="54"/>
      <c r="I100" s="54"/>
      <c r="J100" s="54" t="str">
        <f ca="1">IF(F100="","",OFFSET(分類!$B$29,MATCH(F100,分類!$A$30:$A$46,0),0))</f>
        <v/>
      </c>
      <c r="K100" s="54" t="str">
        <f t="shared" si="3"/>
        <v/>
      </c>
      <c r="L100" s="69">
        <v>95</v>
      </c>
      <c r="M100" s="54">
        <f t="shared" si="4"/>
        <v>95</v>
      </c>
    </row>
    <row r="101" spans="2:13">
      <c r="B101" s="27">
        <f t="shared" si="5"/>
        <v>97</v>
      </c>
      <c r="C101" s="27"/>
      <c r="D101" s="27"/>
      <c r="E101" s="27"/>
      <c r="F101" s="54"/>
      <c r="G101" s="54"/>
      <c r="H101" s="54"/>
      <c r="I101" s="54"/>
      <c r="J101" s="54" t="str">
        <f ca="1">IF(F101="","",OFFSET(分類!$B$29,MATCH(F101,分類!$A$30:$A$46,0),0))</f>
        <v/>
      </c>
      <c r="K101" s="54" t="str">
        <f t="shared" si="3"/>
        <v/>
      </c>
      <c r="L101" s="69">
        <v>96</v>
      </c>
      <c r="M101" s="54">
        <f t="shared" si="4"/>
        <v>96</v>
      </c>
    </row>
    <row r="102" spans="2:13">
      <c r="B102" s="27">
        <f t="shared" si="5"/>
        <v>98</v>
      </c>
      <c r="C102" s="27"/>
      <c r="D102" s="27"/>
      <c r="E102" s="27"/>
      <c r="F102" s="54"/>
      <c r="G102" s="54"/>
      <c r="H102" s="54"/>
      <c r="I102" s="54"/>
      <c r="J102" s="54" t="str">
        <f ca="1">IF(F102="","",OFFSET(分類!$B$29,MATCH(F102,分類!$A$30:$A$46,0),0))</f>
        <v/>
      </c>
      <c r="K102" s="54" t="str">
        <f t="shared" si="3"/>
        <v/>
      </c>
      <c r="L102" s="69">
        <v>97</v>
      </c>
      <c r="M102" s="54">
        <f t="shared" si="4"/>
        <v>97</v>
      </c>
    </row>
    <row r="103" spans="2:13">
      <c r="B103" s="27">
        <f t="shared" si="5"/>
        <v>99</v>
      </c>
      <c r="C103" s="27"/>
      <c r="D103" s="27"/>
      <c r="E103" s="27"/>
      <c r="F103" s="54"/>
      <c r="G103" s="54"/>
      <c r="H103" s="54"/>
      <c r="I103" s="54"/>
      <c r="J103" s="54" t="str">
        <f ca="1">IF(F103="","",OFFSET(分類!$B$29,MATCH(F103,分類!$A$30:$A$46,0),0))</f>
        <v/>
      </c>
      <c r="K103" s="54" t="str">
        <f t="shared" si="3"/>
        <v/>
      </c>
      <c r="L103" s="69">
        <v>98</v>
      </c>
      <c r="M103" s="54">
        <f t="shared" si="4"/>
        <v>98</v>
      </c>
    </row>
    <row r="104" spans="2:13">
      <c r="B104" s="27">
        <f t="shared" si="5"/>
        <v>100</v>
      </c>
      <c r="C104" s="27"/>
      <c r="D104" s="27"/>
      <c r="E104" s="27"/>
      <c r="F104" s="54"/>
      <c r="G104" s="54"/>
      <c r="H104" s="54"/>
      <c r="I104" s="54"/>
      <c r="J104" s="54" t="str">
        <f ca="1">IF(F104="","",OFFSET(分類!$B$29,MATCH(F104,分類!$A$30:$A$46,0),0))</f>
        <v/>
      </c>
      <c r="K104" s="54" t="str">
        <f t="shared" si="3"/>
        <v/>
      </c>
      <c r="L104" s="69">
        <v>99</v>
      </c>
      <c r="M104" s="54">
        <f t="shared" si="4"/>
        <v>99</v>
      </c>
    </row>
    <row r="105" spans="2:13">
      <c r="B105" s="27">
        <f t="shared" si="5"/>
        <v>101</v>
      </c>
      <c r="C105" s="27"/>
      <c r="D105" s="27"/>
      <c r="E105" s="27"/>
      <c r="F105" s="54"/>
      <c r="G105" s="54"/>
      <c r="H105" s="54"/>
      <c r="I105" s="54"/>
      <c r="J105" s="54" t="str">
        <f ca="1">IF(F105="","",OFFSET(分類!$B$29,MATCH(F105,分類!$A$30:$A$46,0),0))</f>
        <v/>
      </c>
      <c r="K105" s="54" t="str">
        <f t="shared" si="3"/>
        <v/>
      </c>
      <c r="L105" s="69">
        <v>100</v>
      </c>
      <c r="M105" s="54">
        <f t="shared" si="4"/>
        <v>100</v>
      </c>
    </row>
    <row r="106" spans="2:13">
      <c r="B106" s="27">
        <f t="shared" si="5"/>
        <v>102</v>
      </c>
      <c r="C106" s="27"/>
      <c r="D106" s="27"/>
      <c r="E106" s="27"/>
      <c r="F106" s="54"/>
      <c r="G106" s="54"/>
      <c r="H106" s="54"/>
      <c r="I106" s="54"/>
      <c r="J106" s="54" t="str">
        <f ca="1">IF(F106="","",OFFSET(分類!$B$29,MATCH(F106,分類!$A$30:$A$46,0),0))</f>
        <v/>
      </c>
      <c r="K106" s="54" t="str">
        <f t="shared" si="3"/>
        <v/>
      </c>
      <c r="L106" s="69">
        <v>101</v>
      </c>
      <c r="M106" s="54">
        <f t="shared" si="4"/>
        <v>101</v>
      </c>
    </row>
    <row r="107" spans="2:13">
      <c r="B107" s="27">
        <f t="shared" si="5"/>
        <v>103</v>
      </c>
      <c r="C107" s="27"/>
      <c r="D107" s="27"/>
      <c r="E107" s="27"/>
      <c r="F107" s="54"/>
      <c r="G107" s="54"/>
      <c r="H107" s="54"/>
      <c r="I107" s="54"/>
      <c r="J107" s="54" t="str">
        <f ca="1">IF(F107="","",OFFSET(分類!$B$29,MATCH(F107,分類!$A$30:$A$46,0),0))</f>
        <v/>
      </c>
      <c r="K107" s="54" t="str">
        <f t="shared" si="3"/>
        <v/>
      </c>
      <c r="L107" s="69">
        <v>102</v>
      </c>
      <c r="M107" s="54">
        <f t="shared" si="4"/>
        <v>102</v>
      </c>
    </row>
    <row r="108" spans="2:13">
      <c r="B108" s="27">
        <f t="shared" si="5"/>
        <v>104</v>
      </c>
      <c r="C108" s="27"/>
      <c r="D108" s="27"/>
      <c r="E108" s="27"/>
      <c r="F108" s="54"/>
      <c r="G108" s="54"/>
      <c r="H108" s="54"/>
      <c r="I108" s="54"/>
      <c r="J108" s="54" t="str">
        <f ca="1">IF(F108="","",OFFSET(分類!$B$29,MATCH(F108,分類!$A$30:$A$46,0),0))</f>
        <v/>
      </c>
      <c r="K108" s="54" t="str">
        <f t="shared" si="3"/>
        <v/>
      </c>
      <c r="L108" s="69">
        <v>103</v>
      </c>
      <c r="M108" s="54">
        <f t="shared" si="4"/>
        <v>103</v>
      </c>
    </row>
    <row r="109" spans="2:13">
      <c r="B109" s="27">
        <f t="shared" si="5"/>
        <v>105</v>
      </c>
      <c r="C109" s="27"/>
      <c r="D109" s="27"/>
      <c r="E109" s="27"/>
      <c r="F109" s="54"/>
      <c r="G109" s="54"/>
      <c r="H109" s="54"/>
      <c r="I109" s="54"/>
      <c r="J109" s="54" t="str">
        <f ca="1">IF(F109="","",OFFSET(分類!$B$29,MATCH(F109,分類!$A$30:$A$46,0),0))</f>
        <v/>
      </c>
      <c r="K109" s="54" t="str">
        <f t="shared" si="3"/>
        <v/>
      </c>
      <c r="L109" s="69">
        <v>104</v>
      </c>
      <c r="M109" s="54">
        <f t="shared" si="4"/>
        <v>104</v>
      </c>
    </row>
    <row r="110" spans="2:13">
      <c r="B110" s="27">
        <f t="shared" si="5"/>
        <v>106</v>
      </c>
      <c r="C110" s="27"/>
      <c r="D110" s="27"/>
      <c r="E110" s="27"/>
      <c r="F110" s="54"/>
      <c r="G110" s="54"/>
      <c r="H110" s="54"/>
      <c r="I110" s="54"/>
      <c r="J110" s="54" t="str">
        <f ca="1">IF(F110="","",OFFSET(分類!$B$29,MATCH(F110,分類!$A$30:$A$46,0),0))</f>
        <v/>
      </c>
      <c r="K110" s="54" t="str">
        <f t="shared" si="3"/>
        <v/>
      </c>
      <c r="L110" s="69">
        <v>105</v>
      </c>
      <c r="M110" s="54">
        <f t="shared" si="4"/>
        <v>105</v>
      </c>
    </row>
    <row r="111" spans="2:13">
      <c r="B111" s="27">
        <f t="shared" si="5"/>
        <v>107</v>
      </c>
      <c r="C111" s="27"/>
      <c r="D111" s="27"/>
      <c r="E111" s="27"/>
      <c r="F111" s="54"/>
      <c r="G111" s="54"/>
      <c r="H111" s="54"/>
      <c r="I111" s="54"/>
      <c r="J111" s="54" t="str">
        <f ca="1">IF(F111="","",OFFSET(分類!$B$29,MATCH(F111,分類!$A$30:$A$46,0),0))</f>
        <v/>
      </c>
      <c r="K111" s="54" t="str">
        <f t="shared" si="3"/>
        <v/>
      </c>
      <c r="L111" s="69">
        <v>106</v>
      </c>
      <c r="M111" s="54">
        <f t="shared" si="4"/>
        <v>106</v>
      </c>
    </row>
    <row r="112" spans="2:13">
      <c r="B112" s="27">
        <f t="shared" si="5"/>
        <v>108</v>
      </c>
      <c r="C112" s="27"/>
      <c r="D112" s="27"/>
      <c r="E112" s="27"/>
      <c r="F112" s="54"/>
      <c r="G112" s="54"/>
      <c r="H112" s="54"/>
      <c r="I112" s="54"/>
      <c r="J112" s="54" t="str">
        <f ca="1">IF(F112="","",OFFSET(分類!$B$29,MATCH(F112,分類!$A$30:$A$46,0),0))</f>
        <v/>
      </c>
      <c r="K112" s="54" t="str">
        <f t="shared" si="3"/>
        <v/>
      </c>
      <c r="L112" s="69">
        <v>107</v>
      </c>
      <c r="M112" s="54">
        <f t="shared" si="4"/>
        <v>107</v>
      </c>
    </row>
    <row r="113" spans="2:13">
      <c r="B113" s="27">
        <f t="shared" si="5"/>
        <v>109</v>
      </c>
      <c r="C113" s="27"/>
      <c r="D113" s="27"/>
      <c r="E113" s="27"/>
      <c r="F113" s="54"/>
      <c r="G113" s="54"/>
      <c r="H113" s="54"/>
      <c r="I113" s="54"/>
      <c r="J113" s="54" t="str">
        <f ca="1">IF(F113="","",OFFSET(分類!$B$29,MATCH(F113,分類!$A$30:$A$46,0),0))</f>
        <v/>
      </c>
      <c r="K113" s="54" t="str">
        <f t="shared" si="3"/>
        <v/>
      </c>
      <c r="L113" s="69">
        <v>108</v>
      </c>
      <c r="M113" s="54">
        <f t="shared" si="4"/>
        <v>108</v>
      </c>
    </row>
    <row r="114" spans="2:13">
      <c r="B114" s="27">
        <f t="shared" si="5"/>
        <v>110</v>
      </c>
      <c r="C114" s="27"/>
      <c r="D114" s="27"/>
      <c r="E114" s="27"/>
      <c r="F114" s="54"/>
      <c r="G114" s="54"/>
      <c r="H114" s="54"/>
      <c r="I114" s="54"/>
      <c r="J114" s="54" t="str">
        <f ca="1">IF(F114="","",OFFSET(分類!$B$29,MATCH(F114,分類!$A$30:$A$46,0),0))</f>
        <v/>
      </c>
      <c r="K114" s="54" t="str">
        <f t="shared" si="3"/>
        <v/>
      </c>
      <c r="L114" s="69">
        <v>109</v>
      </c>
      <c r="M114" s="54">
        <f t="shared" si="4"/>
        <v>109</v>
      </c>
    </row>
    <row r="115" spans="2:13">
      <c r="B115" s="27">
        <f t="shared" si="5"/>
        <v>111</v>
      </c>
      <c r="C115" s="27"/>
      <c r="D115" s="27"/>
      <c r="E115" s="27"/>
      <c r="F115" s="54"/>
      <c r="G115" s="54"/>
      <c r="H115" s="54"/>
      <c r="I115" s="54"/>
      <c r="J115" s="54" t="str">
        <f ca="1">IF(F115="","",OFFSET(分類!$B$29,MATCH(F115,分類!$A$30:$A$46,0),0))</f>
        <v/>
      </c>
      <c r="K115" s="54" t="str">
        <f t="shared" si="3"/>
        <v/>
      </c>
      <c r="L115" s="69">
        <v>110</v>
      </c>
      <c r="M115" s="54">
        <f t="shared" si="4"/>
        <v>110</v>
      </c>
    </row>
    <row r="116" spans="2:13">
      <c r="B116" s="27">
        <f t="shared" si="5"/>
        <v>112</v>
      </c>
      <c r="C116" s="27"/>
      <c r="D116" s="27"/>
      <c r="E116" s="27"/>
      <c r="F116" s="54"/>
      <c r="G116" s="54"/>
      <c r="H116" s="54"/>
      <c r="I116" s="54"/>
      <c r="J116" s="54" t="str">
        <f ca="1">IF(F116="","",OFFSET(分類!$B$29,MATCH(F116,分類!$A$30:$A$46,0),0))</f>
        <v/>
      </c>
      <c r="K116" s="54" t="str">
        <f t="shared" si="3"/>
        <v/>
      </c>
      <c r="L116" s="69">
        <v>111</v>
      </c>
      <c r="M116" s="54">
        <f t="shared" si="4"/>
        <v>111</v>
      </c>
    </row>
    <row r="117" spans="2:13">
      <c r="B117" s="27">
        <f t="shared" si="5"/>
        <v>113</v>
      </c>
      <c r="C117" s="27"/>
      <c r="D117" s="27"/>
      <c r="E117" s="27"/>
      <c r="F117" s="54"/>
      <c r="G117" s="54"/>
      <c r="H117" s="54"/>
      <c r="I117" s="54"/>
      <c r="J117" s="54" t="str">
        <f ca="1">IF(F117="","",OFFSET(分類!$B$29,MATCH(F117,分類!$A$30:$A$46,0),0))</f>
        <v/>
      </c>
      <c r="K117" s="54" t="str">
        <f t="shared" si="3"/>
        <v/>
      </c>
      <c r="L117" s="69">
        <v>112</v>
      </c>
      <c r="M117" s="54">
        <f t="shared" si="4"/>
        <v>112</v>
      </c>
    </row>
    <row r="118" spans="2:13">
      <c r="B118" s="27">
        <f t="shared" si="5"/>
        <v>114</v>
      </c>
      <c r="C118" s="27"/>
      <c r="D118" s="27"/>
      <c r="E118" s="27"/>
      <c r="F118" s="54"/>
      <c r="G118" s="54"/>
      <c r="H118" s="54"/>
      <c r="I118" s="54"/>
      <c r="J118" s="54" t="str">
        <f ca="1">IF(F118="","",OFFSET(分類!$B$29,MATCH(F118,分類!$A$30:$A$46,0),0))</f>
        <v/>
      </c>
      <c r="K118" s="54" t="str">
        <f t="shared" si="3"/>
        <v/>
      </c>
      <c r="L118" s="69">
        <v>113</v>
      </c>
      <c r="M118" s="54">
        <f t="shared" si="4"/>
        <v>113</v>
      </c>
    </row>
    <row r="119" spans="2:13">
      <c r="B119" s="27">
        <f t="shared" si="5"/>
        <v>115</v>
      </c>
      <c r="C119" s="27"/>
      <c r="D119" s="27"/>
      <c r="E119" s="27"/>
      <c r="F119" s="54"/>
      <c r="G119" s="54"/>
      <c r="H119" s="54"/>
      <c r="I119" s="54"/>
      <c r="J119" s="54" t="str">
        <f ca="1">IF(F119="","",OFFSET(分類!$B$29,MATCH(F119,分類!$A$30:$A$46,0),0))</f>
        <v/>
      </c>
      <c r="K119" s="54" t="str">
        <f t="shared" si="3"/>
        <v/>
      </c>
      <c r="L119" s="69">
        <v>114</v>
      </c>
      <c r="M119" s="54">
        <f t="shared" si="4"/>
        <v>114</v>
      </c>
    </row>
    <row r="120" spans="2:13">
      <c r="B120" s="27">
        <f t="shared" si="5"/>
        <v>116</v>
      </c>
      <c r="C120" s="27"/>
      <c r="D120" s="27"/>
      <c r="E120" s="27"/>
      <c r="F120" s="54"/>
      <c r="G120" s="54"/>
      <c r="H120" s="54"/>
      <c r="I120" s="54"/>
      <c r="J120" s="54" t="str">
        <f ca="1">IF(F120="","",OFFSET(分類!$B$29,MATCH(F120,分類!$A$30:$A$46,0),0))</f>
        <v/>
      </c>
      <c r="K120" s="54" t="str">
        <f t="shared" si="3"/>
        <v/>
      </c>
      <c r="L120" s="69">
        <v>115</v>
      </c>
      <c r="M120" s="54">
        <f t="shared" si="4"/>
        <v>115</v>
      </c>
    </row>
    <row r="121" spans="2:13">
      <c r="B121" s="27">
        <f t="shared" si="5"/>
        <v>117</v>
      </c>
      <c r="C121" s="27"/>
      <c r="D121" s="27"/>
      <c r="E121" s="27"/>
      <c r="F121" s="54"/>
      <c r="G121" s="54"/>
      <c r="H121" s="54"/>
      <c r="I121" s="54"/>
      <c r="J121" s="54" t="str">
        <f ca="1">IF(F121="","",OFFSET(分類!$B$29,MATCH(F121,分類!$A$30:$A$46,0),0))</f>
        <v/>
      </c>
      <c r="K121" s="54" t="str">
        <f t="shared" si="3"/>
        <v/>
      </c>
      <c r="L121" s="69">
        <v>116</v>
      </c>
      <c r="M121" s="54">
        <f t="shared" si="4"/>
        <v>116</v>
      </c>
    </row>
    <row r="122" spans="2:13">
      <c r="B122" s="27">
        <f t="shared" si="5"/>
        <v>118</v>
      </c>
      <c r="C122" s="27"/>
      <c r="D122" s="27"/>
      <c r="E122" s="27"/>
      <c r="F122" s="54"/>
      <c r="G122" s="54"/>
      <c r="H122" s="54"/>
      <c r="I122" s="54"/>
      <c r="J122" s="54" t="str">
        <f ca="1">IF(F122="","",OFFSET(分類!$B$29,MATCH(F122,分類!$A$30:$A$46,0),0))</f>
        <v/>
      </c>
      <c r="K122" s="54" t="str">
        <f t="shared" si="3"/>
        <v/>
      </c>
      <c r="L122" s="69">
        <v>117</v>
      </c>
      <c r="M122" s="54">
        <f t="shared" si="4"/>
        <v>117</v>
      </c>
    </row>
    <row r="123" spans="2:13">
      <c r="B123" s="27">
        <f t="shared" si="5"/>
        <v>119</v>
      </c>
      <c r="C123" s="27"/>
      <c r="D123" s="27"/>
      <c r="E123" s="27"/>
      <c r="F123" s="54"/>
      <c r="G123" s="54"/>
      <c r="H123" s="54"/>
      <c r="I123" s="54"/>
      <c r="J123" s="54" t="str">
        <f ca="1">IF(F123="","",OFFSET(分類!$B$29,MATCH(F123,分類!$A$30:$A$46,0),0))</f>
        <v/>
      </c>
      <c r="K123" s="54" t="str">
        <f t="shared" si="3"/>
        <v/>
      </c>
      <c r="L123" s="69">
        <v>118</v>
      </c>
      <c r="M123" s="54">
        <f t="shared" si="4"/>
        <v>118</v>
      </c>
    </row>
    <row r="124" spans="2:13">
      <c r="B124" s="27">
        <f t="shared" si="5"/>
        <v>120</v>
      </c>
      <c r="C124" s="27"/>
      <c r="D124" s="27"/>
      <c r="E124" s="27"/>
      <c r="F124" s="54"/>
      <c r="G124" s="54"/>
      <c r="H124" s="54"/>
      <c r="I124" s="54"/>
      <c r="J124" s="54" t="str">
        <f ca="1">IF(F124="","",OFFSET(分類!$B$29,MATCH(F124,分類!$A$30:$A$46,0),0))</f>
        <v/>
      </c>
      <c r="K124" s="54" t="str">
        <f t="shared" si="3"/>
        <v/>
      </c>
      <c r="L124" s="69">
        <v>119</v>
      </c>
      <c r="M124" s="54">
        <f t="shared" si="4"/>
        <v>119</v>
      </c>
    </row>
    <row r="125" spans="2:13">
      <c r="B125" s="27">
        <f t="shared" si="5"/>
        <v>121</v>
      </c>
      <c r="C125" s="27"/>
      <c r="D125" s="27"/>
      <c r="E125" s="27"/>
      <c r="F125" s="54"/>
      <c r="G125" s="54"/>
      <c r="H125" s="54"/>
      <c r="I125" s="54"/>
      <c r="J125" s="54" t="str">
        <f ca="1">IF(F125="","",OFFSET(分類!$B$29,MATCH(F125,分類!$A$30:$A$46,0),0))</f>
        <v/>
      </c>
      <c r="K125" s="54" t="str">
        <f t="shared" si="3"/>
        <v/>
      </c>
      <c r="L125" s="69">
        <v>120</v>
      </c>
      <c r="M125" s="54">
        <f t="shared" si="4"/>
        <v>120</v>
      </c>
    </row>
    <row r="126" spans="2:13">
      <c r="B126" s="27">
        <f t="shared" si="5"/>
        <v>122</v>
      </c>
      <c r="C126" s="27"/>
      <c r="D126" s="27"/>
      <c r="E126" s="27"/>
      <c r="F126" s="54"/>
      <c r="G126" s="54"/>
      <c r="H126" s="54"/>
      <c r="I126" s="54"/>
      <c r="J126" s="54" t="str">
        <f ca="1">IF(F126="","",OFFSET(分類!$B$29,MATCH(F126,分類!$A$30:$A$46,0),0))</f>
        <v/>
      </c>
      <c r="K126" s="54" t="str">
        <f t="shared" si="3"/>
        <v/>
      </c>
      <c r="L126" s="69">
        <v>121</v>
      </c>
      <c r="M126" s="54">
        <f t="shared" si="4"/>
        <v>121</v>
      </c>
    </row>
    <row r="127" spans="2:13">
      <c r="B127" s="27">
        <f t="shared" si="5"/>
        <v>123</v>
      </c>
      <c r="C127" s="27"/>
      <c r="D127" s="27"/>
      <c r="E127" s="27"/>
      <c r="F127" s="54"/>
      <c r="G127" s="54"/>
      <c r="H127" s="54"/>
      <c r="I127" s="54"/>
      <c r="J127" s="54" t="str">
        <f ca="1">IF(F127="","",OFFSET(分類!$B$29,MATCH(F127,分類!$A$30:$A$46,0),0))</f>
        <v/>
      </c>
      <c r="K127" s="54" t="str">
        <f t="shared" si="3"/>
        <v/>
      </c>
      <c r="L127" s="69">
        <v>122</v>
      </c>
      <c r="M127" s="54">
        <f t="shared" si="4"/>
        <v>122</v>
      </c>
    </row>
    <row r="128" spans="2:13">
      <c r="B128" s="27">
        <f t="shared" si="5"/>
        <v>124</v>
      </c>
      <c r="C128" s="27"/>
      <c r="D128" s="27"/>
      <c r="E128" s="27"/>
      <c r="F128" s="54"/>
      <c r="G128" s="54"/>
      <c r="H128" s="54"/>
      <c r="I128" s="54"/>
      <c r="J128" s="54" t="str">
        <f ca="1">IF(F128="","",OFFSET(分類!$B$29,MATCH(F128,分類!$A$30:$A$46,0),0))</f>
        <v/>
      </c>
      <c r="K128" s="54" t="str">
        <f t="shared" si="3"/>
        <v/>
      </c>
      <c r="L128" s="69">
        <v>123</v>
      </c>
      <c r="M128" s="54">
        <f t="shared" si="4"/>
        <v>123</v>
      </c>
    </row>
    <row r="129" spans="2:13">
      <c r="B129" s="27">
        <f t="shared" si="5"/>
        <v>125</v>
      </c>
      <c r="C129" s="27"/>
      <c r="D129" s="27"/>
      <c r="E129" s="27"/>
      <c r="F129" s="54"/>
      <c r="G129" s="54"/>
      <c r="H129" s="54"/>
      <c r="I129" s="54"/>
      <c r="J129" s="54" t="str">
        <f ca="1">IF(F129="","",OFFSET(分類!$B$29,MATCH(F129,分類!$A$30:$A$46,0),0))</f>
        <v/>
      </c>
      <c r="K129" s="54" t="str">
        <f t="shared" si="3"/>
        <v/>
      </c>
      <c r="L129" s="69">
        <v>124</v>
      </c>
      <c r="M129" s="54">
        <f t="shared" si="4"/>
        <v>124</v>
      </c>
    </row>
    <row r="130" spans="2:13">
      <c r="B130" s="27">
        <f t="shared" si="5"/>
        <v>126</v>
      </c>
      <c r="C130" s="27"/>
      <c r="D130" s="27"/>
      <c r="E130" s="27"/>
      <c r="F130" s="54"/>
      <c r="G130" s="54"/>
      <c r="H130" s="54"/>
      <c r="I130" s="54"/>
      <c r="J130" s="54" t="str">
        <f ca="1">IF(F130="","",OFFSET(分類!$B$29,MATCH(F130,分類!$A$30:$A$46,0),0))</f>
        <v/>
      </c>
      <c r="K130" s="54" t="str">
        <f t="shared" si="3"/>
        <v/>
      </c>
      <c r="L130" s="69">
        <v>125</v>
      </c>
      <c r="M130" s="54">
        <f t="shared" si="4"/>
        <v>125</v>
      </c>
    </row>
    <row r="131" spans="2:13">
      <c r="B131" s="27">
        <f t="shared" si="5"/>
        <v>127</v>
      </c>
      <c r="C131" s="27"/>
      <c r="D131" s="27"/>
      <c r="E131" s="27"/>
      <c r="F131" s="54"/>
      <c r="G131" s="54"/>
      <c r="H131" s="54"/>
      <c r="I131" s="54"/>
      <c r="J131" s="54" t="str">
        <f ca="1">IF(F131="","",OFFSET(分類!$B$29,MATCH(F131,分類!$A$30:$A$46,0),0))</f>
        <v/>
      </c>
      <c r="K131" s="54" t="str">
        <f t="shared" si="3"/>
        <v/>
      </c>
      <c r="L131" s="69">
        <v>126</v>
      </c>
      <c r="M131" s="54">
        <f t="shared" si="4"/>
        <v>126</v>
      </c>
    </row>
    <row r="132" spans="2:13">
      <c r="B132" s="27">
        <f t="shared" si="5"/>
        <v>128</v>
      </c>
      <c r="C132" s="27"/>
      <c r="D132" s="27"/>
      <c r="E132" s="27"/>
      <c r="F132" s="54"/>
      <c r="G132" s="54"/>
      <c r="H132" s="54"/>
      <c r="I132" s="54"/>
      <c r="J132" s="54" t="str">
        <f ca="1">IF(F132="","",OFFSET(分類!$B$29,MATCH(F132,分類!$A$30:$A$46,0),0))</f>
        <v/>
      </c>
      <c r="K132" s="54" t="str">
        <f t="shared" si="3"/>
        <v/>
      </c>
      <c r="L132" s="69">
        <v>127</v>
      </c>
      <c r="M132" s="54">
        <f t="shared" si="4"/>
        <v>127</v>
      </c>
    </row>
    <row r="133" spans="2:13">
      <c r="B133" s="27">
        <f t="shared" si="5"/>
        <v>129</v>
      </c>
      <c r="C133" s="27"/>
      <c r="D133" s="27"/>
      <c r="E133" s="27"/>
      <c r="F133" s="54"/>
      <c r="G133" s="54"/>
      <c r="H133" s="54"/>
      <c r="I133" s="54"/>
      <c r="J133" s="54" t="str">
        <f ca="1">IF(F133="","",OFFSET(分類!$B$29,MATCH(F133,分類!$A$30:$A$46,0),0))</f>
        <v/>
      </c>
      <c r="K133" s="54" t="str">
        <f t="shared" si="3"/>
        <v/>
      </c>
      <c r="L133" s="69">
        <v>128</v>
      </c>
      <c r="M133" s="54">
        <f t="shared" si="4"/>
        <v>128</v>
      </c>
    </row>
    <row r="134" spans="2:13">
      <c r="B134" s="27">
        <f t="shared" si="5"/>
        <v>130</v>
      </c>
      <c r="C134" s="27"/>
      <c r="D134" s="27"/>
      <c r="E134" s="27"/>
      <c r="F134" s="54"/>
      <c r="G134" s="54"/>
      <c r="H134" s="54"/>
      <c r="I134" s="54"/>
      <c r="J134" s="54" t="str">
        <f ca="1">IF(F134="","",OFFSET(分類!$B$29,MATCH(F134,分類!$A$30:$A$46,0),0))</f>
        <v/>
      </c>
      <c r="K134" s="54" t="str">
        <f t="shared" ref="K134:K197" si="6">IF(G134="粉",VALUE(SUBSTITUTE(SUBSTITUTE(LEFT(H134, FIND("ｇ", H134) - 1), "．", "."), "　", "")),"")</f>
        <v/>
      </c>
      <c r="L134" s="69">
        <v>129</v>
      </c>
      <c r="M134" s="54">
        <f t="shared" ref="M134:M197" si="7">IF(K134="",L134,K134*L134)</f>
        <v>129</v>
      </c>
    </row>
    <row r="135" spans="2:13">
      <c r="B135" s="27">
        <f t="shared" ref="B135:B198" si="8">B134+1</f>
        <v>131</v>
      </c>
      <c r="C135" s="27"/>
      <c r="D135" s="27"/>
      <c r="E135" s="27"/>
      <c r="F135" s="54"/>
      <c r="G135" s="54"/>
      <c r="H135" s="54"/>
      <c r="I135" s="54"/>
      <c r="J135" s="54" t="str">
        <f ca="1">IF(F135="","",OFFSET(分類!$B$29,MATCH(F135,分類!$A$30:$A$46,0),0))</f>
        <v/>
      </c>
      <c r="K135" s="54" t="str">
        <f t="shared" si="6"/>
        <v/>
      </c>
      <c r="L135" s="69">
        <v>130</v>
      </c>
      <c r="M135" s="54">
        <f t="shared" si="7"/>
        <v>130</v>
      </c>
    </row>
    <row r="136" spans="2:13">
      <c r="B136" s="27">
        <f t="shared" si="8"/>
        <v>132</v>
      </c>
      <c r="C136" s="27"/>
      <c r="D136" s="27"/>
      <c r="E136" s="27"/>
      <c r="F136" s="54"/>
      <c r="G136" s="54"/>
      <c r="H136" s="54"/>
      <c r="I136" s="54"/>
      <c r="J136" s="54" t="str">
        <f ca="1">IF(F136="","",OFFSET(分類!$B$29,MATCH(F136,分類!$A$30:$A$46,0),0))</f>
        <v/>
      </c>
      <c r="K136" s="54" t="str">
        <f t="shared" si="6"/>
        <v/>
      </c>
      <c r="L136" s="69">
        <v>131</v>
      </c>
      <c r="M136" s="54">
        <f t="shared" si="7"/>
        <v>131</v>
      </c>
    </row>
    <row r="137" spans="2:13">
      <c r="B137" s="27">
        <f t="shared" si="8"/>
        <v>133</v>
      </c>
      <c r="C137" s="27"/>
      <c r="D137" s="27"/>
      <c r="E137" s="27"/>
      <c r="F137" s="54"/>
      <c r="G137" s="54"/>
      <c r="H137" s="54"/>
      <c r="I137" s="54"/>
      <c r="J137" s="54" t="str">
        <f ca="1">IF(F137="","",OFFSET(分類!$B$29,MATCH(F137,分類!$A$30:$A$46,0),0))</f>
        <v/>
      </c>
      <c r="K137" s="54" t="str">
        <f t="shared" si="6"/>
        <v/>
      </c>
      <c r="L137" s="69">
        <v>132</v>
      </c>
      <c r="M137" s="54">
        <f t="shared" si="7"/>
        <v>132</v>
      </c>
    </row>
    <row r="138" spans="2:13">
      <c r="B138" s="27">
        <f t="shared" si="8"/>
        <v>134</v>
      </c>
      <c r="C138" s="27"/>
      <c r="D138" s="27"/>
      <c r="E138" s="27"/>
      <c r="F138" s="54"/>
      <c r="G138" s="54"/>
      <c r="H138" s="54"/>
      <c r="I138" s="54"/>
      <c r="J138" s="54" t="str">
        <f ca="1">IF(F138="","",OFFSET(分類!$B$29,MATCH(F138,分類!$A$30:$A$46,0),0))</f>
        <v/>
      </c>
      <c r="K138" s="54" t="str">
        <f t="shared" si="6"/>
        <v/>
      </c>
      <c r="L138" s="69">
        <v>133</v>
      </c>
      <c r="M138" s="54">
        <f t="shared" si="7"/>
        <v>133</v>
      </c>
    </row>
    <row r="139" spans="2:13">
      <c r="B139" s="27">
        <f t="shared" si="8"/>
        <v>135</v>
      </c>
      <c r="C139" s="27"/>
      <c r="D139" s="27"/>
      <c r="E139" s="27"/>
      <c r="F139" s="54"/>
      <c r="G139" s="54"/>
      <c r="H139" s="54"/>
      <c r="I139" s="54"/>
      <c r="J139" s="54" t="str">
        <f ca="1">IF(F139="","",OFFSET(分類!$B$29,MATCH(F139,分類!$A$30:$A$46,0),0))</f>
        <v/>
      </c>
      <c r="K139" s="54" t="str">
        <f t="shared" si="6"/>
        <v/>
      </c>
      <c r="L139" s="69">
        <v>134</v>
      </c>
      <c r="M139" s="54">
        <f t="shared" si="7"/>
        <v>134</v>
      </c>
    </row>
    <row r="140" spans="2:13">
      <c r="B140" s="27">
        <f t="shared" si="8"/>
        <v>136</v>
      </c>
      <c r="C140" s="27"/>
      <c r="D140" s="27"/>
      <c r="E140" s="27"/>
      <c r="F140" s="54"/>
      <c r="G140" s="54"/>
      <c r="H140" s="54"/>
      <c r="I140" s="54"/>
      <c r="J140" s="54" t="str">
        <f ca="1">IF(F140="","",OFFSET(分類!$B$29,MATCH(F140,分類!$A$30:$A$46,0),0))</f>
        <v/>
      </c>
      <c r="K140" s="54" t="str">
        <f t="shared" si="6"/>
        <v/>
      </c>
      <c r="L140" s="69">
        <v>135</v>
      </c>
      <c r="M140" s="54">
        <f t="shared" si="7"/>
        <v>135</v>
      </c>
    </row>
    <row r="141" spans="2:13">
      <c r="B141" s="27">
        <f t="shared" si="8"/>
        <v>137</v>
      </c>
      <c r="C141" s="27"/>
      <c r="D141" s="27"/>
      <c r="E141" s="27"/>
      <c r="F141" s="54"/>
      <c r="G141" s="54"/>
      <c r="H141" s="54"/>
      <c r="I141" s="54"/>
      <c r="J141" s="54" t="str">
        <f ca="1">IF(F141="","",OFFSET(分類!$B$29,MATCH(F141,分類!$A$30:$A$46,0),0))</f>
        <v/>
      </c>
      <c r="K141" s="54" t="str">
        <f t="shared" si="6"/>
        <v/>
      </c>
      <c r="L141" s="69">
        <v>136</v>
      </c>
      <c r="M141" s="54">
        <f t="shared" si="7"/>
        <v>136</v>
      </c>
    </row>
    <row r="142" spans="2:13">
      <c r="B142" s="27">
        <f t="shared" si="8"/>
        <v>138</v>
      </c>
      <c r="C142" s="27"/>
      <c r="D142" s="27"/>
      <c r="E142" s="27"/>
      <c r="F142" s="54"/>
      <c r="G142" s="54"/>
      <c r="H142" s="54"/>
      <c r="I142" s="54"/>
      <c r="J142" s="54" t="str">
        <f ca="1">IF(F142="","",OFFSET(分類!$B$29,MATCH(F142,分類!$A$30:$A$46,0),0))</f>
        <v/>
      </c>
      <c r="K142" s="54" t="str">
        <f t="shared" si="6"/>
        <v/>
      </c>
      <c r="L142" s="69">
        <v>137</v>
      </c>
      <c r="M142" s="54">
        <f t="shared" si="7"/>
        <v>137</v>
      </c>
    </row>
    <row r="143" spans="2:13">
      <c r="B143" s="27">
        <f t="shared" si="8"/>
        <v>139</v>
      </c>
      <c r="C143" s="27"/>
      <c r="D143" s="27"/>
      <c r="E143" s="27"/>
      <c r="F143" s="54"/>
      <c r="G143" s="54"/>
      <c r="H143" s="54"/>
      <c r="I143" s="54"/>
      <c r="J143" s="54" t="str">
        <f ca="1">IF(F143="","",OFFSET(分類!$B$29,MATCH(F143,分類!$A$30:$A$46,0),0))</f>
        <v/>
      </c>
      <c r="K143" s="54" t="str">
        <f t="shared" si="6"/>
        <v/>
      </c>
      <c r="L143" s="69">
        <v>138</v>
      </c>
      <c r="M143" s="54">
        <f t="shared" si="7"/>
        <v>138</v>
      </c>
    </row>
    <row r="144" spans="2:13">
      <c r="B144" s="27">
        <f t="shared" si="8"/>
        <v>140</v>
      </c>
      <c r="C144" s="27"/>
      <c r="D144" s="27"/>
      <c r="E144" s="27"/>
      <c r="F144" s="54"/>
      <c r="G144" s="54"/>
      <c r="H144" s="54"/>
      <c r="I144" s="54"/>
      <c r="J144" s="54" t="str">
        <f ca="1">IF(F144="","",OFFSET(分類!$B$29,MATCH(F144,分類!$A$30:$A$46,0),0))</f>
        <v/>
      </c>
      <c r="K144" s="54" t="str">
        <f t="shared" si="6"/>
        <v/>
      </c>
      <c r="L144" s="69">
        <v>139</v>
      </c>
      <c r="M144" s="54">
        <f t="shared" si="7"/>
        <v>139</v>
      </c>
    </row>
    <row r="145" spans="2:13">
      <c r="B145" s="27">
        <f t="shared" si="8"/>
        <v>141</v>
      </c>
      <c r="C145" s="27"/>
      <c r="D145" s="27"/>
      <c r="E145" s="27"/>
      <c r="F145" s="54"/>
      <c r="G145" s="54"/>
      <c r="H145" s="54"/>
      <c r="I145" s="54"/>
      <c r="J145" s="54" t="str">
        <f ca="1">IF(F145="","",OFFSET(分類!$B$29,MATCH(F145,分類!$A$30:$A$46,0),0))</f>
        <v/>
      </c>
      <c r="K145" s="54" t="str">
        <f t="shared" si="6"/>
        <v/>
      </c>
      <c r="L145" s="69">
        <v>140</v>
      </c>
      <c r="M145" s="54">
        <f t="shared" si="7"/>
        <v>140</v>
      </c>
    </row>
    <row r="146" spans="2:13">
      <c r="B146" s="27">
        <f t="shared" si="8"/>
        <v>142</v>
      </c>
      <c r="C146" s="27"/>
      <c r="D146" s="27"/>
      <c r="E146" s="27"/>
      <c r="F146" s="54"/>
      <c r="G146" s="54"/>
      <c r="H146" s="54"/>
      <c r="I146" s="54"/>
      <c r="J146" s="54" t="str">
        <f ca="1">IF(F146="","",OFFSET(分類!$B$29,MATCH(F146,分類!$A$30:$A$46,0),0))</f>
        <v/>
      </c>
      <c r="K146" s="54" t="str">
        <f t="shared" si="6"/>
        <v/>
      </c>
      <c r="L146" s="69">
        <v>141</v>
      </c>
      <c r="M146" s="54">
        <f t="shared" si="7"/>
        <v>141</v>
      </c>
    </row>
    <row r="147" spans="2:13">
      <c r="B147" s="27">
        <f t="shared" si="8"/>
        <v>143</v>
      </c>
      <c r="C147" s="27"/>
      <c r="D147" s="27"/>
      <c r="E147" s="27"/>
      <c r="F147" s="54"/>
      <c r="G147" s="54"/>
      <c r="H147" s="54"/>
      <c r="I147" s="54"/>
      <c r="J147" s="54" t="str">
        <f ca="1">IF(F147="","",OFFSET(分類!$B$29,MATCH(F147,分類!$A$30:$A$46,0),0))</f>
        <v/>
      </c>
      <c r="K147" s="54" t="str">
        <f t="shared" si="6"/>
        <v/>
      </c>
      <c r="L147" s="69">
        <v>142</v>
      </c>
      <c r="M147" s="54">
        <f t="shared" si="7"/>
        <v>142</v>
      </c>
    </row>
    <row r="148" spans="2:13">
      <c r="B148" s="27">
        <f t="shared" si="8"/>
        <v>144</v>
      </c>
      <c r="C148" s="27"/>
      <c r="D148" s="27"/>
      <c r="E148" s="27"/>
      <c r="F148" s="54"/>
      <c r="G148" s="54"/>
      <c r="H148" s="54"/>
      <c r="I148" s="54"/>
      <c r="J148" s="54" t="str">
        <f ca="1">IF(F148="","",OFFSET(分類!$B$29,MATCH(F148,分類!$A$30:$A$46,0),0))</f>
        <v/>
      </c>
      <c r="K148" s="54" t="str">
        <f t="shared" si="6"/>
        <v/>
      </c>
      <c r="L148" s="69">
        <v>143</v>
      </c>
      <c r="M148" s="54">
        <f t="shared" si="7"/>
        <v>143</v>
      </c>
    </row>
    <row r="149" spans="2:13">
      <c r="B149" s="27">
        <f t="shared" si="8"/>
        <v>145</v>
      </c>
      <c r="C149" s="27"/>
      <c r="D149" s="27"/>
      <c r="E149" s="27"/>
      <c r="F149" s="54"/>
      <c r="G149" s="54"/>
      <c r="H149" s="54"/>
      <c r="I149" s="54"/>
      <c r="J149" s="54" t="str">
        <f ca="1">IF(F149="","",OFFSET(分類!$B$29,MATCH(F149,分類!$A$30:$A$46,0),0))</f>
        <v/>
      </c>
      <c r="K149" s="54" t="str">
        <f t="shared" si="6"/>
        <v/>
      </c>
      <c r="L149" s="69">
        <v>144</v>
      </c>
      <c r="M149" s="54">
        <f t="shared" si="7"/>
        <v>144</v>
      </c>
    </row>
    <row r="150" spans="2:13">
      <c r="B150" s="27">
        <f t="shared" si="8"/>
        <v>146</v>
      </c>
      <c r="C150" s="27"/>
      <c r="D150" s="27"/>
      <c r="E150" s="27"/>
      <c r="F150" s="54"/>
      <c r="G150" s="54"/>
      <c r="H150" s="54"/>
      <c r="I150" s="54"/>
      <c r="J150" s="54" t="str">
        <f ca="1">IF(F150="","",OFFSET(分類!$B$29,MATCH(F150,分類!$A$30:$A$46,0),0))</f>
        <v/>
      </c>
      <c r="K150" s="54" t="str">
        <f t="shared" si="6"/>
        <v/>
      </c>
      <c r="L150" s="69">
        <v>145</v>
      </c>
      <c r="M150" s="54">
        <f t="shared" si="7"/>
        <v>145</v>
      </c>
    </row>
    <row r="151" spans="2:13">
      <c r="B151" s="27">
        <f t="shared" si="8"/>
        <v>147</v>
      </c>
      <c r="C151" s="27"/>
      <c r="D151" s="27"/>
      <c r="E151" s="27"/>
      <c r="F151" s="54"/>
      <c r="G151" s="54"/>
      <c r="H151" s="54"/>
      <c r="I151" s="54"/>
      <c r="J151" s="54" t="str">
        <f ca="1">IF(F151="","",OFFSET(分類!$B$29,MATCH(F151,分類!$A$30:$A$46,0),0))</f>
        <v/>
      </c>
      <c r="K151" s="54" t="str">
        <f t="shared" si="6"/>
        <v/>
      </c>
      <c r="L151" s="69">
        <v>146</v>
      </c>
      <c r="M151" s="54">
        <f t="shared" si="7"/>
        <v>146</v>
      </c>
    </row>
    <row r="152" spans="2:13">
      <c r="B152" s="27">
        <f t="shared" si="8"/>
        <v>148</v>
      </c>
      <c r="C152" s="27"/>
      <c r="D152" s="27"/>
      <c r="E152" s="27"/>
      <c r="F152" s="54"/>
      <c r="G152" s="54"/>
      <c r="H152" s="54"/>
      <c r="I152" s="54"/>
      <c r="J152" s="54" t="str">
        <f ca="1">IF(F152="","",OFFSET(分類!$B$29,MATCH(F152,分類!$A$30:$A$46,0),0))</f>
        <v/>
      </c>
      <c r="K152" s="54" t="str">
        <f t="shared" si="6"/>
        <v/>
      </c>
      <c r="L152" s="69">
        <v>147</v>
      </c>
      <c r="M152" s="54">
        <f t="shared" si="7"/>
        <v>147</v>
      </c>
    </row>
    <row r="153" spans="2:13">
      <c r="B153" s="27">
        <f t="shared" si="8"/>
        <v>149</v>
      </c>
      <c r="C153" s="27"/>
      <c r="D153" s="27"/>
      <c r="E153" s="27"/>
      <c r="F153" s="54"/>
      <c r="G153" s="54"/>
      <c r="H153" s="54"/>
      <c r="I153" s="54"/>
      <c r="J153" s="54" t="str">
        <f ca="1">IF(F153="","",OFFSET(分類!$B$29,MATCH(F153,分類!$A$30:$A$46,0),0))</f>
        <v/>
      </c>
      <c r="K153" s="54" t="str">
        <f t="shared" si="6"/>
        <v/>
      </c>
      <c r="L153" s="69">
        <v>148</v>
      </c>
      <c r="M153" s="54">
        <f t="shared" si="7"/>
        <v>148</v>
      </c>
    </row>
    <row r="154" spans="2:13">
      <c r="B154" s="27">
        <f t="shared" si="8"/>
        <v>150</v>
      </c>
      <c r="C154" s="27"/>
      <c r="D154" s="27"/>
      <c r="E154" s="27"/>
      <c r="F154" s="54"/>
      <c r="G154" s="54"/>
      <c r="H154" s="54"/>
      <c r="I154" s="54"/>
      <c r="J154" s="54" t="str">
        <f ca="1">IF(F154="","",OFFSET(分類!$B$29,MATCH(F154,分類!$A$30:$A$46,0),0))</f>
        <v/>
      </c>
      <c r="K154" s="54" t="str">
        <f t="shared" si="6"/>
        <v/>
      </c>
      <c r="L154" s="69">
        <v>149</v>
      </c>
      <c r="M154" s="54">
        <f t="shared" si="7"/>
        <v>149</v>
      </c>
    </row>
    <row r="155" spans="2:13">
      <c r="B155" s="27">
        <f t="shared" si="8"/>
        <v>151</v>
      </c>
      <c r="C155" s="27"/>
      <c r="D155" s="27"/>
      <c r="E155" s="27"/>
      <c r="F155" s="54"/>
      <c r="G155" s="54"/>
      <c r="H155" s="54"/>
      <c r="I155" s="54"/>
      <c r="J155" s="54" t="str">
        <f ca="1">IF(F155="","",OFFSET(分類!$B$29,MATCH(F155,分類!$A$30:$A$46,0),0))</f>
        <v/>
      </c>
      <c r="K155" s="54" t="str">
        <f t="shared" si="6"/>
        <v/>
      </c>
      <c r="L155" s="69">
        <v>150</v>
      </c>
      <c r="M155" s="54">
        <f t="shared" si="7"/>
        <v>150</v>
      </c>
    </row>
    <row r="156" spans="2:13">
      <c r="B156" s="27">
        <f t="shared" si="8"/>
        <v>152</v>
      </c>
      <c r="C156" s="27"/>
      <c r="D156" s="27"/>
      <c r="E156" s="27"/>
      <c r="F156" s="54"/>
      <c r="G156" s="54"/>
      <c r="H156" s="54"/>
      <c r="I156" s="54"/>
      <c r="J156" s="54" t="str">
        <f ca="1">IF(F156="","",OFFSET(分類!$B$29,MATCH(F156,分類!$A$30:$A$46,0),0))</f>
        <v/>
      </c>
      <c r="K156" s="54" t="str">
        <f t="shared" si="6"/>
        <v/>
      </c>
      <c r="L156" s="69">
        <v>151</v>
      </c>
      <c r="M156" s="54">
        <f t="shared" si="7"/>
        <v>151</v>
      </c>
    </row>
    <row r="157" spans="2:13">
      <c r="B157" s="27">
        <f t="shared" si="8"/>
        <v>153</v>
      </c>
      <c r="C157" s="27"/>
      <c r="D157" s="27"/>
      <c r="E157" s="27"/>
      <c r="F157" s="54"/>
      <c r="G157" s="54"/>
      <c r="H157" s="54"/>
      <c r="I157" s="54"/>
      <c r="J157" s="54" t="str">
        <f ca="1">IF(F157="","",OFFSET(分類!$B$29,MATCH(F157,分類!$A$30:$A$46,0),0))</f>
        <v/>
      </c>
      <c r="K157" s="54" t="str">
        <f t="shared" si="6"/>
        <v/>
      </c>
      <c r="L157" s="69">
        <v>152</v>
      </c>
      <c r="M157" s="54">
        <f t="shared" si="7"/>
        <v>152</v>
      </c>
    </row>
    <row r="158" spans="2:13">
      <c r="B158" s="27">
        <f t="shared" si="8"/>
        <v>154</v>
      </c>
      <c r="C158" s="27"/>
      <c r="D158" s="27"/>
      <c r="E158" s="27"/>
      <c r="F158" s="54"/>
      <c r="G158" s="54"/>
      <c r="H158" s="54"/>
      <c r="I158" s="54"/>
      <c r="J158" s="54" t="str">
        <f ca="1">IF(F158="","",OFFSET(分類!$B$29,MATCH(F158,分類!$A$30:$A$46,0),0))</f>
        <v/>
      </c>
      <c r="K158" s="54" t="str">
        <f t="shared" si="6"/>
        <v/>
      </c>
      <c r="L158" s="69">
        <v>153</v>
      </c>
      <c r="M158" s="54">
        <f t="shared" si="7"/>
        <v>153</v>
      </c>
    </row>
    <row r="159" spans="2:13">
      <c r="B159" s="27">
        <f t="shared" si="8"/>
        <v>155</v>
      </c>
      <c r="C159" s="27"/>
      <c r="D159" s="27"/>
      <c r="E159" s="27"/>
      <c r="F159" s="54"/>
      <c r="G159" s="54"/>
      <c r="H159" s="54"/>
      <c r="I159" s="54"/>
      <c r="J159" s="54" t="str">
        <f ca="1">IF(F159="","",OFFSET(分類!$B$29,MATCH(F159,分類!$A$30:$A$46,0),0))</f>
        <v/>
      </c>
      <c r="K159" s="54" t="str">
        <f t="shared" si="6"/>
        <v/>
      </c>
      <c r="L159" s="69">
        <v>154</v>
      </c>
      <c r="M159" s="54">
        <f t="shared" si="7"/>
        <v>154</v>
      </c>
    </row>
    <row r="160" spans="2:13">
      <c r="B160" s="27">
        <f t="shared" si="8"/>
        <v>156</v>
      </c>
      <c r="C160" s="27"/>
      <c r="D160" s="27"/>
      <c r="E160" s="27"/>
      <c r="F160" s="54"/>
      <c r="G160" s="54"/>
      <c r="H160" s="54"/>
      <c r="I160" s="54"/>
      <c r="J160" s="54" t="str">
        <f ca="1">IF(F160="","",OFFSET(分類!$B$29,MATCH(F160,分類!$A$30:$A$46,0),0))</f>
        <v/>
      </c>
      <c r="K160" s="54" t="str">
        <f t="shared" si="6"/>
        <v/>
      </c>
      <c r="L160" s="69">
        <v>155</v>
      </c>
      <c r="M160" s="54">
        <f t="shared" si="7"/>
        <v>155</v>
      </c>
    </row>
    <row r="161" spans="2:13">
      <c r="B161" s="27">
        <f t="shared" si="8"/>
        <v>157</v>
      </c>
      <c r="C161" s="27"/>
      <c r="D161" s="27"/>
      <c r="E161" s="27"/>
      <c r="F161" s="54"/>
      <c r="G161" s="54"/>
      <c r="H161" s="54"/>
      <c r="I161" s="54"/>
      <c r="J161" s="54" t="str">
        <f ca="1">IF(F161="","",OFFSET(分類!$B$29,MATCH(F161,分類!$A$30:$A$46,0),0))</f>
        <v/>
      </c>
      <c r="K161" s="54" t="str">
        <f t="shared" si="6"/>
        <v/>
      </c>
      <c r="L161" s="69">
        <v>156</v>
      </c>
      <c r="M161" s="54">
        <f t="shared" si="7"/>
        <v>156</v>
      </c>
    </row>
    <row r="162" spans="2:13">
      <c r="B162" s="27">
        <f t="shared" si="8"/>
        <v>158</v>
      </c>
      <c r="C162" s="27"/>
      <c r="D162" s="27"/>
      <c r="E162" s="27"/>
      <c r="F162" s="54"/>
      <c r="G162" s="54"/>
      <c r="H162" s="54"/>
      <c r="I162" s="54"/>
      <c r="J162" s="54" t="str">
        <f ca="1">IF(F162="","",OFFSET(分類!$B$29,MATCH(F162,分類!$A$30:$A$46,0),0))</f>
        <v/>
      </c>
      <c r="K162" s="54" t="str">
        <f t="shared" si="6"/>
        <v/>
      </c>
      <c r="L162" s="69">
        <v>157</v>
      </c>
      <c r="M162" s="54">
        <f t="shared" si="7"/>
        <v>157</v>
      </c>
    </row>
    <row r="163" spans="2:13">
      <c r="B163" s="27">
        <f t="shared" si="8"/>
        <v>159</v>
      </c>
      <c r="C163" s="27"/>
      <c r="D163" s="27"/>
      <c r="E163" s="27"/>
      <c r="F163" s="54"/>
      <c r="G163" s="54"/>
      <c r="H163" s="54"/>
      <c r="I163" s="54"/>
      <c r="J163" s="54" t="str">
        <f ca="1">IF(F163="","",OFFSET(分類!$B$29,MATCH(F163,分類!$A$30:$A$46,0),0))</f>
        <v/>
      </c>
      <c r="K163" s="54" t="str">
        <f t="shared" si="6"/>
        <v/>
      </c>
      <c r="L163" s="69">
        <v>158</v>
      </c>
      <c r="M163" s="54">
        <f t="shared" si="7"/>
        <v>158</v>
      </c>
    </row>
    <row r="164" spans="2:13">
      <c r="B164" s="27">
        <f t="shared" si="8"/>
        <v>160</v>
      </c>
      <c r="C164" s="27"/>
      <c r="D164" s="27"/>
      <c r="E164" s="27"/>
      <c r="F164" s="54"/>
      <c r="G164" s="54"/>
      <c r="H164" s="54"/>
      <c r="I164" s="54"/>
      <c r="J164" s="54" t="str">
        <f ca="1">IF(F164="","",OFFSET(分類!$B$29,MATCH(F164,分類!$A$30:$A$46,0),0))</f>
        <v/>
      </c>
      <c r="K164" s="54" t="str">
        <f t="shared" si="6"/>
        <v/>
      </c>
      <c r="L164" s="69">
        <v>159</v>
      </c>
      <c r="M164" s="54">
        <f t="shared" si="7"/>
        <v>159</v>
      </c>
    </row>
    <row r="165" spans="2:13">
      <c r="B165" s="27">
        <f t="shared" si="8"/>
        <v>161</v>
      </c>
      <c r="C165" s="27"/>
      <c r="D165" s="27"/>
      <c r="E165" s="27"/>
      <c r="F165" s="54"/>
      <c r="G165" s="54"/>
      <c r="H165" s="54"/>
      <c r="I165" s="54"/>
      <c r="J165" s="54" t="str">
        <f ca="1">IF(F165="","",OFFSET(分類!$B$29,MATCH(F165,分類!$A$30:$A$46,0),0))</f>
        <v/>
      </c>
      <c r="K165" s="54" t="str">
        <f t="shared" si="6"/>
        <v/>
      </c>
      <c r="L165" s="69">
        <v>160</v>
      </c>
      <c r="M165" s="54">
        <f t="shared" si="7"/>
        <v>160</v>
      </c>
    </row>
    <row r="166" spans="2:13">
      <c r="B166" s="27">
        <f t="shared" si="8"/>
        <v>162</v>
      </c>
      <c r="C166" s="27"/>
      <c r="D166" s="27"/>
      <c r="E166" s="27"/>
      <c r="F166" s="54"/>
      <c r="G166" s="54"/>
      <c r="H166" s="54"/>
      <c r="I166" s="54"/>
      <c r="J166" s="54" t="str">
        <f ca="1">IF(F166="","",OFFSET(分類!$B$29,MATCH(F166,分類!$A$30:$A$46,0),0))</f>
        <v/>
      </c>
      <c r="K166" s="54" t="str">
        <f t="shared" si="6"/>
        <v/>
      </c>
      <c r="L166" s="69">
        <v>161</v>
      </c>
      <c r="M166" s="54">
        <f t="shared" si="7"/>
        <v>161</v>
      </c>
    </row>
    <row r="167" spans="2:13">
      <c r="B167" s="27">
        <f t="shared" si="8"/>
        <v>163</v>
      </c>
      <c r="C167" s="27"/>
      <c r="D167" s="27"/>
      <c r="E167" s="27"/>
      <c r="F167" s="54"/>
      <c r="G167" s="54"/>
      <c r="H167" s="54"/>
      <c r="I167" s="54"/>
      <c r="J167" s="54" t="str">
        <f ca="1">IF(F167="","",OFFSET(分類!$B$29,MATCH(F167,分類!$A$30:$A$46,0),0))</f>
        <v/>
      </c>
      <c r="K167" s="54" t="str">
        <f t="shared" si="6"/>
        <v/>
      </c>
      <c r="L167" s="69">
        <v>162</v>
      </c>
      <c r="M167" s="54">
        <f t="shared" si="7"/>
        <v>162</v>
      </c>
    </row>
    <row r="168" spans="2:13">
      <c r="B168" s="27">
        <f t="shared" si="8"/>
        <v>164</v>
      </c>
      <c r="C168" s="27"/>
      <c r="D168" s="27"/>
      <c r="E168" s="27"/>
      <c r="F168" s="54"/>
      <c r="G168" s="54"/>
      <c r="H168" s="54"/>
      <c r="I168" s="54"/>
      <c r="J168" s="54" t="str">
        <f ca="1">IF(F168="","",OFFSET(分類!$B$29,MATCH(F168,分類!$A$30:$A$46,0),0))</f>
        <v/>
      </c>
      <c r="K168" s="54" t="str">
        <f t="shared" si="6"/>
        <v/>
      </c>
      <c r="L168" s="69">
        <v>163</v>
      </c>
      <c r="M168" s="54">
        <f t="shared" si="7"/>
        <v>163</v>
      </c>
    </row>
    <row r="169" spans="2:13">
      <c r="B169" s="27">
        <f t="shared" si="8"/>
        <v>165</v>
      </c>
      <c r="C169" s="27"/>
      <c r="D169" s="27"/>
      <c r="E169" s="27"/>
      <c r="F169" s="54"/>
      <c r="G169" s="54"/>
      <c r="H169" s="54"/>
      <c r="I169" s="54"/>
      <c r="J169" s="54" t="str">
        <f ca="1">IF(F169="","",OFFSET(分類!$B$29,MATCH(F169,分類!$A$30:$A$46,0),0))</f>
        <v/>
      </c>
      <c r="K169" s="54" t="str">
        <f t="shared" si="6"/>
        <v/>
      </c>
      <c r="L169" s="69">
        <v>164</v>
      </c>
      <c r="M169" s="54">
        <f t="shared" si="7"/>
        <v>164</v>
      </c>
    </row>
    <row r="170" spans="2:13">
      <c r="B170" s="27">
        <f t="shared" si="8"/>
        <v>166</v>
      </c>
      <c r="C170" s="27"/>
      <c r="D170" s="27"/>
      <c r="E170" s="27"/>
      <c r="F170" s="54"/>
      <c r="G170" s="54"/>
      <c r="H170" s="54"/>
      <c r="I170" s="54"/>
      <c r="J170" s="54" t="str">
        <f ca="1">IF(F170="","",OFFSET(分類!$B$29,MATCH(F170,分類!$A$30:$A$46,0),0))</f>
        <v/>
      </c>
      <c r="K170" s="54" t="str">
        <f t="shared" si="6"/>
        <v/>
      </c>
      <c r="L170" s="69">
        <v>165</v>
      </c>
      <c r="M170" s="54">
        <f t="shared" si="7"/>
        <v>165</v>
      </c>
    </row>
    <row r="171" spans="2:13">
      <c r="B171" s="27">
        <f t="shared" si="8"/>
        <v>167</v>
      </c>
      <c r="C171" s="27"/>
      <c r="D171" s="27"/>
      <c r="E171" s="27"/>
      <c r="F171" s="54"/>
      <c r="G171" s="54"/>
      <c r="H171" s="54"/>
      <c r="I171" s="54"/>
      <c r="J171" s="54" t="str">
        <f ca="1">IF(F171="","",OFFSET(分類!$B$29,MATCH(F171,分類!$A$30:$A$46,0),0))</f>
        <v/>
      </c>
      <c r="K171" s="54" t="str">
        <f t="shared" si="6"/>
        <v/>
      </c>
      <c r="L171" s="69">
        <v>166</v>
      </c>
      <c r="M171" s="54">
        <f t="shared" si="7"/>
        <v>166</v>
      </c>
    </row>
    <row r="172" spans="2:13">
      <c r="B172" s="27">
        <f t="shared" si="8"/>
        <v>168</v>
      </c>
      <c r="C172" s="27"/>
      <c r="D172" s="27"/>
      <c r="E172" s="27"/>
      <c r="F172" s="54"/>
      <c r="G172" s="54"/>
      <c r="H172" s="54"/>
      <c r="I172" s="54"/>
      <c r="J172" s="54" t="str">
        <f ca="1">IF(F172="","",OFFSET(分類!$B$29,MATCH(F172,分類!$A$30:$A$46,0),0))</f>
        <v/>
      </c>
      <c r="K172" s="54" t="str">
        <f t="shared" si="6"/>
        <v/>
      </c>
      <c r="L172" s="69">
        <v>167</v>
      </c>
      <c r="M172" s="54">
        <f t="shared" si="7"/>
        <v>167</v>
      </c>
    </row>
    <row r="173" spans="2:13">
      <c r="B173" s="27">
        <f t="shared" si="8"/>
        <v>169</v>
      </c>
      <c r="C173" s="27"/>
      <c r="D173" s="27"/>
      <c r="E173" s="27"/>
      <c r="F173" s="54"/>
      <c r="G173" s="54"/>
      <c r="H173" s="54"/>
      <c r="I173" s="54"/>
      <c r="J173" s="54" t="str">
        <f ca="1">IF(F173="","",OFFSET(分類!$B$29,MATCH(F173,分類!$A$30:$A$46,0),0))</f>
        <v/>
      </c>
      <c r="K173" s="54" t="str">
        <f t="shared" si="6"/>
        <v/>
      </c>
      <c r="L173" s="69">
        <v>168</v>
      </c>
      <c r="M173" s="54">
        <f t="shared" si="7"/>
        <v>168</v>
      </c>
    </row>
    <row r="174" spans="2:13">
      <c r="B174" s="27">
        <f t="shared" si="8"/>
        <v>170</v>
      </c>
      <c r="C174" s="27"/>
      <c r="D174" s="27"/>
      <c r="E174" s="27"/>
      <c r="F174" s="54"/>
      <c r="G174" s="54"/>
      <c r="H174" s="54"/>
      <c r="I174" s="54"/>
      <c r="J174" s="54" t="str">
        <f ca="1">IF(F174="","",OFFSET(分類!$B$29,MATCH(F174,分類!$A$30:$A$46,0),0))</f>
        <v/>
      </c>
      <c r="K174" s="54" t="str">
        <f t="shared" si="6"/>
        <v/>
      </c>
      <c r="L174" s="69">
        <v>169</v>
      </c>
      <c r="M174" s="54">
        <f t="shared" si="7"/>
        <v>169</v>
      </c>
    </row>
    <row r="175" spans="2:13">
      <c r="B175" s="27">
        <f t="shared" si="8"/>
        <v>171</v>
      </c>
      <c r="C175" s="27"/>
      <c r="D175" s="27"/>
      <c r="E175" s="27"/>
      <c r="F175" s="54"/>
      <c r="G175" s="54"/>
      <c r="H175" s="54"/>
      <c r="I175" s="54"/>
      <c r="J175" s="54" t="str">
        <f ca="1">IF(F175="","",OFFSET(分類!$B$29,MATCH(F175,分類!$A$30:$A$46,0),0))</f>
        <v/>
      </c>
      <c r="K175" s="54" t="str">
        <f t="shared" si="6"/>
        <v/>
      </c>
      <c r="L175" s="69">
        <v>170</v>
      </c>
      <c r="M175" s="54">
        <f t="shared" si="7"/>
        <v>170</v>
      </c>
    </row>
    <row r="176" spans="2:13">
      <c r="B176" s="27">
        <f t="shared" si="8"/>
        <v>172</v>
      </c>
      <c r="C176" s="27"/>
      <c r="D176" s="27"/>
      <c r="E176" s="27"/>
      <c r="F176" s="54"/>
      <c r="G176" s="54"/>
      <c r="H176" s="54"/>
      <c r="I176" s="54"/>
      <c r="J176" s="54" t="str">
        <f ca="1">IF(F176="","",OFFSET(分類!$B$29,MATCH(F176,分類!$A$30:$A$46,0),0))</f>
        <v/>
      </c>
      <c r="K176" s="54" t="str">
        <f t="shared" si="6"/>
        <v/>
      </c>
      <c r="L176" s="69">
        <v>171</v>
      </c>
      <c r="M176" s="54">
        <f t="shared" si="7"/>
        <v>171</v>
      </c>
    </row>
    <row r="177" spans="2:13">
      <c r="B177" s="27">
        <f t="shared" si="8"/>
        <v>173</v>
      </c>
      <c r="C177" s="27"/>
      <c r="D177" s="27"/>
      <c r="E177" s="27"/>
      <c r="F177" s="54"/>
      <c r="G177" s="54"/>
      <c r="H177" s="54"/>
      <c r="I177" s="54"/>
      <c r="J177" s="54" t="str">
        <f ca="1">IF(F177="","",OFFSET(分類!$B$29,MATCH(F177,分類!$A$30:$A$46,0),0))</f>
        <v/>
      </c>
      <c r="K177" s="54" t="str">
        <f t="shared" si="6"/>
        <v/>
      </c>
      <c r="L177" s="69">
        <v>172</v>
      </c>
      <c r="M177" s="54">
        <f t="shared" si="7"/>
        <v>172</v>
      </c>
    </row>
    <row r="178" spans="2:13">
      <c r="B178" s="27">
        <f t="shared" si="8"/>
        <v>174</v>
      </c>
      <c r="C178" s="27"/>
      <c r="D178" s="27"/>
      <c r="E178" s="27"/>
      <c r="F178" s="54"/>
      <c r="G178" s="54"/>
      <c r="H178" s="54"/>
      <c r="I178" s="54"/>
      <c r="J178" s="54" t="str">
        <f ca="1">IF(F178="","",OFFSET(分類!$B$29,MATCH(F178,分類!$A$30:$A$46,0),0))</f>
        <v/>
      </c>
      <c r="K178" s="54" t="str">
        <f t="shared" si="6"/>
        <v/>
      </c>
      <c r="L178" s="69">
        <v>173</v>
      </c>
      <c r="M178" s="54">
        <f t="shared" si="7"/>
        <v>173</v>
      </c>
    </row>
    <row r="179" spans="2:13">
      <c r="B179" s="27">
        <f t="shared" si="8"/>
        <v>175</v>
      </c>
      <c r="C179" s="27"/>
      <c r="D179" s="27"/>
      <c r="E179" s="27"/>
      <c r="F179" s="54"/>
      <c r="G179" s="54"/>
      <c r="H179" s="54"/>
      <c r="I179" s="54"/>
      <c r="J179" s="54" t="str">
        <f ca="1">IF(F179="","",OFFSET(分類!$B$29,MATCH(F179,分類!$A$30:$A$46,0),0))</f>
        <v/>
      </c>
      <c r="K179" s="54" t="str">
        <f t="shared" si="6"/>
        <v/>
      </c>
      <c r="L179" s="69">
        <v>174</v>
      </c>
      <c r="M179" s="54">
        <f t="shared" si="7"/>
        <v>174</v>
      </c>
    </row>
    <row r="180" spans="2:13">
      <c r="B180" s="27">
        <f t="shared" si="8"/>
        <v>176</v>
      </c>
      <c r="C180" s="27"/>
      <c r="D180" s="27"/>
      <c r="E180" s="27"/>
      <c r="F180" s="54"/>
      <c r="G180" s="54"/>
      <c r="H180" s="54"/>
      <c r="I180" s="54"/>
      <c r="J180" s="54" t="str">
        <f ca="1">IF(F180="","",OFFSET(分類!$B$29,MATCH(F180,分類!$A$30:$A$46,0),0))</f>
        <v/>
      </c>
      <c r="K180" s="54" t="str">
        <f t="shared" si="6"/>
        <v/>
      </c>
      <c r="L180" s="69">
        <v>175</v>
      </c>
      <c r="M180" s="54">
        <f t="shared" si="7"/>
        <v>175</v>
      </c>
    </row>
    <row r="181" spans="2:13">
      <c r="B181" s="27">
        <f t="shared" si="8"/>
        <v>177</v>
      </c>
      <c r="C181" s="27"/>
      <c r="D181" s="27"/>
      <c r="E181" s="27"/>
      <c r="F181" s="54"/>
      <c r="G181" s="54"/>
      <c r="H181" s="54"/>
      <c r="I181" s="54"/>
      <c r="J181" s="54" t="str">
        <f ca="1">IF(F181="","",OFFSET(分類!$B$29,MATCH(F181,分類!$A$30:$A$46,0),0))</f>
        <v/>
      </c>
      <c r="K181" s="54" t="str">
        <f t="shared" si="6"/>
        <v/>
      </c>
      <c r="L181" s="69">
        <v>176</v>
      </c>
      <c r="M181" s="54">
        <f t="shared" si="7"/>
        <v>176</v>
      </c>
    </row>
    <row r="182" spans="2:13">
      <c r="B182" s="27">
        <f t="shared" si="8"/>
        <v>178</v>
      </c>
      <c r="C182" s="27"/>
      <c r="D182" s="27"/>
      <c r="E182" s="27"/>
      <c r="F182" s="54"/>
      <c r="G182" s="54"/>
      <c r="H182" s="54"/>
      <c r="I182" s="54"/>
      <c r="J182" s="54" t="str">
        <f ca="1">IF(F182="","",OFFSET(分類!$B$29,MATCH(F182,分類!$A$30:$A$46,0),0))</f>
        <v/>
      </c>
      <c r="K182" s="54" t="str">
        <f t="shared" si="6"/>
        <v/>
      </c>
      <c r="L182" s="69">
        <v>177</v>
      </c>
      <c r="M182" s="54">
        <f t="shared" si="7"/>
        <v>177</v>
      </c>
    </row>
    <row r="183" spans="2:13">
      <c r="B183" s="27">
        <f t="shared" si="8"/>
        <v>179</v>
      </c>
      <c r="C183" s="27"/>
      <c r="D183" s="27"/>
      <c r="E183" s="27"/>
      <c r="F183" s="54"/>
      <c r="G183" s="54"/>
      <c r="H183" s="54"/>
      <c r="I183" s="54"/>
      <c r="J183" s="54" t="str">
        <f ca="1">IF(F183="","",OFFSET(分類!$B$29,MATCH(F183,分類!$A$30:$A$46,0),0))</f>
        <v/>
      </c>
      <c r="K183" s="54" t="str">
        <f t="shared" si="6"/>
        <v/>
      </c>
      <c r="L183" s="69">
        <v>178</v>
      </c>
      <c r="M183" s="54">
        <f t="shared" si="7"/>
        <v>178</v>
      </c>
    </row>
    <row r="184" spans="2:13">
      <c r="B184" s="27">
        <f t="shared" si="8"/>
        <v>180</v>
      </c>
      <c r="C184" s="27"/>
      <c r="D184" s="27"/>
      <c r="E184" s="27"/>
      <c r="F184" s="54"/>
      <c r="G184" s="54"/>
      <c r="H184" s="54"/>
      <c r="I184" s="54"/>
      <c r="J184" s="54" t="str">
        <f ca="1">IF(F184="","",OFFSET(分類!$B$29,MATCH(F184,分類!$A$30:$A$46,0),0))</f>
        <v/>
      </c>
      <c r="K184" s="54" t="str">
        <f t="shared" si="6"/>
        <v/>
      </c>
      <c r="L184" s="69">
        <v>179</v>
      </c>
      <c r="M184" s="54">
        <f t="shared" si="7"/>
        <v>179</v>
      </c>
    </row>
    <row r="185" spans="2:13">
      <c r="B185" s="27">
        <f t="shared" si="8"/>
        <v>181</v>
      </c>
      <c r="C185" s="27"/>
      <c r="D185" s="27"/>
      <c r="E185" s="27"/>
      <c r="F185" s="54"/>
      <c r="G185" s="54"/>
      <c r="H185" s="54"/>
      <c r="I185" s="54"/>
      <c r="J185" s="54" t="str">
        <f ca="1">IF(F185="","",OFFSET(分類!$B$29,MATCH(F185,分類!$A$30:$A$46,0),0))</f>
        <v/>
      </c>
      <c r="K185" s="54" t="str">
        <f t="shared" si="6"/>
        <v/>
      </c>
      <c r="L185" s="69">
        <v>180</v>
      </c>
      <c r="M185" s="54">
        <f t="shared" si="7"/>
        <v>180</v>
      </c>
    </row>
    <row r="186" spans="2:13">
      <c r="B186" s="27">
        <f t="shared" si="8"/>
        <v>182</v>
      </c>
      <c r="C186" s="27"/>
      <c r="D186" s="27"/>
      <c r="E186" s="27"/>
      <c r="F186" s="54"/>
      <c r="G186" s="54"/>
      <c r="H186" s="54"/>
      <c r="I186" s="54"/>
      <c r="J186" s="54" t="str">
        <f ca="1">IF(F186="","",OFFSET(分類!$B$29,MATCH(F186,分類!$A$30:$A$46,0),0))</f>
        <v/>
      </c>
      <c r="K186" s="54" t="str">
        <f t="shared" si="6"/>
        <v/>
      </c>
      <c r="L186" s="69">
        <v>181</v>
      </c>
      <c r="M186" s="54">
        <f t="shared" si="7"/>
        <v>181</v>
      </c>
    </row>
    <row r="187" spans="2:13">
      <c r="B187" s="27">
        <f t="shared" si="8"/>
        <v>183</v>
      </c>
      <c r="C187" s="27"/>
      <c r="D187" s="27"/>
      <c r="E187" s="27"/>
      <c r="F187" s="54"/>
      <c r="G187" s="54"/>
      <c r="H187" s="54"/>
      <c r="I187" s="54"/>
      <c r="J187" s="54" t="str">
        <f ca="1">IF(F187="","",OFFSET(分類!$B$29,MATCH(F187,分類!$A$30:$A$46,0),0))</f>
        <v/>
      </c>
      <c r="K187" s="54" t="str">
        <f t="shared" si="6"/>
        <v/>
      </c>
      <c r="L187" s="69">
        <v>182</v>
      </c>
      <c r="M187" s="54">
        <f t="shared" si="7"/>
        <v>182</v>
      </c>
    </row>
    <row r="188" spans="2:13">
      <c r="B188" s="27">
        <f t="shared" si="8"/>
        <v>184</v>
      </c>
      <c r="C188" s="27"/>
      <c r="D188" s="27"/>
      <c r="E188" s="27"/>
      <c r="F188" s="54"/>
      <c r="G188" s="54"/>
      <c r="H188" s="54"/>
      <c r="I188" s="54"/>
      <c r="J188" s="54" t="str">
        <f ca="1">IF(F188="","",OFFSET(分類!$B$29,MATCH(F188,分類!$A$30:$A$46,0),0))</f>
        <v/>
      </c>
      <c r="K188" s="54" t="str">
        <f t="shared" si="6"/>
        <v/>
      </c>
      <c r="L188" s="69">
        <v>183</v>
      </c>
      <c r="M188" s="54">
        <f t="shared" si="7"/>
        <v>183</v>
      </c>
    </row>
    <row r="189" spans="2:13">
      <c r="B189" s="27">
        <f t="shared" si="8"/>
        <v>185</v>
      </c>
      <c r="C189" s="27"/>
      <c r="D189" s="27"/>
      <c r="E189" s="27"/>
      <c r="F189" s="54"/>
      <c r="G189" s="54"/>
      <c r="H189" s="54"/>
      <c r="I189" s="54"/>
      <c r="J189" s="54" t="str">
        <f ca="1">IF(F189="","",OFFSET(分類!$B$29,MATCH(F189,分類!$A$30:$A$46,0),0))</f>
        <v/>
      </c>
      <c r="K189" s="54" t="str">
        <f t="shared" si="6"/>
        <v/>
      </c>
      <c r="L189" s="69">
        <v>184</v>
      </c>
      <c r="M189" s="54">
        <f t="shared" si="7"/>
        <v>184</v>
      </c>
    </row>
    <row r="190" spans="2:13">
      <c r="B190" s="27">
        <f t="shared" si="8"/>
        <v>186</v>
      </c>
      <c r="C190" s="27"/>
      <c r="D190" s="27"/>
      <c r="E190" s="27"/>
      <c r="F190" s="54"/>
      <c r="G190" s="54"/>
      <c r="H190" s="54"/>
      <c r="I190" s="54"/>
      <c r="J190" s="54" t="str">
        <f ca="1">IF(F190="","",OFFSET(分類!$B$29,MATCH(F190,分類!$A$30:$A$46,0),0))</f>
        <v/>
      </c>
      <c r="K190" s="54" t="str">
        <f t="shared" si="6"/>
        <v/>
      </c>
      <c r="L190" s="69">
        <v>185</v>
      </c>
      <c r="M190" s="54">
        <f t="shared" si="7"/>
        <v>185</v>
      </c>
    </row>
    <row r="191" spans="2:13">
      <c r="B191" s="27">
        <f t="shared" si="8"/>
        <v>187</v>
      </c>
      <c r="C191" s="27"/>
      <c r="D191" s="27"/>
      <c r="E191" s="27"/>
      <c r="F191" s="54"/>
      <c r="G191" s="54"/>
      <c r="H191" s="54"/>
      <c r="I191" s="54"/>
      <c r="J191" s="54" t="str">
        <f ca="1">IF(F191="","",OFFSET(分類!$B$29,MATCH(F191,分類!$A$30:$A$46,0),0))</f>
        <v/>
      </c>
      <c r="K191" s="54" t="str">
        <f t="shared" si="6"/>
        <v/>
      </c>
      <c r="L191" s="69">
        <v>186</v>
      </c>
      <c r="M191" s="54">
        <f t="shared" si="7"/>
        <v>186</v>
      </c>
    </row>
    <row r="192" spans="2:13">
      <c r="B192" s="27">
        <f t="shared" si="8"/>
        <v>188</v>
      </c>
      <c r="C192" s="27"/>
      <c r="D192" s="27"/>
      <c r="E192" s="27"/>
      <c r="F192" s="54"/>
      <c r="G192" s="54"/>
      <c r="H192" s="54"/>
      <c r="I192" s="54"/>
      <c r="J192" s="54" t="str">
        <f ca="1">IF(F192="","",OFFSET(分類!$B$29,MATCH(F192,分類!$A$30:$A$46,0),0))</f>
        <v/>
      </c>
      <c r="K192" s="54" t="str">
        <f t="shared" si="6"/>
        <v/>
      </c>
      <c r="L192" s="69">
        <v>187</v>
      </c>
      <c r="M192" s="54">
        <f t="shared" si="7"/>
        <v>187</v>
      </c>
    </row>
    <row r="193" spans="2:13">
      <c r="B193" s="27">
        <f t="shared" si="8"/>
        <v>189</v>
      </c>
      <c r="C193" s="27"/>
      <c r="D193" s="27"/>
      <c r="E193" s="27"/>
      <c r="F193" s="54"/>
      <c r="G193" s="54"/>
      <c r="H193" s="54"/>
      <c r="I193" s="54"/>
      <c r="J193" s="54" t="str">
        <f ca="1">IF(F193="","",OFFSET(分類!$B$29,MATCH(F193,分類!$A$30:$A$46,0),0))</f>
        <v/>
      </c>
      <c r="K193" s="54" t="str">
        <f t="shared" si="6"/>
        <v/>
      </c>
      <c r="L193" s="69">
        <v>188</v>
      </c>
      <c r="M193" s="54">
        <f t="shared" si="7"/>
        <v>188</v>
      </c>
    </row>
    <row r="194" spans="2:13">
      <c r="B194" s="27">
        <f t="shared" si="8"/>
        <v>190</v>
      </c>
      <c r="C194" s="27"/>
      <c r="D194" s="27"/>
      <c r="E194" s="27"/>
      <c r="F194" s="54"/>
      <c r="G194" s="54"/>
      <c r="H194" s="54"/>
      <c r="I194" s="54"/>
      <c r="J194" s="54" t="str">
        <f ca="1">IF(F194="","",OFFSET(分類!$B$29,MATCH(F194,分類!$A$30:$A$46,0),0))</f>
        <v/>
      </c>
      <c r="K194" s="54" t="str">
        <f t="shared" si="6"/>
        <v/>
      </c>
      <c r="L194" s="69">
        <v>189</v>
      </c>
      <c r="M194" s="54">
        <f t="shared" si="7"/>
        <v>189</v>
      </c>
    </row>
    <row r="195" spans="2:13">
      <c r="B195" s="27">
        <f t="shared" si="8"/>
        <v>191</v>
      </c>
      <c r="C195" s="27"/>
      <c r="D195" s="27"/>
      <c r="E195" s="27"/>
      <c r="F195" s="54"/>
      <c r="G195" s="54"/>
      <c r="H195" s="54"/>
      <c r="I195" s="54"/>
      <c r="J195" s="54" t="str">
        <f ca="1">IF(F195="","",OFFSET(分類!$B$29,MATCH(F195,分類!$A$30:$A$46,0),0))</f>
        <v/>
      </c>
      <c r="K195" s="54" t="str">
        <f t="shared" si="6"/>
        <v/>
      </c>
      <c r="L195" s="69">
        <v>190</v>
      </c>
      <c r="M195" s="54">
        <f t="shared" si="7"/>
        <v>190</v>
      </c>
    </row>
    <row r="196" spans="2:13">
      <c r="B196" s="27">
        <f t="shared" si="8"/>
        <v>192</v>
      </c>
      <c r="C196" s="27"/>
      <c r="D196" s="27"/>
      <c r="E196" s="27"/>
      <c r="F196" s="54"/>
      <c r="G196" s="54"/>
      <c r="H196" s="54"/>
      <c r="I196" s="54"/>
      <c r="J196" s="54" t="str">
        <f ca="1">IF(F196="","",OFFSET(分類!$B$29,MATCH(F196,分類!$A$30:$A$46,0),0))</f>
        <v/>
      </c>
      <c r="K196" s="54" t="str">
        <f t="shared" si="6"/>
        <v/>
      </c>
      <c r="L196" s="69">
        <v>191</v>
      </c>
      <c r="M196" s="54">
        <f t="shared" si="7"/>
        <v>191</v>
      </c>
    </row>
    <row r="197" spans="2:13">
      <c r="B197" s="27">
        <f t="shared" si="8"/>
        <v>193</v>
      </c>
      <c r="C197" s="27"/>
      <c r="D197" s="27"/>
      <c r="E197" s="27"/>
      <c r="F197" s="54"/>
      <c r="G197" s="54"/>
      <c r="H197" s="54"/>
      <c r="I197" s="54"/>
      <c r="J197" s="54" t="str">
        <f ca="1">IF(F197="","",OFFSET(分類!$B$29,MATCH(F197,分類!$A$30:$A$46,0),0))</f>
        <v/>
      </c>
      <c r="K197" s="54" t="str">
        <f t="shared" si="6"/>
        <v/>
      </c>
      <c r="L197" s="69">
        <v>192</v>
      </c>
      <c r="M197" s="54">
        <f t="shared" si="7"/>
        <v>192</v>
      </c>
    </row>
    <row r="198" spans="2:13">
      <c r="B198" s="27">
        <f t="shared" si="8"/>
        <v>194</v>
      </c>
      <c r="C198" s="27"/>
      <c r="D198" s="27"/>
      <c r="E198" s="27"/>
      <c r="F198" s="54"/>
      <c r="G198" s="54"/>
      <c r="H198" s="54"/>
      <c r="I198" s="54"/>
      <c r="J198" s="54" t="str">
        <f ca="1">IF(F198="","",OFFSET(分類!$B$29,MATCH(F198,分類!$A$30:$A$46,0),0))</f>
        <v/>
      </c>
      <c r="K198" s="54" t="str">
        <f t="shared" ref="K198:K261" si="9">IF(G198="粉",VALUE(SUBSTITUTE(SUBSTITUTE(LEFT(H198, FIND("ｇ", H198) - 1), "．", "."), "　", "")),"")</f>
        <v/>
      </c>
      <c r="L198" s="69">
        <v>193</v>
      </c>
      <c r="M198" s="54">
        <f t="shared" ref="M198:M261" si="10">IF(K198="",L198,K198*L198)</f>
        <v>193</v>
      </c>
    </row>
    <row r="199" spans="2:13">
      <c r="B199" s="27">
        <f t="shared" ref="B199:B262" si="11">B198+1</f>
        <v>195</v>
      </c>
      <c r="C199" s="27"/>
      <c r="D199" s="27"/>
      <c r="E199" s="27"/>
      <c r="F199" s="54"/>
      <c r="G199" s="54"/>
      <c r="H199" s="54"/>
      <c r="I199" s="54"/>
      <c r="J199" s="54" t="str">
        <f ca="1">IF(F199="","",OFFSET(分類!$B$29,MATCH(F199,分類!$A$30:$A$46,0),0))</f>
        <v/>
      </c>
      <c r="K199" s="54" t="str">
        <f t="shared" si="9"/>
        <v/>
      </c>
      <c r="L199" s="69">
        <v>194</v>
      </c>
      <c r="M199" s="54">
        <f t="shared" si="10"/>
        <v>194</v>
      </c>
    </row>
    <row r="200" spans="2:13">
      <c r="B200" s="27">
        <f t="shared" si="11"/>
        <v>196</v>
      </c>
      <c r="C200" s="27"/>
      <c r="D200" s="27"/>
      <c r="E200" s="27"/>
      <c r="F200" s="54"/>
      <c r="G200" s="54"/>
      <c r="H200" s="54"/>
      <c r="I200" s="54"/>
      <c r="J200" s="54" t="str">
        <f ca="1">IF(F200="","",OFFSET(分類!$B$29,MATCH(F200,分類!$A$30:$A$46,0),0))</f>
        <v/>
      </c>
      <c r="K200" s="54" t="str">
        <f t="shared" si="9"/>
        <v/>
      </c>
      <c r="L200" s="69">
        <v>195</v>
      </c>
      <c r="M200" s="54">
        <f t="shared" si="10"/>
        <v>195</v>
      </c>
    </row>
    <row r="201" spans="2:13">
      <c r="B201" s="27">
        <f t="shared" si="11"/>
        <v>197</v>
      </c>
      <c r="C201" s="27"/>
      <c r="D201" s="27"/>
      <c r="E201" s="27"/>
      <c r="F201" s="54"/>
      <c r="G201" s="54"/>
      <c r="H201" s="54"/>
      <c r="I201" s="54"/>
      <c r="J201" s="54" t="str">
        <f ca="1">IF(F201="","",OFFSET(分類!$B$29,MATCH(F201,分類!$A$30:$A$46,0),0))</f>
        <v/>
      </c>
      <c r="K201" s="54" t="str">
        <f t="shared" si="9"/>
        <v/>
      </c>
      <c r="L201" s="69">
        <v>196</v>
      </c>
      <c r="M201" s="54">
        <f t="shared" si="10"/>
        <v>196</v>
      </c>
    </row>
    <row r="202" spans="2:13">
      <c r="B202" s="27">
        <f t="shared" si="11"/>
        <v>198</v>
      </c>
      <c r="C202" s="27"/>
      <c r="D202" s="27"/>
      <c r="E202" s="27"/>
      <c r="F202" s="54"/>
      <c r="G202" s="54"/>
      <c r="H202" s="54"/>
      <c r="I202" s="54"/>
      <c r="J202" s="54" t="str">
        <f ca="1">IF(F202="","",OFFSET(分類!$B$29,MATCH(F202,分類!$A$30:$A$46,0),0))</f>
        <v/>
      </c>
      <c r="K202" s="54" t="str">
        <f t="shared" si="9"/>
        <v/>
      </c>
      <c r="L202" s="69">
        <v>197</v>
      </c>
      <c r="M202" s="54">
        <f t="shared" si="10"/>
        <v>197</v>
      </c>
    </row>
    <row r="203" spans="2:13">
      <c r="B203" s="27">
        <f t="shared" si="11"/>
        <v>199</v>
      </c>
      <c r="C203" s="27"/>
      <c r="D203" s="27"/>
      <c r="E203" s="27"/>
      <c r="F203" s="54"/>
      <c r="G203" s="54"/>
      <c r="H203" s="54"/>
      <c r="I203" s="54"/>
      <c r="J203" s="54" t="str">
        <f ca="1">IF(F203="","",OFFSET(分類!$B$29,MATCH(F203,分類!$A$30:$A$46,0),0))</f>
        <v/>
      </c>
      <c r="K203" s="54" t="str">
        <f t="shared" si="9"/>
        <v/>
      </c>
      <c r="L203" s="69">
        <v>198</v>
      </c>
      <c r="M203" s="54">
        <f t="shared" si="10"/>
        <v>198</v>
      </c>
    </row>
    <row r="204" spans="2:13">
      <c r="B204" s="27">
        <f t="shared" si="11"/>
        <v>200</v>
      </c>
      <c r="C204" s="27"/>
      <c r="D204" s="27"/>
      <c r="E204" s="27"/>
      <c r="F204" s="54"/>
      <c r="G204" s="54"/>
      <c r="H204" s="54"/>
      <c r="I204" s="54"/>
      <c r="J204" s="54" t="str">
        <f ca="1">IF(F204="","",OFFSET(分類!$B$29,MATCH(F204,分類!$A$30:$A$46,0),0))</f>
        <v/>
      </c>
      <c r="K204" s="54" t="str">
        <f t="shared" si="9"/>
        <v/>
      </c>
      <c r="L204" s="69">
        <v>199</v>
      </c>
      <c r="M204" s="54">
        <f t="shared" si="10"/>
        <v>199</v>
      </c>
    </row>
    <row r="205" spans="2:13">
      <c r="B205" s="27">
        <f t="shared" si="11"/>
        <v>201</v>
      </c>
      <c r="C205" s="27"/>
      <c r="D205" s="27"/>
      <c r="E205" s="27"/>
      <c r="F205" s="54"/>
      <c r="G205" s="54"/>
      <c r="H205" s="54"/>
      <c r="I205" s="54"/>
      <c r="J205" s="54" t="str">
        <f ca="1">IF(F205="","",OFFSET(分類!$B$29,MATCH(F205,分類!$A$30:$A$46,0),0))</f>
        <v/>
      </c>
      <c r="K205" s="54" t="str">
        <f t="shared" si="9"/>
        <v/>
      </c>
      <c r="L205" s="69">
        <v>200</v>
      </c>
      <c r="M205" s="54">
        <f t="shared" si="10"/>
        <v>200</v>
      </c>
    </row>
    <row r="206" spans="2:13">
      <c r="B206" s="27">
        <f t="shared" si="11"/>
        <v>202</v>
      </c>
      <c r="C206" s="27"/>
      <c r="D206" s="27"/>
      <c r="E206" s="27"/>
      <c r="F206" s="54"/>
      <c r="G206" s="54"/>
      <c r="H206" s="54"/>
      <c r="I206" s="54"/>
      <c r="J206" s="54" t="str">
        <f ca="1">IF(F206="","",OFFSET(分類!$B$29,MATCH(F206,分類!$A$30:$A$46,0),0))</f>
        <v/>
      </c>
      <c r="K206" s="54" t="str">
        <f t="shared" si="9"/>
        <v/>
      </c>
      <c r="L206" s="69">
        <v>201</v>
      </c>
      <c r="M206" s="54">
        <f t="shared" si="10"/>
        <v>201</v>
      </c>
    </row>
    <row r="207" spans="2:13">
      <c r="B207" s="27">
        <f t="shared" si="11"/>
        <v>203</v>
      </c>
      <c r="C207" s="27"/>
      <c r="D207" s="27"/>
      <c r="E207" s="27"/>
      <c r="F207" s="54"/>
      <c r="G207" s="54"/>
      <c r="H207" s="54"/>
      <c r="I207" s="54"/>
      <c r="J207" s="54" t="str">
        <f ca="1">IF(F207="","",OFFSET(分類!$B$29,MATCH(F207,分類!$A$30:$A$46,0),0))</f>
        <v/>
      </c>
      <c r="K207" s="54" t="str">
        <f t="shared" si="9"/>
        <v/>
      </c>
      <c r="L207" s="69">
        <v>202</v>
      </c>
      <c r="M207" s="54">
        <f t="shared" si="10"/>
        <v>202</v>
      </c>
    </row>
    <row r="208" spans="2:13">
      <c r="B208" s="27">
        <f t="shared" si="11"/>
        <v>204</v>
      </c>
      <c r="C208" s="27"/>
      <c r="D208" s="27"/>
      <c r="E208" s="27"/>
      <c r="F208" s="54"/>
      <c r="G208" s="54"/>
      <c r="H208" s="54"/>
      <c r="I208" s="54"/>
      <c r="J208" s="54" t="str">
        <f ca="1">IF(F208="","",OFFSET(分類!$B$29,MATCH(F208,分類!$A$30:$A$46,0),0))</f>
        <v/>
      </c>
      <c r="K208" s="54" t="str">
        <f t="shared" si="9"/>
        <v/>
      </c>
      <c r="L208" s="69">
        <v>203</v>
      </c>
      <c r="M208" s="54">
        <f t="shared" si="10"/>
        <v>203</v>
      </c>
    </row>
    <row r="209" spans="2:13">
      <c r="B209" s="27">
        <f t="shared" si="11"/>
        <v>205</v>
      </c>
      <c r="C209" s="27"/>
      <c r="D209" s="27"/>
      <c r="E209" s="27"/>
      <c r="F209" s="54"/>
      <c r="G209" s="54"/>
      <c r="H209" s="54"/>
      <c r="I209" s="54"/>
      <c r="J209" s="54" t="str">
        <f ca="1">IF(F209="","",OFFSET(分類!$B$29,MATCH(F209,分類!$A$30:$A$46,0),0))</f>
        <v/>
      </c>
      <c r="K209" s="54" t="str">
        <f t="shared" si="9"/>
        <v/>
      </c>
      <c r="L209" s="69">
        <v>204</v>
      </c>
      <c r="M209" s="54">
        <f t="shared" si="10"/>
        <v>204</v>
      </c>
    </row>
    <row r="210" spans="2:13">
      <c r="B210" s="27">
        <f t="shared" si="11"/>
        <v>206</v>
      </c>
      <c r="C210" s="27"/>
      <c r="D210" s="27"/>
      <c r="E210" s="27"/>
      <c r="F210" s="54"/>
      <c r="G210" s="54"/>
      <c r="H210" s="54"/>
      <c r="I210" s="54"/>
      <c r="J210" s="54" t="str">
        <f ca="1">IF(F210="","",OFFSET(分類!$B$29,MATCH(F210,分類!$A$30:$A$46,0),0))</f>
        <v/>
      </c>
      <c r="K210" s="54" t="str">
        <f t="shared" si="9"/>
        <v/>
      </c>
      <c r="L210" s="69">
        <v>205</v>
      </c>
      <c r="M210" s="54">
        <f t="shared" si="10"/>
        <v>205</v>
      </c>
    </row>
    <row r="211" spans="2:13">
      <c r="B211" s="27">
        <f t="shared" si="11"/>
        <v>207</v>
      </c>
      <c r="C211" s="27"/>
      <c r="D211" s="27"/>
      <c r="E211" s="27"/>
      <c r="F211" s="54"/>
      <c r="G211" s="54"/>
      <c r="H211" s="54"/>
      <c r="I211" s="54"/>
      <c r="J211" s="54" t="str">
        <f ca="1">IF(F211="","",OFFSET(分類!$B$29,MATCH(F211,分類!$A$30:$A$46,0),0))</f>
        <v/>
      </c>
      <c r="K211" s="54" t="str">
        <f t="shared" si="9"/>
        <v/>
      </c>
      <c r="L211" s="69">
        <v>206</v>
      </c>
      <c r="M211" s="54">
        <f t="shared" si="10"/>
        <v>206</v>
      </c>
    </row>
    <row r="212" spans="2:13">
      <c r="B212" s="27">
        <f t="shared" si="11"/>
        <v>208</v>
      </c>
      <c r="C212" s="27"/>
      <c r="D212" s="27"/>
      <c r="E212" s="27"/>
      <c r="F212" s="54"/>
      <c r="G212" s="54"/>
      <c r="H212" s="54"/>
      <c r="I212" s="54"/>
      <c r="J212" s="54" t="str">
        <f ca="1">IF(F212="","",OFFSET(分類!$B$29,MATCH(F212,分類!$A$30:$A$46,0),0))</f>
        <v/>
      </c>
      <c r="K212" s="54" t="str">
        <f t="shared" si="9"/>
        <v/>
      </c>
      <c r="L212" s="69">
        <v>207</v>
      </c>
      <c r="M212" s="54">
        <f t="shared" si="10"/>
        <v>207</v>
      </c>
    </row>
    <row r="213" spans="2:13">
      <c r="B213" s="27">
        <f t="shared" si="11"/>
        <v>209</v>
      </c>
      <c r="C213" s="27"/>
      <c r="D213" s="27"/>
      <c r="E213" s="27"/>
      <c r="F213" s="54"/>
      <c r="G213" s="54"/>
      <c r="H213" s="54"/>
      <c r="I213" s="54"/>
      <c r="J213" s="54" t="str">
        <f ca="1">IF(F213="","",OFFSET(分類!$B$29,MATCH(F213,分類!$A$30:$A$46,0),0))</f>
        <v/>
      </c>
      <c r="K213" s="54" t="str">
        <f t="shared" si="9"/>
        <v/>
      </c>
      <c r="L213" s="69">
        <v>208</v>
      </c>
      <c r="M213" s="54">
        <f t="shared" si="10"/>
        <v>208</v>
      </c>
    </row>
    <row r="214" spans="2:13">
      <c r="B214" s="27">
        <f t="shared" si="11"/>
        <v>210</v>
      </c>
      <c r="C214" s="27"/>
      <c r="D214" s="27"/>
      <c r="E214" s="27"/>
      <c r="F214" s="54"/>
      <c r="G214" s="54"/>
      <c r="H214" s="54"/>
      <c r="I214" s="54"/>
      <c r="J214" s="54" t="str">
        <f ca="1">IF(F214="","",OFFSET(分類!$B$29,MATCH(F214,分類!$A$30:$A$46,0),0))</f>
        <v/>
      </c>
      <c r="K214" s="54" t="str">
        <f t="shared" si="9"/>
        <v/>
      </c>
      <c r="L214" s="69">
        <v>209</v>
      </c>
      <c r="M214" s="54">
        <f t="shared" si="10"/>
        <v>209</v>
      </c>
    </row>
    <row r="215" spans="2:13">
      <c r="B215" s="27">
        <f t="shared" si="11"/>
        <v>211</v>
      </c>
      <c r="C215" s="27"/>
      <c r="D215" s="27"/>
      <c r="E215" s="27"/>
      <c r="F215" s="54"/>
      <c r="G215" s="54"/>
      <c r="H215" s="54"/>
      <c r="I215" s="54"/>
      <c r="J215" s="54" t="str">
        <f ca="1">IF(F215="","",OFFSET(分類!$B$29,MATCH(F215,分類!$A$30:$A$46,0),0))</f>
        <v/>
      </c>
      <c r="K215" s="54" t="str">
        <f t="shared" si="9"/>
        <v/>
      </c>
      <c r="L215" s="69">
        <v>210</v>
      </c>
      <c r="M215" s="54">
        <f t="shared" si="10"/>
        <v>210</v>
      </c>
    </row>
    <row r="216" spans="2:13">
      <c r="B216" s="27">
        <f t="shared" si="11"/>
        <v>212</v>
      </c>
      <c r="C216" s="27"/>
      <c r="D216" s="27"/>
      <c r="E216" s="27"/>
      <c r="F216" s="54"/>
      <c r="G216" s="54"/>
      <c r="H216" s="54"/>
      <c r="I216" s="54"/>
      <c r="J216" s="54" t="str">
        <f ca="1">IF(F216="","",OFFSET(分類!$B$29,MATCH(F216,分類!$A$30:$A$46,0),0))</f>
        <v/>
      </c>
      <c r="K216" s="54" t="str">
        <f t="shared" si="9"/>
        <v/>
      </c>
      <c r="L216" s="69">
        <v>211</v>
      </c>
      <c r="M216" s="54">
        <f t="shared" si="10"/>
        <v>211</v>
      </c>
    </row>
    <row r="217" spans="2:13">
      <c r="B217" s="27">
        <f t="shared" si="11"/>
        <v>213</v>
      </c>
      <c r="C217" s="27"/>
      <c r="D217" s="27"/>
      <c r="E217" s="27"/>
      <c r="F217" s="54"/>
      <c r="G217" s="54"/>
      <c r="H217" s="54"/>
      <c r="I217" s="54"/>
      <c r="J217" s="54" t="str">
        <f ca="1">IF(F217="","",OFFSET(分類!$B$29,MATCH(F217,分類!$A$30:$A$46,0),0))</f>
        <v/>
      </c>
      <c r="K217" s="54" t="str">
        <f t="shared" si="9"/>
        <v/>
      </c>
      <c r="L217" s="69">
        <v>212</v>
      </c>
      <c r="M217" s="54">
        <f t="shared" si="10"/>
        <v>212</v>
      </c>
    </row>
    <row r="218" spans="2:13">
      <c r="B218" s="27">
        <f t="shared" si="11"/>
        <v>214</v>
      </c>
      <c r="C218" s="27"/>
      <c r="D218" s="27"/>
      <c r="E218" s="27"/>
      <c r="F218" s="54"/>
      <c r="G218" s="54"/>
      <c r="H218" s="54"/>
      <c r="I218" s="54"/>
      <c r="J218" s="54" t="str">
        <f ca="1">IF(F218="","",OFFSET(分類!$B$29,MATCH(F218,分類!$A$30:$A$46,0),0))</f>
        <v/>
      </c>
      <c r="K218" s="54" t="str">
        <f t="shared" si="9"/>
        <v/>
      </c>
      <c r="L218" s="69">
        <v>213</v>
      </c>
      <c r="M218" s="54">
        <f t="shared" si="10"/>
        <v>213</v>
      </c>
    </row>
    <row r="219" spans="2:13">
      <c r="B219" s="27">
        <f t="shared" si="11"/>
        <v>215</v>
      </c>
      <c r="C219" s="27"/>
      <c r="D219" s="27"/>
      <c r="E219" s="27"/>
      <c r="F219" s="54"/>
      <c r="G219" s="54"/>
      <c r="H219" s="54"/>
      <c r="I219" s="54"/>
      <c r="J219" s="54" t="str">
        <f ca="1">IF(F219="","",OFFSET(分類!$B$29,MATCH(F219,分類!$A$30:$A$46,0),0))</f>
        <v/>
      </c>
      <c r="K219" s="54" t="str">
        <f t="shared" si="9"/>
        <v/>
      </c>
      <c r="L219" s="69">
        <v>214</v>
      </c>
      <c r="M219" s="54">
        <f t="shared" si="10"/>
        <v>214</v>
      </c>
    </row>
    <row r="220" spans="2:13">
      <c r="B220" s="27">
        <f t="shared" si="11"/>
        <v>216</v>
      </c>
      <c r="C220" s="27"/>
      <c r="D220" s="27"/>
      <c r="E220" s="27"/>
      <c r="F220" s="54"/>
      <c r="G220" s="54"/>
      <c r="H220" s="54"/>
      <c r="I220" s="54"/>
      <c r="J220" s="54" t="str">
        <f ca="1">IF(F220="","",OFFSET(分類!$B$29,MATCH(F220,分類!$A$30:$A$46,0),0))</f>
        <v/>
      </c>
      <c r="K220" s="54" t="str">
        <f t="shared" si="9"/>
        <v/>
      </c>
      <c r="L220" s="69">
        <v>215</v>
      </c>
      <c r="M220" s="54">
        <f t="shared" si="10"/>
        <v>215</v>
      </c>
    </row>
    <row r="221" spans="2:13">
      <c r="B221" s="27">
        <f t="shared" si="11"/>
        <v>217</v>
      </c>
      <c r="C221" s="27"/>
      <c r="D221" s="27"/>
      <c r="E221" s="27"/>
      <c r="F221" s="54"/>
      <c r="G221" s="54"/>
      <c r="H221" s="54"/>
      <c r="I221" s="54"/>
      <c r="J221" s="54" t="str">
        <f ca="1">IF(F221="","",OFFSET(分類!$B$29,MATCH(F221,分類!$A$30:$A$46,0),0))</f>
        <v/>
      </c>
      <c r="K221" s="54" t="str">
        <f t="shared" si="9"/>
        <v/>
      </c>
      <c r="L221" s="69">
        <v>216</v>
      </c>
      <c r="M221" s="54">
        <f t="shared" si="10"/>
        <v>216</v>
      </c>
    </row>
    <row r="222" spans="2:13">
      <c r="B222" s="27">
        <f t="shared" si="11"/>
        <v>218</v>
      </c>
      <c r="C222" s="27"/>
      <c r="D222" s="27"/>
      <c r="E222" s="27"/>
      <c r="F222" s="54"/>
      <c r="G222" s="54"/>
      <c r="H222" s="54"/>
      <c r="I222" s="54"/>
      <c r="J222" s="54" t="str">
        <f ca="1">IF(F222="","",OFFSET(分類!$B$29,MATCH(F222,分類!$A$30:$A$46,0),0))</f>
        <v/>
      </c>
      <c r="K222" s="54" t="str">
        <f t="shared" si="9"/>
        <v/>
      </c>
      <c r="L222" s="69">
        <v>217</v>
      </c>
      <c r="M222" s="54">
        <f t="shared" si="10"/>
        <v>217</v>
      </c>
    </row>
    <row r="223" spans="2:13">
      <c r="B223" s="27">
        <f t="shared" si="11"/>
        <v>219</v>
      </c>
      <c r="C223" s="27"/>
      <c r="D223" s="27"/>
      <c r="E223" s="27"/>
      <c r="F223" s="54"/>
      <c r="G223" s="54"/>
      <c r="H223" s="54"/>
      <c r="I223" s="54"/>
      <c r="J223" s="54" t="str">
        <f ca="1">IF(F223="","",OFFSET(分類!$B$29,MATCH(F223,分類!$A$30:$A$46,0),0))</f>
        <v/>
      </c>
      <c r="K223" s="54" t="str">
        <f t="shared" si="9"/>
        <v/>
      </c>
      <c r="L223" s="69">
        <v>218</v>
      </c>
      <c r="M223" s="54">
        <f t="shared" si="10"/>
        <v>218</v>
      </c>
    </row>
    <row r="224" spans="2:13">
      <c r="B224" s="27">
        <f t="shared" si="11"/>
        <v>220</v>
      </c>
      <c r="C224" s="27"/>
      <c r="D224" s="27"/>
      <c r="E224" s="27"/>
      <c r="F224" s="54"/>
      <c r="G224" s="54"/>
      <c r="H224" s="54"/>
      <c r="I224" s="54"/>
      <c r="J224" s="54" t="str">
        <f ca="1">IF(F224="","",OFFSET(分類!$B$29,MATCH(F224,分類!$A$30:$A$46,0),0))</f>
        <v/>
      </c>
      <c r="K224" s="54" t="str">
        <f t="shared" si="9"/>
        <v/>
      </c>
      <c r="L224" s="69">
        <v>219</v>
      </c>
      <c r="M224" s="54">
        <f t="shared" si="10"/>
        <v>219</v>
      </c>
    </row>
    <row r="225" spans="2:13">
      <c r="B225" s="27">
        <f t="shared" si="11"/>
        <v>221</v>
      </c>
      <c r="C225" s="27"/>
      <c r="D225" s="27"/>
      <c r="E225" s="27"/>
      <c r="F225" s="54"/>
      <c r="G225" s="54"/>
      <c r="H225" s="54"/>
      <c r="I225" s="54"/>
      <c r="J225" s="54" t="str">
        <f ca="1">IF(F225="","",OFFSET(分類!$B$29,MATCH(F225,分類!$A$30:$A$46,0),0))</f>
        <v/>
      </c>
      <c r="K225" s="54" t="str">
        <f t="shared" si="9"/>
        <v/>
      </c>
      <c r="L225" s="69">
        <v>220</v>
      </c>
      <c r="M225" s="54">
        <f t="shared" si="10"/>
        <v>220</v>
      </c>
    </row>
    <row r="226" spans="2:13">
      <c r="B226" s="27">
        <f t="shared" si="11"/>
        <v>222</v>
      </c>
      <c r="C226" s="27"/>
      <c r="D226" s="27"/>
      <c r="E226" s="27"/>
      <c r="F226" s="54"/>
      <c r="G226" s="54"/>
      <c r="H226" s="54"/>
      <c r="I226" s="54"/>
      <c r="J226" s="54" t="str">
        <f ca="1">IF(F226="","",OFFSET(分類!$B$29,MATCH(F226,分類!$A$30:$A$46,0),0))</f>
        <v/>
      </c>
      <c r="K226" s="54" t="str">
        <f t="shared" si="9"/>
        <v/>
      </c>
      <c r="L226" s="69">
        <v>221</v>
      </c>
      <c r="M226" s="54">
        <f t="shared" si="10"/>
        <v>221</v>
      </c>
    </row>
    <row r="227" spans="2:13">
      <c r="B227" s="27">
        <f t="shared" si="11"/>
        <v>223</v>
      </c>
      <c r="C227" s="27"/>
      <c r="D227" s="27"/>
      <c r="E227" s="27"/>
      <c r="F227" s="54"/>
      <c r="G227" s="54"/>
      <c r="H227" s="54"/>
      <c r="I227" s="54"/>
      <c r="J227" s="54" t="str">
        <f ca="1">IF(F227="","",OFFSET(分類!$B$29,MATCH(F227,分類!$A$30:$A$46,0),0))</f>
        <v/>
      </c>
      <c r="K227" s="54" t="str">
        <f t="shared" si="9"/>
        <v/>
      </c>
      <c r="L227" s="69">
        <v>222</v>
      </c>
      <c r="M227" s="54">
        <f t="shared" si="10"/>
        <v>222</v>
      </c>
    </row>
    <row r="228" spans="2:13">
      <c r="B228" s="27">
        <f t="shared" si="11"/>
        <v>224</v>
      </c>
      <c r="C228" s="27"/>
      <c r="D228" s="27"/>
      <c r="E228" s="27"/>
      <c r="F228" s="54"/>
      <c r="G228" s="54"/>
      <c r="H228" s="54"/>
      <c r="I228" s="54"/>
      <c r="J228" s="54" t="str">
        <f ca="1">IF(F228="","",OFFSET(分類!$B$29,MATCH(F228,分類!$A$30:$A$46,0),0))</f>
        <v/>
      </c>
      <c r="K228" s="54" t="str">
        <f t="shared" si="9"/>
        <v/>
      </c>
      <c r="L228" s="69">
        <v>223</v>
      </c>
      <c r="M228" s="54">
        <f t="shared" si="10"/>
        <v>223</v>
      </c>
    </row>
    <row r="229" spans="2:13">
      <c r="B229" s="27">
        <f t="shared" si="11"/>
        <v>225</v>
      </c>
      <c r="C229" s="27"/>
      <c r="D229" s="27"/>
      <c r="E229" s="27"/>
      <c r="F229" s="54"/>
      <c r="G229" s="54"/>
      <c r="H229" s="54"/>
      <c r="I229" s="54"/>
      <c r="J229" s="54" t="str">
        <f ca="1">IF(F229="","",OFFSET(分類!$B$29,MATCH(F229,分類!$A$30:$A$46,0),0))</f>
        <v/>
      </c>
      <c r="K229" s="54" t="str">
        <f t="shared" si="9"/>
        <v/>
      </c>
      <c r="L229" s="69">
        <v>224</v>
      </c>
      <c r="M229" s="54">
        <f t="shared" si="10"/>
        <v>224</v>
      </c>
    </row>
    <row r="230" spans="2:13">
      <c r="B230" s="27">
        <f t="shared" si="11"/>
        <v>226</v>
      </c>
      <c r="C230" s="27"/>
      <c r="D230" s="27"/>
      <c r="E230" s="27"/>
      <c r="F230" s="54"/>
      <c r="G230" s="54"/>
      <c r="H230" s="54"/>
      <c r="I230" s="54"/>
      <c r="J230" s="54" t="str">
        <f ca="1">IF(F230="","",OFFSET(分類!$B$29,MATCH(F230,分類!$A$30:$A$46,0),0))</f>
        <v/>
      </c>
      <c r="K230" s="54" t="str">
        <f t="shared" si="9"/>
        <v/>
      </c>
      <c r="L230" s="69">
        <v>225</v>
      </c>
      <c r="M230" s="54">
        <f t="shared" si="10"/>
        <v>225</v>
      </c>
    </row>
    <row r="231" spans="2:13">
      <c r="B231" s="27">
        <f t="shared" si="11"/>
        <v>227</v>
      </c>
      <c r="C231" s="27"/>
      <c r="D231" s="27"/>
      <c r="E231" s="27"/>
      <c r="F231" s="54"/>
      <c r="G231" s="54"/>
      <c r="H231" s="54"/>
      <c r="I231" s="54"/>
      <c r="J231" s="54" t="str">
        <f ca="1">IF(F231="","",OFFSET(分類!$B$29,MATCH(F231,分類!$A$30:$A$46,0),0))</f>
        <v/>
      </c>
      <c r="K231" s="54" t="str">
        <f t="shared" si="9"/>
        <v/>
      </c>
      <c r="L231" s="69">
        <v>226</v>
      </c>
      <c r="M231" s="54">
        <f t="shared" si="10"/>
        <v>226</v>
      </c>
    </row>
    <row r="232" spans="2:13">
      <c r="B232" s="27">
        <f t="shared" si="11"/>
        <v>228</v>
      </c>
      <c r="C232" s="27"/>
      <c r="D232" s="27"/>
      <c r="E232" s="27"/>
      <c r="F232" s="54"/>
      <c r="G232" s="54"/>
      <c r="H232" s="54"/>
      <c r="I232" s="54"/>
      <c r="J232" s="54" t="str">
        <f ca="1">IF(F232="","",OFFSET(分類!$B$29,MATCH(F232,分類!$A$30:$A$46,0),0))</f>
        <v/>
      </c>
      <c r="K232" s="54" t="str">
        <f t="shared" si="9"/>
        <v/>
      </c>
      <c r="L232" s="69">
        <v>227</v>
      </c>
      <c r="M232" s="54">
        <f t="shared" si="10"/>
        <v>227</v>
      </c>
    </row>
    <row r="233" spans="2:13">
      <c r="B233" s="27">
        <f t="shared" si="11"/>
        <v>229</v>
      </c>
      <c r="C233" s="27"/>
      <c r="D233" s="27"/>
      <c r="E233" s="27"/>
      <c r="F233" s="54"/>
      <c r="G233" s="54"/>
      <c r="H233" s="54"/>
      <c r="I233" s="54"/>
      <c r="J233" s="54" t="str">
        <f ca="1">IF(F233="","",OFFSET(分類!$B$29,MATCH(F233,分類!$A$30:$A$46,0),0))</f>
        <v/>
      </c>
      <c r="K233" s="54" t="str">
        <f t="shared" si="9"/>
        <v/>
      </c>
      <c r="L233" s="69">
        <v>228</v>
      </c>
      <c r="M233" s="54">
        <f t="shared" si="10"/>
        <v>228</v>
      </c>
    </row>
    <row r="234" spans="2:13">
      <c r="B234" s="27">
        <f t="shared" si="11"/>
        <v>230</v>
      </c>
      <c r="C234" s="27"/>
      <c r="D234" s="27"/>
      <c r="E234" s="27"/>
      <c r="F234" s="54"/>
      <c r="G234" s="54"/>
      <c r="H234" s="54"/>
      <c r="I234" s="54"/>
      <c r="J234" s="54" t="str">
        <f ca="1">IF(F234="","",OFFSET(分類!$B$29,MATCH(F234,分類!$A$30:$A$46,0),0))</f>
        <v/>
      </c>
      <c r="K234" s="54" t="str">
        <f t="shared" si="9"/>
        <v/>
      </c>
      <c r="L234" s="69">
        <v>229</v>
      </c>
      <c r="M234" s="54">
        <f t="shared" si="10"/>
        <v>229</v>
      </c>
    </row>
    <row r="235" spans="2:13">
      <c r="B235" s="27">
        <f t="shared" si="11"/>
        <v>231</v>
      </c>
      <c r="C235" s="27"/>
      <c r="D235" s="27"/>
      <c r="E235" s="27"/>
      <c r="F235" s="54"/>
      <c r="G235" s="54"/>
      <c r="H235" s="54"/>
      <c r="I235" s="54"/>
      <c r="J235" s="54" t="str">
        <f ca="1">IF(F235="","",OFFSET(分類!$B$29,MATCH(F235,分類!$A$30:$A$46,0),0))</f>
        <v/>
      </c>
      <c r="K235" s="54" t="str">
        <f t="shared" si="9"/>
        <v/>
      </c>
      <c r="L235" s="69">
        <v>230</v>
      </c>
      <c r="M235" s="54">
        <f t="shared" si="10"/>
        <v>230</v>
      </c>
    </row>
    <row r="236" spans="2:13">
      <c r="B236" s="27">
        <f t="shared" si="11"/>
        <v>232</v>
      </c>
      <c r="C236" s="27"/>
      <c r="D236" s="27"/>
      <c r="E236" s="27"/>
      <c r="F236" s="54"/>
      <c r="G236" s="54"/>
      <c r="H236" s="54"/>
      <c r="I236" s="54"/>
      <c r="J236" s="54" t="str">
        <f ca="1">IF(F236="","",OFFSET(分類!$B$29,MATCH(F236,分類!$A$30:$A$46,0),0))</f>
        <v/>
      </c>
      <c r="K236" s="54" t="str">
        <f t="shared" si="9"/>
        <v/>
      </c>
      <c r="L236" s="69">
        <v>231</v>
      </c>
      <c r="M236" s="54">
        <f t="shared" si="10"/>
        <v>231</v>
      </c>
    </row>
    <row r="237" spans="2:13">
      <c r="B237" s="27">
        <f t="shared" si="11"/>
        <v>233</v>
      </c>
      <c r="C237" s="27"/>
      <c r="D237" s="27"/>
      <c r="E237" s="27"/>
      <c r="F237" s="54"/>
      <c r="G237" s="54"/>
      <c r="H237" s="54"/>
      <c r="I237" s="54"/>
      <c r="J237" s="54" t="str">
        <f ca="1">IF(F237="","",OFFSET(分類!$B$29,MATCH(F237,分類!$A$30:$A$46,0),0))</f>
        <v/>
      </c>
      <c r="K237" s="54" t="str">
        <f t="shared" si="9"/>
        <v/>
      </c>
      <c r="L237" s="69">
        <v>232</v>
      </c>
      <c r="M237" s="54">
        <f t="shared" si="10"/>
        <v>232</v>
      </c>
    </row>
    <row r="238" spans="2:13">
      <c r="B238" s="27">
        <f t="shared" si="11"/>
        <v>234</v>
      </c>
      <c r="C238" s="27"/>
      <c r="D238" s="27"/>
      <c r="E238" s="27"/>
      <c r="F238" s="54"/>
      <c r="G238" s="54"/>
      <c r="H238" s="54"/>
      <c r="I238" s="54"/>
      <c r="J238" s="54" t="str">
        <f ca="1">IF(F238="","",OFFSET(分類!$B$29,MATCH(F238,分類!$A$30:$A$46,0),0))</f>
        <v/>
      </c>
      <c r="K238" s="54" t="str">
        <f t="shared" si="9"/>
        <v/>
      </c>
      <c r="L238" s="69">
        <v>233</v>
      </c>
      <c r="M238" s="54">
        <f t="shared" si="10"/>
        <v>233</v>
      </c>
    </row>
    <row r="239" spans="2:13">
      <c r="B239" s="27">
        <f t="shared" si="11"/>
        <v>235</v>
      </c>
      <c r="C239" s="27"/>
      <c r="D239" s="27"/>
      <c r="E239" s="27"/>
      <c r="F239" s="54"/>
      <c r="G239" s="54"/>
      <c r="H239" s="54"/>
      <c r="I239" s="54"/>
      <c r="J239" s="54" t="str">
        <f ca="1">IF(F239="","",OFFSET(分類!$B$29,MATCH(F239,分類!$A$30:$A$46,0),0))</f>
        <v/>
      </c>
      <c r="K239" s="54" t="str">
        <f t="shared" si="9"/>
        <v/>
      </c>
      <c r="L239" s="69">
        <v>234</v>
      </c>
      <c r="M239" s="54">
        <f t="shared" si="10"/>
        <v>234</v>
      </c>
    </row>
    <row r="240" spans="2:13">
      <c r="B240" s="27">
        <f t="shared" si="11"/>
        <v>236</v>
      </c>
      <c r="C240" s="27"/>
      <c r="D240" s="27"/>
      <c r="E240" s="27"/>
      <c r="F240" s="54"/>
      <c r="G240" s="54"/>
      <c r="H240" s="54"/>
      <c r="I240" s="54"/>
      <c r="J240" s="54" t="str">
        <f ca="1">IF(F240="","",OFFSET(分類!$B$29,MATCH(F240,分類!$A$30:$A$46,0),0))</f>
        <v/>
      </c>
      <c r="K240" s="54" t="str">
        <f t="shared" si="9"/>
        <v/>
      </c>
      <c r="L240" s="69">
        <v>235</v>
      </c>
      <c r="M240" s="54">
        <f t="shared" si="10"/>
        <v>235</v>
      </c>
    </row>
    <row r="241" spans="2:13">
      <c r="B241" s="27">
        <f t="shared" si="11"/>
        <v>237</v>
      </c>
      <c r="C241" s="27"/>
      <c r="D241" s="27"/>
      <c r="E241" s="27"/>
      <c r="F241" s="54"/>
      <c r="G241" s="54"/>
      <c r="H241" s="54"/>
      <c r="I241" s="54"/>
      <c r="J241" s="54" t="str">
        <f ca="1">IF(F241="","",OFFSET(分類!$B$29,MATCH(F241,分類!$A$30:$A$46,0),0))</f>
        <v/>
      </c>
      <c r="K241" s="54" t="str">
        <f t="shared" si="9"/>
        <v/>
      </c>
      <c r="L241" s="69">
        <v>236</v>
      </c>
      <c r="M241" s="54">
        <f t="shared" si="10"/>
        <v>236</v>
      </c>
    </row>
    <row r="242" spans="2:13">
      <c r="B242" s="27">
        <f t="shared" si="11"/>
        <v>238</v>
      </c>
      <c r="C242" s="27"/>
      <c r="D242" s="27"/>
      <c r="E242" s="27"/>
      <c r="F242" s="54"/>
      <c r="G242" s="54"/>
      <c r="H242" s="54"/>
      <c r="I242" s="54"/>
      <c r="J242" s="54" t="str">
        <f ca="1">IF(F242="","",OFFSET(分類!$B$29,MATCH(F242,分類!$A$30:$A$46,0),0))</f>
        <v/>
      </c>
      <c r="K242" s="54" t="str">
        <f t="shared" si="9"/>
        <v/>
      </c>
      <c r="L242" s="69">
        <v>237</v>
      </c>
      <c r="M242" s="54">
        <f t="shared" si="10"/>
        <v>237</v>
      </c>
    </row>
    <row r="243" spans="2:13">
      <c r="B243" s="27">
        <f t="shared" si="11"/>
        <v>239</v>
      </c>
      <c r="C243" s="27"/>
      <c r="D243" s="27"/>
      <c r="E243" s="27"/>
      <c r="F243" s="54"/>
      <c r="G243" s="54"/>
      <c r="H243" s="54"/>
      <c r="I243" s="54"/>
      <c r="J243" s="54" t="str">
        <f ca="1">IF(F243="","",OFFSET(分類!$B$29,MATCH(F243,分類!$A$30:$A$46,0),0))</f>
        <v/>
      </c>
      <c r="K243" s="54" t="str">
        <f t="shared" si="9"/>
        <v/>
      </c>
      <c r="L243" s="69">
        <v>238</v>
      </c>
      <c r="M243" s="54">
        <f t="shared" si="10"/>
        <v>238</v>
      </c>
    </row>
    <row r="244" spans="2:13">
      <c r="B244" s="27">
        <f t="shared" si="11"/>
        <v>240</v>
      </c>
      <c r="C244" s="27"/>
      <c r="D244" s="27"/>
      <c r="E244" s="27"/>
      <c r="F244" s="54"/>
      <c r="G244" s="54"/>
      <c r="H244" s="54"/>
      <c r="I244" s="54"/>
      <c r="J244" s="54" t="str">
        <f ca="1">IF(F244="","",OFFSET(分類!$B$29,MATCH(F244,分類!$A$30:$A$46,0),0))</f>
        <v/>
      </c>
      <c r="K244" s="54" t="str">
        <f t="shared" si="9"/>
        <v/>
      </c>
      <c r="L244" s="69">
        <v>239</v>
      </c>
      <c r="M244" s="54">
        <f t="shared" si="10"/>
        <v>239</v>
      </c>
    </row>
    <row r="245" spans="2:13">
      <c r="B245" s="27">
        <f t="shared" si="11"/>
        <v>241</v>
      </c>
      <c r="C245" s="27"/>
      <c r="D245" s="27"/>
      <c r="E245" s="27"/>
      <c r="F245" s="54"/>
      <c r="G245" s="54"/>
      <c r="H245" s="54"/>
      <c r="I245" s="54"/>
      <c r="J245" s="54" t="str">
        <f ca="1">IF(F245="","",OFFSET(分類!$B$29,MATCH(F245,分類!$A$30:$A$46,0),0))</f>
        <v/>
      </c>
      <c r="K245" s="54" t="str">
        <f t="shared" si="9"/>
        <v/>
      </c>
      <c r="L245" s="69">
        <v>240</v>
      </c>
      <c r="M245" s="54">
        <f t="shared" si="10"/>
        <v>240</v>
      </c>
    </row>
    <row r="246" spans="2:13">
      <c r="B246" s="27">
        <f t="shared" si="11"/>
        <v>242</v>
      </c>
      <c r="C246" s="27"/>
      <c r="D246" s="27"/>
      <c r="E246" s="27"/>
      <c r="F246" s="54"/>
      <c r="G246" s="54"/>
      <c r="H246" s="54"/>
      <c r="I246" s="54"/>
      <c r="J246" s="54" t="str">
        <f ca="1">IF(F246="","",OFFSET(分類!$B$29,MATCH(F246,分類!$A$30:$A$46,0),0))</f>
        <v/>
      </c>
      <c r="K246" s="54" t="str">
        <f t="shared" si="9"/>
        <v/>
      </c>
      <c r="L246" s="69">
        <v>241</v>
      </c>
      <c r="M246" s="54">
        <f t="shared" si="10"/>
        <v>241</v>
      </c>
    </row>
    <row r="247" spans="2:13">
      <c r="B247" s="27">
        <f t="shared" si="11"/>
        <v>243</v>
      </c>
      <c r="C247" s="27"/>
      <c r="D247" s="27"/>
      <c r="E247" s="27"/>
      <c r="F247" s="54"/>
      <c r="G247" s="54"/>
      <c r="H247" s="54"/>
      <c r="I247" s="54"/>
      <c r="J247" s="54" t="str">
        <f ca="1">IF(F247="","",OFFSET(分類!$B$29,MATCH(F247,分類!$A$30:$A$46,0),0))</f>
        <v/>
      </c>
      <c r="K247" s="54" t="str">
        <f t="shared" si="9"/>
        <v/>
      </c>
      <c r="L247" s="69">
        <v>242</v>
      </c>
      <c r="M247" s="54">
        <f t="shared" si="10"/>
        <v>242</v>
      </c>
    </row>
    <row r="248" spans="2:13">
      <c r="B248" s="27">
        <f t="shared" si="11"/>
        <v>244</v>
      </c>
      <c r="C248" s="27"/>
      <c r="D248" s="27"/>
      <c r="E248" s="27"/>
      <c r="F248" s="54"/>
      <c r="G248" s="54"/>
      <c r="H248" s="54"/>
      <c r="I248" s="54"/>
      <c r="J248" s="54" t="str">
        <f ca="1">IF(F248="","",OFFSET(分類!$B$29,MATCH(F248,分類!$A$30:$A$46,0),0))</f>
        <v/>
      </c>
      <c r="K248" s="54" t="str">
        <f t="shared" si="9"/>
        <v/>
      </c>
      <c r="L248" s="69">
        <v>243</v>
      </c>
      <c r="M248" s="54">
        <f t="shared" si="10"/>
        <v>243</v>
      </c>
    </row>
    <row r="249" spans="2:13">
      <c r="B249" s="27">
        <f t="shared" si="11"/>
        <v>245</v>
      </c>
      <c r="C249" s="27"/>
      <c r="D249" s="27"/>
      <c r="E249" s="27"/>
      <c r="F249" s="54"/>
      <c r="G249" s="54"/>
      <c r="H249" s="54"/>
      <c r="I249" s="54"/>
      <c r="J249" s="54" t="str">
        <f ca="1">IF(F249="","",OFFSET(分類!$B$29,MATCH(F249,分類!$A$30:$A$46,0),0))</f>
        <v/>
      </c>
      <c r="K249" s="54" t="str">
        <f t="shared" si="9"/>
        <v/>
      </c>
      <c r="L249" s="69">
        <v>244</v>
      </c>
      <c r="M249" s="54">
        <f t="shared" si="10"/>
        <v>244</v>
      </c>
    </row>
    <row r="250" spans="2:13">
      <c r="B250" s="27">
        <f t="shared" si="11"/>
        <v>246</v>
      </c>
      <c r="C250" s="27"/>
      <c r="D250" s="27"/>
      <c r="E250" s="27"/>
      <c r="F250" s="54"/>
      <c r="G250" s="54"/>
      <c r="H250" s="54"/>
      <c r="I250" s="54"/>
      <c r="J250" s="54" t="str">
        <f ca="1">IF(F250="","",OFFSET(分類!$B$29,MATCH(F250,分類!$A$30:$A$46,0),0))</f>
        <v/>
      </c>
      <c r="K250" s="54" t="str">
        <f t="shared" si="9"/>
        <v/>
      </c>
      <c r="L250" s="69">
        <v>245</v>
      </c>
      <c r="M250" s="54">
        <f t="shared" si="10"/>
        <v>245</v>
      </c>
    </row>
    <row r="251" spans="2:13">
      <c r="B251" s="27">
        <f t="shared" si="11"/>
        <v>247</v>
      </c>
      <c r="C251" s="27"/>
      <c r="D251" s="27"/>
      <c r="E251" s="27"/>
      <c r="F251" s="54"/>
      <c r="G251" s="54"/>
      <c r="H251" s="54"/>
      <c r="I251" s="54"/>
      <c r="J251" s="54" t="str">
        <f ca="1">IF(F251="","",OFFSET(分類!$B$29,MATCH(F251,分類!$A$30:$A$46,0),0))</f>
        <v/>
      </c>
      <c r="K251" s="54" t="str">
        <f t="shared" si="9"/>
        <v/>
      </c>
      <c r="L251" s="69">
        <v>246</v>
      </c>
      <c r="M251" s="54">
        <f t="shared" si="10"/>
        <v>246</v>
      </c>
    </row>
    <row r="252" spans="2:13">
      <c r="B252" s="27">
        <f t="shared" si="11"/>
        <v>248</v>
      </c>
      <c r="C252" s="27"/>
      <c r="D252" s="27"/>
      <c r="E252" s="27"/>
      <c r="F252" s="54"/>
      <c r="G252" s="54"/>
      <c r="H252" s="54"/>
      <c r="I252" s="54"/>
      <c r="J252" s="54" t="str">
        <f ca="1">IF(F252="","",OFFSET(分類!$B$29,MATCH(F252,分類!$A$30:$A$46,0),0))</f>
        <v/>
      </c>
      <c r="K252" s="54" t="str">
        <f t="shared" si="9"/>
        <v/>
      </c>
      <c r="L252" s="69">
        <v>247</v>
      </c>
      <c r="M252" s="54">
        <f t="shared" si="10"/>
        <v>247</v>
      </c>
    </row>
    <row r="253" spans="2:13">
      <c r="B253" s="27">
        <f t="shared" si="11"/>
        <v>249</v>
      </c>
      <c r="C253" s="27"/>
      <c r="D253" s="27"/>
      <c r="E253" s="27"/>
      <c r="F253" s="54"/>
      <c r="G253" s="54"/>
      <c r="H253" s="54"/>
      <c r="I253" s="54"/>
      <c r="J253" s="54" t="str">
        <f ca="1">IF(F253="","",OFFSET(分類!$B$29,MATCH(F253,分類!$A$30:$A$46,0),0))</f>
        <v/>
      </c>
      <c r="K253" s="54" t="str">
        <f t="shared" si="9"/>
        <v/>
      </c>
      <c r="L253" s="69">
        <v>248</v>
      </c>
      <c r="M253" s="54">
        <f t="shared" si="10"/>
        <v>248</v>
      </c>
    </row>
    <row r="254" spans="2:13">
      <c r="B254" s="27">
        <f t="shared" si="11"/>
        <v>250</v>
      </c>
      <c r="C254" s="27"/>
      <c r="D254" s="27"/>
      <c r="E254" s="27"/>
      <c r="F254" s="54"/>
      <c r="G254" s="54"/>
      <c r="H254" s="54"/>
      <c r="I254" s="54"/>
      <c r="J254" s="54" t="str">
        <f ca="1">IF(F254="","",OFFSET(分類!$B$29,MATCH(F254,分類!$A$30:$A$46,0),0))</f>
        <v/>
      </c>
      <c r="K254" s="54" t="str">
        <f t="shared" si="9"/>
        <v/>
      </c>
      <c r="L254" s="69">
        <v>249</v>
      </c>
      <c r="M254" s="54">
        <f t="shared" si="10"/>
        <v>249</v>
      </c>
    </row>
    <row r="255" spans="2:13">
      <c r="B255" s="27">
        <f t="shared" si="11"/>
        <v>251</v>
      </c>
      <c r="C255" s="27"/>
      <c r="D255" s="27"/>
      <c r="E255" s="27"/>
      <c r="F255" s="54"/>
      <c r="G255" s="54"/>
      <c r="H255" s="54"/>
      <c r="I255" s="54"/>
      <c r="J255" s="54" t="str">
        <f ca="1">IF(F255="","",OFFSET(分類!$B$29,MATCH(F255,分類!$A$30:$A$46,0),0))</f>
        <v/>
      </c>
      <c r="K255" s="54" t="str">
        <f t="shared" si="9"/>
        <v/>
      </c>
      <c r="L255" s="69">
        <v>250</v>
      </c>
      <c r="M255" s="54">
        <f t="shared" si="10"/>
        <v>250</v>
      </c>
    </row>
    <row r="256" spans="2:13">
      <c r="B256" s="27">
        <f t="shared" si="11"/>
        <v>252</v>
      </c>
      <c r="C256" s="27"/>
      <c r="D256" s="27"/>
      <c r="E256" s="27"/>
      <c r="F256" s="54"/>
      <c r="G256" s="54"/>
      <c r="H256" s="54"/>
      <c r="I256" s="54"/>
      <c r="J256" s="54" t="str">
        <f ca="1">IF(F256="","",OFFSET(分類!$B$29,MATCH(F256,分類!$A$30:$A$46,0),0))</f>
        <v/>
      </c>
      <c r="K256" s="54" t="str">
        <f t="shared" si="9"/>
        <v/>
      </c>
      <c r="L256" s="69">
        <v>251</v>
      </c>
      <c r="M256" s="54">
        <f t="shared" si="10"/>
        <v>251</v>
      </c>
    </row>
    <row r="257" spans="2:13">
      <c r="B257" s="27">
        <f t="shared" si="11"/>
        <v>253</v>
      </c>
      <c r="C257" s="27"/>
      <c r="D257" s="27"/>
      <c r="E257" s="27"/>
      <c r="F257" s="54"/>
      <c r="G257" s="54"/>
      <c r="H257" s="54"/>
      <c r="I257" s="54"/>
      <c r="J257" s="54" t="str">
        <f ca="1">IF(F257="","",OFFSET(分類!$B$29,MATCH(F257,分類!$A$30:$A$46,0),0))</f>
        <v/>
      </c>
      <c r="K257" s="54" t="str">
        <f t="shared" si="9"/>
        <v/>
      </c>
      <c r="L257" s="69">
        <v>252</v>
      </c>
      <c r="M257" s="54">
        <f t="shared" si="10"/>
        <v>252</v>
      </c>
    </row>
    <row r="258" spans="2:13">
      <c r="B258" s="27">
        <f t="shared" si="11"/>
        <v>254</v>
      </c>
      <c r="C258" s="27"/>
      <c r="D258" s="27"/>
      <c r="E258" s="27"/>
      <c r="F258" s="54"/>
      <c r="G258" s="54"/>
      <c r="H258" s="54"/>
      <c r="I258" s="54"/>
      <c r="J258" s="54" t="str">
        <f ca="1">IF(F258="","",OFFSET(分類!$B$29,MATCH(F258,分類!$A$30:$A$46,0),0))</f>
        <v/>
      </c>
      <c r="K258" s="54" t="str">
        <f t="shared" si="9"/>
        <v/>
      </c>
      <c r="L258" s="69">
        <v>253</v>
      </c>
      <c r="M258" s="54">
        <f t="shared" si="10"/>
        <v>253</v>
      </c>
    </row>
    <row r="259" spans="2:13">
      <c r="B259" s="27">
        <f t="shared" si="11"/>
        <v>255</v>
      </c>
      <c r="C259" s="27"/>
      <c r="D259" s="27"/>
      <c r="E259" s="27"/>
      <c r="F259" s="54"/>
      <c r="G259" s="54"/>
      <c r="H259" s="54"/>
      <c r="I259" s="54"/>
      <c r="J259" s="54" t="str">
        <f ca="1">IF(F259="","",OFFSET(分類!$B$29,MATCH(F259,分類!$A$30:$A$46,0),0))</f>
        <v/>
      </c>
      <c r="K259" s="54" t="str">
        <f t="shared" si="9"/>
        <v/>
      </c>
      <c r="L259" s="69">
        <v>254</v>
      </c>
      <c r="M259" s="54">
        <f t="shared" si="10"/>
        <v>254</v>
      </c>
    </row>
    <row r="260" spans="2:13">
      <c r="B260" s="27">
        <f t="shared" si="11"/>
        <v>256</v>
      </c>
      <c r="C260" s="27"/>
      <c r="D260" s="27"/>
      <c r="E260" s="27"/>
      <c r="F260" s="54"/>
      <c r="G260" s="54"/>
      <c r="H260" s="54"/>
      <c r="I260" s="54"/>
      <c r="J260" s="54" t="str">
        <f ca="1">IF(F260="","",OFFSET(分類!$B$29,MATCH(F260,分類!$A$30:$A$46,0),0))</f>
        <v/>
      </c>
      <c r="K260" s="54" t="str">
        <f t="shared" si="9"/>
        <v/>
      </c>
      <c r="L260" s="69">
        <v>255</v>
      </c>
      <c r="M260" s="54">
        <f t="shared" si="10"/>
        <v>255</v>
      </c>
    </row>
    <row r="261" spans="2:13">
      <c r="B261" s="27">
        <f t="shared" si="11"/>
        <v>257</v>
      </c>
      <c r="C261" s="27"/>
      <c r="D261" s="27"/>
      <c r="E261" s="27"/>
      <c r="F261" s="54"/>
      <c r="G261" s="54"/>
      <c r="H261" s="54"/>
      <c r="I261" s="54"/>
      <c r="J261" s="54" t="str">
        <f ca="1">IF(F261="","",OFFSET(分類!$B$29,MATCH(F261,分類!$A$30:$A$46,0),0))</f>
        <v/>
      </c>
      <c r="K261" s="54" t="str">
        <f t="shared" si="9"/>
        <v/>
      </c>
      <c r="L261" s="69">
        <v>256</v>
      </c>
      <c r="M261" s="54">
        <f t="shared" si="10"/>
        <v>256</v>
      </c>
    </row>
    <row r="262" spans="2:13">
      <c r="B262" s="27">
        <f t="shared" si="11"/>
        <v>258</v>
      </c>
      <c r="C262" s="27"/>
      <c r="D262" s="27"/>
      <c r="E262" s="27"/>
      <c r="F262" s="54"/>
      <c r="G262" s="54"/>
      <c r="H262" s="54"/>
      <c r="I262" s="54"/>
      <c r="J262" s="54" t="str">
        <f ca="1">IF(F262="","",OFFSET(分類!$B$29,MATCH(F262,分類!$A$30:$A$46,0),0))</f>
        <v/>
      </c>
      <c r="K262" s="54" t="str">
        <f t="shared" ref="K262:K304" si="12">IF(G262="粉",VALUE(SUBSTITUTE(SUBSTITUTE(LEFT(H262, FIND("ｇ", H262) - 1), "．", "."), "　", "")),"")</f>
        <v/>
      </c>
      <c r="L262" s="69">
        <v>257</v>
      </c>
      <c r="M262" s="54">
        <f t="shared" ref="M262:M304" si="13">IF(K262="",L262,K262*L262)</f>
        <v>257</v>
      </c>
    </row>
    <row r="263" spans="2:13">
      <c r="B263" s="27">
        <f t="shared" ref="B263:B304" si="14">B262+1</f>
        <v>259</v>
      </c>
      <c r="C263" s="27"/>
      <c r="D263" s="27"/>
      <c r="E263" s="27"/>
      <c r="F263" s="54"/>
      <c r="G263" s="54"/>
      <c r="H263" s="54"/>
      <c r="I263" s="54"/>
      <c r="J263" s="54" t="str">
        <f ca="1">IF(F263="","",OFFSET(分類!$B$29,MATCH(F263,分類!$A$30:$A$46,0),0))</f>
        <v/>
      </c>
      <c r="K263" s="54" t="str">
        <f t="shared" si="12"/>
        <v/>
      </c>
      <c r="L263" s="69">
        <v>258</v>
      </c>
      <c r="M263" s="54">
        <f t="shared" si="13"/>
        <v>258</v>
      </c>
    </row>
    <row r="264" spans="2:13">
      <c r="B264" s="27">
        <f t="shared" si="14"/>
        <v>260</v>
      </c>
      <c r="C264" s="27"/>
      <c r="D264" s="27"/>
      <c r="E264" s="27"/>
      <c r="F264" s="54"/>
      <c r="G264" s="54"/>
      <c r="H264" s="54"/>
      <c r="I264" s="54"/>
      <c r="J264" s="54" t="str">
        <f ca="1">IF(F264="","",OFFSET(分類!$B$29,MATCH(F264,分類!$A$30:$A$46,0),0))</f>
        <v/>
      </c>
      <c r="K264" s="54" t="str">
        <f t="shared" si="12"/>
        <v/>
      </c>
      <c r="L264" s="69">
        <v>259</v>
      </c>
      <c r="M264" s="54">
        <f t="shared" si="13"/>
        <v>259</v>
      </c>
    </row>
    <row r="265" spans="2:13">
      <c r="B265" s="27">
        <f t="shared" si="14"/>
        <v>261</v>
      </c>
      <c r="C265" s="27"/>
      <c r="D265" s="27"/>
      <c r="E265" s="27"/>
      <c r="F265" s="54"/>
      <c r="G265" s="54"/>
      <c r="H265" s="54"/>
      <c r="I265" s="54"/>
      <c r="J265" s="54" t="str">
        <f ca="1">IF(F265="","",OFFSET(分類!$B$29,MATCH(F265,分類!$A$30:$A$46,0),0))</f>
        <v/>
      </c>
      <c r="K265" s="54" t="str">
        <f t="shared" si="12"/>
        <v/>
      </c>
      <c r="L265" s="69">
        <v>260</v>
      </c>
      <c r="M265" s="54">
        <f t="shared" si="13"/>
        <v>260</v>
      </c>
    </row>
    <row r="266" spans="2:13">
      <c r="B266" s="27">
        <f t="shared" si="14"/>
        <v>262</v>
      </c>
      <c r="C266" s="27"/>
      <c r="D266" s="27"/>
      <c r="E266" s="27"/>
      <c r="F266" s="54"/>
      <c r="G266" s="54"/>
      <c r="H266" s="54"/>
      <c r="I266" s="54"/>
      <c r="J266" s="54" t="str">
        <f ca="1">IF(F266="","",OFFSET(分類!$B$29,MATCH(F266,分類!$A$30:$A$46,0),0))</f>
        <v/>
      </c>
      <c r="K266" s="54" t="str">
        <f t="shared" si="12"/>
        <v/>
      </c>
      <c r="L266" s="69">
        <v>261</v>
      </c>
      <c r="M266" s="54">
        <f t="shared" si="13"/>
        <v>261</v>
      </c>
    </row>
    <row r="267" spans="2:13">
      <c r="B267" s="27">
        <f t="shared" si="14"/>
        <v>263</v>
      </c>
      <c r="C267" s="27"/>
      <c r="D267" s="27"/>
      <c r="E267" s="27"/>
      <c r="F267" s="54"/>
      <c r="G267" s="54"/>
      <c r="H267" s="54"/>
      <c r="I267" s="54"/>
      <c r="J267" s="54" t="str">
        <f ca="1">IF(F267="","",OFFSET(分類!$B$29,MATCH(F267,分類!$A$30:$A$46,0),0))</f>
        <v/>
      </c>
      <c r="K267" s="54" t="str">
        <f t="shared" si="12"/>
        <v/>
      </c>
      <c r="L267" s="69">
        <v>262</v>
      </c>
      <c r="M267" s="54">
        <f t="shared" si="13"/>
        <v>262</v>
      </c>
    </row>
    <row r="268" spans="2:13">
      <c r="B268" s="27">
        <f t="shared" si="14"/>
        <v>264</v>
      </c>
      <c r="C268" s="27"/>
      <c r="D268" s="27"/>
      <c r="E268" s="27"/>
      <c r="F268" s="54"/>
      <c r="G268" s="54"/>
      <c r="H268" s="54"/>
      <c r="I268" s="54"/>
      <c r="J268" s="54" t="str">
        <f ca="1">IF(F268="","",OFFSET(分類!$B$29,MATCH(F268,分類!$A$30:$A$46,0),0))</f>
        <v/>
      </c>
      <c r="K268" s="54" t="str">
        <f t="shared" si="12"/>
        <v/>
      </c>
      <c r="L268" s="69">
        <v>263</v>
      </c>
      <c r="M268" s="54">
        <f t="shared" si="13"/>
        <v>263</v>
      </c>
    </row>
    <row r="269" spans="2:13">
      <c r="B269" s="27">
        <f t="shared" si="14"/>
        <v>265</v>
      </c>
      <c r="C269" s="27"/>
      <c r="D269" s="27"/>
      <c r="E269" s="27"/>
      <c r="F269" s="54"/>
      <c r="G269" s="54"/>
      <c r="H269" s="54"/>
      <c r="I269" s="54"/>
      <c r="J269" s="54" t="str">
        <f ca="1">IF(F269="","",OFFSET(分類!$B$29,MATCH(F269,分類!$A$30:$A$46,0),0))</f>
        <v/>
      </c>
      <c r="K269" s="54" t="str">
        <f t="shared" si="12"/>
        <v/>
      </c>
      <c r="L269" s="69">
        <v>264</v>
      </c>
      <c r="M269" s="54">
        <f t="shared" si="13"/>
        <v>264</v>
      </c>
    </row>
    <row r="270" spans="2:13">
      <c r="B270" s="27">
        <f t="shared" si="14"/>
        <v>266</v>
      </c>
      <c r="C270" s="27"/>
      <c r="D270" s="27"/>
      <c r="E270" s="27"/>
      <c r="F270" s="54"/>
      <c r="G270" s="54"/>
      <c r="H270" s="54"/>
      <c r="I270" s="54"/>
      <c r="J270" s="54" t="str">
        <f ca="1">IF(F270="","",OFFSET(分類!$B$29,MATCH(F270,分類!$A$30:$A$46,0),0))</f>
        <v/>
      </c>
      <c r="K270" s="54" t="str">
        <f t="shared" si="12"/>
        <v/>
      </c>
      <c r="L270" s="69">
        <v>265</v>
      </c>
      <c r="M270" s="54">
        <f t="shared" si="13"/>
        <v>265</v>
      </c>
    </row>
    <row r="271" spans="2:13">
      <c r="B271" s="27">
        <f t="shared" si="14"/>
        <v>267</v>
      </c>
      <c r="C271" s="27"/>
      <c r="D271" s="27"/>
      <c r="E271" s="27"/>
      <c r="F271" s="54"/>
      <c r="G271" s="54"/>
      <c r="H271" s="54"/>
      <c r="I271" s="54"/>
      <c r="J271" s="54" t="str">
        <f ca="1">IF(F271="","",OFFSET(分類!$B$29,MATCH(F271,分類!$A$30:$A$46,0),0))</f>
        <v/>
      </c>
      <c r="K271" s="54" t="str">
        <f t="shared" si="12"/>
        <v/>
      </c>
      <c r="L271" s="69">
        <v>266</v>
      </c>
      <c r="M271" s="54">
        <f t="shared" si="13"/>
        <v>266</v>
      </c>
    </row>
    <row r="272" spans="2:13">
      <c r="B272" s="27">
        <f t="shared" si="14"/>
        <v>268</v>
      </c>
      <c r="C272" s="27"/>
      <c r="D272" s="27"/>
      <c r="E272" s="27"/>
      <c r="F272" s="54"/>
      <c r="G272" s="54"/>
      <c r="H272" s="54"/>
      <c r="I272" s="54"/>
      <c r="J272" s="54" t="str">
        <f ca="1">IF(F272="","",OFFSET(分類!$B$29,MATCH(F272,分類!$A$30:$A$46,0),0))</f>
        <v/>
      </c>
      <c r="K272" s="54" t="str">
        <f t="shared" si="12"/>
        <v/>
      </c>
      <c r="L272" s="69">
        <v>267</v>
      </c>
      <c r="M272" s="54">
        <f t="shared" si="13"/>
        <v>267</v>
      </c>
    </row>
    <row r="273" spans="2:13">
      <c r="B273" s="27">
        <f t="shared" si="14"/>
        <v>269</v>
      </c>
      <c r="C273" s="27"/>
      <c r="D273" s="27"/>
      <c r="E273" s="27"/>
      <c r="F273" s="54"/>
      <c r="G273" s="54"/>
      <c r="H273" s="54"/>
      <c r="I273" s="54"/>
      <c r="J273" s="54" t="str">
        <f ca="1">IF(F273="","",OFFSET(分類!$B$29,MATCH(F273,分類!$A$30:$A$46,0),0))</f>
        <v/>
      </c>
      <c r="K273" s="54" t="str">
        <f t="shared" si="12"/>
        <v/>
      </c>
      <c r="L273" s="69">
        <v>268</v>
      </c>
      <c r="M273" s="54">
        <f t="shared" si="13"/>
        <v>268</v>
      </c>
    </row>
    <row r="274" spans="2:13">
      <c r="B274" s="27">
        <f t="shared" si="14"/>
        <v>270</v>
      </c>
      <c r="C274" s="27"/>
      <c r="D274" s="27"/>
      <c r="E274" s="27"/>
      <c r="F274" s="54"/>
      <c r="G274" s="54"/>
      <c r="H274" s="54"/>
      <c r="I274" s="54"/>
      <c r="J274" s="54" t="str">
        <f ca="1">IF(F274="","",OFFSET(分類!$B$29,MATCH(F274,分類!$A$30:$A$46,0),0))</f>
        <v/>
      </c>
      <c r="K274" s="54" t="str">
        <f t="shared" si="12"/>
        <v/>
      </c>
      <c r="L274" s="69">
        <v>269</v>
      </c>
      <c r="M274" s="54">
        <f t="shared" si="13"/>
        <v>269</v>
      </c>
    </row>
    <row r="275" spans="2:13">
      <c r="B275" s="27">
        <f t="shared" si="14"/>
        <v>271</v>
      </c>
      <c r="C275" s="27"/>
      <c r="D275" s="27"/>
      <c r="E275" s="27"/>
      <c r="F275" s="54"/>
      <c r="G275" s="54"/>
      <c r="H275" s="54"/>
      <c r="I275" s="54"/>
      <c r="J275" s="54" t="str">
        <f ca="1">IF(F275="","",OFFSET(分類!$B$29,MATCH(F275,分類!$A$30:$A$46,0),0))</f>
        <v/>
      </c>
      <c r="K275" s="54" t="str">
        <f t="shared" si="12"/>
        <v/>
      </c>
      <c r="L275" s="69">
        <v>270</v>
      </c>
      <c r="M275" s="54">
        <f t="shared" si="13"/>
        <v>270</v>
      </c>
    </row>
    <row r="276" spans="2:13">
      <c r="B276" s="27">
        <f t="shared" si="14"/>
        <v>272</v>
      </c>
      <c r="C276" s="27"/>
      <c r="D276" s="27"/>
      <c r="E276" s="27"/>
      <c r="F276" s="54"/>
      <c r="G276" s="54"/>
      <c r="H276" s="54"/>
      <c r="I276" s="54"/>
      <c r="J276" s="54" t="str">
        <f ca="1">IF(F276="","",OFFSET(分類!$B$29,MATCH(F276,分類!$A$30:$A$46,0),0))</f>
        <v/>
      </c>
      <c r="K276" s="54" t="str">
        <f t="shared" si="12"/>
        <v/>
      </c>
      <c r="L276" s="69">
        <v>271</v>
      </c>
      <c r="M276" s="54">
        <f t="shared" si="13"/>
        <v>271</v>
      </c>
    </row>
    <row r="277" spans="2:13">
      <c r="B277" s="27">
        <f t="shared" si="14"/>
        <v>273</v>
      </c>
      <c r="C277" s="27"/>
      <c r="D277" s="27"/>
      <c r="E277" s="27"/>
      <c r="F277" s="54"/>
      <c r="G277" s="54"/>
      <c r="H277" s="54"/>
      <c r="I277" s="54"/>
      <c r="J277" s="54" t="str">
        <f ca="1">IF(F277="","",OFFSET(分類!$B$29,MATCH(F277,分類!$A$30:$A$46,0),0))</f>
        <v/>
      </c>
      <c r="K277" s="54" t="str">
        <f t="shared" si="12"/>
        <v/>
      </c>
      <c r="L277" s="69">
        <v>272</v>
      </c>
      <c r="M277" s="54">
        <f t="shared" si="13"/>
        <v>272</v>
      </c>
    </row>
    <row r="278" spans="2:13">
      <c r="B278" s="27">
        <f t="shared" si="14"/>
        <v>274</v>
      </c>
      <c r="C278" s="27"/>
      <c r="D278" s="27"/>
      <c r="E278" s="27"/>
      <c r="F278" s="54"/>
      <c r="G278" s="54"/>
      <c r="H278" s="54"/>
      <c r="I278" s="54"/>
      <c r="J278" s="54" t="str">
        <f ca="1">IF(F278="","",OFFSET(分類!$B$29,MATCH(F278,分類!$A$30:$A$46,0),0))</f>
        <v/>
      </c>
      <c r="K278" s="54" t="str">
        <f t="shared" si="12"/>
        <v/>
      </c>
      <c r="L278" s="69">
        <v>273</v>
      </c>
      <c r="M278" s="54">
        <f t="shared" si="13"/>
        <v>273</v>
      </c>
    </row>
    <row r="279" spans="2:13">
      <c r="B279" s="27">
        <f t="shared" si="14"/>
        <v>275</v>
      </c>
      <c r="C279" s="27"/>
      <c r="D279" s="27"/>
      <c r="E279" s="27"/>
      <c r="F279" s="54"/>
      <c r="G279" s="54"/>
      <c r="H279" s="54"/>
      <c r="I279" s="54"/>
      <c r="J279" s="54" t="str">
        <f ca="1">IF(F279="","",OFFSET(分類!$B$29,MATCH(F279,分類!$A$30:$A$46,0),0))</f>
        <v/>
      </c>
      <c r="K279" s="54" t="str">
        <f t="shared" si="12"/>
        <v/>
      </c>
      <c r="L279" s="69">
        <v>274</v>
      </c>
      <c r="M279" s="54">
        <f t="shared" si="13"/>
        <v>274</v>
      </c>
    </row>
    <row r="280" spans="2:13">
      <c r="B280" s="27">
        <f t="shared" si="14"/>
        <v>276</v>
      </c>
      <c r="C280" s="27"/>
      <c r="D280" s="27"/>
      <c r="E280" s="27"/>
      <c r="F280" s="54"/>
      <c r="G280" s="54"/>
      <c r="H280" s="54"/>
      <c r="I280" s="54"/>
      <c r="J280" s="54" t="str">
        <f ca="1">IF(F280="","",OFFSET(分類!$B$29,MATCH(F280,分類!$A$30:$A$46,0),0))</f>
        <v/>
      </c>
      <c r="K280" s="54" t="str">
        <f t="shared" si="12"/>
        <v/>
      </c>
      <c r="L280" s="69">
        <v>275</v>
      </c>
      <c r="M280" s="54">
        <f t="shared" si="13"/>
        <v>275</v>
      </c>
    </row>
    <row r="281" spans="2:13">
      <c r="B281" s="27">
        <f t="shared" si="14"/>
        <v>277</v>
      </c>
      <c r="C281" s="27"/>
      <c r="D281" s="27"/>
      <c r="E281" s="27"/>
      <c r="F281" s="54"/>
      <c r="G281" s="54"/>
      <c r="H281" s="54"/>
      <c r="I281" s="54"/>
      <c r="J281" s="54" t="str">
        <f ca="1">IF(F281="","",OFFSET(分類!$B$29,MATCH(F281,分類!$A$30:$A$46,0),0))</f>
        <v/>
      </c>
      <c r="K281" s="54" t="str">
        <f t="shared" si="12"/>
        <v/>
      </c>
      <c r="L281" s="69">
        <v>276</v>
      </c>
      <c r="M281" s="54">
        <f t="shared" si="13"/>
        <v>276</v>
      </c>
    </row>
    <row r="282" spans="2:13">
      <c r="B282" s="27">
        <f t="shared" si="14"/>
        <v>278</v>
      </c>
      <c r="C282" s="27"/>
      <c r="D282" s="27"/>
      <c r="E282" s="27"/>
      <c r="F282" s="54"/>
      <c r="G282" s="54"/>
      <c r="H282" s="54"/>
      <c r="I282" s="54"/>
      <c r="J282" s="54" t="str">
        <f ca="1">IF(F282="","",OFFSET(分類!$B$29,MATCH(F282,分類!$A$30:$A$46,0),0))</f>
        <v/>
      </c>
      <c r="K282" s="54" t="str">
        <f t="shared" si="12"/>
        <v/>
      </c>
      <c r="L282" s="69">
        <v>277</v>
      </c>
      <c r="M282" s="54">
        <f t="shared" si="13"/>
        <v>277</v>
      </c>
    </row>
    <row r="283" spans="2:13">
      <c r="B283" s="27">
        <f t="shared" si="14"/>
        <v>279</v>
      </c>
      <c r="C283" s="27"/>
      <c r="D283" s="27"/>
      <c r="E283" s="27"/>
      <c r="F283" s="54"/>
      <c r="G283" s="54"/>
      <c r="H283" s="54"/>
      <c r="I283" s="54"/>
      <c r="J283" s="54" t="str">
        <f ca="1">IF(F283="","",OFFSET(分類!$B$29,MATCH(F283,分類!$A$30:$A$46,0),0))</f>
        <v/>
      </c>
      <c r="K283" s="54" t="str">
        <f t="shared" si="12"/>
        <v/>
      </c>
      <c r="L283" s="69">
        <v>278</v>
      </c>
      <c r="M283" s="54">
        <f t="shared" si="13"/>
        <v>278</v>
      </c>
    </row>
    <row r="284" spans="2:13">
      <c r="B284" s="27">
        <f t="shared" si="14"/>
        <v>280</v>
      </c>
      <c r="C284" s="27"/>
      <c r="D284" s="27"/>
      <c r="E284" s="27"/>
      <c r="F284" s="54"/>
      <c r="G284" s="54"/>
      <c r="H284" s="54"/>
      <c r="I284" s="54"/>
      <c r="J284" s="54" t="str">
        <f ca="1">IF(F284="","",OFFSET(分類!$B$29,MATCH(F284,分類!$A$30:$A$46,0),0))</f>
        <v/>
      </c>
      <c r="K284" s="54" t="str">
        <f t="shared" si="12"/>
        <v/>
      </c>
      <c r="L284" s="69">
        <v>279</v>
      </c>
      <c r="M284" s="54">
        <f t="shared" si="13"/>
        <v>279</v>
      </c>
    </row>
    <row r="285" spans="2:13">
      <c r="B285" s="27">
        <f t="shared" si="14"/>
        <v>281</v>
      </c>
      <c r="C285" s="27"/>
      <c r="D285" s="27"/>
      <c r="E285" s="27"/>
      <c r="F285" s="54"/>
      <c r="G285" s="54"/>
      <c r="H285" s="54"/>
      <c r="I285" s="54"/>
      <c r="J285" s="54" t="str">
        <f ca="1">IF(F285="","",OFFSET(分類!$B$29,MATCH(F285,分類!$A$30:$A$46,0),0))</f>
        <v/>
      </c>
      <c r="K285" s="54" t="str">
        <f t="shared" si="12"/>
        <v/>
      </c>
      <c r="L285" s="69">
        <v>280</v>
      </c>
      <c r="M285" s="54">
        <f t="shared" si="13"/>
        <v>280</v>
      </c>
    </row>
    <row r="286" spans="2:13">
      <c r="B286" s="27">
        <f t="shared" si="14"/>
        <v>282</v>
      </c>
      <c r="C286" s="27"/>
      <c r="D286" s="27"/>
      <c r="E286" s="27"/>
      <c r="F286" s="54"/>
      <c r="G286" s="54"/>
      <c r="H286" s="54"/>
      <c r="I286" s="54"/>
      <c r="J286" s="54" t="str">
        <f ca="1">IF(F286="","",OFFSET(分類!$B$29,MATCH(F286,分類!$A$30:$A$46,0),0))</f>
        <v/>
      </c>
      <c r="K286" s="54" t="str">
        <f t="shared" si="12"/>
        <v/>
      </c>
      <c r="L286" s="69">
        <v>281</v>
      </c>
      <c r="M286" s="54">
        <f t="shared" si="13"/>
        <v>281</v>
      </c>
    </row>
    <row r="287" spans="2:13">
      <c r="B287" s="27">
        <f t="shared" si="14"/>
        <v>283</v>
      </c>
      <c r="C287" s="27"/>
      <c r="D287" s="27"/>
      <c r="E287" s="27"/>
      <c r="F287" s="54"/>
      <c r="G287" s="54"/>
      <c r="H287" s="54"/>
      <c r="I287" s="54"/>
      <c r="J287" s="54" t="str">
        <f ca="1">IF(F287="","",OFFSET(分類!$B$29,MATCH(F287,分類!$A$30:$A$46,0),0))</f>
        <v/>
      </c>
      <c r="K287" s="54" t="str">
        <f t="shared" si="12"/>
        <v/>
      </c>
      <c r="L287" s="69">
        <v>282</v>
      </c>
      <c r="M287" s="54">
        <f t="shared" si="13"/>
        <v>282</v>
      </c>
    </row>
    <row r="288" spans="2:13">
      <c r="B288" s="27">
        <f t="shared" si="14"/>
        <v>284</v>
      </c>
      <c r="C288" s="27"/>
      <c r="D288" s="27"/>
      <c r="E288" s="27"/>
      <c r="F288" s="54"/>
      <c r="G288" s="54"/>
      <c r="H288" s="54"/>
      <c r="I288" s="54"/>
      <c r="J288" s="54" t="str">
        <f ca="1">IF(F288="","",OFFSET(分類!$B$29,MATCH(F288,分類!$A$30:$A$46,0),0))</f>
        <v/>
      </c>
      <c r="K288" s="54" t="str">
        <f t="shared" si="12"/>
        <v/>
      </c>
      <c r="L288" s="69">
        <v>283</v>
      </c>
      <c r="M288" s="54">
        <f t="shared" si="13"/>
        <v>283</v>
      </c>
    </row>
    <row r="289" spans="2:13">
      <c r="B289" s="27">
        <f t="shared" si="14"/>
        <v>285</v>
      </c>
      <c r="C289" s="27"/>
      <c r="D289" s="27"/>
      <c r="E289" s="27"/>
      <c r="F289" s="54"/>
      <c r="G289" s="54"/>
      <c r="H289" s="54"/>
      <c r="I289" s="54"/>
      <c r="J289" s="54" t="str">
        <f ca="1">IF(F289="","",OFFSET(分類!$B$29,MATCH(F289,分類!$A$30:$A$46,0),0))</f>
        <v/>
      </c>
      <c r="K289" s="54" t="str">
        <f t="shared" si="12"/>
        <v/>
      </c>
      <c r="L289" s="69">
        <v>284</v>
      </c>
      <c r="M289" s="54">
        <f t="shared" si="13"/>
        <v>284</v>
      </c>
    </row>
    <row r="290" spans="2:13">
      <c r="B290" s="27">
        <f t="shared" si="14"/>
        <v>286</v>
      </c>
      <c r="C290" s="27"/>
      <c r="D290" s="27"/>
      <c r="E290" s="27"/>
      <c r="F290" s="54"/>
      <c r="G290" s="54"/>
      <c r="H290" s="54"/>
      <c r="I290" s="54"/>
      <c r="J290" s="54" t="str">
        <f ca="1">IF(F290="","",OFFSET(分類!$B$29,MATCH(F290,分類!$A$30:$A$46,0),0))</f>
        <v/>
      </c>
      <c r="K290" s="54" t="str">
        <f t="shared" si="12"/>
        <v/>
      </c>
      <c r="L290" s="69">
        <v>285</v>
      </c>
      <c r="M290" s="54">
        <f t="shared" si="13"/>
        <v>285</v>
      </c>
    </row>
    <row r="291" spans="2:13">
      <c r="B291" s="27">
        <f t="shared" si="14"/>
        <v>287</v>
      </c>
      <c r="C291" s="27"/>
      <c r="D291" s="27"/>
      <c r="E291" s="27"/>
      <c r="F291" s="54"/>
      <c r="G291" s="54"/>
      <c r="H291" s="54"/>
      <c r="I291" s="54"/>
      <c r="J291" s="54" t="str">
        <f ca="1">IF(F291="","",OFFSET(分類!$B$29,MATCH(F291,分類!$A$30:$A$46,0),0))</f>
        <v/>
      </c>
      <c r="K291" s="54" t="str">
        <f t="shared" si="12"/>
        <v/>
      </c>
      <c r="L291" s="69">
        <v>286</v>
      </c>
      <c r="M291" s="54">
        <f t="shared" si="13"/>
        <v>286</v>
      </c>
    </row>
    <row r="292" spans="2:13">
      <c r="B292" s="27">
        <f t="shared" si="14"/>
        <v>288</v>
      </c>
      <c r="C292" s="27"/>
      <c r="D292" s="27"/>
      <c r="E292" s="27"/>
      <c r="F292" s="54"/>
      <c r="G292" s="54"/>
      <c r="H292" s="54"/>
      <c r="I292" s="54"/>
      <c r="J292" s="54" t="str">
        <f ca="1">IF(F292="","",OFFSET(分類!$B$29,MATCH(F292,分類!$A$30:$A$46,0),0))</f>
        <v/>
      </c>
      <c r="K292" s="54" t="str">
        <f t="shared" si="12"/>
        <v/>
      </c>
      <c r="L292" s="69">
        <v>287</v>
      </c>
      <c r="M292" s="54">
        <f t="shared" si="13"/>
        <v>287</v>
      </c>
    </row>
    <row r="293" spans="2:13">
      <c r="B293" s="27">
        <f t="shared" si="14"/>
        <v>289</v>
      </c>
      <c r="C293" s="27"/>
      <c r="D293" s="27"/>
      <c r="E293" s="27"/>
      <c r="F293" s="54"/>
      <c r="G293" s="54"/>
      <c r="H293" s="54"/>
      <c r="I293" s="54"/>
      <c r="J293" s="54" t="str">
        <f ca="1">IF(F293="","",OFFSET(分類!$B$29,MATCH(F293,分類!$A$30:$A$46,0),0))</f>
        <v/>
      </c>
      <c r="K293" s="54" t="str">
        <f t="shared" si="12"/>
        <v/>
      </c>
      <c r="L293" s="69">
        <v>288</v>
      </c>
      <c r="M293" s="54">
        <f t="shared" si="13"/>
        <v>288</v>
      </c>
    </row>
    <row r="294" spans="2:13">
      <c r="B294" s="27">
        <f t="shared" si="14"/>
        <v>290</v>
      </c>
      <c r="C294" s="27"/>
      <c r="D294" s="27"/>
      <c r="E294" s="27"/>
      <c r="F294" s="54"/>
      <c r="G294" s="54"/>
      <c r="H294" s="54"/>
      <c r="I294" s="54"/>
      <c r="J294" s="54" t="str">
        <f ca="1">IF(F294="","",OFFSET(分類!$B$29,MATCH(F294,分類!$A$30:$A$46,0),0))</f>
        <v/>
      </c>
      <c r="K294" s="54" t="str">
        <f t="shared" si="12"/>
        <v/>
      </c>
      <c r="L294" s="69">
        <v>289</v>
      </c>
      <c r="M294" s="54">
        <f t="shared" si="13"/>
        <v>289</v>
      </c>
    </row>
    <row r="295" spans="2:13">
      <c r="B295" s="27">
        <f t="shared" si="14"/>
        <v>291</v>
      </c>
      <c r="C295" s="27"/>
      <c r="D295" s="27"/>
      <c r="E295" s="27"/>
      <c r="F295" s="54"/>
      <c r="G295" s="54"/>
      <c r="H295" s="54"/>
      <c r="I295" s="54"/>
      <c r="J295" s="54" t="str">
        <f ca="1">IF(F295="","",OFFSET(分類!$B$29,MATCH(F295,分類!$A$30:$A$46,0),0))</f>
        <v/>
      </c>
      <c r="K295" s="54" t="str">
        <f t="shared" si="12"/>
        <v/>
      </c>
      <c r="L295" s="69">
        <v>290</v>
      </c>
      <c r="M295" s="54">
        <f t="shared" si="13"/>
        <v>290</v>
      </c>
    </row>
    <row r="296" spans="2:13">
      <c r="B296" s="27">
        <f t="shared" si="14"/>
        <v>292</v>
      </c>
      <c r="C296" s="27"/>
      <c r="D296" s="27"/>
      <c r="E296" s="27"/>
      <c r="F296" s="54"/>
      <c r="G296" s="54"/>
      <c r="H296" s="54"/>
      <c r="I296" s="54"/>
      <c r="J296" s="54" t="str">
        <f ca="1">IF(F296="","",OFFSET(分類!$B$29,MATCH(F296,分類!$A$30:$A$46,0),0))</f>
        <v/>
      </c>
      <c r="K296" s="54" t="str">
        <f t="shared" si="12"/>
        <v/>
      </c>
      <c r="L296" s="69">
        <v>291</v>
      </c>
      <c r="M296" s="54">
        <f t="shared" si="13"/>
        <v>291</v>
      </c>
    </row>
    <row r="297" spans="2:13">
      <c r="B297" s="27">
        <f t="shared" si="14"/>
        <v>293</v>
      </c>
      <c r="C297" s="27"/>
      <c r="D297" s="27"/>
      <c r="E297" s="27"/>
      <c r="F297" s="54"/>
      <c r="G297" s="54"/>
      <c r="H297" s="54"/>
      <c r="I297" s="54"/>
      <c r="J297" s="54" t="str">
        <f ca="1">IF(F297="","",OFFSET(分類!$B$29,MATCH(F297,分類!$A$30:$A$46,0),0))</f>
        <v/>
      </c>
      <c r="K297" s="54" t="str">
        <f t="shared" si="12"/>
        <v/>
      </c>
      <c r="L297" s="69">
        <v>292</v>
      </c>
      <c r="M297" s="54">
        <f t="shared" si="13"/>
        <v>292</v>
      </c>
    </row>
    <row r="298" spans="2:13">
      <c r="B298" s="27">
        <f t="shared" si="14"/>
        <v>294</v>
      </c>
      <c r="C298" s="27"/>
      <c r="D298" s="27"/>
      <c r="E298" s="27"/>
      <c r="F298" s="54"/>
      <c r="G298" s="54"/>
      <c r="H298" s="54"/>
      <c r="I298" s="54"/>
      <c r="J298" s="54" t="str">
        <f ca="1">IF(F298="","",OFFSET(分類!$B$29,MATCH(F298,分類!$A$30:$A$46,0),0))</f>
        <v/>
      </c>
      <c r="K298" s="54" t="str">
        <f t="shared" si="12"/>
        <v/>
      </c>
      <c r="L298" s="69">
        <v>293</v>
      </c>
      <c r="M298" s="54">
        <f t="shared" si="13"/>
        <v>293</v>
      </c>
    </row>
    <row r="299" spans="2:13">
      <c r="B299" s="27">
        <f t="shared" si="14"/>
        <v>295</v>
      </c>
      <c r="C299" s="27"/>
      <c r="D299" s="27"/>
      <c r="E299" s="27"/>
      <c r="F299" s="54"/>
      <c r="G299" s="54"/>
      <c r="H299" s="54"/>
      <c r="I299" s="54"/>
      <c r="J299" s="54" t="str">
        <f ca="1">IF(F299="","",OFFSET(分類!$B$29,MATCH(F299,分類!$A$30:$A$46,0),0))</f>
        <v/>
      </c>
      <c r="K299" s="54" t="str">
        <f t="shared" si="12"/>
        <v/>
      </c>
      <c r="L299" s="69">
        <v>294</v>
      </c>
      <c r="M299" s="54">
        <f t="shared" si="13"/>
        <v>294</v>
      </c>
    </row>
    <row r="300" spans="2:13">
      <c r="B300" s="27">
        <f t="shared" si="14"/>
        <v>296</v>
      </c>
      <c r="C300" s="27"/>
      <c r="D300" s="27"/>
      <c r="E300" s="27"/>
      <c r="F300" s="54"/>
      <c r="G300" s="54"/>
      <c r="H300" s="54"/>
      <c r="I300" s="54"/>
      <c r="J300" s="54" t="str">
        <f ca="1">IF(F300="","",OFFSET(分類!$B$29,MATCH(F300,分類!$A$30:$A$46,0),0))</f>
        <v/>
      </c>
      <c r="K300" s="54" t="str">
        <f t="shared" si="12"/>
        <v/>
      </c>
      <c r="L300" s="69">
        <v>295</v>
      </c>
      <c r="M300" s="54">
        <f t="shared" si="13"/>
        <v>295</v>
      </c>
    </row>
    <row r="301" spans="2:13">
      <c r="B301" s="27">
        <f t="shared" si="14"/>
        <v>297</v>
      </c>
      <c r="C301" s="27"/>
      <c r="D301" s="27"/>
      <c r="E301" s="27"/>
      <c r="F301" s="54"/>
      <c r="G301" s="54"/>
      <c r="H301" s="54"/>
      <c r="I301" s="54"/>
      <c r="J301" s="54" t="str">
        <f ca="1">IF(F301="","",OFFSET(分類!$B$29,MATCH(F301,分類!$A$30:$A$46,0),0))</f>
        <v/>
      </c>
      <c r="K301" s="54" t="str">
        <f t="shared" si="12"/>
        <v/>
      </c>
      <c r="L301" s="69">
        <v>296</v>
      </c>
      <c r="M301" s="54">
        <f t="shared" si="13"/>
        <v>296</v>
      </c>
    </row>
    <row r="302" spans="2:13">
      <c r="B302" s="27">
        <f t="shared" si="14"/>
        <v>298</v>
      </c>
      <c r="C302" s="27"/>
      <c r="D302" s="27"/>
      <c r="E302" s="27"/>
      <c r="F302" s="54"/>
      <c r="G302" s="54"/>
      <c r="H302" s="54"/>
      <c r="I302" s="54"/>
      <c r="J302" s="54" t="str">
        <f ca="1">IF(F302="","",OFFSET(分類!$B$29,MATCH(F302,分類!$A$30:$A$46,0),0))</f>
        <v/>
      </c>
      <c r="K302" s="54" t="str">
        <f t="shared" si="12"/>
        <v/>
      </c>
      <c r="L302" s="69">
        <v>297</v>
      </c>
      <c r="M302" s="54">
        <f t="shared" si="13"/>
        <v>297</v>
      </c>
    </row>
    <row r="303" spans="2:13">
      <c r="B303" s="27">
        <f t="shared" si="14"/>
        <v>299</v>
      </c>
      <c r="C303" s="27"/>
      <c r="D303" s="27"/>
      <c r="E303" s="27"/>
      <c r="F303" s="54"/>
      <c r="G303" s="54"/>
      <c r="H303" s="54"/>
      <c r="I303" s="54"/>
      <c r="J303" s="54" t="str">
        <f ca="1">IF(F303="","",OFFSET(分類!$B$29,MATCH(F303,分類!$A$30:$A$46,0),0))</f>
        <v/>
      </c>
      <c r="K303" s="54" t="str">
        <f t="shared" si="12"/>
        <v/>
      </c>
      <c r="L303" s="69">
        <v>298</v>
      </c>
      <c r="M303" s="54">
        <f t="shared" si="13"/>
        <v>298</v>
      </c>
    </row>
    <row r="304" spans="2:13">
      <c r="B304" s="27">
        <f t="shared" si="14"/>
        <v>300</v>
      </c>
      <c r="C304" s="27"/>
      <c r="D304" s="27"/>
      <c r="E304" s="27"/>
      <c r="F304" s="54"/>
      <c r="G304" s="54"/>
      <c r="H304" s="54"/>
      <c r="I304" s="54"/>
      <c r="J304" s="54" t="str">
        <f ca="1">IF(F304="","",OFFSET(分類!$B$29,MATCH(F304,分類!$A$30:$A$46,0),0))</f>
        <v/>
      </c>
      <c r="K304" s="54" t="str">
        <f t="shared" si="12"/>
        <v/>
      </c>
      <c r="L304" s="69">
        <v>299</v>
      </c>
      <c r="M304" s="54">
        <f t="shared" si="13"/>
        <v>299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B2:M504"/>
  <sheetViews>
    <sheetView workbookViewId="0">
      <selection activeCell="C4" sqref="C4"/>
    </sheetView>
  </sheetViews>
  <sheetFormatPr defaultRowHeight="13.2"/>
  <cols>
    <col min="1" max="1" width="8.88671875" style="29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2:13" ht="16.2">
      <c r="B2" s="28" t="str" cm="1">
        <f t="array" aca="1" ref="B2" ca="1">RIGHT(CELL("filename",A1),LEN(CELL("filename",A1))-FIND("]",CELL("filename",A1)))</f>
        <v>錠剤</v>
      </c>
      <c r="C2" s="28"/>
    </row>
    <row r="4" spans="2:13" s="62" customFormat="1" ht="52.8">
      <c r="B4" s="61" t="s">
        <v>4038</v>
      </c>
      <c r="C4" s="61" t="s">
        <v>4228</v>
      </c>
      <c r="D4" s="61" t="s">
        <v>4039</v>
      </c>
      <c r="E4" s="61" t="s">
        <v>4040</v>
      </c>
      <c r="F4" s="61" t="s">
        <v>4216</v>
      </c>
      <c r="G4" s="61" t="s">
        <v>4063</v>
      </c>
      <c r="H4" s="61" t="s">
        <v>4064</v>
      </c>
      <c r="I4" s="61" t="s">
        <v>4219</v>
      </c>
      <c r="J4" s="61" t="s">
        <v>4222</v>
      </c>
      <c r="K4" s="61" t="s">
        <v>4224</v>
      </c>
      <c r="L4" s="61" t="s">
        <v>4225</v>
      </c>
      <c r="M4" s="61" t="s">
        <v>4226</v>
      </c>
    </row>
    <row r="5" spans="2:13">
      <c r="B5" s="27">
        <v>1</v>
      </c>
      <c r="C5" s="27" cm="1">
        <f t="array" aca="1" ref="C5:I370" ca="1">_xlfn._xlws.SORT(_xlfn.CHOOSECOLS(_xlfn._xlws.FILTER(IFERROR(統合マスタ!B2:Z1500,""),IFERROR(統合マスタ!R2:R1500=1,FALSE)*IFERROR(ISNUMBER(MATCH(統合マスタ!V2:V1500,分類!N8:N15,0)),FALSE)),1,2,23,25,4,5,10),2,1)</f>
        <v>16</v>
      </c>
      <c r="D5" s="27" t="str">
        <f ca="1"/>
        <v>２５ｍｇアリナミン　Ｆ糖衣錠</v>
      </c>
      <c r="E5" s="27">
        <f ca="1"/>
        <v>0</v>
      </c>
      <c r="F5" s="54">
        <f ca="1"/>
        <v>25</v>
      </c>
      <c r="G5" s="54" t="str">
        <f ca="1"/>
        <v>ＰＴＰ</v>
      </c>
      <c r="H5" s="54" t="str">
        <f ca="1"/>
        <v>１００Ｔ</v>
      </c>
      <c r="I5" s="54" t="str">
        <f ca="1"/>
        <v>錠</v>
      </c>
      <c r="J5" s="54" t="str">
        <f ca="1">IF(F5="","",OFFSET(分類!$B$29,MATCH(F5,分類!$A$30:$A$46,0),0))</f>
        <v>調剤棚　＆　普通薬バラ</v>
      </c>
      <c r="K5" s="69"/>
      <c r="L5" s="69">
        <v>1</v>
      </c>
      <c r="M5" s="54">
        <f>SUM(K5:L5)</f>
        <v>1</v>
      </c>
    </row>
    <row r="6" spans="2:13">
      <c r="B6" s="27">
        <f>B5+1</f>
        <v>2</v>
      </c>
      <c r="C6" s="27">
        <f ca="1"/>
        <v>27</v>
      </c>
      <c r="D6" s="27" t="str">
        <f ca="1"/>
        <v>アーチスト錠１．２５ｍｇ</v>
      </c>
      <c r="E6" s="27">
        <f ca="1"/>
        <v>0</v>
      </c>
      <c r="F6" s="54">
        <f ca="1"/>
        <v>5</v>
      </c>
      <c r="G6" s="54" t="str">
        <f ca="1"/>
        <v>ＰＴＰ</v>
      </c>
      <c r="H6" s="54" t="str">
        <f ca="1"/>
        <v>１００Ｔ</v>
      </c>
      <c r="I6" s="54" t="str">
        <f ca="1"/>
        <v>錠</v>
      </c>
      <c r="J6" s="54" t="str">
        <f ca="1">IF(F6="","",OFFSET(分類!$B$29,MATCH(F6,分類!$A$30:$A$46,0),0))</f>
        <v>普通薬バラ</v>
      </c>
      <c r="K6" s="69"/>
      <c r="L6" s="69">
        <v>2</v>
      </c>
      <c r="M6" s="54">
        <f t="shared" ref="M6:M69" si="0">SUM(K6:L6)</f>
        <v>2</v>
      </c>
    </row>
    <row r="7" spans="2:13">
      <c r="B7" s="27">
        <f t="shared" ref="B7:B70" si="1">B6+1</f>
        <v>3</v>
      </c>
      <c r="C7" s="27">
        <f ca="1"/>
        <v>37</v>
      </c>
      <c r="D7" s="27" t="str">
        <f ca="1"/>
        <v>アジスロマイシン錠２５０ｍｇ「トーワ」</v>
      </c>
      <c r="E7" s="27">
        <f ca="1"/>
        <v>0</v>
      </c>
      <c r="F7" s="54">
        <f ca="1"/>
        <v>1</v>
      </c>
      <c r="G7" s="54" t="str">
        <f ca="1"/>
        <v>ＰＴＰ</v>
      </c>
      <c r="H7" s="54" t="str">
        <f ca="1"/>
        <v>６０Ｔ</v>
      </c>
      <c r="I7" s="54" t="str">
        <f ca="1"/>
        <v>錠</v>
      </c>
      <c r="J7" s="54" t="str">
        <f ca="1">IF(F7="","",OFFSET(分類!$B$29,MATCH(F7,分類!$A$30:$A$46,0),0))</f>
        <v>調剤棚</v>
      </c>
      <c r="K7" s="69"/>
      <c r="L7" s="69">
        <v>3</v>
      </c>
      <c r="M7" s="54">
        <f t="shared" si="0"/>
        <v>3</v>
      </c>
    </row>
    <row r="8" spans="2:13">
      <c r="B8" s="27">
        <f t="shared" si="1"/>
        <v>4</v>
      </c>
      <c r="C8" s="27">
        <f ca="1"/>
        <v>38</v>
      </c>
      <c r="D8" s="27" t="str">
        <f ca="1"/>
        <v>アジルサルタンＯＤ錠２０ｍｇ「サワイ」</v>
      </c>
      <c r="E8" s="27">
        <f ca="1"/>
        <v>0</v>
      </c>
      <c r="F8" s="54">
        <f ca="1"/>
        <v>25</v>
      </c>
      <c r="G8" s="54" t="str">
        <f ca="1"/>
        <v>ＰＴＰ</v>
      </c>
      <c r="H8" s="54" t="str">
        <f ca="1"/>
        <v>１００Ｔ</v>
      </c>
      <c r="I8" s="54" t="str">
        <f ca="1"/>
        <v>錠</v>
      </c>
      <c r="J8" s="54" t="str">
        <f ca="1">IF(F8="","",OFFSET(分類!$B$29,MATCH(F8,分類!$A$30:$A$46,0),0))</f>
        <v>調剤棚　＆　普通薬バラ</v>
      </c>
      <c r="K8" s="69"/>
      <c r="L8" s="69">
        <v>4</v>
      </c>
      <c r="M8" s="54">
        <f t="shared" si="0"/>
        <v>4</v>
      </c>
    </row>
    <row r="9" spans="2:13">
      <c r="B9" s="27">
        <f t="shared" si="1"/>
        <v>5</v>
      </c>
      <c r="C9" s="27">
        <f ca="1"/>
        <v>39</v>
      </c>
      <c r="D9" s="27" t="str">
        <f ca="1"/>
        <v>アジルサルタンＯＤ錠２０ｍｇ「サワイ」</v>
      </c>
      <c r="E9" s="27">
        <f ca="1"/>
        <v>0</v>
      </c>
      <c r="F9" s="54">
        <f ca="1"/>
        <v>25</v>
      </c>
      <c r="G9" s="54" t="str">
        <f ca="1"/>
        <v>バラ</v>
      </c>
      <c r="H9" s="54" t="str">
        <f ca="1"/>
        <v>２００Ｔ</v>
      </c>
      <c r="I9" s="54" t="str">
        <f ca="1"/>
        <v>錠</v>
      </c>
      <c r="J9" s="54" t="str">
        <f ca="1">IF(F9="","",OFFSET(分類!$B$29,MATCH(F9,分類!$A$30:$A$46,0),0))</f>
        <v>調剤棚　＆　普通薬バラ</v>
      </c>
      <c r="K9" s="69"/>
      <c r="L9" s="69">
        <v>5</v>
      </c>
      <c r="M9" s="54">
        <f t="shared" si="0"/>
        <v>5</v>
      </c>
    </row>
    <row r="10" spans="2:13">
      <c r="B10" s="27">
        <f t="shared" si="1"/>
        <v>6</v>
      </c>
      <c r="C10" s="27">
        <f ca="1"/>
        <v>43</v>
      </c>
      <c r="D10" s="27" t="str">
        <f ca="1"/>
        <v>アスパラ－ＣＡ錠２００</v>
      </c>
      <c r="E10" s="27">
        <f ca="1"/>
        <v>0</v>
      </c>
      <c r="F10" s="54">
        <f ca="1"/>
        <v>25</v>
      </c>
      <c r="G10" s="54" t="str">
        <f ca="1"/>
        <v>ＰＴＰ</v>
      </c>
      <c r="H10" s="54" t="str">
        <f ca="1"/>
        <v>１００Ｔ</v>
      </c>
      <c r="I10" s="54" t="str">
        <f ca="1"/>
        <v>錠</v>
      </c>
      <c r="J10" s="54" t="str">
        <f ca="1">IF(F10="","",OFFSET(分類!$B$29,MATCH(F10,分類!$A$30:$A$46,0),0))</f>
        <v>調剤棚　＆　普通薬バラ</v>
      </c>
      <c r="K10" s="69"/>
      <c r="L10" s="69">
        <v>6</v>
      </c>
      <c r="M10" s="54">
        <f t="shared" si="0"/>
        <v>6</v>
      </c>
    </row>
    <row r="11" spans="2:13">
      <c r="B11" s="27">
        <f t="shared" si="1"/>
        <v>7</v>
      </c>
      <c r="C11" s="27">
        <f ca="1"/>
        <v>44</v>
      </c>
      <c r="D11" s="27" t="str">
        <f ca="1"/>
        <v>アスパラ－ＣＡ錠２００</v>
      </c>
      <c r="E11" s="27">
        <f ca="1"/>
        <v>0</v>
      </c>
      <c r="F11" s="54">
        <f ca="1"/>
        <v>25</v>
      </c>
      <c r="G11" s="54" t="str">
        <f ca="1"/>
        <v>バラ</v>
      </c>
      <c r="H11" s="54" t="str">
        <f ca="1"/>
        <v>５００Ｔ</v>
      </c>
      <c r="I11" s="54" t="str">
        <f ca="1"/>
        <v>錠</v>
      </c>
      <c r="J11" s="54" t="str">
        <f ca="1">IF(F11="","",OFFSET(分類!$B$29,MATCH(F11,分類!$A$30:$A$46,0),0))</f>
        <v>調剤棚　＆　普通薬バラ</v>
      </c>
      <c r="K11" s="69"/>
      <c r="L11" s="69">
        <v>7</v>
      </c>
      <c r="M11" s="54">
        <f t="shared" si="0"/>
        <v>7</v>
      </c>
    </row>
    <row r="12" spans="2:13">
      <c r="B12" s="27">
        <f t="shared" si="1"/>
        <v>8</v>
      </c>
      <c r="C12" s="27">
        <f ca="1"/>
        <v>46</v>
      </c>
      <c r="D12" s="27" t="str">
        <f ca="1"/>
        <v>アスパラカリウム錠３００ｍｇ</v>
      </c>
      <c r="E12" s="27">
        <f ca="1"/>
        <v>0</v>
      </c>
      <c r="F12" s="54">
        <f ca="1"/>
        <v>1</v>
      </c>
      <c r="G12" s="54" t="str">
        <f ca="1"/>
        <v>ＰＴＰ</v>
      </c>
      <c r="H12" s="54" t="str">
        <f ca="1"/>
        <v>１０００Ｔ</v>
      </c>
      <c r="I12" s="54" t="str">
        <f ca="1"/>
        <v>錠</v>
      </c>
      <c r="J12" s="54" t="str">
        <f ca="1">IF(F12="","",OFFSET(分類!$B$29,MATCH(F12,分類!$A$30:$A$46,0),0))</f>
        <v>調剤棚</v>
      </c>
      <c r="K12" s="69"/>
      <c r="L12" s="69">
        <v>8</v>
      </c>
      <c r="M12" s="54">
        <f t="shared" si="0"/>
        <v>8</v>
      </c>
    </row>
    <row r="13" spans="2:13">
      <c r="B13" s="27">
        <f t="shared" si="1"/>
        <v>9</v>
      </c>
      <c r="C13" s="27">
        <f ca="1"/>
        <v>47</v>
      </c>
      <c r="D13" s="27" t="str">
        <f ca="1"/>
        <v>アスパラカリウム錠３００ｍｇ</v>
      </c>
      <c r="E13" s="27">
        <f ca="1"/>
        <v>0</v>
      </c>
      <c r="F13" s="54">
        <f ca="1"/>
        <v>1</v>
      </c>
      <c r="G13" s="54" t="str">
        <f ca="1"/>
        <v>ＰＴＰ</v>
      </c>
      <c r="H13" s="54" t="str">
        <f ca="1"/>
        <v>１００Ｔ</v>
      </c>
      <c r="I13" s="54" t="str">
        <f ca="1"/>
        <v>錠</v>
      </c>
      <c r="J13" s="54" t="str">
        <f ca="1">IF(F13="","",OFFSET(分類!$B$29,MATCH(F13,分類!$A$30:$A$46,0),0))</f>
        <v>調剤棚</v>
      </c>
      <c r="K13" s="69"/>
      <c r="L13" s="69">
        <v>9</v>
      </c>
      <c r="M13" s="54">
        <f t="shared" si="0"/>
        <v>9</v>
      </c>
    </row>
    <row r="14" spans="2:13">
      <c r="B14" s="27">
        <f t="shared" si="1"/>
        <v>10</v>
      </c>
      <c r="C14" s="27">
        <f ca="1"/>
        <v>55</v>
      </c>
      <c r="D14" s="27" t="str">
        <f ca="1"/>
        <v>アダラートＣＲ錠２０ｍｇ</v>
      </c>
      <c r="E14" s="27">
        <f ca="1"/>
        <v>2</v>
      </c>
      <c r="F14" s="54">
        <f ca="1"/>
        <v>6</v>
      </c>
      <c r="G14" s="54" t="str">
        <f ca="1"/>
        <v>ＰＴＰ</v>
      </c>
      <c r="H14" s="54" t="str">
        <f ca="1"/>
        <v>１００Ｔ</v>
      </c>
      <c r="I14" s="54" t="str">
        <f ca="1"/>
        <v>錠</v>
      </c>
      <c r="J14" s="54" t="str">
        <f ca="1">IF(F14="","",OFFSET(分類!$B$29,MATCH(F14,分類!$A$30:$A$46,0),0))</f>
        <v>劇薬バラ</v>
      </c>
      <c r="K14" s="69"/>
      <c r="L14" s="69">
        <v>10</v>
      </c>
      <c r="M14" s="54">
        <f t="shared" si="0"/>
        <v>10</v>
      </c>
    </row>
    <row r="15" spans="2:13">
      <c r="B15" s="27">
        <f t="shared" si="1"/>
        <v>11</v>
      </c>
      <c r="C15" s="27">
        <f ca="1"/>
        <v>56</v>
      </c>
      <c r="D15" s="27" t="str">
        <f ca="1"/>
        <v>アタラックス錠２５ｍｇ</v>
      </c>
      <c r="E15" s="27">
        <f ca="1"/>
        <v>0</v>
      </c>
      <c r="F15" s="54">
        <f ca="1"/>
        <v>25</v>
      </c>
      <c r="G15" s="54" t="str">
        <f ca="1"/>
        <v>ＰＴＰ</v>
      </c>
      <c r="H15" s="54" t="str">
        <f ca="1"/>
        <v>１００Ｔ</v>
      </c>
      <c r="I15" s="54" t="str">
        <f ca="1"/>
        <v>錠</v>
      </c>
      <c r="J15" s="54" t="str">
        <f ca="1">IF(F15="","",OFFSET(分類!$B$29,MATCH(F15,分類!$A$30:$A$46,0),0))</f>
        <v>調剤棚　＆　普通薬バラ</v>
      </c>
      <c r="K15" s="69"/>
      <c r="L15" s="69">
        <v>11</v>
      </c>
      <c r="M15" s="54">
        <f t="shared" si="0"/>
        <v>11</v>
      </c>
    </row>
    <row r="16" spans="2:13">
      <c r="B16" s="27">
        <f t="shared" si="1"/>
        <v>12</v>
      </c>
      <c r="C16" s="27">
        <f ca="1"/>
        <v>59</v>
      </c>
      <c r="D16" s="27" t="str">
        <f ca="1"/>
        <v>アドナ錠３０ｍｇ</v>
      </c>
      <c r="E16" s="27">
        <f ca="1"/>
        <v>0</v>
      </c>
      <c r="F16" s="54">
        <f ca="1"/>
        <v>25</v>
      </c>
      <c r="G16" s="54" t="str">
        <f ca="1"/>
        <v>バラ</v>
      </c>
      <c r="H16" s="54" t="str">
        <f ca="1"/>
        <v>５００Ｔ</v>
      </c>
      <c r="I16" s="54" t="str">
        <f ca="1"/>
        <v>錠</v>
      </c>
      <c r="J16" s="54" t="str">
        <f ca="1">IF(F16="","",OFFSET(分類!$B$29,MATCH(F16,分類!$A$30:$A$46,0),0))</f>
        <v>調剤棚　＆　普通薬バラ</v>
      </c>
      <c r="K16" s="69"/>
      <c r="L16" s="69">
        <v>12</v>
      </c>
      <c r="M16" s="54">
        <f t="shared" si="0"/>
        <v>12</v>
      </c>
    </row>
    <row r="17" spans="2:13">
      <c r="B17" s="27">
        <f t="shared" si="1"/>
        <v>13</v>
      </c>
      <c r="C17" s="27">
        <f ca="1"/>
        <v>67</v>
      </c>
      <c r="D17" s="27" t="str">
        <f ca="1"/>
        <v>アトルバスタチンＯＤ錠１０ｍｇ「トーワ」</v>
      </c>
      <c r="E17" s="27">
        <f ca="1"/>
        <v>0</v>
      </c>
      <c r="F17" s="54">
        <f ca="1"/>
        <v>25</v>
      </c>
      <c r="G17" s="54" t="str">
        <f ca="1"/>
        <v>ＰＴＰ</v>
      </c>
      <c r="H17" s="54" t="str">
        <f ca="1"/>
        <v>１００Ｔ</v>
      </c>
      <c r="I17" s="54" t="str">
        <f ca="1"/>
        <v>錠</v>
      </c>
      <c r="J17" s="54" t="str">
        <f ca="1">IF(F17="","",OFFSET(分類!$B$29,MATCH(F17,分類!$A$30:$A$46,0),0))</f>
        <v>調剤棚　＆　普通薬バラ</v>
      </c>
      <c r="K17" s="69"/>
      <c r="L17" s="69">
        <v>13</v>
      </c>
      <c r="M17" s="54">
        <f t="shared" si="0"/>
        <v>13</v>
      </c>
    </row>
    <row r="18" spans="2:13">
      <c r="B18" s="27">
        <f t="shared" si="1"/>
        <v>14</v>
      </c>
      <c r="C18" s="27">
        <f ca="1"/>
        <v>68</v>
      </c>
      <c r="D18" s="27" t="str">
        <f ca="1"/>
        <v>アトルバスタチンＯＤ錠１０ｍｇ「トーワ」</v>
      </c>
      <c r="E18" s="27">
        <f ca="1"/>
        <v>0</v>
      </c>
      <c r="F18" s="54">
        <f ca="1"/>
        <v>25</v>
      </c>
      <c r="G18" s="54" t="str">
        <f ca="1"/>
        <v>バラ</v>
      </c>
      <c r="H18" s="54" t="str">
        <f ca="1"/>
        <v>３００Ｔ</v>
      </c>
      <c r="I18" s="54" t="str">
        <f ca="1"/>
        <v>錠</v>
      </c>
      <c r="J18" s="54" t="str">
        <f ca="1">IF(F18="","",OFFSET(分類!$B$29,MATCH(F18,分類!$A$30:$A$46,0),0))</f>
        <v>調剤棚　＆　普通薬バラ</v>
      </c>
      <c r="K18" s="69"/>
      <c r="L18" s="69">
        <v>14</v>
      </c>
      <c r="M18" s="54">
        <f t="shared" si="0"/>
        <v>14</v>
      </c>
    </row>
    <row r="19" spans="2:13">
      <c r="B19" s="27">
        <f t="shared" si="1"/>
        <v>15</v>
      </c>
      <c r="C19" s="27">
        <f ca="1"/>
        <v>74</v>
      </c>
      <c r="D19" s="27" t="str">
        <f ca="1"/>
        <v>アマンタジン塩酸塩錠５０ｍｇ「杏林」</v>
      </c>
      <c r="E19" s="27">
        <f ca="1"/>
        <v>0</v>
      </c>
      <c r="F19" s="54">
        <f ca="1"/>
        <v>25</v>
      </c>
      <c r="G19" s="54" t="str">
        <f ca="1"/>
        <v>ＰＴＰ</v>
      </c>
      <c r="H19" s="54" t="str">
        <f ca="1"/>
        <v>１００Ｔ</v>
      </c>
      <c r="I19" s="54" t="str">
        <f ca="1"/>
        <v>錠</v>
      </c>
      <c r="J19" s="54" t="str">
        <f ca="1">IF(F19="","",OFFSET(分類!$B$29,MATCH(F19,分類!$A$30:$A$46,0),0))</f>
        <v>調剤棚　＆　普通薬バラ</v>
      </c>
      <c r="K19" s="69"/>
      <c r="L19" s="69">
        <v>15</v>
      </c>
      <c r="M19" s="54">
        <f t="shared" si="0"/>
        <v>15</v>
      </c>
    </row>
    <row r="20" spans="2:13">
      <c r="B20" s="27">
        <f t="shared" si="1"/>
        <v>16</v>
      </c>
      <c r="C20" s="27">
        <f ca="1"/>
        <v>78</v>
      </c>
      <c r="D20" s="27" t="str">
        <f ca="1"/>
        <v>アムロジピンＯＤ錠２．５ｍｇ「明治」</v>
      </c>
      <c r="E20" s="27">
        <f ca="1"/>
        <v>2</v>
      </c>
      <c r="F20" s="54">
        <f ca="1"/>
        <v>25</v>
      </c>
      <c r="G20" s="54" t="str">
        <f ca="1"/>
        <v>ＰＴＰ</v>
      </c>
      <c r="H20" s="54" t="str">
        <f ca="1"/>
        <v>５００Ｔ</v>
      </c>
      <c r="I20" s="54" t="str">
        <f ca="1"/>
        <v>錠</v>
      </c>
      <c r="J20" s="54" t="str">
        <f ca="1">IF(F20="","",OFFSET(分類!$B$29,MATCH(F20,分類!$A$30:$A$46,0),0))</f>
        <v>調剤棚　＆　普通薬バラ</v>
      </c>
      <c r="K20" s="69"/>
      <c r="L20" s="69">
        <v>16</v>
      </c>
      <c r="M20" s="54">
        <f t="shared" si="0"/>
        <v>16</v>
      </c>
    </row>
    <row r="21" spans="2:13">
      <c r="B21" s="27">
        <f t="shared" si="1"/>
        <v>17</v>
      </c>
      <c r="C21" s="27">
        <f ca="1"/>
        <v>79</v>
      </c>
      <c r="D21" s="27" t="str">
        <f ca="1"/>
        <v>アムロジピンＯＤ錠２．５ｍｇ「明治」</v>
      </c>
      <c r="E21" s="27">
        <f ca="1"/>
        <v>2</v>
      </c>
      <c r="F21" s="54">
        <f ca="1"/>
        <v>25</v>
      </c>
      <c r="G21" s="54" t="str">
        <f ca="1"/>
        <v>バラ</v>
      </c>
      <c r="H21" s="54" t="str">
        <f ca="1"/>
        <v>５００Ｔ</v>
      </c>
      <c r="I21" s="54" t="str">
        <f ca="1"/>
        <v>錠</v>
      </c>
      <c r="J21" s="54" t="str">
        <f ca="1">IF(F21="","",OFFSET(分類!$B$29,MATCH(F21,分類!$A$30:$A$46,0),0))</f>
        <v>調剤棚　＆　普通薬バラ</v>
      </c>
      <c r="K21" s="69"/>
      <c r="L21" s="69">
        <v>17</v>
      </c>
      <c r="M21" s="54">
        <f t="shared" si="0"/>
        <v>17</v>
      </c>
    </row>
    <row r="22" spans="2:13">
      <c r="B22" s="27">
        <f t="shared" si="1"/>
        <v>18</v>
      </c>
      <c r="C22" s="27">
        <f ca="1"/>
        <v>82</v>
      </c>
      <c r="D22" s="27" t="str">
        <f ca="1"/>
        <v>アリピプラゾールＯＤ錠１２ｍｇ「ニプロ」</v>
      </c>
      <c r="E22" s="27">
        <f ca="1"/>
        <v>2</v>
      </c>
      <c r="F22" s="54">
        <f ca="1"/>
        <v>26</v>
      </c>
      <c r="G22" s="54" t="str">
        <f ca="1"/>
        <v>ＰＴＰ</v>
      </c>
      <c r="H22" s="54" t="str">
        <f ca="1"/>
        <v>１００Ｔ</v>
      </c>
      <c r="I22" s="54" t="str">
        <f ca="1"/>
        <v>錠</v>
      </c>
      <c r="J22" s="54" t="str">
        <f ca="1">IF(F22="","",OFFSET(分類!$B$29,MATCH(F22,分類!$A$30:$A$46,0),0))</f>
        <v>調剤棚　＆　劇薬バラ</v>
      </c>
      <c r="K22" s="69"/>
      <c r="L22" s="69">
        <v>18</v>
      </c>
      <c r="M22" s="54">
        <f t="shared" si="0"/>
        <v>18</v>
      </c>
    </row>
    <row r="23" spans="2:13">
      <c r="B23" s="27">
        <f t="shared" si="1"/>
        <v>19</v>
      </c>
      <c r="C23" s="27">
        <f ca="1"/>
        <v>83</v>
      </c>
      <c r="D23" s="27" t="str">
        <f ca="1"/>
        <v>アリピプラゾールＯＤ錠１２ｍｇ「ニプロ」</v>
      </c>
      <c r="E23" s="27">
        <f ca="1"/>
        <v>2</v>
      </c>
      <c r="F23" s="54">
        <f ca="1"/>
        <v>26</v>
      </c>
      <c r="G23" s="54" t="str">
        <f ca="1"/>
        <v>バラ</v>
      </c>
      <c r="H23" s="54" t="str">
        <f ca="1"/>
        <v>５００Ｔ</v>
      </c>
      <c r="I23" s="54" t="str">
        <f ca="1"/>
        <v>錠</v>
      </c>
      <c r="J23" s="54" t="str">
        <f ca="1">IF(F23="","",OFFSET(分類!$B$29,MATCH(F23,分類!$A$30:$A$46,0),0))</f>
        <v>調剤棚　＆　劇薬バラ</v>
      </c>
      <c r="K23" s="69"/>
      <c r="L23" s="69">
        <v>19</v>
      </c>
      <c r="M23" s="54">
        <f t="shared" si="0"/>
        <v>19</v>
      </c>
    </row>
    <row r="24" spans="2:13">
      <c r="B24" s="27">
        <f t="shared" si="1"/>
        <v>20</v>
      </c>
      <c r="C24" s="27">
        <f ca="1"/>
        <v>84</v>
      </c>
      <c r="D24" s="27" t="str">
        <f ca="1"/>
        <v>アリピプラゾールＯＤ錠３ｍｇ「ニプロ」</v>
      </c>
      <c r="E24" s="27">
        <f ca="1"/>
        <v>2</v>
      </c>
      <c r="F24" s="54">
        <f ca="1"/>
        <v>26</v>
      </c>
      <c r="G24" s="54" t="str">
        <f ca="1"/>
        <v>ＰＴＰ</v>
      </c>
      <c r="H24" s="54" t="str">
        <f ca="1"/>
        <v>１００Ｔ</v>
      </c>
      <c r="I24" s="54" t="str">
        <f ca="1"/>
        <v>錠</v>
      </c>
      <c r="J24" s="54" t="str">
        <f ca="1">IF(F24="","",OFFSET(分類!$B$29,MATCH(F24,分類!$A$30:$A$46,0),0))</f>
        <v>調剤棚　＆　劇薬バラ</v>
      </c>
      <c r="K24" s="69"/>
      <c r="L24" s="69">
        <v>20</v>
      </c>
      <c r="M24" s="54">
        <f t="shared" si="0"/>
        <v>20</v>
      </c>
    </row>
    <row r="25" spans="2:13">
      <c r="B25" s="27">
        <f t="shared" si="1"/>
        <v>21</v>
      </c>
      <c r="C25" s="27">
        <f ca="1"/>
        <v>85</v>
      </c>
      <c r="D25" s="27" t="str">
        <f ca="1"/>
        <v>アリピプラゾールＯＤ錠３ｍｇ「ニプロ」</v>
      </c>
      <c r="E25" s="27">
        <f ca="1"/>
        <v>2</v>
      </c>
      <c r="F25" s="54">
        <f ca="1"/>
        <v>26</v>
      </c>
      <c r="G25" s="54" t="str">
        <f ca="1"/>
        <v>バラ</v>
      </c>
      <c r="H25" s="54" t="str">
        <f ca="1"/>
        <v>１００Ｔ</v>
      </c>
      <c r="I25" s="54" t="str">
        <f ca="1"/>
        <v>錠</v>
      </c>
      <c r="J25" s="54" t="str">
        <f ca="1">IF(F25="","",OFFSET(分類!$B$29,MATCH(F25,分類!$A$30:$A$46,0),0))</f>
        <v>調剤棚　＆　劇薬バラ</v>
      </c>
      <c r="K25" s="69"/>
      <c r="L25" s="69">
        <v>21</v>
      </c>
      <c r="M25" s="54">
        <f t="shared" si="0"/>
        <v>21</v>
      </c>
    </row>
    <row r="26" spans="2:13">
      <c r="B26" s="27">
        <f t="shared" si="1"/>
        <v>22</v>
      </c>
      <c r="C26" s="27">
        <f ca="1"/>
        <v>86</v>
      </c>
      <c r="D26" s="27" t="str">
        <f ca="1"/>
        <v>アリピプラゾールＯＤ錠６ｍｇ「ニプロ」</v>
      </c>
      <c r="E26" s="27">
        <f ca="1"/>
        <v>2</v>
      </c>
      <c r="F26" s="54">
        <f ca="1"/>
        <v>26</v>
      </c>
      <c r="G26" s="54" t="str">
        <f ca="1"/>
        <v>ＰＴＰ</v>
      </c>
      <c r="H26" s="54" t="str">
        <f ca="1"/>
        <v>１００Ｔ</v>
      </c>
      <c r="I26" s="54" t="str">
        <f ca="1"/>
        <v>錠</v>
      </c>
      <c r="J26" s="54" t="str">
        <f ca="1">IF(F26="","",OFFSET(分類!$B$29,MATCH(F26,分類!$A$30:$A$46,0),0))</f>
        <v>調剤棚　＆　劇薬バラ</v>
      </c>
      <c r="K26" s="69"/>
      <c r="L26" s="69">
        <v>22</v>
      </c>
      <c r="M26" s="54">
        <f t="shared" si="0"/>
        <v>22</v>
      </c>
    </row>
    <row r="27" spans="2:13">
      <c r="B27" s="27">
        <f t="shared" si="1"/>
        <v>23</v>
      </c>
      <c r="C27" s="27">
        <f ca="1"/>
        <v>87</v>
      </c>
      <c r="D27" s="27" t="str">
        <f ca="1"/>
        <v>アリピプラゾールＯＤ錠６ｍｇ「ニプロ」</v>
      </c>
      <c r="E27" s="27">
        <f ca="1"/>
        <v>2</v>
      </c>
      <c r="F27" s="54">
        <f ca="1"/>
        <v>26</v>
      </c>
      <c r="G27" s="54" t="str">
        <f ca="1"/>
        <v>バラ</v>
      </c>
      <c r="H27" s="54" t="str">
        <f ca="1"/>
        <v>１００Ｔ</v>
      </c>
      <c r="I27" s="54" t="str">
        <f ca="1"/>
        <v>錠</v>
      </c>
      <c r="J27" s="54" t="str">
        <f ca="1">IF(F27="","",OFFSET(分類!$B$29,MATCH(F27,分類!$A$30:$A$46,0),0))</f>
        <v>調剤棚　＆　劇薬バラ</v>
      </c>
      <c r="K27" s="69"/>
      <c r="L27" s="69">
        <v>23</v>
      </c>
      <c r="M27" s="54">
        <f t="shared" si="0"/>
        <v>23</v>
      </c>
    </row>
    <row r="28" spans="2:13">
      <c r="B28" s="27">
        <f t="shared" si="1"/>
        <v>24</v>
      </c>
      <c r="C28" s="27">
        <f ca="1"/>
        <v>89</v>
      </c>
      <c r="D28" s="27" t="str">
        <f ca="1"/>
        <v>アリピプラゾール錠１ｍｇ「サワイ」</v>
      </c>
      <c r="E28" s="27">
        <f ca="1"/>
        <v>2</v>
      </c>
      <c r="F28" s="54">
        <f ca="1"/>
        <v>26</v>
      </c>
      <c r="G28" s="54" t="str">
        <f ca="1"/>
        <v>ＰＴＰ</v>
      </c>
      <c r="H28" s="54" t="str">
        <f ca="1"/>
        <v>１００Ｔ</v>
      </c>
      <c r="I28" s="54" t="str">
        <f ca="1"/>
        <v>錠</v>
      </c>
      <c r="J28" s="54" t="str">
        <f ca="1">IF(F28="","",OFFSET(分類!$B$29,MATCH(F28,分類!$A$30:$A$46,0),0))</f>
        <v>調剤棚　＆　劇薬バラ</v>
      </c>
      <c r="K28" s="69"/>
      <c r="L28" s="69">
        <v>24</v>
      </c>
      <c r="M28" s="54">
        <f t="shared" si="0"/>
        <v>24</v>
      </c>
    </row>
    <row r="29" spans="2:13">
      <c r="B29" s="27">
        <f t="shared" si="1"/>
        <v>25</v>
      </c>
      <c r="C29" s="27">
        <f ca="1"/>
        <v>90</v>
      </c>
      <c r="D29" s="27" t="str">
        <f ca="1"/>
        <v>アルダクトンＡ錠２５ｍｇ</v>
      </c>
      <c r="E29" s="27">
        <f ca="1"/>
        <v>0</v>
      </c>
      <c r="F29" s="54">
        <f ca="1"/>
        <v>25</v>
      </c>
      <c r="G29" s="54" t="str">
        <f ca="1"/>
        <v>バラ</v>
      </c>
      <c r="H29" s="54" t="str">
        <f ca="1"/>
        <v>１００Ｔ</v>
      </c>
      <c r="I29" s="54" t="str">
        <f ca="1"/>
        <v>錠</v>
      </c>
      <c r="J29" s="54" t="str">
        <f ca="1">IF(F29="","",OFFSET(分類!$B$29,MATCH(F29,分類!$A$30:$A$46,0),0))</f>
        <v>調剤棚　＆　普通薬バラ</v>
      </c>
      <c r="K29" s="69"/>
      <c r="L29" s="69">
        <v>25</v>
      </c>
      <c r="M29" s="54">
        <f t="shared" si="0"/>
        <v>25</v>
      </c>
    </row>
    <row r="30" spans="2:13">
      <c r="B30" s="27">
        <f t="shared" si="1"/>
        <v>26</v>
      </c>
      <c r="C30" s="27">
        <f ca="1"/>
        <v>98</v>
      </c>
      <c r="D30" s="27" t="str">
        <f ca="1"/>
        <v>アロプリノール錠１００ｍｇ「サワイ」</v>
      </c>
      <c r="E30" s="27">
        <f ca="1"/>
        <v>0</v>
      </c>
      <c r="F30" s="54">
        <f ca="1"/>
        <v>25</v>
      </c>
      <c r="G30" s="54" t="str">
        <f ca="1"/>
        <v>ＰＴＰ</v>
      </c>
      <c r="H30" s="54" t="str">
        <f ca="1"/>
        <v>１００Ｔ</v>
      </c>
      <c r="I30" s="54" t="str">
        <f ca="1"/>
        <v>錠</v>
      </c>
      <c r="J30" s="54" t="str">
        <f ca="1">IF(F30="","",OFFSET(分類!$B$29,MATCH(F30,分類!$A$30:$A$46,0),0))</f>
        <v>調剤棚　＆　普通薬バラ</v>
      </c>
      <c r="K30" s="69"/>
      <c r="L30" s="69">
        <v>26</v>
      </c>
      <c r="M30" s="54">
        <f t="shared" si="0"/>
        <v>26</v>
      </c>
    </row>
    <row r="31" spans="2:13">
      <c r="B31" s="27">
        <f t="shared" si="1"/>
        <v>27</v>
      </c>
      <c r="C31" s="27">
        <f ca="1"/>
        <v>99</v>
      </c>
      <c r="D31" s="27" t="str">
        <f ca="1"/>
        <v>アロプリノール錠１００ｍｇ「サワイ」</v>
      </c>
      <c r="E31" s="27">
        <f ca="1"/>
        <v>0</v>
      </c>
      <c r="F31" s="54">
        <f ca="1"/>
        <v>25</v>
      </c>
      <c r="G31" s="54" t="str">
        <f ca="1"/>
        <v>バラ</v>
      </c>
      <c r="H31" s="54" t="str">
        <f ca="1"/>
        <v>１０００Ｔ</v>
      </c>
      <c r="I31" s="54" t="str">
        <f ca="1"/>
        <v>錠</v>
      </c>
      <c r="J31" s="54" t="str">
        <f ca="1">IF(F31="","",OFFSET(分類!$B$29,MATCH(F31,分類!$A$30:$A$46,0),0))</f>
        <v>調剤棚　＆　普通薬バラ</v>
      </c>
      <c r="K31" s="69"/>
      <c r="L31" s="69">
        <v>27</v>
      </c>
      <c r="M31" s="54">
        <f t="shared" si="0"/>
        <v>27</v>
      </c>
    </row>
    <row r="32" spans="2:13">
      <c r="B32" s="27">
        <f t="shared" si="1"/>
        <v>28</v>
      </c>
      <c r="C32" s="27">
        <f ca="1"/>
        <v>111</v>
      </c>
      <c r="D32" s="27" t="str">
        <f ca="1"/>
        <v>イルベサルタン錠５０ｍｇ「サワイ」</v>
      </c>
      <c r="E32" s="27">
        <f ca="1"/>
        <v>0</v>
      </c>
      <c r="F32" s="54">
        <f ca="1"/>
        <v>25</v>
      </c>
      <c r="G32" s="54" t="str">
        <f ca="1"/>
        <v>ＰＴＰ</v>
      </c>
      <c r="H32" s="54" t="str">
        <f ca="1"/>
        <v>１００Ｔ</v>
      </c>
      <c r="I32" s="54" t="str">
        <f ca="1"/>
        <v>錠</v>
      </c>
      <c r="J32" s="54" t="str">
        <f ca="1">IF(F32="","",OFFSET(分類!$B$29,MATCH(F32,分類!$A$30:$A$46,0),0))</f>
        <v>調剤棚　＆　普通薬バラ</v>
      </c>
      <c r="K32" s="69"/>
      <c r="L32" s="69">
        <v>28</v>
      </c>
      <c r="M32" s="54">
        <f t="shared" si="0"/>
        <v>28</v>
      </c>
    </row>
    <row r="33" spans="2:13">
      <c r="B33" s="27">
        <f t="shared" si="1"/>
        <v>29</v>
      </c>
      <c r="C33" s="27">
        <f ca="1"/>
        <v>112</v>
      </c>
      <c r="D33" s="27" t="str">
        <f ca="1"/>
        <v>イルベサルタン錠５０ｍｇ「サワイ」</v>
      </c>
      <c r="E33" s="27">
        <f ca="1"/>
        <v>0</v>
      </c>
      <c r="F33" s="54">
        <f ca="1"/>
        <v>25</v>
      </c>
      <c r="G33" s="54" t="str">
        <f ca="1"/>
        <v>バラ</v>
      </c>
      <c r="H33" s="54" t="str">
        <f ca="1"/>
        <v>２００Ｔ</v>
      </c>
      <c r="I33" s="54" t="str">
        <f ca="1"/>
        <v>錠</v>
      </c>
      <c r="J33" s="54" t="str">
        <f ca="1">IF(F33="","",OFFSET(分類!$B$29,MATCH(F33,分類!$A$30:$A$46,0),0))</f>
        <v>調剤棚　＆　普通薬バラ</v>
      </c>
      <c r="K33" s="69"/>
      <c r="L33" s="69">
        <v>29</v>
      </c>
      <c r="M33" s="54">
        <f t="shared" si="0"/>
        <v>29</v>
      </c>
    </row>
    <row r="34" spans="2:13">
      <c r="B34" s="27">
        <f t="shared" si="1"/>
        <v>30</v>
      </c>
      <c r="C34" s="27">
        <f ca="1"/>
        <v>113</v>
      </c>
      <c r="D34" s="27" t="str">
        <f ca="1"/>
        <v>インヴェガ錠３ｍｇ</v>
      </c>
      <c r="E34" s="27">
        <f ca="1"/>
        <v>2</v>
      </c>
      <c r="F34" s="54">
        <f ca="1"/>
        <v>26</v>
      </c>
      <c r="G34" s="54" t="str">
        <f ca="1"/>
        <v>ＰＴＰ</v>
      </c>
      <c r="H34" s="54" t="str">
        <f ca="1"/>
        <v>１００Ｔ</v>
      </c>
      <c r="I34" s="54" t="str">
        <f ca="1"/>
        <v>錠</v>
      </c>
      <c r="J34" s="54" t="str">
        <f ca="1">IF(F34="","",OFFSET(分類!$B$29,MATCH(F34,分類!$A$30:$A$46,0),0))</f>
        <v>調剤棚　＆　劇薬バラ</v>
      </c>
      <c r="K34" s="69"/>
      <c r="L34" s="69">
        <v>30</v>
      </c>
      <c r="M34" s="54">
        <f t="shared" si="0"/>
        <v>30</v>
      </c>
    </row>
    <row r="35" spans="2:13">
      <c r="B35" s="27">
        <f t="shared" si="1"/>
        <v>31</v>
      </c>
      <c r="C35" s="27">
        <f ca="1"/>
        <v>114</v>
      </c>
      <c r="D35" s="27" t="str">
        <f ca="1"/>
        <v>インヴェガ錠６ｍｇ</v>
      </c>
      <c r="E35" s="27">
        <f ca="1"/>
        <v>2</v>
      </c>
      <c r="F35" s="54">
        <f ca="1"/>
        <v>26</v>
      </c>
      <c r="G35" s="54" t="str">
        <f ca="1"/>
        <v>ＰＴＰ</v>
      </c>
      <c r="H35" s="54" t="str">
        <f ca="1"/>
        <v>１００Ｔ</v>
      </c>
      <c r="I35" s="54" t="str">
        <f ca="1"/>
        <v>錠</v>
      </c>
      <c r="J35" s="54" t="str">
        <f ca="1">IF(F35="","",OFFSET(分類!$B$29,MATCH(F35,分類!$A$30:$A$46,0),0))</f>
        <v>調剤棚　＆　劇薬バラ</v>
      </c>
      <c r="K35" s="69"/>
      <c r="L35" s="69">
        <v>31</v>
      </c>
      <c r="M35" s="54">
        <f t="shared" si="0"/>
        <v>31</v>
      </c>
    </row>
    <row r="36" spans="2:13">
      <c r="B36" s="27">
        <f t="shared" si="1"/>
        <v>32</v>
      </c>
      <c r="C36" s="27">
        <f ca="1"/>
        <v>118</v>
      </c>
      <c r="D36" s="27" t="str">
        <f ca="1"/>
        <v>インデラル錠１０ｍｇ</v>
      </c>
      <c r="E36" s="27">
        <f ca="1"/>
        <v>2</v>
      </c>
      <c r="F36" s="54">
        <f ca="1"/>
        <v>3</v>
      </c>
      <c r="G36" s="54" t="str">
        <f ca="1"/>
        <v>ＰＴＰ</v>
      </c>
      <c r="H36" s="54" t="str">
        <f ca="1"/>
        <v>５００Ｔ</v>
      </c>
      <c r="I36" s="54" t="str">
        <f ca="1"/>
        <v>錠</v>
      </c>
      <c r="J36" s="54" t="str">
        <f ca="1">IF(F36="","",OFFSET(分類!$B$29,MATCH(F36,分類!$A$30:$A$46,0),0))</f>
        <v>外用.臨時.散薬ヒート</v>
      </c>
      <c r="K36" s="69"/>
      <c r="L36" s="69">
        <v>32</v>
      </c>
      <c r="M36" s="54">
        <f t="shared" si="0"/>
        <v>32</v>
      </c>
    </row>
    <row r="37" spans="2:13">
      <c r="B37" s="27">
        <f t="shared" si="1"/>
        <v>33</v>
      </c>
      <c r="C37" s="27">
        <f ca="1"/>
        <v>121</v>
      </c>
      <c r="D37" s="27" t="str">
        <f ca="1"/>
        <v>ウルソデオキシコール酸錠１００ｍｇ「サワイ」</v>
      </c>
      <c r="E37" s="27">
        <f ca="1"/>
        <v>0</v>
      </c>
      <c r="F37" s="54">
        <f ca="1"/>
        <v>25</v>
      </c>
      <c r="G37" s="54" t="str">
        <f ca="1"/>
        <v>バラ</v>
      </c>
      <c r="H37" s="54" t="str">
        <f ca="1"/>
        <v>１０００Ｔ</v>
      </c>
      <c r="I37" s="54" t="str">
        <f ca="1"/>
        <v>錠</v>
      </c>
      <c r="J37" s="54" t="str">
        <f ca="1">IF(F37="","",OFFSET(分類!$B$29,MATCH(F37,分類!$A$30:$A$46,0),0))</f>
        <v>調剤棚　＆　普通薬バラ</v>
      </c>
      <c r="K37" s="69"/>
      <c r="L37" s="69">
        <v>33</v>
      </c>
      <c r="M37" s="54">
        <f t="shared" si="0"/>
        <v>33</v>
      </c>
    </row>
    <row r="38" spans="2:13">
      <c r="B38" s="27">
        <f t="shared" si="1"/>
        <v>34</v>
      </c>
      <c r="C38" s="27">
        <f ca="1"/>
        <v>123</v>
      </c>
      <c r="D38" s="27" t="str">
        <f ca="1"/>
        <v>エスシタロプラムＯＤ錠１０ｍｇ「トーワ」</v>
      </c>
      <c r="E38" s="27">
        <f ca="1"/>
        <v>2</v>
      </c>
      <c r="F38" s="54">
        <f ca="1"/>
        <v>26</v>
      </c>
      <c r="G38" s="54" t="str">
        <f ca="1"/>
        <v>ＰＴＰ</v>
      </c>
      <c r="H38" s="54" t="str">
        <f ca="1"/>
        <v>１００Ｔ</v>
      </c>
      <c r="I38" s="54" t="str">
        <f ca="1"/>
        <v>錠</v>
      </c>
      <c r="J38" s="54" t="str">
        <f ca="1">IF(F38="","",OFFSET(分類!$B$29,MATCH(F38,分類!$A$30:$A$46,0),0))</f>
        <v>調剤棚　＆　劇薬バラ</v>
      </c>
      <c r="K38" s="69"/>
      <c r="L38" s="69">
        <v>34</v>
      </c>
      <c r="M38" s="54">
        <f t="shared" si="0"/>
        <v>34</v>
      </c>
    </row>
    <row r="39" spans="2:13">
      <c r="B39" s="27">
        <f t="shared" si="1"/>
        <v>35</v>
      </c>
      <c r="C39" s="27">
        <f ca="1"/>
        <v>124</v>
      </c>
      <c r="D39" s="27" t="str">
        <f ca="1"/>
        <v>エスシタロプラムＯＤ錠１０ｍｇ「トーワ」</v>
      </c>
      <c r="E39" s="27">
        <f ca="1"/>
        <v>2</v>
      </c>
      <c r="F39" s="54">
        <f ca="1"/>
        <v>26</v>
      </c>
      <c r="G39" s="54" t="str">
        <f ca="1"/>
        <v>バラ</v>
      </c>
      <c r="H39" s="54" t="str">
        <f ca="1"/>
        <v>３００Ｔ</v>
      </c>
      <c r="I39" s="54" t="str">
        <f ca="1"/>
        <v>錠</v>
      </c>
      <c r="J39" s="54" t="str">
        <f ca="1">IF(F39="","",OFFSET(分類!$B$29,MATCH(F39,分類!$A$30:$A$46,0),0))</f>
        <v>調剤棚　＆　劇薬バラ</v>
      </c>
      <c r="K39" s="69"/>
      <c r="L39" s="69">
        <v>35</v>
      </c>
      <c r="M39" s="54">
        <f t="shared" si="0"/>
        <v>35</v>
      </c>
    </row>
    <row r="40" spans="2:13">
      <c r="B40" s="27">
        <f t="shared" si="1"/>
        <v>36</v>
      </c>
      <c r="C40" s="27">
        <f ca="1"/>
        <v>125</v>
      </c>
      <c r="D40" s="27" t="str">
        <f ca="1"/>
        <v>エスゾピクロン錠１ｍｇ「トーワ」</v>
      </c>
      <c r="E40" s="27">
        <f ca="1"/>
        <v>0</v>
      </c>
      <c r="F40" s="54">
        <f ca="1"/>
        <v>25</v>
      </c>
      <c r="G40" s="54" t="str">
        <f ca="1"/>
        <v>ＰＴＰ</v>
      </c>
      <c r="H40" s="54" t="str">
        <f ca="1"/>
        <v>１００Ｔ</v>
      </c>
      <c r="I40" s="54" t="str">
        <f ca="1"/>
        <v>錠</v>
      </c>
      <c r="J40" s="54" t="str">
        <f ca="1">IF(F40="","",OFFSET(分類!$B$29,MATCH(F40,分類!$A$30:$A$46,0),0))</f>
        <v>調剤棚　＆　普通薬バラ</v>
      </c>
      <c r="K40" s="69"/>
      <c r="L40" s="69">
        <v>36</v>
      </c>
      <c r="M40" s="54">
        <f t="shared" si="0"/>
        <v>36</v>
      </c>
    </row>
    <row r="41" spans="2:13">
      <c r="B41" s="27">
        <f t="shared" si="1"/>
        <v>37</v>
      </c>
      <c r="C41" s="27">
        <f ca="1"/>
        <v>126</v>
      </c>
      <c r="D41" s="27" t="str">
        <f ca="1"/>
        <v>エスゾピクロン錠１ｍｇ「トーワ」</v>
      </c>
      <c r="E41" s="27">
        <f ca="1"/>
        <v>0</v>
      </c>
      <c r="F41" s="54">
        <f ca="1"/>
        <v>25</v>
      </c>
      <c r="G41" s="54" t="str">
        <f ca="1"/>
        <v>バラ</v>
      </c>
      <c r="H41" s="54" t="str">
        <f ca="1"/>
        <v>１００Ｔ</v>
      </c>
      <c r="I41" s="54" t="str">
        <f ca="1"/>
        <v>錠</v>
      </c>
      <c r="J41" s="54" t="str">
        <f ca="1">IF(F41="","",OFFSET(分類!$B$29,MATCH(F41,分類!$A$30:$A$46,0),0))</f>
        <v>調剤棚　＆　普通薬バラ</v>
      </c>
      <c r="K41" s="69"/>
      <c r="L41" s="69">
        <v>37</v>
      </c>
      <c r="M41" s="54">
        <f t="shared" si="0"/>
        <v>37</v>
      </c>
    </row>
    <row r="42" spans="2:13">
      <c r="B42" s="27">
        <f t="shared" si="1"/>
        <v>38</v>
      </c>
      <c r="C42" s="27">
        <f ca="1"/>
        <v>130</v>
      </c>
      <c r="D42" s="27" t="str">
        <f ca="1"/>
        <v>エチゾラム錠０．５ｍｇ「アメル」</v>
      </c>
      <c r="E42" s="27">
        <f ca="1"/>
        <v>0</v>
      </c>
      <c r="F42" s="54">
        <f ca="1"/>
        <v>25</v>
      </c>
      <c r="G42" s="54" t="str">
        <f ca="1"/>
        <v>ＰＴＰ</v>
      </c>
      <c r="H42" s="54" t="str">
        <f ca="1"/>
        <v>１０００Ｔ</v>
      </c>
      <c r="I42" s="54" t="str">
        <f ca="1"/>
        <v>錠</v>
      </c>
      <c r="J42" s="54" t="str">
        <f ca="1">IF(F42="","",OFFSET(分類!$B$29,MATCH(F42,分類!$A$30:$A$46,0),0))</f>
        <v>調剤棚　＆　普通薬バラ</v>
      </c>
      <c r="K42" s="69"/>
      <c r="L42" s="69">
        <v>38</v>
      </c>
      <c r="M42" s="54">
        <f t="shared" si="0"/>
        <v>38</v>
      </c>
    </row>
    <row r="43" spans="2:13">
      <c r="B43" s="27">
        <f t="shared" si="1"/>
        <v>39</v>
      </c>
      <c r="C43" s="27">
        <f ca="1"/>
        <v>131</v>
      </c>
      <c r="D43" s="27" t="str">
        <f ca="1"/>
        <v>エチゾラム錠０．５ｍｇ「アメル」</v>
      </c>
      <c r="E43" s="27">
        <f ca="1"/>
        <v>0</v>
      </c>
      <c r="F43" s="54">
        <f ca="1"/>
        <v>25</v>
      </c>
      <c r="G43" s="54" t="str">
        <f ca="1"/>
        <v>バラ</v>
      </c>
      <c r="H43" s="54" t="str">
        <f ca="1"/>
        <v>１０００Ｔ</v>
      </c>
      <c r="I43" s="54" t="str">
        <f ca="1"/>
        <v>錠</v>
      </c>
      <c r="J43" s="54" t="str">
        <f ca="1">IF(F43="","",OFFSET(分類!$B$29,MATCH(F43,分類!$A$30:$A$46,0),0))</f>
        <v>調剤棚　＆　普通薬バラ</v>
      </c>
      <c r="K43" s="69"/>
      <c r="L43" s="69">
        <v>39</v>
      </c>
      <c r="M43" s="54">
        <f t="shared" si="0"/>
        <v>39</v>
      </c>
    </row>
    <row r="44" spans="2:13">
      <c r="B44" s="27">
        <f t="shared" si="1"/>
        <v>40</v>
      </c>
      <c r="C44" s="27">
        <f ca="1"/>
        <v>132</v>
      </c>
      <c r="D44" s="27" t="str">
        <f ca="1"/>
        <v>エチゾラム錠１ｍｇ「アメル」</v>
      </c>
      <c r="E44" s="27">
        <f ca="1"/>
        <v>0</v>
      </c>
      <c r="F44" s="54">
        <f ca="1"/>
        <v>25</v>
      </c>
      <c r="G44" s="54" t="str">
        <f ca="1"/>
        <v>ＰＴＰ</v>
      </c>
      <c r="H44" s="54" t="str">
        <f ca="1"/>
        <v>１０００Ｔ</v>
      </c>
      <c r="I44" s="54" t="str">
        <f ca="1"/>
        <v>錠</v>
      </c>
      <c r="J44" s="54" t="str">
        <f ca="1">IF(F44="","",OFFSET(分類!$B$29,MATCH(F44,分類!$A$30:$A$46,0),0))</f>
        <v>調剤棚　＆　普通薬バラ</v>
      </c>
      <c r="K44" s="69"/>
      <c r="L44" s="69">
        <v>40</v>
      </c>
      <c r="M44" s="54">
        <f t="shared" si="0"/>
        <v>40</v>
      </c>
    </row>
    <row r="45" spans="2:13">
      <c r="B45" s="27">
        <f t="shared" si="1"/>
        <v>41</v>
      </c>
      <c r="C45" s="27">
        <f ca="1"/>
        <v>133</v>
      </c>
      <c r="D45" s="27" t="str">
        <f ca="1"/>
        <v>エチゾラム錠１ｍｇ「アメル」</v>
      </c>
      <c r="E45" s="27">
        <f ca="1"/>
        <v>0</v>
      </c>
      <c r="F45" s="54">
        <f ca="1"/>
        <v>25</v>
      </c>
      <c r="G45" s="54" t="str">
        <f ca="1"/>
        <v>バラ</v>
      </c>
      <c r="H45" s="54" t="str">
        <f ca="1"/>
        <v>１０００Ｔ</v>
      </c>
      <c r="I45" s="54" t="str">
        <f ca="1"/>
        <v>錠</v>
      </c>
      <c r="J45" s="54" t="str">
        <f ca="1">IF(F45="","",OFFSET(分類!$B$29,MATCH(F45,分類!$A$30:$A$46,0),0))</f>
        <v>調剤棚　＆　普通薬バラ</v>
      </c>
      <c r="K45" s="69"/>
      <c r="L45" s="69">
        <v>41</v>
      </c>
      <c r="M45" s="54">
        <f t="shared" si="0"/>
        <v>41</v>
      </c>
    </row>
    <row r="46" spans="2:13">
      <c r="B46" s="27">
        <f t="shared" si="1"/>
        <v>42</v>
      </c>
      <c r="C46" s="27">
        <f ca="1"/>
        <v>134</v>
      </c>
      <c r="D46" s="27" t="str">
        <f ca="1"/>
        <v>エナラプリルマレイン酸塩錠５ｍｇ「サワイ」　</v>
      </c>
      <c r="E46" s="27">
        <f ca="1"/>
        <v>0</v>
      </c>
      <c r="F46" s="54">
        <f ca="1"/>
        <v>25</v>
      </c>
      <c r="G46" s="54" t="str">
        <f ca="1"/>
        <v>バラ</v>
      </c>
      <c r="H46" s="54" t="str">
        <f ca="1"/>
        <v>１０００Ｔ</v>
      </c>
      <c r="I46" s="54" t="str">
        <f ca="1"/>
        <v>錠</v>
      </c>
      <c r="J46" s="54" t="str">
        <f ca="1">IF(F46="","",OFFSET(分類!$B$29,MATCH(F46,分類!$A$30:$A$46,0),0))</f>
        <v>調剤棚　＆　普通薬バラ</v>
      </c>
      <c r="K46" s="69"/>
      <c r="L46" s="69">
        <v>42</v>
      </c>
      <c r="M46" s="54">
        <f t="shared" si="0"/>
        <v>42</v>
      </c>
    </row>
    <row r="47" spans="2:13">
      <c r="B47" s="27">
        <f t="shared" si="1"/>
        <v>43</v>
      </c>
      <c r="C47" s="27">
        <f ca="1"/>
        <v>135</v>
      </c>
      <c r="D47" s="27" t="str">
        <f ca="1"/>
        <v>エバスチンＯＤ錠５ｍｇ「サワイ」</v>
      </c>
      <c r="E47" s="27">
        <f ca="1"/>
        <v>0</v>
      </c>
      <c r="F47" s="54">
        <f ca="1"/>
        <v>1</v>
      </c>
      <c r="G47" s="54" t="str">
        <f ca="1"/>
        <v>ＰＴＰ</v>
      </c>
      <c r="H47" s="54" t="str">
        <f ca="1"/>
        <v>１００Ｔ</v>
      </c>
      <c r="I47" s="54" t="str">
        <f ca="1"/>
        <v>錠</v>
      </c>
      <c r="J47" s="54" t="str">
        <f ca="1">IF(F47="","",OFFSET(分類!$B$29,MATCH(F47,分類!$A$30:$A$46,0),0))</f>
        <v>調剤棚</v>
      </c>
      <c r="K47" s="69"/>
      <c r="L47" s="69">
        <v>43</v>
      </c>
      <c r="M47" s="54">
        <f t="shared" si="0"/>
        <v>43</v>
      </c>
    </row>
    <row r="48" spans="2:13">
      <c r="B48" s="27">
        <f t="shared" si="1"/>
        <v>44</v>
      </c>
      <c r="C48" s="27">
        <f ca="1"/>
        <v>136</v>
      </c>
      <c r="D48" s="27" t="str">
        <f ca="1"/>
        <v>エビスタ錠６０ｍｇ</v>
      </c>
      <c r="E48" s="27">
        <f ca="1"/>
        <v>0</v>
      </c>
      <c r="F48" s="54">
        <f ca="1"/>
        <v>5</v>
      </c>
      <c r="G48" s="54" t="str">
        <f ca="1"/>
        <v>ＰＴＰ</v>
      </c>
      <c r="H48" s="54" t="str">
        <f ca="1"/>
        <v>１００Ｔ</v>
      </c>
      <c r="I48" s="54" t="str">
        <f ca="1"/>
        <v>錠</v>
      </c>
      <c r="J48" s="54" t="str">
        <f ca="1">IF(F48="","",OFFSET(分類!$B$29,MATCH(F48,分類!$A$30:$A$46,0),0))</f>
        <v>普通薬バラ</v>
      </c>
      <c r="K48" s="69"/>
      <c r="L48" s="69">
        <v>44</v>
      </c>
      <c r="M48" s="54">
        <f t="shared" si="0"/>
        <v>44</v>
      </c>
    </row>
    <row r="49" spans="2:13">
      <c r="B49" s="27">
        <f t="shared" si="1"/>
        <v>45</v>
      </c>
      <c r="C49" s="27">
        <f ca="1"/>
        <v>137</v>
      </c>
      <c r="D49" s="27" t="str">
        <f ca="1"/>
        <v>エピナスチン塩酸塩錠２０ｍｇ「トーワ」</v>
      </c>
      <c r="E49" s="27">
        <f ca="1"/>
        <v>0</v>
      </c>
      <c r="F49" s="54">
        <f ca="1"/>
        <v>25</v>
      </c>
      <c r="G49" s="54" t="str">
        <f ca="1"/>
        <v>ＰＴＰ</v>
      </c>
      <c r="H49" s="54" t="str">
        <f ca="1"/>
        <v>１０００Ｔ</v>
      </c>
      <c r="I49" s="54" t="str">
        <f ca="1"/>
        <v>錠</v>
      </c>
      <c r="J49" s="54" t="str">
        <f ca="1">IF(F49="","",OFFSET(分類!$B$29,MATCH(F49,分類!$A$30:$A$46,0),0))</f>
        <v>調剤棚　＆　普通薬バラ</v>
      </c>
      <c r="K49" s="69"/>
      <c r="L49" s="69">
        <v>45</v>
      </c>
      <c r="M49" s="54">
        <f t="shared" si="0"/>
        <v>45</v>
      </c>
    </row>
    <row r="50" spans="2:13">
      <c r="B50" s="27">
        <f t="shared" si="1"/>
        <v>46</v>
      </c>
      <c r="C50" s="27">
        <f ca="1"/>
        <v>146</v>
      </c>
      <c r="D50" s="27" t="str">
        <f ca="1"/>
        <v>エペリゾン塩酸塩錠５０ｍｇ「日医工」</v>
      </c>
      <c r="E50" s="27">
        <f ca="1"/>
        <v>0</v>
      </c>
      <c r="F50" s="54">
        <f ca="1"/>
        <v>1</v>
      </c>
      <c r="G50" s="54" t="str">
        <f ca="1"/>
        <v>ＰＴＰ</v>
      </c>
      <c r="H50" s="54" t="str">
        <f ca="1"/>
        <v>１００Ｔ</v>
      </c>
      <c r="I50" s="54" t="str">
        <f ca="1"/>
        <v>錠</v>
      </c>
      <c r="J50" s="54" t="str">
        <f ca="1">IF(F50="","",OFFSET(分類!$B$29,MATCH(F50,分類!$A$30:$A$46,0),0))</f>
        <v>調剤棚</v>
      </c>
      <c r="K50" s="69"/>
      <c r="L50" s="69">
        <v>46</v>
      </c>
      <c r="M50" s="54">
        <f t="shared" si="0"/>
        <v>46</v>
      </c>
    </row>
    <row r="51" spans="2:13">
      <c r="B51" s="27">
        <f t="shared" si="1"/>
        <v>47</v>
      </c>
      <c r="C51" s="27">
        <f ca="1"/>
        <v>157</v>
      </c>
      <c r="D51" s="27" t="str">
        <f ca="1"/>
        <v>オランザピンＯＤ錠１０ｍｇ「ニプロ」</v>
      </c>
      <c r="E51" s="27">
        <f ca="1"/>
        <v>2</v>
      </c>
      <c r="F51" s="54">
        <f ca="1"/>
        <v>26</v>
      </c>
      <c r="G51" s="54" t="str">
        <f ca="1"/>
        <v>ＰＴＰ</v>
      </c>
      <c r="H51" s="54" t="str">
        <f ca="1"/>
        <v>１００Ｔ</v>
      </c>
      <c r="I51" s="54" t="str">
        <f ca="1"/>
        <v>錠</v>
      </c>
      <c r="J51" s="54" t="str">
        <f ca="1">IF(F51="","",OFFSET(分類!$B$29,MATCH(F51,分類!$A$30:$A$46,0),0))</f>
        <v>調剤棚　＆　劇薬バラ</v>
      </c>
      <c r="K51" s="69"/>
      <c r="L51" s="69">
        <v>47</v>
      </c>
      <c r="M51" s="54">
        <f t="shared" si="0"/>
        <v>47</v>
      </c>
    </row>
    <row r="52" spans="2:13">
      <c r="B52" s="27">
        <f t="shared" si="1"/>
        <v>48</v>
      </c>
      <c r="C52" s="27">
        <f ca="1"/>
        <v>158</v>
      </c>
      <c r="D52" s="27" t="str">
        <f ca="1"/>
        <v>オランザピンＯＤ錠１０ｍｇ「ニプロ」</v>
      </c>
      <c r="E52" s="27">
        <f ca="1"/>
        <v>2</v>
      </c>
      <c r="F52" s="54">
        <f ca="1"/>
        <v>26</v>
      </c>
      <c r="G52" s="54" t="str">
        <f ca="1"/>
        <v>バラ</v>
      </c>
      <c r="H52" s="54" t="str">
        <f ca="1"/>
        <v>１００Ｔ</v>
      </c>
      <c r="I52" s="54" t="str">
        <f ca="1"/>
        <v>錠</v>
      </c>
      <c r="J52" s="54" t="str">
        <f ca="1">IF(F52="","",OFFSET(分類!$B$29,MATCH(F52,分類!$A$30:$A$46,0),0))</f>
        <v>調剤棚　＆　劇薬バラ</v>
      </c>
      <c r="K52" s="69"/>
      <c r="L52" s="69">
        <v>48</v>
      </c>
      <c r="M52" s="54">
        <f t="shared" si="0"/>
        <v>48</v>
      </c>
    </row>
    <row r="53" spans="2:13">
      <c r="B53" s="27">
        <f t="shared" si="1"/>
        <v>49</v>
      </c>
      <c r="C53" s="27">
        <f ca="1"/>
        <v>159</v>
      </c>
      <c r="D53" s="27" t="str">
        <f ca="1"/>
        <v>オランザピンＯＤ錠５ｍｇ「ニプロ」</v>
      </c>
      <c r="E53" s="27">
        <f ca="1"/>
        <v>2</v>
      </c>
      <c r="F53" s="54">
        <f ca="1"/>
        <v>26</v>
      </c>
      <c r="G53" s="54" t="str">
        <f ca="1"/>
        <v>ＰＴＰ</v>
      </c>
      <c r="H53" s="54" t="str">
        <f ca="1"/>
        <v>１００Ｔ</v>
      </c>
      <c r="I53" s="54" t="str">
        <f ca="1"/>
        <v>錠</v>
      </c>
      <c r="J53" s="54" t="str">
        <f ca="1">IF(F53="","",OFFSET(分類!$B$29,MATCH(F53,分類!$A$30:$A$46,0),0))</f>
        <v>調剤棚　＆　劇薬バラ</v>
      </c>
      <c r="K53" s="69"/>
      <c r="L53" s="69">
        <v>49</v>
      </c>
      <c r="M53" s="54">
        <f t="shared" si="0"/>
        <v>49</v>
      </c>
    </row>
    <row r="54" spans="2:13">
      <c r="B54" s="27">
        <f t="shared" si="1"/>
        <v>50</v>
      </c>
      <c r="C54" s="27">
        <f ca="1"/>
        <v>160</v>
      </c>
      <c r="D54" s="27" t="str">
        <f ca="1"/>
        <v>オランザピンＯＤ錠５ｍｇ「ニプロ」</v>
      </c>
      <c r="E54" s="27">
        <f ca="1"/>
        <v>2</v>
      </c>
      <c r="F54" s="54">
        <f ca="1"/>
        <v>26</v>
      </c>
      <c r="G54" s="54" t="str">
        <f ca="1"/>
        <v>バラ</v>
      </c>
      <c r="H54" s="54" t="str">
        <f ca="1"/>
        <v>１００Ｔ</v>
      </c>
      <c r="I54" s="54" t="str">
        <f ca="1"/>
        <v>錠</v>
      </c>
      <c r="J54" s="54" t="str">
        <f ca="1">IF(F54="","",OFFSET(分類!$B$29,MATCH(F54,分類!$A$30:$A$46,0),0))</f>
        <v>調剤棚　＆　劇薬バラ</v>
      </c>
      <c r="K54" s="69"/>
      <c r="L54" s="69">
        <v>50</v>
      </c>
      <c r="M54" s="54">
        <f t="shared" si="0"/>
        <v>50</v>
      </c>
    </row>
    <row r="55" spans="2:13">
      <c r="B55" s="27">
        <f t="shared" si="1"/>
        <v>51</v>
      </c>
      <c r="C55" s="27">
        <f ca="1"/>
        <v>162</v>
      </c>
      <c r="D55" s="27" t="str">
        <f ca="1"/>
        <v>オランザピン錠２．５ｍｇ「ニプロ」　　</v>
      </c>
      <c r="E55" s="27">
        <f ca="1"/>
        <v>2</v>
      </c>
      <c r="F55" s="54">
        <f ca="1"/>
        <v>1</v>
      </c>
      <c r="G55" s="54" t="str">
        <f ca="1"/>
        <v>ＰＴＰ</v>
      </c>
      <c r="H55" s="54" t="str">
        <f ca="1"/>
        <v>１００Ｔ</v>
      </c>
      <c r="I55" s="54" t="str">
        <f ca="1"/>
        <v>錠</v>
      </c>
      <c r="J55" s="54" t="str">
        <f ca="1">IF(F55="","",OFFSET(分類!$B$29,MATCH(F55,分類!$A$30:$A$46,0),0))</f>
        <v>調剤棚</v>
      </c>
      <c r="K55" s="69"/>
      <c r="L55" s="69">
        <v>51</v>
      </c>
      <c r="M55" s="54">
        <f t="shared" si="0"/>
        <v>51</v>
      </c>
    </row>
    <row r="56" spans="2:13">
      <c r="B56" s="27">
        <f t="shared" si="1"/>
        <v>52</v>
      </c>
      <c r="C56" s="27">
        <f ca="1"/>
        <v>163</v>
      </c>
      <c r="D56" s="27" t="str">
        <f ca="1"/>
        <v>オランザピン錠２．５ｍｇ「ニプロ」　　</v>
      </c>
      <c r="E56" s="27">
        <f ca="1"/>
        <v>2</v>
      </c>
      <c r="F56" s="54">
        <f ca="1"/>
        <v>1</v>
      </c>
      <c r="G56" s="54" t="str">
        <f ca="1"/>
        <v>バラ</v>
      </c>
      <c r="H56" s="54" t="str">
        <f ca="1"/>
        <v>１００Ｔ</v>
      </c>
      <c r="I56" s="54" t="str">
        <f ca="1"/>
        <v>錠</v>
      </c>
      <c r="J56" s="54" t="str">
        <f ca="1">IF(F56="","",OFFSET(分類!$B$29,MATCH(F56,分類!$A$30:$A$46,0),0))</f>
        <v>調剤棚</v>
      </c>
      <c r="K56" s="69"/>
      <c r="L56" s="69">
        <v>52</v>
      </c>
      <c r="M56" s="54">
        <f t="shared" si="0"/>
        <v>52</v>
      </c>
    </row>
    <row r="57" spans="2:13">
      <c r="B57" s="27">
        <f t="shared" si="1"/>
        <v>53</v>
      </c>
      <c r="C57" s="27">
        <f ca="1"/>
        <v>166</v>
      </c>
      <c r="D57" s="27" t="str">
        <f ca="1"/>
        <v>オロパタジン塩酸塩ＯＤ錠５ｍｇ「トーワ」</v>
      </c>
      <c r="E57" s="27">
        <f ca="1"/>
        <v>0</v>
      </c>
      <c r="F57" s="54">
        <f ca="1"/>
        <v>25</v>
      </c>
      <c r="G57" s="54" t="str">
        <f ca="1"/>
        <v>ＰＴＰ</v>
      </c>
      <c r="H57" s="54" t="str">
        <f ca="1"/>
        <v>１００Ｔ</v>
      </c>
      <c r="I57" s="54" t="str">
        <f ca="1"/>
        <v>錠</v>
      </c>
      <c r="J57" s="54" t="str">
        <f ca="1">IF(F57="","",OFFSET(分類!$B$29,MATCH(F57,分類!$A$30:$A$46,0),0))</f>
        <v>調剤棚　＆　普通薬バラ</v>
      </c>
      <c r="K57" s="69"/>
      <c r="L57" s="69">
        <v>53</v>
      </c>
      <c r="M57" s="54">
        <f t="shared" si="0"/>
        <v>53</v>
      </c>
    </row>
    <row r="58" spans="2:13">
      <c r="B58" s="27">
        <f t="shared" si="1"/>
        <v>54</v>
      </c>
      <c r="C58" s="27">
        <f ca="1"/>
        <v>167</v>
      </c>
      <c r="D58" s="27" t="str">
        <f ca="1"/>
        <v>オロパタジン塩酸塩ＯＤ錠５ｍｇ「トーワ」</v>
      </c>
      <c r="E58" s="27">
        <f ca="1"/>
        <v>0</v>
      </c>
      <c r="F58" s="54">
        <f ca="1"/>
        <v>25</v>
      </c>
      <c r="G58" s="54" t="str">
        <f ca="1"/>
        <v>バラ</v>
      </c>
      <c r="H58" s="54" t="str">
        <f ca="1"/>
        <v>１００Ｔ</v>
      </c>
      <c r="I58" s="54" t="str">
        <f ca="1"/>
        <v>錠</v>
      </c>
      <c r="J58" s="54" t="str">
        <f ca="1">IF(F58="","",OFFSET(分類!$B$29,MATCH(F58,分類!$A$30:$A$46,0),0))</f>
        <v>調剤棚　＆　普通薬バラ</v>
      </c>
      <c r="K58" s="69"/>
      <c r="L58" s="69">
        <v>54</v>
      </c>
      <c r="M58" s="54">
        <f t="shared" si="0"/>
        <v>54</v>
      </c>
    </row>
    <row r="59" spans="2:13">
      <c r="B59" s="27">
        <f t="shared" si="1"/>
        <v>55</v>
      </c>
      <c r="C59" s="27">
        <f ca="1"/>
        <v>168</v>
      </c>
      <c r="D59" s="27" t="str">
        <f ca="1"/>
        <v>カモスタットメシル酸塩錠１００ｍｇ「サワイ」</v>
      </c>
      <c r="E59" s="27">
        <f ca="1"/>
        <v>0</v>
      </c>
      <c r="F59" s="54">
        <f ca="1"/>
        <v>5</v>
      </c>
      <c r="G59" s="54" t="str">
        <f ca="1"/>
        <v>ＰＴＰ</v>
      </c>
      <c r="H59" s="54" t="str">
        <f ca="1"/>
        <v>１００Ｔ</v>
      </c>
      <c r="I59" s="54" t="str">
        <f ca="1"/>
        <v>錠</v>
      </c>
      <c r="J59" s="54" t="str">
        <f ca="1">IF(F59="","",OFFSET(分類!$B$29,MATCH(F59,分類!$A$30:$A$46,0),0))</f>
        <v>普通薬バラ</v>
      </c>
      <c r="K59" s="69"/>
      <c r="L59" s="69">
        <v>55</v>
      </c>
      <c r="M59" s="54">
        <f t="shared" si="0"/>
        <v>55</v>
      </c>
    </row>
    <row r="60" spans="2:13">
      <c r="B60" s="27">
        <f t="shared" si="1"/>
        <v>56</v>
      </c>
      <c r="C60" s="27">
        <f ca="1"/>
        <v>169</v>
      </c>
      <c r="D60" s="27" t="str">
        <f ca="1"/>
        <v>ガランタミンＯＤ錠１２ｍｇ「日医工」</v>
      </c>
      <c r="E60" s="27">
        <f ca="1"/>
        <v>2</v>
      </c>
      <c r="F60" s="54">
        <f ca="1"/>
        <v>26</v>
      </c>
      <c r="G60" s="54" t="str">
        <f ca="1"/>
        <v>ＰＴＰ</v>
      </c>
      <c r="H60" s="54" t="str">
        <f ca="1"/>
        <v>５６Ｔ</v>
      </c>
      <c r="I60" s="54" t="str">
        <f ca="1"/>
        <v>錠</v>
      </c>
      <c r="J60" s="54" t="str">
        <f ca="1">IF(F60="","",OFFSET(分類!$B$29,MATCH(F60,分類!$A$30:$A$46,0),0))</f>
        <v>調剤棚　＆　劇薬バラ</v>
      </c>
      <c r="K60" s="69"/>
      <c r="L60" s="69">
        <v>56</v>
      </c>
      <c r="M60" s="54">
        <f t="shared" si="0"/>
        <v>56</v>
      </c>
    </row>
    <row r="61" spans="2:13">
      <c r="B61" s="27">
        <f t="shared" si="1"/>
        <v>57</v>
      </c>
      <c r="C61" s="27">
        <f ca="1"/>
        <v>170</v>
      </c>
      <c r="D61" s="27" t="str">
        <f ca="1"/>
        <v>ガランタミンＯＤ錠４ｍｇ「日医工」</v>
      </c>
      <c r="E61" s="27">
        <f ca="1"/>
        <v>2</v>
      </c>
      <c r="F61" s="54">
        <f ca="1"/>
        <v>26</v>
      </c>
      <c r="G61" s="54" t="str">
        <f ca="1"/>
        <v>ＰＴＰ</v>
      </c>
      <c r="H61" s="54" t="str">
        <f ca="1"/>
        <v>１４０Ｔ</v>
      </c>
      <c r="I61" s="54" t="str">
        <f ca="1"/>
        <v>錠</v>
      </c>
      <c r="J61" s="54" t="str">
        <f ca="1">IF(F61="","",OFFSET(分類!$B$29,MATCH(F61,分類!$A$30:$A$46,0),0))</f>
        <v>調剤棚　＆　劇薬バラ</v>
      </c>
      <c r="K61" s="69"/>
      <c r="L61" s="69">
        <v>57</v>
      </c>
      <c r="M61" s="54">
        <f t="shared" si="0"/>
        <v>57</v>
      </c>
    </row>
    <row r="62" spans="2:13">
      <c r="B62" s="27">
        <f t="shared" si="1"/>
        <v>58</v>
      </c>
      <c r="C62" s="27">
        <f ca="1"/>
        <v>173</v>
      </c>
      <c r="D62" s="27" t="str">
        <f ca="1"/>
        <v>カルバマゼピン錠１００ｍｇ「アメル」</v>
      </c>
      <c r="E62" s="27">
        <f ca="1"/>
        <v>0</v>
      </c>
      <c r="F62" s="54">
        <f ca="1"/>
        <v>25</v>
      </c>
      <c r="G62" s="54" t="str">
        <f ca="1"/>
        <v>バラ</v>
      </c>
      <c r="H62" s="54" t="str">
        <f ca="1"/>
        <v>５００Ｔ</v>
      </c>
      <c r="I62" s="54" t="str">
        <f ca="1"/>
        <v>錠</v>
      </c>
      <c r="J62" s="54" t="str">
        <f ca="1">IF(F62="","",OFFSET(分類!$B$29,MATCH(F62,分類!$A$30:$A$46,0),0))</f>
        <v>調剤棚　＆　普通薬バラ</v>
      </c>
      <c r="K62" s="69"/>
      <c r="L62" s="69">
        <v>58</v>
      </c>
      <c r="M62" s="54">
        <f t="shared" si="0"/>
        <v>58</v>
      </c>
    </row>
    <row r="63" spans="2:13">
      <c r="B63" s="27">
        <f t="shared" si="1"/>
        <v>59</v>
      </c>
      <c r="C63" s="27">
        <f ca="1"/>
        <v>174</v>
      </c>
      <c r="D63" s="27" t="str">
        <f ca="1"/>
        <v>カルバマゼピン錠２００ｍｇ「アメル」</v>
      </c>
      <c r="E63" s="27">
        <f ca="1"/>
        <v>0</v>
      </c>
      <c r="F63" s="54">
        <f ca="1"/>
        <v>25</v>
      </c>
      <c r="G63" s="54" t="str">
        <f ca="1"/>
        <v>ＰＴＰ</v>
      </c>
      <c r="H63" s="54" t="str">
        <f ca="1"/>
        <v>１００Ｔ</v>
      </c>
      <c r="I63" s="54" t="str">
        <f ca="1"/>
        <v>錠</v>
      </c>
      <c r="J63" s="54" t="str">
        <f ca="1">IF(F63="","",OFFSET(分類!$B$29,MATCH(F63,分類!$A$30:$A$46,0),0))</f>
        <v>調剤棚　＆　普通薬バラ</v>
      </c>
      <c r="K63" s="69"/>
      <c r="L63" s="69">
        <v>59</v>
      </c>
      <c r="M63" s="54">
        <f t="shared" si="0"/>
        <v>59</v>
      </c>
    </row>
    <row r="64" spans="2:13">
      <c r="B64" s="27">
        <f t="shared" si="1"/>
        <v>60</v>
      </c>
      <c r="C64" s="27">
        <f ca="1"/>
        <v>175</v>
      </c>
      <c r="D64" s="27" t="str">
        <f ca="1"/>
        <v>カルバマゼピン錠２００ｍｇ「アメル」</v>
      </c>
      <c r="E64" s="27">
        <f ca="1"/>
        <v>0</v>
      </c>
      <c r="F64" s="54">
        <f ca="1"/>
        <v>25</v>
      </c>
      <c r="G64" s="54" t="str">
        <f ca="1"/>
        <v>バラ</v>
      </c>
      <c r="H64" s="54" t="str">
        <f ca="1"/>
        <v>５００Ｔ</v>
      </c>
      <c r="I64" s="54" t="str">
        <f ca="1"/>
        <v>錠</v>
      </c>
      <c r="J64" s="54" t="str">
        <f ca="1">IF(F64="","",OFFSET(分類!$B$29,MATCH(F64,分類!$A$30:$A$46,0),0))</f>
        <v>調剤棚　＆　普通薬バラ</v>
      </c>
      <c r="K64" s="69"/>
      <c r="L64" s="69">
        <v>60</v>
      </c>
      <c r="M64" s="54">
        <f t="shared" si="0"/>
        <v>60</v>
      </c>
    </row>
    <row r="65" spans="2:13">
      <c r="B65" s="27">
        <f t="shared" si="1"/>
        <v>61</v>
      </c>
      <c r="C65" s="27">
        <f ca="1"/>
        <v>176</v>
      </c>
      <c r="D65" s="27" t="str">
        <f ca="1"/>
        <v>カルベジロール錠１０ｍｇ「ＤＳＥＰ」</v>
      </c>
      <c r="E65" s="27">
        <f ca="1"/>
        <v>0</v>
      </c>
      <c r="F65" s="54">
        <f ca="1"/>
        <v>25</v>
      </c>
      <c r="G65" s="54" t="str">
        <f ca="1"/>
        <v>ＰＴＰ</v>
      </c>
      <c r="H65" s="54" t="str">
        <f ca="1"/>
        <v>１００Ｔ</v>
      </c>
      <c r="I65" s="54" t="str">
        <f ca="1"/>
        <v>錠</v>
      </c>
      <c r="J65" s="54" t="str">
        <f ca="1">IF(F65="","",OFFSET(分類!$B$29,MATCH(F65,分類!$A$30:$A$46,0),0))</f>
        <v>調剤棚　＆　普通薬バラ</v>
      </c>
      <c r="K65" s="69"/>
      <c r="L65" s="69">
        <v>61</v>
      </c>
      <c r="M65" s="54">
        <f t="shared" si="0"/>
        <v>61</v>
      </c>
    </row>
    <row r="66" spans="2:13">
      <c r="B66" s="27">
        <f t="shared" si="1"/>
        <v>62</v>
      </c>
      <c r="C66" s="27">
        <f ca="1"/>
        <v>177</v>
      </c>
      <c r="D66" s="27" t="str">
        <f ca="1"/>
        <v>カルボシステイン錠２５０ｍｇ「トーワ」</v>
      </c>
      <c r="E66" s="27">
        <f ca="1"/>
        <v>0</v>
      </c>
      <c r="F66" s="54">
        <f ca="1"/>
        <v>25</v>
      </c>
      <c r="G66" s="54" t="str">
        <f ca="1"/>
        <v>ＰＴＰ</v>
      </c>
      <c r="H66" s="54" t="str">
        <f ca="1"/>
        <v>１０００Ｔ</v>
      </c>
      <c r="I66" s="54" t="str">
        <f ca="1"/>
        <v>錠</v>
      </c>
      <c r="J66" s="54" t="str">
        <f ca="1">IF(F66="","",OFFSET(分類!$B$29,MATCH(F66,分類!$A$30:$A$46,0),0))</f>
        <v>調剤棚　＆　普通薬バラ</v>
      </c>
      <c r="K66" s="69"/>
      <c r="L66" s="69">
        <v>62</v>
      </c>
      <c r="M66" s="54">
        <f t="shared" si="0"/>
        <v>62</v>
      </c>
    </row>
    <row r="67" spans="2:13">
      <c r="B67" s="27">
        <f t="shared" si="1"/>
        <v>63</v>
      </c>
      <c r="C67" s="27">
        <f ca="1"/>
        <v>179</v>
      </c>
      <c r="D67" s="27" t="str">
        <f ca="1"/>
        <v>カロナール錠２００</v>
      </c>
      <c r="E67" s="27">
        <f ca="1"/>
        <v>0</v>
      </c>
      <c r="F67" s="54">
        <f ca="1"/>
        <v>25</v>
      </c>
      <c r="G67" s="54" t="str">
        <f ca="1"/>
        <v>ＰＴＰ</v>
      </c>
      <c r="H67" s="54" t="str">
        <f ca="1"/>
        <v>１０００Ｔ</v>
      </c>
      <c r="I67" s="54" t="str">
        <f ca="1"/>
        <v>錠</v>
      </c>
      <c r="J67" s="54" t="str">
        <f ca="1">IF(F67="","",OFFSET(分類!$B$29,MATCH(F67,分類!$A$30:$A$46,0),0))</f>
        <v>調剤棚　＆　普通薬バラ</v>
      </c>
      <c r="K67" s="69"/>
      <c r="L67" s="69">
        <v>63</v>
      </c>
      <c r="M67" s="54">
        <f t="shared" si="0"/>
        <v>63</v>
      </c>
    </row>
    <row r="68" spans="2:13">
      <c r="B68" s="27">
        <f t="shared" si="1"/>
        <v>64</v>
      </c>
      <c r="C68" s="27">
        <f ca="1"/>
        <v>180</v>
      </c>
      <c r="D68" s="27" t="str">
        <f ca="1"/>
        <v>カロナール錠２００</v>
      </c>
      <c r="E68" s="27">
        <f ca="1"/>
        <v>0</v>
      </c>
      <c r="F68" s="54">
        <f ca="1"/>
        <v>25</v>
      </c>
      <c r="G68" s="54" t="str">
        <f ca="1"/>
        <v>バラ</v>
      </c>
      <c r="H68" s="54" t="str">
        <f ca="1"/>
        <v>５００Ｔ</v>
      </c>
      <c r="I68" s="54" t="str">
        <f ca="1"/>
        <v>錠</v>
      </c>
      <c r="J68" s="54" t="str">
        <f ca="1">IF(F68="","",OFFSET(分類!$B$29,MATCH(F68,分類!$A$30:$A$46,0),0))</f>
        <v>調剤棚　＆　普通薬バラ</v>
      </c>
      <c r="K68" s="69"/>
      <c r="L68" s="69">
        <v>64</v>
      </c>
      <c r="M68" s="54">
        <f t="shared" si="0"/>
        <v>64</v>
      </c>
    </row>
    <row r="69" spans="2:13">
      <c r="B69" s="27">
        <f t="shared" si="1"/>
        <v>65</v>
      </c>
      <c r="C69" s="27">
        <f ca="1"/>
        <v>184</v>
      </c>
      <c r="D69" s="27" t="str">
        <f ca="1"/>
        <v>クアゼパム錠１５ｍｇ「アメル」</v>
      </c>
      <c r="E69" s="27">
        <f ca="1"/>
        <v>0</v>
      </c>
      <c r="F69" s="54">
        <f ca="1"/>
        <v>1</v>
      </c>
      <c r="G69" s="54" t="str">
        <f ca="1"/>
        <v>ＰＴＰ</v>
      </c>
      <c r="H69" s="54" t="str">
        <f ca="1"/>
        <v>１００Ｔ</v>
      </c>
      <c r="I69" s="54" t="str">
        <f ca="1"/>
        <v>錠</v>
      </c>
      <c r="J69" s="54" t="str">
        <f ca="1">IF(F69="","",OFFSET(分類!$B$29,MATCH(F69,分類!$A$30:$A$46,0),0))</f>
        <v>調剤棚</v>
      </c>
      <c r="K69" s="69"/>
      <c r="L69" s="69">
        <v>65</v>
      </c>
      <c r="M69" s="54">
        <f t="shared" si="0"/>
        <v>65</v>
      </c>
    </row>
    <row r="70" spans="2:13">
      <c r="B70" s="27">
        <f t="shared" si="1"/>
        <v>66</v>
      </c>
      <c r="C70" s="27">
        <f ca="1"/>
        <v>185</v>
      </c>
      <c r="D70" s="27" t="str">
        <f ca="1"/>
        <v>クアゼパム錠１５ｍｇ「アメル」</v>
      </c>
      <c r="E70" s="27">
        <f ca="1"/>
        <v>0</v>
      </c>
      <c r="F70" s="54">
        <f ca="1"/>
        <v>1</v>
      </c>
      <c r="G70" s="54" t="str">
        <f ca="1"/>
        <v>バラ</v>
      </c>
      <c r="H70" s="54" t="str">
        <f ca="1"/>
        <v>５００Ｔ</v>
      </c>
      <c r="I70" s="54" t="str">
        <f ca="1"/>
        <v>錠</v>
      </c>
      <c r="J70" s="54" t="str">
        <f ca="1">IF(F70="","",OFFSET(分類!$B$29,MATCH(F70,分類!$A$30:$A$46,0),0))</f>
        <v>調剤棚</v>
      </c>
      <c r="K70" s="69"/>
      <c r="L70" s="69">
        <v>66</v>
      </c>
      <c r="M70" s="54">
        <f t="shared" ref="M70:M133" si="2">SUM(K70:L70)</f>
        <v>66</v>
      </c>
    </row>
    <row r="71" spans="2:13">
      <c r="B71" s="27">
        <f t="shared" ref="B71:B134" si="3">B70+1</f>
        <v>67</v>
      </c>
      <c r="C71" s="27">
        <f ca="1"/>
        <v>186</v>
      </c>
      <c r="D71" s="27" t="str">
        <f ca="1"/>
        <v>クービビック錠２５ｍｇ</v>
      </c>
      <c r="E71" s="27">
        <f ca="1"/>
        <v>0</v>
      </c>
      <c r="F71" s="54">
        <f ca="1"/>
        <v>1</v>
      </c>
      <c r="G71" s="54" t="str">
        <f ca="1"/>
        <v>ＰＴＰ</v>
      </c>
      <c r="H71" s="54" t="str">
        <f ca="1"/>
        <v>１００Ｔ</v>
      </c>
      <c r="I71" s="54" t="str">
        <f ca="1"/>
        <v>錠</v>
      </c>
      <c r="J71" s="54" t="str">
        <f ca="1">IF(F71="","",OFFSET(分類!$B$29,MATCH(F71,分類!$A$30:$A$46,0),0))</f>
        <v>調剤棚</v>
      </c>
      <c r="K71" s="69"/>
      <c r="L71" s="69">
        <v>67</v>
      </c>
      <c r="M71" s="54">
        <f t="shared" si="2"/>
        <v>67</v>
      </c>
    </row>
    <row r="72" spans="2:13">
      <c r="B72" s="27">
        <f t="shared" si="3"/>
        <v>68</v>
      </c>
      <c r="C72" s="27">
        <f ca="1"/>
        <v>188</v>
      </c>
      <c r="D72" s="27" t="str">
        <f ca="1"/>
        <v>グーフィス錠５ｍｇ</v>
      </c>
      <c r="E72" s="27">
        <f ca="1"/>
        <v>0</v>
      </c>
      <c r="F72" s="54">
        <f ca="1"/>
        <v>25</v>
      </c>
      <c r="G72" s="54" t="str">
        <f ca="1"/>
        <v>ＰＴＰ</v>
      </c>
      <c r="H72" s="54" t="str">
        <f ca="1"/>
        <v>５００Ｔ</v>
      </c>
      <c r="I72" s="54" t="str">
        <f ca="1"/>
        <v>錠</v>
      </c>
      <c r="J72" s="54" t="str">
        <f ca="1">IF(F72="","",OFFSET(分類!$B$29,MATCH(F72,分類!$A$30:$A$46,0),0))</f>
        <v>調剤棚　＆　普通薬バラ</v>
      </c>
      <c r="K72" s="69"/>
      <c r="L72" s="69">
        <v>68</v>
      </c>
      <c r="M72" s="54">
        <f t="shared" si="2"/>
        <v>68</v>
      </c>
    </row>
    <row r="73" spans="2:13">
      <c r="B73" s="27">
        <f t="shared" si="3"/>
        <v>69</v>
      </c>
      <c r="C73" s="27">
        <f ca="1"/>
        <v>190</v>
      </c>
      <c r="D73" s="27" t="str">
        <f ca="1"/>
        <v>クエチアピン錠１００ｍｇ「アメル」</v>
      </c>
      <c r="E73" s="27">
        <f ca="1"/>
        <v>2</v>
      </c>
      <c r="F73" s="54">
        <f ca="1"/>
        <v>26</v>
      </c>
      <c r="G73" s="54" t="str">
        <f ca="1"/>
        <v>ＰＴＰ</v>
      </c>
      <c r="H73" s="54" t="str">
        <f ca="1"/>
        <v>１００Ｔ</v>
      </c>
      <c r="I73" s="54" t="str">
        <f ca="1"/>
        <v>錠</v>
      </c>
      <c r="J73" s="54" t="str">
        <f ca="1">IF(F73="","",OFFSET(分類!$B$29,MATCH(F73,分類!$A$30:$A$46,0),0))</f>
        <v>調剤棚　＆　劇薬バラ</v>
      </c>
      <c r="K73" s="69"/>
      <c r="L73" s="69">
        <v>69</v>
      </c>
      <c r="M73" s="54">
        <f t="shared" si="2"/>
        <v>69</v>
      </c>
    </row>
    <row r="74" spans="2:13">
      <c r="B74" s="27">
        <f t="shared" si="3"/>
        <v>70</v>
      </c>
      <c r="C74" s="27">
        <f ca="1"/>
        <v>191</v>
      </c>
      <c r="D74" s="27" t="str">
        <f ca="1"/>
        <v>クエチアピン錠１００ｍｇ「アメル」</v>
      </c>
      <c r="E74" s="27">
        <f ca="1"/>
        <v>2</v>
      </c>
      <c r="F74" s="54">
        <f ca="1"/>
        <v>26</v>
      </c>
      <c r="G74" s="54" t="str">
        <f ca="1"/>
        <v>バラ</v>
      </c>
      <c r="H74" s="54" t="str">
        <f ca="1"/>
        <v>１０００Ｔ</v>
      </c>
      <c r="I74" s="54" t="str">
        <f ca="1"/>
        <v>錠</v>
      </c>
      <c r="J74" s="54" t="str">
        <f ca="1">IF(F74="","",OFFSET(分類!$B$29,MATCH(F74,分類!$A$30:$A$46,0),0))</f>
        <v>調剤棚　＆　劇薬バラ</v>
      </c>
      <c r="K74" s="69"/>
      <c r="L74" s="69">
        <v>70</v>
      </c>
      <c r="M74" s="54">
        <f t="shared" si="2"/>
        <v>70</v>
      </c>
    </row>
    <row r="75" spans="2:13">
      <c r="B75" s="27">
        <f t="shared" si="3"/>
        <v>71</v>
      </c>
      <c r="C75" s="27">
        <f ca="1"/>
        <v>192</v>
      </c>
      <c r="D75" s="27" t="str">
        <f ca="1"/>
        <v>クエチアピン錠１２．５ｍｇ「アメル」</v>
      </c>
      <c r="E75" s="27">
        <f ca="1"/>
        <v>2</v>
      </c>
      <c r="F75" s="54">
        <f ca="1"/>
        <v>26</v>
      </c>
      <c r="G75" s="54" t="str">
        <f ca="1"/>
        <v>ＰＴＰ</v>
      </c>
      <c r="H75" s="54" t="str">
        <f ca="1"/>
        <v>１００Ｔ</v>
      </c>
      <c r="I75" s="54" t="str">
        <f ca="1"/>
        <v>錠</v>
      </c>
      <c r="J75" s="54" t="str">
        <f ca="1">IF(F75="","",OFFSET(分類!$B$29,MATCH(F75,分類!$A$30:$A$46,0),0))</f>
        <v>調剤棚　＆　劇薬バラ</v>
      </c>
      <c r="K75" s="69"/>
      <c r="L75" s="69">
        <v>71</v>
      </c>
      <c r="M75" s="54">
        <f t="shared" si="2"/>
        <v>71</v>
      </c>
    </row>
    <row r="76" spans="2:13">
      <c r="B76" s="27">
        <f t="shared" si="3"/>
        <v>72</v>
      </c>
      <c r="C76" s="27">
        <f ca="1"/>
        <v>193</v>
      </c>
      <c r="D76" s="27" t="str">
        <f ca="1"/>
        <v>クエチアピン錠１２．５ｍｇ「アメル」</v>
      </c>
      <c r="E76" s="27">
        <f ca="1"/>
        <v>2</v>
      </c>
      <c r="F76" s="54">
        <f ca="1"/>
        <v>26</v>
      </c>
      <c r="G76" s="54" t="str">
        <f ca="1"/>
        <v>バラ</v>
      </c>
      <c r="H76" s="54" t="str">
        <f ca="1"/>
        <v>２００Ｔ</v>
      </c>
      <c r="I76" s="54" t="str">
        <f ca="1"/>
        <v>錠</v>
      </c>
      <c r="J76" s="54" t="str">
        <f ca="1">IF(F76="","",OFFSET(分類!$B$29,MATCH(F76,分類!$A$30:$A$46,0),0))</f>
        <v>調剤棚　＆　劇薬バラ</v>
      </c>
      <c r="K76" s="69"/>
      <c r="L76" s="69">
        <v>72</v>
      </c>
      <c r="M76" s="54">
        <f t="shared" si="2"/>
        <v>72</v>
      </c>
    </row>
    <row r="77" spans="2:13">
      <c r="B77" s="27">
        <f t="shared" si="3"/>
        <v>73</v>
      </c>
      <c r="C77" s="27">
        <f ca="1"/>
        <v>194</v>
      </c>
      <c r="D77" s="27" t="str">
        <f ca="1"/>
        <v>クエチアピン錠２００ｍｇ「アメル」</v>
      </c>
      <c r="E77" s="27">
        <f ca="1"/>
        <v>2</v>
      </c>
      <c r="F77" s="54">
        <f ca="1"/>
        <v>26</v>
      </c>
      <c r="G77" s="54" t="str">
        <f ca="1"/>
        <v>ＰＴＰ</v>
      </c>
      <c r="H77" s="54" t="str">
        <f ca="1"/>
        <v>１００Ｔ</v>
      </c>
      <c r="I77" s="54" t="str">
        <f ca="1"/>
        <v>錠</v>
      </c>
      <c r="J77" s="54" t="str">
        <f ca="1">IF(F77="","",OFFSET(分類!$B$29,MATCH(F77,分類!$A$30:$A$46,0),0))</f>
        <v>調剤棚　＆　劇薬バラ</v>
      </c>
      <c r="K77" s="69"/>
      <c r="L77" s="69">
        <v>73</v>
      </c>
      <c r="M77" s="54">
        <f t="shared" si="2"/>
        <v>73</v>
      </c>
    </row>
    <row r="78" spans="2:13">
      <c r="B78" s="27">
        <f t="shared" si="3"/>
        <v>74</v>
      </c>
      <c r="C78" s="27">
        <f ca="1"/>
        <v>195</v>
      </c>
      <c r="D78" s="27" t="str">
        <f ca="1"/>
        <v>クエチアピン錠２００ｍｇ「アメル」</v>
      </c>
      <c r="E78" s="27">
        <f ca="1"/>
        <v>2</v>
      </c>
      <c r="F78" s="54">
        <f ca="1"/>
        <v>26</v>
      </c>
      <c r="G78" s="54" t="str">
        <f ca="1"/>
        <v>バラ</v>
      </c>
      <c r="H78" s="54" t="str">
        <f ca="1"/>
        <v>５００Ｔ</v>
      </c>
      <c r="I78" s="54" t="str">
        <f ca="1"/>
        <v>錠</v>
      </c>
      <c r="J78" s="54" t="str">
        <f ca="1">IF(F78="","",OFFSET(分類!$B$29,MATCH(F78,分類!$A$30:$A$46,0),0))</f>
        <v>調剤棚　＆　劇薬バラ</v>
      </c>
      <c r="K78" s="69"/>
      <c r="L78" s="69">
        <v>74</v>
      </c>
      <c r="M78" s="54">
        <f t="shared" si="2"/>
        <v>74</v>
      </c>
    </row>
    <row r="79" spans="2:13">
      <c r="B79" s="27">
        <f t="shared" si="3"/>
        <v>75</v>
      </c>
      <c r="C79" s="27">
        <f ca="1"/>
        <v>196</v>
      </c>
      <c r="D79" s="27" t="str">
        <f ca="1"/>
        <v>クエチアピン錠２５ｍｇ「アメル」</v>
      </c>
      <c r="E79" s="27">
        <f ca="1"/>
        <v>2</v>
      </c>
      <c r="F79" s="54">
        <f ca="1"/>
        <v>26</v>
      </c>
      <c r="G79" s="54" t="str">
        <f ca="1"/>
        <v>ＰＴＰ</v>
      </c>
      <c r="H79" s="54" t="str">
        <f ca="1"/>
        <v>１００Ｔ</v>
      </c>
      <c r="I79" s="54" t="str">
        <f ca="1"/>
        <v>錠</v>
      </c>
      <c r="J79" s="54" t="str">
        <f ca="1">IF(F79="","",OFFSET(分類!$B$29,MATCH(F79,分類!$A$30:$A$46,0),0))</f>
        <v>調剤棚　＆　劇薬バラ</v>
      </c>
      <c r="K79" s="69"/>
      <c r="L79" s="69">
        <v>75</v>
      </c>
      <c r="M79" s="54">
        <f t="shared" si="2"/>
        <v>75</v>
      </c>
    </row>
    <row r="80" spans="2:13">
      <c r="B80" s="27">
        <f t="shared" si="3"/>
        <v>76</v>
      </c>
      <c r="C80" s="27">
        <f ca="1"/>
        <v>197</v>
      </c>
      <c r="D80" s="27" t="str">
        <f ca="1"/>
        <v>クエチアピン錠２５ｍｇ「アメル」</v>
      </c>
      <c r="E80" s="27">
        <f ca="1"/>
        <v>2</v>
      </c>
      <c r="F80" s="54">
        <f ca="1"/>
        <v>26</v>
      </c>
      <c r="G80" s="54" t="str">
        <f ca="1"/>
        <v>バラ</v>
      </c>
      <c r="H80" s="54" t="str">
        <f ca="1"/>
        <v>１０００Ｔ</v>
      </c>
      <c r="I80" s="54" t="str">
        <f ca="1"/>
        <v>錠</v>
      </c>
      <c r="J80" s="54" t="str">
        <f ca="1">IF(F80="","",OFFSET(分類!$B$29,MATCH(F80,分類!$A$30:$A$46,0),0))</f>
        <v>調剤棚　＆　劇薬バラ</v>
      </c>
      <c r="K80" s="69"/>
      <c r="L80" s="69">
        <v>76</v>
      </c>
      <c r="M80" s="54">
        <f t="shared" si="2"/>
        <v>76</v>
      </c>
    </row>
    <row r="81" spans="2:13">
      <c r="B81" s="27">
        <f t="shared" si="3"/>
        <v>77</v>
      </c>
      <c r="C81" s="27">
        <f ca="1"/>
        <v>199</v>
      </c>
      <c r="D81" s="27" t="str">
        <f ca="1"/>
        <v>グラクティブ錠５０ｍｇ</v>
      </c>
      <c r="E81" s="27">
        <f ca="1"/>
        <v>0</v>
      </c>
      <c r="F81" s="54">
        <f ca="1"/>
        <v>25</v>
      </c>
      <c r="G81" s="54" t="str">
        <f ca="1"/>
        <v>バラ</v>
      </c>
      <c r="H81" s="54" t="str">
        <f ca="1"/>
        <v>１００Ｔ</v>
      </c>
      <c r="I81" s="54" t="str">
        <f ca="1"/>
        <v>錠</v>
      </c>
      <c r="J81" s="54" t="str">
        <f ca="1">IF(F81="","",OFFSET(分類!$B$29,MATCH(F81,分類!$A$30:$A$46,0),0))</f>
        <v>調剤棚　＆　普通薬バラ</v>
      </c>
      <c r="K81" s="69"/>
      <c r="L81" s="69">
        <v>77</v>
      </c>
      <c r="M81" s="54">
        <f t="shared" si="2"/>
        <v>77</v>
      </c>
    </row>
    <row r="82" spans="2:13">
      <c r="B82" s="27">
        <f t="shared" si="3"/>
        <v>78</v>
      </c>
      <c r="C82" s="27">
        <f ca="1"/>
        <v>202</v>
      </c>
      <c r="D82" s="27" t="str">
        <f ca="1"/>
        <v>グラマリール錠２５ｍｇ</v>
      </c>
      <c r="E82" s="27">
        <f ca="1"/>
        <v>0</v>
      </c>
      <c r="F82" s="54">
        <f ca="1"/>
        <v>25</v>
      </c>
      <c r="G82" s="54" t="str">
        <f ca="1"/>
        <v>バラ</v>
      </c>
      <c r="H82" s="54" t="str">
        <f ca="1"/>
        <v>１０００Ｔ</v>
      </c>
      <c r="I82" s="54" t="str">
        <f ca="1"/>
        <v>錠</v>
      </c>
      <c r="J82" s="54" t="str">
        <f ca="1">IF(F82="","",OFFSET(分類!$B$29,MATCH(F82,分類!$A$30:$A$46,0),0))</f>
        <v>調剤棚　＆　普通薬バラ</v>
      </c>
      <c r="K82" s="69"/>
      <c r="L82" s="69">
        <v>78</v>
      </c>
      <c r="M82" s="54">
        <f t="shared" si="2"/>
        <v>78</v>
      </c>
    </row>
    <row r="83" spans="2:13">
      <c r="B83" s="27">
        <f t="shared" si="3"/>
        <v>79</v>
      </c>
      <c r="C83" s="27">
        <f ca="1"/>
        <v>203</v>
      </c>
      <c r="D83" s="27" t="str">
        <f ca="1"/>
        <v>グラマリール錠５０ｍｇ</v>
      </c>
      <c r="E83" s="27">
        <f ca="1"/>
        <v>0</v>
      </c>
      <c r="F83" s="54">
        <f ca="1"/>
        <v>5</v>
      </c>
      <c r="G83" s="54" t="str">
        <f ca="1"/>
        <v>ＰＴＰ</v>
      </c>
      <c r="H83" s="54" t="str">
        <f ca="1"/>
        <v>１００Ｔ</v>
      </c>
      <c r="I83" s="54" t="str">
        <f ca="1"/>
        <v>錠</v>
      </c>
      <c r="J83" s="54" t="str">
        <f ca="1">IF(F83="","",OFFSET(分類!$B$29,MATCH(F83,分類!$A$30:$A$46,0),0))</f>
        <v>普通薬バラ</v>
      </c>
      <c r="K83" s="69"/>
      <c r="L83" s="69">
        <v>79</v>
      </c>
      <c r="M83" s="54">
        <f t="shared" si="2"/>
        <v>79</v>
      </c>
    </row>
    <row r="84" spans="2:13">
      <c r="B84" s="27">
        <f t="shared" si="3"/>
        <v>80</v>
      </c>
      <c r="C84" s="27">
        <f ca="1"/>
        <v>204</v>
      </c>
      <c r="D84" s="27" t="str">
        <f ca="1"/>
        <v>クラリシッド錠２００ｍｇ</v>
      </c>
      <c r="E84" s="27">
        <f ca="1"/>
        <v>0</v>
      </c>
      <c r="F84" s="54">
        <f ca="1"/>
        <v>25</v>
      </c>
      <c r="G84" s="54" t="str">
        <f ca="1"/>
        <v>ＰＴＰ</v>
      </c>
      <c r="H84" s="54" t="str">
        <f ca="1"/>
        <v>１００Ｔ</v>
      </c>
      <c r="I84" s="54" t="str">
        <f ca="1"/>
        <v>錠</v>
      </c>
      <c r="J84" s="54" t="str">
        <f ca="1">IF(F84="","",OFFSET(分類!$B$29,MATCH(F84,分類!$A$30:$A$46,0),0))</f>
        <v>調剤棚　＆　普通薬バラ</v>
      </c>
      <c r="K84" s="69"/>
      <c r="L84" s="69">
        <v>80</v>
      </c>
      <c r="M84" s="54">
        <f t="shared" si="2"/>
        <v>80</v>
      </c>
    </row>
    <row r="85" spans="2:13">
      <c r="B85" s="27">
        <f t="shared" si="3"/>
        <v>81</v>
      </c>
      <c r="C85" s="27">
        <f ca="1"/>
        <v>205</v>
      </c>
      <c r="D85" s="27" t="str">
        <f ca="1"/>
        <v>クラリチン錠１０ｍｇ</v>
      </c>
      <c r="E85" s="27">
        <f ca="1"/>
        <v>0</v>
      </c>
      <c r="F85" s="54">
        <f ca="1"/>
        <v>25</v>
      </c>
      <c r="G85" s="54" t="str">
        <f ca="1"/>
        <v>ＰＴＰ</v>
      </c>
      <c r="H85" s="54" t="str">
        <f ca="1"/>
        <v>１００Ｔ</v>
      </c>
      <c r="I85" s="54" t="str">
        <f ca="1"/>
        <v>錠</v>
      </c>
      <c r="J85" s="54" t="str">
        <f ca="1">IF(F85="","",OFFSET(分類!$B$29,MATCH(F85,分類!$A$30:$A$46,0),0))</f>
        <v>調剤棚　＆　普通薬バラ</v>
      </c>
      <c r="K85" s="69"/>
      <c r="L85" s="69">
        <v>81</v>
      </c>
      <c r="M85" s="54">
        <f t="shared" si="2"/>
        <v>81</v>
      </c>
    </row>
    <row r="86" spans="2:13">
      <c r="B86" s="27">
        <f t="shared" si="3"/>
        <v>82</v>
      </c>
      <c r="C86" s="27">
        <f ca="1"/>
        <v>206</v>
      </c>
      <c r="D86" s="27" t="str">
        <f ca="1"/>
        <v>グランダキシン錠５０</v>
      </c>
      <c r="E86" s="27">
        <f ca="1"/>
        <v>0</v>
      </c>
      <c r="F86" s="54">
        <f ca="1"/>
        <v>5</v>
      </c>
      <c r="G86" s="54" t="str">
        <f ca="1"/>
        <v>ＰＴＰ</v>
      </c>
      <c r="H86" s="54" t="str">
        <f ca="1"/>
        <v>１００Ｔ</v>
      </c>
      <c r="I86" s="54" t="str">
        <f ca="1"/>
        <v>錠</v>
      </c>
      <c r="J86" s="54" t="str">
        <f ca="1">IF(F86="","",OFFSET(分類!$B$29,MATCH(F86,分類!$A$30:$A$46,0),0))</f>
        <v>普通薬バラ</v>
      </c>
      <c r="K86" s="69"/>
      <c r="L86" s="69">
        <v>82</v>
      </c>
      <c r="M86" s="54">
        <f t="shared" si="2"/>
        <v>82</v>
      </c>
    </row>
    <row r="87" spans="2:13">
      <c r="B87" s="27">
        <f t="shared" si="3"/>
        <v>83</v>
      </c>
      <c r="C87" s="27">
        <f ca="1"/>
        <v>209</v>
      </c>
      <c r="D87" s="27" t="str">
        <f ca="1"/>
        <v>グリチロン配合錠</v>
      </c>
      <c r="E87" s="27">
        <f ca="1"/>
        <v>0</v>
      </c>
      <c r="F87" s="54">
        <f ca="1"/>
        <v>25</v>
      </c>
      <c r="G87" s="54" t="str">
        <f ca="1"/>
        <v>バラ</v>
      </c>
      <c r="H87" s="54" t="str">
        <f ca="1"/>
        <v>１０００Ｔ</v>
      </c>
      <c r="I87" s="54" t="str">
        <f ca="1"/>
        <v>錠</v>
      </c>
      <c r="J87" s="54" t="str">
        <f ca="1">IF(F87="","",OFFSET(分類!$B$29,MATCH(F87,分類!$A$30:$A$46,0),0))</f>
        <v>調剤棚　＆　普通薬バラ</v>
      </c>
      <c r="K87" s="69"/>
      <c r="L87" s="69">
        <v>83</v>
      </c>
      <c r="M87" s="54">
        <f t="shared" si="2"/>
        <v>83</v>
      </c>
    </row>
    <row r="88" spans="2:13">
      <c r="B88" s="27">
        <f t="shared" si="3"/>
        <v>84</v>
      </c>
      <c r="C88" s="27">
        <f ca="1"/>
        <v>210</v>
      </c>
      <c r="D88" s="27" t="str">
        <f ca="1"/>
        <v>グリメピリドＯＤ錠１ｍｇ「トーワ」</v>
      </c>
      <c r="E88" s="27">
        <f ca="1"/>
        <v>2</v>
      </c>
      <c r="F88" s="54">
        <f ca="1"/>
        <v>26</v>
      </c>
      <c r="G88" s="54" t="str">
        <f ca="1"/>
        <v>バラ</v>
      </c>
      <c r="H88" s="54" t="str">
        <f ca="1"/>
        <v>３００Ｔ</v>
      </c>
      <c r="I88" s="54" t="str">
        <f ca="1"/>
        <v>錠</v>
      </c>
      <c r="J88" s="54" t="str">
        <f ca="1">IF(F88="","",OFFSET(分類!$B$29,MATCH(F88,分類!$A$30:$A$46,0),0))</f>
        <v>調剤棚　＆　劇薬バラ</v>
      </c>
      <c r="K88" s="69"/>
      <c r="L88" s="69">
        <v>84</v>
      </c>
      <c r="M88" s="54">
        <f t="shared" si="2"/>
        <v>84</v>
      </c>
    </row>
    <row r="89" spans="2:13">
      <c r="B89" s="27">
        <f t="shared" si="3"/>
        <v>85</v>
      </c>
      <c r="C89" s="27">
        <f ca="1"/>
        <v>214</v>
      </c>
      <c r="D89" s="27" t="str">
        <f ca="1"/>
        <v>クロピドグレル錠７５ｍｇ「ＪＧ」</v>
      </c>
      <c r="E89" s="27">
        <f ca="1"/>
        <v>0</v>
      </c>
      <c r="F89" s="54">
        <f ca="1"/>
        <v>25</v>
      </c>
      <c r="G89" s="54" t="str">
        <f ca="1"/>
        <v>ＰＴＰ</v>
      </c>
      <c r="H89" s="54" t="str">
        <f ca="1"/>
        <v>１００Ｔ</v>
      </c>
      <c r="I89" s="54" t="str">
        <f ca="1"/>
        <v>錠</v>
      </c>
      <c r="J89" s="54" t="str">
        <f ca="1">IF(F89="","",OFFSET(分類!$B$29,MATCH(F89,分類!$A$30:$A$46,0),0))</f>
        <v>調剤棚　＆　普通薬バラ</v>
      </c>
      <c r="K89" s="69"/>
      <c r="L89" s="69">
        <v>85</v>
      </c>
      <c r="M89" s="54">
        <f t="shared" si="2"/>
        <v>85</v>
      </c>
    </row>
    <row r="90" spans="2:13">
      <c r="B90" s="27">
        <f t="shared" si="3"/>
        <v>86</v>
      </c>
      <c r="C90" s="27">
        <f ca="1"/>
        <v>215</v>
      </c>
      <c r="D90" s="27" t="str">
        <f ca="1"/>
        <v>クロピドグレル錠７５ｍｇ「ＪＧ」</v>
      </c>
      <c r="E90" s="27">
        <f ca="1"/>
        <v>0</v>
      </c>
      <c r="F90" s="54">
        <f ca="1"/>
        <v>25</v>
      </c>
      <c r="G90" s="54" t="str">
        <f ca="1"/>
        <v>バラ</v>
      </c>
      <c r="H90" s="54" t="str">
        <f ca="1"/>
        <v>５００Ｔ</v>
      </c>
      <c r="I90" s="54" t="str">
        <f ca="1"/>
        <v>錠</v>
      </c>
      <c r="J90" s="54" t="str">
        <f ca="1">IF(F90="","",OFFSET(分類!$B$29,MATCH(F90,分類!$A$30:$A$46,0),0))</f>
        <v>調剤棚　＆　普通薬バラ</v>
      </c>
      <c r="K90" s="69"/>
      <c r="L90" s="69">
        <v>86</v>
      </c>
      <c r="M90" s="54">
        <f t="shared" si="2"/>
        <v>86</v>
      </c>
    </row>
    <row r="91" spans="2:13">
      <c r="B91" s="27">
        <f t="shared" si="3"/>
        <v>87</v>
      </c>
      <c r="C91" s="27">
        <f ca="1"/>
        <v>227</v>
      </c>
      <c r="D91" s="27" t="str">
        <f ca="1"/>
        <v>ケルロング錠１０ｍｇ</v>
      </c>
      <c r="E91" s="27">
        <f ca="1"/>
        <v>0</v>
      </c>
      <c r="F91" s="54">
        <f ca="1"/>
        <v>5</v>
      </c>
      <c r="G91" s="54" t="str">
        <f ca="1"/>
        <v>ＰＴＰ</v>
      </c>
      <c r="H91" s="54" t="str">
        <f ca="1"/>
        <v>１００Ｔ</v>
      </c>
      <c r="I91" s="54" t="str">
        <f ca="1"/>
        <v>錠</v>
      </c>
      <c r="J91" s="54" t="str">
        <f ca="1">IF(F91="","",OFFSET(分類!$B$29,MATCH(F91,分類!$A$30:$A$46,0),0))</f>
        <v>普通薬バラ</v>
      </c>
      <c r="K91" s="69"/>
      <c r="L91" s="69">
        <v>87</v>
      </c>
      <c r="M91" s="54">
        <f t="shared" si="2"/>
        <v>87</v>
      </c>
    </row>
    <row r="92" spans="2:13">
      <c r="B92" s="27">
        <f t="shared" si="3"/>
        <v>88</v>
      </c>
      <c r="C92" s="27">
        <f ca="1"/>
        <v>235</v>
      </c>
      <c r="D92" s="27" t="str">
        <f ca="1"/>
        <v>コントミン糖衣錠１００ｍｇ</v>
      </c>
      <c r="E92" s="27">
        <f ca="1"/>
        <v>2</v>
      </c>
      <c r="F92" s="54">
        <f ca="1"/>
        <v>6</v>
      </c>
      <c r="G92" s="54" t="str">
        <f ca="1"/>
        <v>ＰＴＰ</v>
      </c>
      <c r="H92" s="54" t="str">
        <f ca="1"/>
        <v>１００Ｔ</v>
      </c>
      <c r="I92" s="54" t="str">
        <f ca="1"/>
        <v>錠</v>
      </c>
      <c r="J92" s="54" t="str">
        <f ca="1">IF(F92="","",OFFSET(分類!$B$29,MATCH(F92,分類!$A$30:$A$46,0),0))</f>
        <v>劇薬バラ</v>
      </c>
      <c r="K92" s="69"/>
      <c r="L92" s="69">
        <v>88</v>
      </c>
      <c r="M92" s="54">
        <f t="shared" si="2"/>
        <v>88</v>
      </c>
    </row>
    <row r="93" spans="2:13">
      <c r="B93" s="27">
        <f t="shared" si="3"/>
        <v>89</v>
      </c>
      <c r="C93" s="27">
        <f ca="1"/>
        <v>236</v>
      </c>
      <c r="D93" s="27" t="str">
        <f ca="1"/>
        <v>コントミン糖衣錠２５ｍｇ</v>
      </c>
      <c r="E93" s="27">
        <f ca="1"/>
        <v>0</v>
      </c>
      <c r="F93" s="54">
        <f ca="1"/>
        <v>25</v>
      </c>
      <c r="G93" s="54" t="str">
        <f ca="1"/>
        <v>ＰＴＰ</v>
      </c>
      <c r="H93" s="54" t="str">
        <f ca="1"/>
        <v>１００Ｔ</v>
      </c>
      <c r="I93" s="54" t="str">
        <f ca="1"/>
        <v>錠</v>
      </c>
      <c r="J93" s="54" t="str">
        <f ca="1">IF(F93="","",OFFSET(分類!$B$29,MATCH(F93,分類!$A$30:$A$46,0),0))</f>
        <v>調剤棚　＆　普通薬バラ</v>
      </c>
      <c r="K93" s="69"/>
      <c r="L93" s="69">
        <v>89</v>
      </c>
      <c r="M93" s="54">
        <f t="shared" si="2"/>
        <v>89</v>
      </c>
    </row>
    <row r="94" spans="2:13">
      <c r="B94" s="27">
        <f t="shared" si="3"/>
        <v>90</v>
      </c>
      <c r="C94" s="27">
        <f ca="1"/>
        <v>237</v>
      </c>
      <c r="D94" s="27" t="str">
        <f ca="1"/>
        <v>コントミン糖衣錠２５ｍｇ</v>
      </c>
      <c r="E94" s="27">
        <f ca="1"/>
        <v>0</v>
      </c>
      <c r="F94" s="54">
        <f ca="1"/>
        <v>25</v>
      </c>
      <c r="G94" s="54" t="str">
        <f ca="1"/>
        <v>ＰＴＰ</v>
      </c>
      <c r="H94" s="54" t="str">
        <f ca="1"/>
        <v>１０００Ｔ</v>
      </c>
      <c r="I94" s="54" t="str">
        <f ca="1"/>
        <v>錠</v>
      </c>
      <c r="J94" s="54" t="str">
        <f ca="1">IF(F94="","",OFFSET(分類!$B$29,MATCH(F94,分類!$A$30:$A$46,0),0))</f>
        <v>調剤棚　＆　普通薬バラ</v>
      </c>
      <c r="K94" s="69"/>
      <c r="L94" s="69">
        <v>90</v>
      </c>
      <c r="M94" s="54">
        <f t="shared" si="2"/>
        <v>90</v>
      </c>
    </row>
    <row r="95" spans="2:13">
      <c r="B95" s="27">
        <f t="shared" si="3"/>
        <v>91</v>
      </c>
      <c r="C95" s="27">
        <f ca="1"/>
        <v>238</v>
      </c>
      <c r="D95" s="27" t="str">
        <f ca="1"/>
        <v>コントミン糖衣錠２５ｍｇ</v>
      </c>
      <c r="E95" s="27">
        <f ca="1"/>
        <v>0</v>
      </c>
      <c r="F95" s="54">
        <f ca="1"/>
        <v>25</v>
      </c>
      <c r="G95" s="54" t="str">
        <f ca="1"/>
        <v>バラ</v>
      </c>
      <c r="H95" s="54" t="str">
        <f ca="1"/>
        <v>１０００Ｔ</v>
      </c>
      <c r="I95" s="54" t="str">
        <f ca="1"/>
        <v>錠</v>
      </c>
      <c r="J95" s="54" t="str">
        <f ca="1">IF(F95="","",OFFSET(分類!$B$29,MATCH(F95,分類!$A$30:$A$46,0),0))</f>
        <v>調剤棚　＆　普通薬バラ</v>
      </c>
      <c r="K95" s="69"/>
      <c r="L95" s="69">
        <v>91</v>
      </c>
      <c r="M95" s="54">
        <f t="shared" si="2"/>
        <v>91</v>
      </c>
    </row>
    <row r="96" spans="2:13">
      <c r="B96" s="27">
        <f t="shared" si="3"/>
        <v>92</v>
      </c>
      <c r="C96" s="27">
        <f ca="1"/>
        <v>239</v>
      </c>
      <c r="D96" s="27" t="str">
        <f ca="1"/>
        <v>コントミン糖衣錠５０ｍｇ</v>
      </c>
      <c r="E96" s="27">
        <f ca="1"/>
        <v>2</v>
      </c>
      <c r="F96" s="54">
        <f ca="1"/>
        <v>26</v>
      </c>
      <c r="G96" s="54" t="str">
        <f ca="1"/>
        <v>ＰＴＰ</v>
      </c>
      <c r="H96" s="54" t="str">
        <f ca="1"/>
        <v>１００Ｔ</v>
      </c>
      <c r="I96" s="54" t="str">
        <f ca="1"/>
        <v>錠</v>
      </c>
      <c r="J96" s="54" t="str">
        <f ca="1">IF(F96="","",OFFSET(分類!$B$29,MATCH(F96,分類!$A$30:$A$46,0),0))</f>
        <v>調剤棚　＆　劇薬バラ</v>
      </c>
      <c r="K96" s="69"/>
      <c r="L96" s="69">
        <v>92</v>
      </c>
      <c r="M96" s="54">
        <f t="shared" si="2"/>
        <v>92</v>
      </c>
    </row>
    <row r="97" spans="2:13">
      <c r="B97" s="27">
        <f t="shared" si="3"/>
        <v>93</v>
      </c>
      <c r="C97" s="27">
        <f ca="1"/>
        <v>240</v>
      </c>
      <c r="D97" s="27" t="str">
        <f ca="1"/>
        <v>コントミン糖衣錠５０ｍｇ</v>
      </c>
      <c r="E97" s="27">
        <f ca="1"/>
        <v>2</v>
      </c>
      <c r="F97" s="54">
        <f ca="1"/>
        <v>26</v>
      </c>
      <c r="G97" s="54" t="str">
        <f ca="1"/>
        <v>バラ</v>
      </c>
      <c r="H97" s="54" t="str">
        <f ca="1"/>
        <v>１０００Ｔ</v>
      </c>
      <c r="I97" s="54" t="str">
        <f ca="1"/>
        <v>錠</v>
      </c>
      <c r="J97" s="54" t="str">
        <f ca="1">IF(F97="","",OFFSET(分類!$B$29,MATCH(F97,分類!$A$30:$A$46,0),0))</f>
        <v>調剤棚　＆　劇薬バラ</v>
      </c>
      <c r="K97" s="69"/>
      <c r="L97" s="69">
        <v>93</v>
      </c>
      <c r="M97" s="54">
        <f t="shared" si="2"/>
        <v>93</v>
      </c>
    </row>
    <row r="98" spans="2:13">
      <c r="B98" s="27">
        <f t="shared" si="3"/>
        <v>94</v>
      </c>
      <c r="C98" s="27">
        <f ca="1"/>
        <v>242</v>
      </c>
      <c r="D98" s="27" t="str">
        <f ca="1"/>
        <v>サワシリン錠２５０</v>
      </c>
      <c r="E98" s="27">
        <f ca="1"/>
        <v>0</v>
      </c>
      <c r="F98" s="54">
        <f ca="1"/>
        <v>2</v>
      </c>
      <c r="G98" s="54" t="str">
        <f ca="1"/>
        <v>ＰＴＰ</v>
      </c>
      <c r="H98" s="54" t="str">
        <f ca="1"/>
        <v>１００Ｔ</v>
      </c>
      <c r="I98" s="54" t="str">
        <f ca="1"/>
        <v>錠</v>
      </c>
      <c r="J98" s="54" t="str">
        <f ca="1">IF(F98="","",OFFSET(分類!$B$29,MATCH(F98,分類!$A$30:$A$46,0),0))</f>
        <v>散薬調剤台</v>
      </c>
      <c r="K98" s="69"/>
      <c r="L98" s="69">
        <v>94</v>
      </c>
      <c r="M98" s="54">
        <f t="shared" si="2"/>
        <v>94</v>
      </c>
    </row>
    <row r="99" spans="2:13">
      <c r="B99" s="27">
        <f t="shared" si="3"/>
        <v>95</v>
      </c>
      <c r="C99" s="27">
        <f ca="1"/>
        <v>244</v>
      </c>
      <c r="D99" s="27" t="str">
        <f ca="1"/>
        <v>ジアゼパム錠２ｍｇ「アメル」</v>
      </c>
      <c r="E99" s="27">
        <f ca="1"/>
        <v>0</v>
      </c>
      <c r="F99" s="54">
        <f ca="1"/>
        <v>25</v>
      </c>
      <c r="G99" s="54" t="str">
        <f ca="1"/>
        <v>ＰＴＰ</v>
      </c>
      <c r="H99" s="54" t="str">
        <f ca="1"/>
        <v>１００Ｔ</v>
      </c>
      <c r="I99" s="54" t="str">
        <f ca="1"/>
        <v>錠</v>
      </c>
      <c r="J99" s="54" t="str">
        <f ca="1">IF(F99="","",OFFSET(分類!$B$29,MATCH(F99,分類!$A$30:$A$46,0),0))</f>
        <v>調剤棚　＆　普通薬バラ</v>
      </c>
      <c r="K99" s="69"/>
      <c r="L99" s="69">
        <v>95</v>
      </c>
      <c r="M99" s="54">
        <f t="shared" si="2"/>
        <v>95</v>
      </c>
    </row>
    <row r="100" spans="2:13">
      <c r="B100" s="27">
        <f t="shared" si="3"/>
        <v>96</v>
      </c>
      <c r="C100" s="27">
        <f ca="1"/>
        <v>245</v>
      </c>
      <c r="D100" s="27" t="str">
        <f ca="1"/>
        <v>ジアゼパム錠５ｍｇ「アメル」</v>
      </c>
      <c r="E100" s="27">
        <f ca="1"/>
        <v>0</v>
      </c>
      <c r="F100" s="54">
        <f ca="1"/>
        <v>25</v>
      </c>
      <c r="G100" s="54" t="str">
        <f ca="1"/>
        <v>ＰＴＰ</v>
      </c>
      <c r="H100" s="54" t="str">
        <f ca="1"/>
        <v>１００Ｔ</v>
      </c>
      <c r="I100" s="54" t="str">
        <f ca="1"/>
        <v>錠</v>
      </c>
      <c r="J100" s="54" t="str">
        <f ca="1">IF(F100="","",OFFSET(分類!$B$29,MATCH(F100,分類!$A$30:$A$46,0),0))</f>
        <v>調剤棚　＆　普通薬バラ</v>
      </c>
      <c r="K100" s="69"/>
      <c r="L100" s="69">
        <v>96</v>
      </c>
      <c r="M100" s="54">
        <f t="shared" si="2"/>
        <v>96</v>
      </c>
    </row>
    <row r="101" spans="2:13">
      <c r="B101" s="27">
        <f t="shared" si="3"/>
        <v>97</v>
      </c>
      <c r="C101" s="27">
        <f ca="1"/>
        <v>250</v>
      </c>
      <c r="D101" s="27" t="str">
        <f ca="1"/>
        <v>ジェニナック錠２００ＭＧ</v>
      </c>
      <c r="E101" s="27">
        <f ca="1"/>
        <v>0</v>
      </c>
      <c r="F101" s="54">
        <f ca="1"/>
        <v>1</v>
      </c>
      <c r="G101" s="54" t="str">
        <f ca="1"/>
        <v>ＰＴＰ</v>
      </c>
      <c r="H101" s="54" t="str">
        <f ca="1"/>
        <v>１００Ｔ</v>
      </c>
      <c r="I101" s="54" t="str">
        <f ca="1"/>
        <v>錠</v>
      </c>
      <c r="J101" s="54" t="str">
        <f ca="1">IF(F101="","",OFFSET(分類!$B$29,MATCH(F101,分類!$A$30:$A$46,0),0))</f>
        <v>調剤棚</v>
      </c>
      <c r="K101" s="69"/>
      <c r="L101" s="69">
        <v>97</v>
      </c>
      <c r="M101" s="54">
        <f t="shared" si="2"/>
        <v>97</v>
      </c>
    </row>
    <row r="102" spans="2:13">
      <c r="B102" s="27">
        <f t="shared" si="3"/>
        <v>98</v>
      </c>
      <c r="C102" s="27">
        <f ca="1"/>
        <v>253</v>
      </c>
      <c r="D102" s="27" t="str">
        <f ca="1"/>
        <v>シクレスト舌下錠１０ｍｇ</v>
      </c>
      <c r="E102" s="27">
        <f ca="1"/>
        <v>2</v>
      </c>
      <c r="F102" s="54">
        <f ca="1"/>
        <v>1</v>
      </c>
      <c r="G102" s="54" t="str">
        <f ca="1"/>
        <v>ＰＴＰ</v>
      </c>
      <c r="H102" s="54" t="str">
        <f ca="1"/>
        <v>１００Ｔ</v>
      </c>
      <c r="I102" s="54" t="str">
        <f ca="1"/>
        <v>錠</v>
      </c>
      <c r="J102" s="54" t="str">
        <f ca="1">IF(F102="","",OFFSET(分類!$B$29,MATCH(F102,分類!$A$30:$A$46,0),0))</f>
        <v>調剤棚</v>
      </c>
      <c r="K102" s="69"/>
      <c r="L102" s="69">
        <v>98</v>
      </c>
      <c r="M102" s="54">
        <f t="shared" si="2"/>
        <v>98</v>
      </c>
    </row>
    <row r="103" spans="2:13">
      <c r="B103" s="27">
        <f t="shared" si="3"/>
        <v>99</v>
      </c>
      <c r="C103" s="27">
        <f ca="1"/>
        <v>254</v>
      </c>
      <c r="D103" s="27" t="str">
        <f ca="1"/>
        <v>シクレスト舌下錠５ｍｇ</v>
      </c>
      <c r="E103" s="27">
        <f ca="1"/>
        <v>2</v>
      </c>
      <c r="F103" s="54">
        <f ca="1"/>
        <v>1</v>
      </c>
      <c r="G103" s="54" t="str">
        <f ca="1"/>
        <v>ＰＴＰ</v>
      </c>
      <c r="H103" s="54" t="str">
        <f ca="1"/>
        <v>１００Ｔ</v>
      </c>
      <c r="I103" s="54" t="str">
        <f ca="1"/>
        <v>錠</v>
      </c>
      <c r="J103" s="54" t="str">
        <f ca="1">IF(F103="","",OFFSET(分類!$B$29,MATCH(F103,分類!$A$30:$A$46,0),0))</f>
        <v>調剤棚</v>
      </c>
      <c r="K103" s="69"/>
      <c r="L103" s="69">
        <v>99</v>
      </c>
      <c r="M103" s="54">
        <f t="shared" si="2"/>
        <v>99</v>
      </c>
    </row>
    <row r="104" spans="2:13">
      <c r="B104" s="27">
        <f t="shared" si="3"/>
        <v>100</v>
      </c>
      <c r="C104" s="27">
        <f ca="1"/>
        <v>257</v>
      </c>
      <c r="D104" s="27" t="str">
        <f ca="1"/>
        <v>ジスチグミン臭化物錠５ｍｇ「ＮＩＧ」</v>
      </c>
      <c r="E104" s="27">
        <f ca="1"/>
        <v>1</v>
      </c>
      <c r="F104" s="54">
        <f ca="1"/>
        <v>3</v>
      </c>
      <c r="G104" s="54" t="str">
        <f ca="1"/>
        <v>ＰＴＰ</v>
      </c>
      <c r="H104" s="54" t="str">
        <f ca="1"/>
        <v>１００Ｔ</v>
      </c>
      <c r="I104" s="54" t="str">
        <f ca="1"/>
        <v>錠</v>
      </c>
      <c r="J104" s="54" t="str">
        <f ca="1">IF(F104="","",OFFSET(分類!$B$29,MATCH(F104,分類!$A$30:$A$46,0),0))</f>
        <v>外用.臨時.散薬ヒート</v>
      </c>
      <c r="K104" s="69"/>
      <c r="L104" s="69">
        <v>100</v>
      </c>
      <c r="M104" s="54">
        <f t="shared" si="2"/>
        <v>100</v>
      </c>
    </row>
    <row r="105" spans="2:13">
      <c r="B105" s="27">
        <f t="shared" si="3"/>
        <v>101</v>
      </c>
      <c r="C105" s="27">
        <f ca="1"/>
        <v>259</v>
      </c>
      <c r="D105" s="27" t="str">
        <f ca="1"/>
        <v>ジフェニドール塩酸塩錠２５ｍｇ「ＮＩＧ」</v>
      </c>
      <c r="E105" s="27">
        <f ca="1"/>
        <v>0</v>
      </c>
      <c r="F105" s="54">
        <f ca="1"/>
        <v>1</v>
      </c>
      <c r="G105" s="54" t="str">
        <f ca="1"/>
        <v>ＰＴＰ</v>
      </c>
      <c r="H105" s="54" t="str">
        <f ca="1"/>
        <v>１０００Ｔ</v>
      </c>
      <c r="I105" s="54" t="str">
        <f ca="1"/>
        <v>錠</v>
      </c>
      <c r="J105" s="54" t="str">
        <f ca="1">IF(F105="","",OFFSET(分類!$B$29,MATCH(F105,分類!$A$30:$A$46,0),0))</f>
        <v>調剤棚</v>
      </c>
      <c r="K105" s="69"/>
      <c r="L105" s="69">
        <v>101</v>
      </c>
      <c r="M105" s="54">
        <f t="shared" si="2"/>
        <v>101</v>
      </c>
    </row>
    <row r="106" spans="2:13">
      <c r="B106" s="27">
        <f t="shared" si="3"/>
        <v>102</v>
      </c>
      <c r="C106" s="27">
        <f ca="1"/>
        <v>260</v>
      </c>
      <c r="D106" s="27" t="str">
        <f ca="1"/>
        <v>ジプレキサ　ザイディス錠１０ｍｇ</v>
      </c>
      <c r="E106" s="27">
        <f ca="1"/>
        <v>2</v>
      </c>
      <c r="F106" s="54">
        <f ca="1"/>
        <v>1</v>
      </c>
      <c r="G106" s="54" t="str">
        <f ca="1"/>
        <v>ＰＴＰ</v>
      </c>
      <c r="H106" s="54" t="str">
        <f ca="1"/>
        <v>３５０Ｔ</v>
      </c>
      <c r="I106" s="54" t="str">
        <f ca="1"/>
        <v>錠</v>
      </c>
      <c r="J106" s="54" t="str">
        <f ca="1">IF(F106="","",OFFSET(分類!$B$29,MATCH(F106,分類!$A$30:$A$46,0),0))</f>
        <v>調剤棚</v>
      </c>
      <c r="K106" s="69"/>
      <c r="L106" s="69">
        <v>102</v>
      </c>
      <c r="M106" s="54">
        <f t="shared" si="2"/>
        <v>102</v>
      </c>
    </row>
    <row r="107" spans="2:13">
      <c r="B107" s="27">
        <f t="shared" si="3"/>
        <v>103</v>
      </c>
      <c r="C107" s="27">
        <f ca="1"/>
        <v>261</v>
      </c>
      <c r="D107" s="27" t="str">
        <f ca="1"/>
        <v>ジプレキサ　ザイディス錠２．５ｍｇ</v>
      </c>
      <c r="E107" s="27">
        <f ca="1"/>
        <v>2</v>
      </c>
      <c r="F107" s="54">
        <f ca="1"/>
        <v>1</v>
      </c>
      <c r="G107" s="54" t="str">
        <f ca="1"/>
        <v>ＰＴＰ</v>
      </c>
      <c r="H107" s="54" t="str">
        <f ca="1"/>
        <v>７０Ｔ</v>
      </c>
      <c r="I107" s="54" t="str">
        <f ca="1"/>
        <v>錠</v>
      </c>
      <c r="J107" s="54" t="str">
        <f ca="1">IF(F107="","",OFFSET(分類!$B$29,MATCH(F107,分類!$A$30:$A$46,0),0))</f>
        <v>調剤棚</v>
      </c>
      <c r="K107" s="69"/>
      <c r="L107" s="69">
        <v>103</v>
      </c>
      <c r="M107" s="54">
        <f t="shared" si="2"/>
        <v>103</v>
      </c>
    </row>
    <row r="108" spans="2:13">
      <c r="B108" s="27">
        <f t="shared" si="3"/>
        <v>104</v>
      </c>
      <c r="C108" s="27">
        <f ca="1"/>
        <v>262</v>
      </c>
      <c r="D108" s="27" t="str">
        <f ca="1"/>
        <v>ジプレキサ　ザイディス錠５ｍｇ</v>
      </c>
      <c r="E108" s="27">
        <f ca="1"/>
        <v>2</v>
      </c>
      <c r="F108" s="54">
        <f ca="1"/>
        <v>1</v>
      </c>
      <c r="G108" s="54" t="str">
        <f ca="1"/>
        <v>ＰＴＰ</v>
      </c>
      <c r="H108" s="54" t="str">
        <f ca="1"/>
        <v>３５０Ｔ</v>
      </c>
      <c r="I108" s="54" t="str">
        <f ca="1"/>
        <v>錠</v>
      </c>
      <c r="J108" s="54" t="str">
        <f ca="1">IF(F108="","",OFFSET(分類!$B$29,MATCH(F108,分類!$A$30:$A$46,0),0))</f>
        <v>調剤棚</v>
      </c>
      <c r="K108" s="69"/>
      <c r="L108" s="69">
        <v>104</v>
      </c>
      <c r="M108" s="54">
        <f t="shared" si="2"/>
        <v>104</v>
      </c>
    </row>
    <row r="109" spans="2:13">
      <c r="B109" s="27">
        <f t="shared" si="3"/>
        <v>105</v>
      </c>
      <c r="C109" s="27">
        <f ca="1"/>
        <v>264</v>
      </c>
      <c r="D109" s="27" t="str">
        <f ca="1"/>
        <v>ジメチコン錠４０ｍｇ「ＹＤ」</v>
      </c>
      <c r="E109" s="27">
        <f ca="1"/>
        <v>0</v>
      </c>
      <c r="F109" s="54">
        <f ca="1"/>
        <v>25</v>
      </c>
      <c r="G109" s="54" t="str">
        <f ca="1"/>
        <v>ＰＴＰ</v>
      </c>
      <c r="H109" s="54" t="str">
        <f ca="1"/>
        <v>１００Ｔ</v>
      </c>
      <c r="I109" s="54" t="str">
        <f ca="1"/>
        <v>錠</v>
      </c>
      <c r="J109" s="54" t="str">
        <f ca="1">IF(F109="","",OFFSET(分類!$B$29,MATCH(F109,分類!$A$30:$A$46,0),0))</f>
        <v>調剤棚　＆　普通薬バラ</v>
      </c>
      <c r="K109" s="69"/>
      <c r="L109" s="69">
        <v>105</v>
      </c>
      <c r="M109" s="54">
        <f t="shared" si="2"/>
        <v>105</v>
      </c>
    </row>
    <row r="110" spans="2:13">
      <c r="B110" s="27">
        <f t="shared" si="3"/>
        <v>106</v>
      </c>
      <c r="C110" s="27">
        <f ca="1"/>
        <v>265</v>
      </c>
      <c r="D110" s="27" t="str">
        <f ca="1"/>
        <v>ジメチコン錠４０ｍｇ「ＹＤ」</v>
      </c>
      <c r="E110" s="27">
        <f ca="1"/>
        <v>0</v>
      </c>
      <c r="F110" s="54">
        <f ca="1"/>
        <v>25</v>
      </c>
      <c r="G110" s="54" t="str">
        <f ca="1"/>
        <v>バラ</v>
      </c>
      <c r="H110" s="54" t="str">
        <f ca="1"/>
        <v>１０００Ｔ</v>
      </c>
      <c r="I110" s="54" t="str">
        <f ca="1"/>
        <v>錠</v>
      </c>
      <c r="J110" s="54" t="str">
        <f ca="1">IF(F110="","",OFFSET(分類!$B$29,MATCH(F110,分類!$A$30:$A$46,0),0))</f>
        <v>調剤棚　＆　普通薬バラ</v>
      </c>
      <c r="K110" s="69"/>
      <c r="L110" s="69">
        <v>106</v>
      </c>
      <c r="M110" s="54">
        <f t="shared" si="2"/>
        <v>106</v>
      </c>
    </row>
    <row r="111" spans="2:13">
      <c r="B111" s="27">
        <f t="shared" si="3"/>
        <v>107</v>
      </c>
      <c r="C111" s="27">
        <f ca="1"/>
        <v>266</v>
      </c>
      <c r="D111" s="27" t="str">
        <f ca="1"/>
        <v>シロスタゾールＯＤ錠１００ｍｇ「タカタ」</v>
      </c>
      <c r="E111" s="27">
        <f ca="1"/>
        <v>0</v>
      </c>
      <c r="F111" s="54">
        <f ca="1"/>
        <v>25</v>
      </c>
      <c r="G111" s="54" t="str">
        <f ca="1"/>
        <v>ＰＴＰ</v>
      </c>
      <c r="H111" s="54" t="str">
        <f ca="1"/>
        <v>１００Ｔ</v>
      </c>
      <c r="I111" s="54" t="str">
        <f ca="1"/>
        <v>錠</v>
      </c>
      <c r="J111" s="54" t="str">
        <f ca="1">IF(F111="","",OFFSET(分類!$B$29,MATCH(F111,分類!$A$30:$A$46,0),0))</f>
        <v>調剤棚　＆　普通薬バラ</v>
      </c>
      <c r="K111" s="69"/>
      <c r="L111" s="69">
        <v>107</v>
      </c>
      <c r="M111" s="54">
        <f t="shared" si="2"/>
        <v>107</v>
      </c>
    </row>
    <row r="112" spans="2:13">
      <c r="B112" s="27">
        <f t="shared" si="3"/>
        <v>108</v>
      </c>
      <c r="C112" s="27">
        <f ca="1"/>
        <v>267</v>
      </c>
      <c r="D112" s="27" t="str">
        <f ca="1"/>
        <v>シロスタゾールＯＤ錠１００ｍｇ「タカタ」　</v>
      </c>
      <c r="E112" s="27">
        <f ca="1"/>
        <v>0</v>
      </c>
      <c r="F112" s="54">
        <f ca="1"/>
        <v>25</v>
      </c>
      <c r="G112" s="54" t="str">
        <f ca="1"/>
        <v>バラ</v>
      </c>
      <c r="H112" s="54" t="str">
        <f ca="1"/>
        <v>５００Ｔ</v>
      </c>
      <c r="I112" s="54" t="str">
        <f ca="1"/>
        <v>錠</v>
      </c>
      <c r="J112" s="54" t="str">
        <f ca="1">IF(F112="","",OFFSET(分類!$B$29,MATCH(F112,分類!$A$30:$A$46,0),0))</f>
        <v>調剤棚　＆　普通薬バラ</v>
      </c>
      <c r="K112" s="69"/>
      <c r="L112" s="69">
        <v>108</v>
      </c>
      <c r="M112" s="54">
        <f t="shared" si="2"/>
        <v>108</v>
      </c>
    </row>
    <row r="113" spans="2:13">
      <c r="B113" s="27">
        <f t="shared" si="3"/>
        <v>109</v>
      </c>
      <c r="C113" s="27">
        <f ca="1"/>
        <v>268</v>
      </c>
      <c r="D113" s="27" t="str">
        <f ca="1"/>
        <v>シロドシンＯＤ錠４ｍｇ「ＫＭＰ」</v>
      </c>
      <c r="E113" s="27">
        <f ca="1"/>
        <v>2</v>
      </c>
      <c r="F113" s="54">
        <f ca="1"/>
        <v>26</v>
      </c>
      <c r="G113" s="54" t="str">
        <f ca="1"/>
        <v>ＰＴＰ</v>
      </c>
      <c r="H113" s="54" t="str">
        <f ca="1"/>
        <v>１００Ｔ</v>
      </c>
      <c r="I113" s="54" t="str">
        <f ca="1"/>
        <v>錠</v>
      </c>
      <c r="J113" s="54" t="str">
        <f ca="1">IF(F113="","",OFFSET(分類!$B$29,MATCH(F113,分類!$A$30:$A$46,0),0))</f>
        <v>調剤棚　＆　劇薬バラ</v>
      </c>
      <c r="K113" s="69"/>
      <c r="L113" s="69">
        <v>109</v>
      </c>
      <c r="M113" s="54">
        <f t="shared" si="2"/>
        <v>109</v>
      </c>
    </row>
    <row r="114" spans="2:13">
      <c r="B114" s="27">
        <f t="shared" si="3"/>
        <v>110</v>
      </c>
      <c r="C114" s="27">
        <f ca="1"/>
        <v>269</v>
      </c>
      <c r="D114" s="27" t="str">
        <f ca="1"/>
        <v>シングレア錠１０ｍｇ</v>
      </c>
      <c r="E114" s="27">
        <f ca="1"/>
        <v>0</v>
      </c>
      <c r="F114" s="54">
        <f ca="1"/>
        <v>25</v>
      </c>
      <c r="G114" s="54" t="str">
        <f ca="1"/>
        <v>ＰＴＰ</v>
      </c>
      <c r="H114" s="54" t="str">
        <f ca="1"/>
        <v>１００Ｔ</v>
      </c>
      <c r="I114" s="54" t="str">
        <f ca="1"/>
        <v>錠</v>
      </c>
      <c r="J114" s="54" t="str">
        <f ca="1">IF(F114="","",OFFSET(分類!$B$29,MATCH(F114,分類!$A$30:$A$46,0),0))</f>
        <v>調剤棚　＆　普通薬バラ</v>
      </c>
      <c r="K114" s="69"/>
      <c r="L114" s="69">
        <v>110</v>
      </c>
      <c r="M114" s="54">
        <f t="shared" si="2"/>
        <v>110</v>
      </c>
    </row>
    <row r="115" spans="2:13">
      <c r="B115" s="27">
        <f t="shared" si="3"/>
        <v>111</v>
      </c>
      <c r="C115" s="27">
        <f ca="1"/>
        <v>275</v>
      </c>
      <c r="D115" s="27" t="str">
        <f ca="1"/>
        <v>スピロペント錠１０μｇ</v>
      </c>
      <c r="E115" s="27">
        <f ca="1"/>
        <v>0</v>
      </c>
      <c r="F115" s="54">
        <f ca="1"/>
        <v>5</v>
      </c>
      <c r="G115" s="54" t="str">
        <f ca="1"/>
        <v>ＰＴＰ</v>
      </c>
      <c r="H115" s="54" t="str">
        <f ca="1"/>
        <v>１００Ｔ</v>
      </c>
      <c r="I115" s="54" t="str">
        <f ca="1"/>
        <v>錠</v>
      </c>
      <c r="J115" s="54" t="str">
        <f ca="1">IF(F115="","",OFFSET(分類!$B$29,MATCH(F115,分類!$A$30:$A$46,0),0))</f>
        <v>普通薬バラ</v>
      </c>
      <c r="K115" s="69"/>
      <c r="L115" s="69">
        <v>111</v>
      </c>
      <c r="M115" s="54">
        <f t="shared" si="2"/>
        <v>111</v>
      </c>
    </row>
    <row r="116" spans="2:13">
      <c r="B116" s="27">
        <f t="shared" si="3"/>
        <v>112</v>
      </c>
      <c r="C116" s="27">
        <f ca="1"/>
        <v>278</v>
      </c>
      <c r="D116" s="27" t="str">
        <f ca="1"/>
        <v>スルピリド錠１００ｍｇ「アメル」</v>
      </c>
      <c r="E116" s="27">
        <f ca="1"/>
        <v>2</v>
      </c>
      <c r="F116" s="54">
        <f ca="1"/>
        <v>26</v>
      </c>
      <c r="G116" s="54" t="str">
        <f ca="1"/>
        <v>ＰＴＰ</v>
      </c>
      <c r="H116" s="54" t="str">
        <f ca="1"/>
        <v>１００Ｔ</v>
      </c>
      <c r="I116" s="54" t="str">
        <f ca="1"/>
        <v>錠</v>
      </c>
      <c r="J116" s="54" t="str">
        <f ca="1">IF(F116="","",OFFSET(分類!$B$29,MATCH(F116,分類!$A$30:$A$46,0),0))</f>
        <v>調剤棚　＆　劇薬バラ</v>
      </c>
      <c r="K116" s="69"/>
      <c r="L116" s="69">
        <v>112</v>
      </c>
      <c r="M116" s="54">
        <f t="shared" si="2"/>
        <v>112</v>
      </c>
    </row>
    <row r="117" spans="2:13">
      <c r="B117" s="27">
        <f t="shared" si="3"/>
        <v>113</v>
      </c>
      <c r="C117" s="27">
        <f ca="1"/>
        <v>279</v>
      </c>
      <c r="D117" s="27" t="str">
        <f ca="1"/>
        <v>スルピリド錠２００ｍｇ「アメル」</v>
      </c>
      <c r="E117" s="27">
        <f ca="1"/>
        <v>2</v>
      </c>
      <c r="F117" s="54">
        <f ca="1"/>
        <v>26</v>
      </c>
      <c r="G117" s="54" t="str">
        <f ca="1"/>
        <v>ＰＴＰ</v>
      </c>
      <c r="H117" s="54" t="str">
        <f ca="1"/>
        <v>１００Ｔ</v>
      </c>
      <c r="I117" s="54" t="str">
        <f ca="1"/>
        <v>錠</v>
      </c>
      <c r="J117" s="54" t="str">
        <f ca="1">IF(F117="","",OFFSET(分類!$B$29,MATCH(F117,分類!$A$30:$A$46,0),0))</f>
        <v>調剤棚　＆　劇薬バラ</v>
      </c>
      <c r="K117" s="69"/>
      <c r="L117" s="69">
        <v>113</v>
      </c>
      <c r="M117" s="54">
        <f t="shared" si="2"/>
        <v>113</v>
      </c>
    </row>
    <row r="118" spans="2:13">
      <c r="B118" s="27">
        <f t="shared" si="3"/>
        <v>114</v>
      </c>
      <c r="C118" s="27">
        <f ca="1"/>
        <v>280</v>
      </c>
      <c r="D118" s="27" t="str">
        <f ca="1"/>
        <v>スルピリド錠５０ｍｇ「アメル」</v>
      </c>
      <c r="E118" s="27">
        <f ca="1"/>
        <v>0</v>
      </c>
      <c r="F118" s="54">
        <f ca="1"/>
        <v>25</v>
      </c>
      <c r="G118" s="54" t="str">
        <f ca="1"/>
        <v>ＰＴＰ</v>
      </c>
      <c r="H118" s="54" t="str">
        <f ca="1"/>
        <v>１００Ｔ</v>
      </c>
      <c r="I118" s="54" t="str">
        <f ca="1"/>
        <v>錠</v>
      </c>
      <c r="J118" s="54" t="str">
        <f ca="1">IF(F118="","",OFFSET(分類!$B$29,MATCH(F118,分類!$A$30:$A$46,0),0))</f>
        <v>調剤棚　＆　普通薬バラ</v>
      </c>
      <c r="K118" s="69"/>
      <c r="L118" s="69">
        <v>114</v>
      </c>
      <c r="M118" s="54">
        <f t="shared" si="2"/>
        <v>114</v>
      </c>
    </row>
    <row r="119" spans="2:13">
      <c r="B119" s="27">
        <f t="shared" si="3"/>
        <v>115</v>
      </c>
      <c r="C119" s="27">
        <f ca="1"/>
        <v>281</v>
      </c>
      <c r="D119" s="27" t="str">
        <f ca="1"/>
        <v>スルピリド錠５０ｍｇ「アメル」</v>
      </c>
      <c r="E119" s="27">
        <f ca="1"/>
        <v>0</v>
      </c>
      <c r="F119" s="54">
        <f ca="1"/>
        <v>25</v>
      </c>
      <c r="G119" s="54" t="str">
        <f ca="1"/>
        <v>バラ</v>
      </c>
      <c r="H119" s="54" t="str">
        <f ca="1"/>
        <v>１０００Ｔ</v>
      </c>
      <c r="I119" s="54" t="str">
        <f ca="1"/>
        <v>錠</v>
      </c>
      <c r="J119" s="54" t="str">
        <f ca="1">IF(F119="","",OFFSET(分類!$B$29,MATCH(F119,分類!$A$30:$A$46,0),0))</f>
        <v>調剤棚　＆　普通薬バラ</v>
      </c>
      <c r="K119" s="69"/>
      <c r="L119" s="69">
        <v>115</v>
      </c>
      <c r="M119" s="54">
        <f t="shared" si="2"/>
        <v>115</v>
      </c>
    </row>
    <row r="120" spans="2:13">
      <c r="B120" s="27">
        <f t="shared" si="3"/>
        <v>116</v>
      </c>
      <c r="C120" s="27">
        <f ca="1"/>
        <v>284</v>
      </c>
      <c r="D120" s="27" t="str">
        <f ca="1"/>
        <v>セディール錠１０ｍｇ　　　　　　　　　　</v>
      </c>
      <c r="E120" s="27">
        <f ca="1"/>
        <v>2</v>
      </c>
      <c r="F120" s="54">
        <f ca="1"/>
        <v>26</v>
      </c>
      <c r="G120" s="54" t="str">
        <f ca="1"/>
        <v>ＰＴＰ</v>
      </c>
      <c r="H120" s="54" t="str">
        <f ca="1"/>
        <v>１００Ｔ</v>
      </c>
      <c r="I120" s="54" t="str">
        <f ca="1"/>
        <v>錠</v>
      </c>
      <c r="J120" s="54" t="str">
        <f ca="1">IF(F120="","",OFFSET(分類!$B$29,MATCH(F120,分類!$A$30:$A$46,0),0))</f>
        <v>調剤棚　＆　劇薬バラ</v>
      </c>
      <c r="K120" s="69"/>
      <c r="L120" s="69">
        <v>116</v>
      </c>
      <c r="M120" s="54">
        <f t="shared" si="2"/>
        <v>116</v>
      </c>
    </row>
    <row r="121" spans="2:13">
      <c r="B121" s="27">
        <f t="shared" si="3"/>
        <v>117</v>
      </c>
      <c r="C121" s="27">
        <f ca="1"/>
        <v>285</v>
      </c>
      <c r="D121" s="27" t="str">
        <f ca="1"/>
        <v>セディール錠１０ｍｇ　　　　　　　　　　</v>
      </c>
      <c r="E121" s="27">
        <f ca="1"/>
        <v>2</v>
      </c>
      <c r="F121" s="54">
        <f ca="1"/>
        <v>26</v>
      </c>
      <c r="G121" s="54" t="str">
        <f ca="1"/>
        <v>バラ</v>
      </c>
      <c r="H121" s="54" t="str">
        <f ca="1"/>
        <v>５００Ｔ</v>
      </c>
      <c r="I121" s="54" t="str">
        <f ca="1"/>
        <v>錠</v>
      </c>
      <c r="J121" s="54" t="str">
        <f ca="1">IF(F121="","",OFFSET(分類!$B$29,MATCH(F121,分類!$A$30:$A$46,0),0))</f>
        <v>調剤棚　＆　劇薬バラ</v>
      </c>
      <c r="K121" s="69"/>
      <c r="L121" s="69">
        <v>117</v>
      </c>
      <c r="M121" s="54">
        <f t="shared" si="2"/>
        <v>117</v>
      </c>
    </row>
    <row r="122" spans="2:13">
      <c r="B122" s="27">
        <f t="shared" si="3"/>
        <v>118</v>
      </c>
      <c r="C122" s="27">
        <f ca="1"/>
        <v>286</v>
      </c>
      <c r="D122" s="27" t="str">
        <f ca="1"/>
        <v>セパゾン錠１</v>
      </c>
      <c r="E122" s="27">
        <f ca="1"/>
        <v>0</v>
      </c>
      <c r="F122" s="54">
        <f ca="1"/>
        <v>25</v>
      </c>
      <c r="G122" s="54" t="str">
        <f ca="1"/>
        <v>ＰＴＰ</v>
      </c>
      <c r="H122" s="54" t="str">
        <f ca="1"/>
        <v>１００Ｔ</v>
      </c>
      <c r="I122" s="54" t="str">
        <f ca="1"/>
        <v>錠</v>
      </c>
      <c r="J122" s="54" t="str">
        <f ca="1">IF(F122="","",OFFSET(分類!$B$29,MATCH(F122,分類!$A$30:$A$46,0),0))</f>
        <v>調剤棚　＆　普通薬バラ</v>
      </c>
      <c r="K122" s="69"/>
      <c r="L122" s="69">
        <v>118</v>
      </c>
      <c r="M122" s="54">
        <f t="shared" si="2"/>
        <v>118</v>
      </c>
    </row>
    <row r="123" spans="2:13">
      <c r="B123" s="27">
        <f t="shared" si="3"/>
        <v>119</v>
      </c>
      <c r="C123" s="27">
        <f ca="1"/>
        <v>287</v>
      </c>
      <c r="D123" s="27" t="str">
        <f ca="1"/>
        <v>セパゾン錠１</v>
      </c>
      <c r="E123" s="27">
        <f ca="1"/>
        <v>0</v>
      </c>
      <c r="F123" s="54">
        <f ca="1"/>
        <v>25</v>
      </c>
      <c r="G123" s="54" t="str">
        <f ca="1"/>
        <v>バラ</v>
      </c>
      <c r="H123" s="54" t="str">
        <f ca="1"/>
        <v>１０００Ｔ</v>
      </c>
      <c r="I123" s="54" t="str">
        <f ca="1"/>
        <v>錠</v>
      </c>
      <c r="J123" s="54" t="str">
        <f ca="1">IF(F123="","",OFFSET(分類!$B$29,MATCH(F123,分類!$A$30:$A$46,0),0))</f>
        <v>調剤棚　＆　普通薬バラ</v>
      </c>
      <c r="K123" s="69"/>
      <c r="L123" s="69">
        <v>119</v>
      </c>
      <c r="M123" s="54">
        <f t="shared" si="2"/>
        <v>119</v>
      </c>
    </row>
    <row r="124" spans="2:13">
      <c r="B124" s="27">
        <f t="shared" si="3"/>
        <v>120</v>
      </c>
      <c r="C124" s="27">
        <f ca="1"/>
        <v>288</v>
      </c>
      <c r="D124" s="27" t="str">
        <f ca="1"/>
        <v>セパゾン錠２</v>
      </c>
      <c r="E124" s="27">
        <f ca="1"/>
        <v>0</v>
      </c>
      <c r="F124" s="54">
        <f ca="1"/>
        <v>1</v>
      </c>
      <c r="G124" s="54" t="str">
        <f ca="1"/>
        <v>ＰＴＰ</v>
      </c>
      <c r="H124" s="54" t="str">
        <f ca="1"/>
        <v>１００Ｔ</v>
      </c>
      <c r="I124" s="54" t="str">
        <f ca="1"/>
        <v>錠</v>
      </c>
      <c r="J124" s="54" t="str">
        <f ca="1">IF(F124="","",OFFSET(分類!$B$29,MATCH(F124,分類!$A$30:$A$46,0),0))</f>
        <v>調剤棚</v>
      </c>
      <c r="K124" s="69"/>
      <c r="L124" s="69">
        <v>120</v>
      </c>
      <c r="M124" s="54">
        <f t="shared" si="2"/>
        <v>120</v>
      </c>
    </row>
    <row r="125" spans="2:13">
      <c r="B125" s="27">
        <f t="shared" si="3"/>
        <v>121</v>
      </c>
      <c r="C125" s="27">
        <f ca="1"/>
        <v>298</v>
      </c>
      <c r="D125" s="27" t="str">
        <f ca="1"/>
        <v>セルトラリン錠２５ｍｇ「明治」</v>
      </c>
      <c r="E125" s="27">
        <f ca="1"/>
        <v>2</v>
      </c>
      <c r="F125" s="54">
        <f ca="1"/>
        <v>26</v>
      </c>
      <c r="G125" s="54" t="str">
        <f ca="1"/>
        <v>ＰＴＰ</v>
      </c>
      <c r="H125" s="54" t="str">
        <f ca="1"/>
        <v>１００Ｔ</v>
      </c>
      <c r="I125" s="54" t="str">
        <f ca="1"/>
        <v>錠</v>
      </c>
      <c r="J125" s="54" t="str">
        <f ca="1">IF(F125="","",OFFSET(分類!$B$29,MATCH(F125,分類!$A$30:$A$46,0),0))</f>
        <v>調剤棚　＆　劇薬バラ</v>
      </c>
      <c r="K125" s="69"/>
      <c r="L125" s="69">
        <v>121</v>
      </c>
      <c r="M125" s="54">
        <f t="shared" si="2"/>
        <v>121</v>
      </c>
    </row>
    <row r="126" spans="2:13">
      <c r="B126" s="27">
        <f t="shared" si="3"/>
        <v>122</v>
      </c>
      <c r="C126" s="27">
        <f ca="1"/>
        <v>299</v>
      </c>
      <c r="D126" s="27" t="str">
        <f ca="1"/>
        <v>セルトラリン錠２５ｍｇ「明治」</v>
      </c>
      <c r="E126" s="27">
        <f ca="1"/>
        <v>2</v>
      </c>
      <c r="F126" s="54">
        <f ca="1"/>
        <v>26</v>
      </c>
      <c r="G126" s="54" t="str">
        <f ca="1"/>
        <v>バラ</v>
      </c>
      <c r="H126" s="54" t="str">
        <f ca="1"/>
        <v>５００Ｔ</v>
      </c>
      <c r="I126" s="54" t="str">
        <f ca="1"/>
        <v>錠</v>
      </c>
      <c r="J126" s="54" t="str">
        <f ca="1">IF(F126="","",OFFSET(分類!$B$29,MATCH(F126,分類!$A$30:$A$46,0),0))</f>
        <v>調剤棚　＆　劇薬バラ</v>
      </c>
      <c r="K126" s="69"/>
      <c r="L126" s="69">
        <v>122</v>
      </c>
      <c r="M126" s="54">
        <f t="shared" si="2"/>
        <v>122</v>
      </c>
    </row>
    <row r="127" spans="2:13">
      <c r="B127" s="27">
        <f t="shared" si="3"/>
        <v>123</v>
      </c>
      <c r="C127" s="27">
        <f ca="1"/>
        <v>300</v>
      </c>
      <c r="D127" s="27" t="str">
        <f ca="1"/>
        <v>セレコキシブ錠１００ｍｇ「ＤＳＥＰ」</v>
      </c>
      <c r="E127" s="27">
        <f ca="1"/>
        <v>2</v>
      </c>
      <c r="F127" s="54">
        <f ca="1"/>
        <v>26</v>
      </c>
      <c r="G127" s="54" t="str">
        <f ca="1"/>
        <v>ＰＴＰ</v>
      </c>
      <c r="H127" s="54" t="str">
        <f ca="1"/>
        <v>１００Ｔ</v>
      </c>
      <c r="I127" s="54" t="str">
        <f ca="1"/>
        <v>錠</v>
      </c>
      <c r="J127" s="54" t="str">
        <f ca="1">IF(F127="","",OFFSET(分類!$B$29,MATCH(F127,分類!$A$30:$A$46,0),0))</f>
        <v>調剤棚　＆　劇薬バラ</v>
      </c>
      <c r="K127" s="69"/>
      <c r="L127" s="69">
        <v>123</v>
      </c>
      <c r="M127" s="54">
        <f t="shared" si="2"/>
        <v>123</v>
      </c>
    </row>
    <row r="128" spans="2:13">
      <c r="B128" s="27">
        <f t="shared" si="3"/>
        <v>124</v>
      </c>
      <c r="C128" s="27">
        <f ca="1"/>
        <v>301</v>
      </c>
      <c r="D128" s="27" t="str">
        <f ca="1"/>
        <v>セレコキシブ錠１００ｍｇ「ＤＳＥＰ」</v>
      </c>
      <c r="E128" s="27">
        <f ca="1"/>
        <v>2</v>
      </c>
      <c r="F128" s="54">
        <f ca="1"/>
        <v>26</v>
      </c>
      <c r="G128" s="54" t="str">
        <f ca="1"/>
        <v>バラ</v>
      </c>
      <c r="H128" s="54" t="str">
        <f ca="1"/>
        <v>５００Ｔ</v>
      </c>
      <c r="I128" s="54" t="str">
        <f ca="1"/>
        <v>錠</v>
      </c>
      <c r="J128" s="54" t="str">
        <f ca="1">IF(F128="","",OFFSET(分類!$B$29,MATCH(F128,分類!$A$30:$A$46,0),0))</f>
        <v>調剤棚　＆　劇薬バラ</v>
      </c>
      <c r="K128" s="69"/>
      <c r="L128" s="69">
        <v>124</v>
      </c>
      <c r="M128" s="54">
        <f t="shared" si="2"/>
        <v>124</v>
      </c>
    </row>
    <row r="129" spans="2:13">
      <c r="B129" s="27">
        <f t="shared" si="3"/>
        <v>125</v>
      </c>
      <c r="C129" s="27">
        <f ca="1"/>
        <v>302</v>
      </c>
      <c r="D129" s="27" t="str">
        <f ca="1"/>
        <v>セレスタミン配合錠</v>
      </c>
      <c r="E129" s="27">
        <f ca="1"/>
        <v>0</v>
      </c>
      <c r="F129" s="54">
        <f ca="1"/>
        <v>25</v>
      </c>
      <c r="G129" s="54" t="str">
        <f ca="1"/>
        <v>バラ</v>
      </c>
      <c r="H129" s="54" t="str">
        <f ca="1"/>
        <v>１００Ｔ</v>
      </c>
      <c r="I129" s="54" t="str">
        <f ca="1"/>
        <v>錠</v>
      </c>
      <c r="J129" s="54" t="str">
        <f ca="1">IF(F129="","",OFFSET(分類!$B$29,MATCH(F129,分類!$A$30:$A$46,0),0))</f>
        <v>調剤棚　＆　普通薬バラ</v>
      </c>
      <c r="K129" s="69"/>
      <c r="L129" s="69">
        <v>125</v>
      </c>
      <c r="M129" s="54">
        <f t="shared" si="2"/>
        <v>125</v>
      </c>
    </row>
    <row r="130" spans="2:13">
      <c r="B130" s="27">
        <f t="shared" si="3"/>
        <v>126</v>
      </c>
      <c r="C130" s="27">
        <f ca="1"/>
        <v>306</v>
      </c>
      <c r="D130" s="27" t="str">
        <f ca="1"/>
        <v>センノシド錠１２ｍｇ「クニヒロ」</v>
      </c>
      <c r="E130" s="27">
        <f ca="1"/>
        <v>0</v>
      </c>
      <c r="F130" s="54">
        <f ca="1"/>
        <v>25</v>
      </c>
      <c r="G130" s="54" t="str">
        <f ca="1"/>
        <v>ＰＴＰ</v>
      </c>
      <c r="H130" s="54" t="str">
        <f ca="1"/>
        <v>１０００Ｔ</v>
      </c>
      <c r="I130" s="54" t="str">
        <f ca="1"/>
        <v>錠</v>
      </c>
      <c r="J130" s="54" t="str">
        <f ca="1">IF(F130="","",OFFSET(分類!$B$29,MATCH(F130,分類!$A$30:$A$46,0),0))</f>
        <v>調剤棚　＆　普通薬バラ</v>
      </c>
      <c r="K130" s="69"/>
      <c r="L130" s="69">
        <v>126</v>
      </c>
      <c r="M130" s="54">
        <f t="shared" si="2"/>
        <v>126</v>
      </c>
    </row>
    <row r="131" spans="2:13">
      <c r="B131" s="27">
        <f t="shared" si="3"/>
        <v>127</v>
      </c>
      <c r="C131" s="27">
        <f ca="1"/>
        <v>307</v>
      </c>
      <c r="D131" s="27" t="str">
        <f ca="1"/>
        <v>センノシド錠１２ｍｇ「クニヒロ」</v>
      </c>
      <c r="E131" s="27">
        <f ca="1"/>
        <v>0</v>
      </c>
      <c r="F131" s="54">
        <f ca="1"/>
        <v>25</v>
      </c>
      <c r="G131" s="54" t="str">
        <f ca="1"/>
        <v>バラ</v>
      </c>
      <c r="H131" s="54" t="str">
        <f ca="1"/>
        <v>１０００Ｔ</v>
      </c>
      <c r="I131" s="54" t="str">
        <f ca="1"/>
        <v>錠</v>
      </c>
      <c r="J131" s="54" t="str">
        <f ca="1">IF(F131="","",OFFSET(分類!$B$29,MATCH(F131,分類!$A$30:$A$46,0),0))</f>
        <v>調剤棚　＆　普通薬バラ</v>
      </c>
      <c r="K131" s="69"/>
      <c r="L131" s="69">
        <v>127</v>
      </c>
      <c r="M131" s="54">
        <f t="shared" si="2"/>
        <v>127</v>
      </c>
    </row>
    <row r="132" spans="2:13">
      <c r="B132" s="27">
        <f t="shared" si="3"/>
        <v>128</v>
      </c>
      <c r="C132" s="27">
        <f ca="1"/>
        <v>311</v>
      </c>
      <c r="D132" s="27" t="str">
        <f ca="1"/>
        <v>ゾニサミドＯＤ錠２５ｍｇＴＲＥ「ＤＳＥＰ」</v>
      </c>
      <c r="E132" s="27">
        <f ca="1"/>
        <v>2</v>
      </c>
      <c r="F132" s="54">
        <f ca="1"/>
        <v>26</v>
      </c>
      <c r="G132" s="54" t="str">
        <f ca="1"/>
        <v>バラ</v>
      </c>
      <c r="H132" s="54" t="str">
        <f ca="1"/>
        <v>１００Ｔ</v>
      </c>
      <c r="I132" s="54" t="str">
        <f ca="1"/>
        <v>錠</v>
      </c>
      <c r="J132" s="54" t="str">
        <f ca="1">IF(F132="","",OFFSET(分類!$B$29,MATCH(F132,分類!$A$30:$A$46,0),0))</f>
        <v>調剤棚　＆　劇薬バラ</v>
      </c>
      <c r="K132" s="69"/>
      <c r="L132" s="69">
        <v>128</v>
      </c>
      <c r="M132" s="54">
        <f t="shared" si="2"/>
        <v>128</v>
      </c>
    </row>
    <row r="133" spans="2:13">
      <c r="B133" s="27">
        <f t="shared" si="3"/>
        <v>129</v>
      </c>
      <c r="C133" s="27">
        <f ca="1"/>
        <v>312</v>
      </c>
      <c r="D133" s="27" t="str">
        <f ca="1"/>
        <v>ゾニサミド錠１００ＭＧ「アメル」</v>
      </c>
      <c r="E133" s="27">
        <f ca="1"/>
        <v>2</v>
      </c>
      <c r="F133" s="54">
        <f ca="1"/>
        <v>26</v>
      </c>
      <c r="G133" s="54" t="str">
        <f ca="1"/>
        <v>バラ</v>
      </c>
      <c r="H133" s="54" t="str">
        <f ca="1"/>
        <v>１０００Ｔ</v>
      </c>
      <c r="I133" s="54" t="str">
        <f ca="1"/>
        <v>錠</v>
      </c>
      <c r="J133" s="54" t="str">
        <f ca="1">IF(F133="","",OFFSET(分類!$B$29,MATCH(F133,分類!$A$30:$A$46,0),0))</f>
        <v>調剤棚　＆　劇薬バラ</v>
      </c>
      <c r="K133" s="69"/>
      <c r="L133" s="69">
        <v>129</v>
      </c>
      <c r="M133" s="54">
        <f t="shared" si="2"/>
        <v>129</v>
      </c>
    </row>
    <row r="134" spans="2:13">
      <c r="B134" s="27">
        <f t="shared" si="3"/>
        <v>130</v>
      </c>
      <c r="C134" s="27">
        <f ca="1"/>
        <v>313</v>
      </c>
      <c r="D134" s="27" t="str">
        <f ca="1"/>
        <v>ゾピクロン錠７．５ｍｇ「トーワ」</v>
      </c>
      <c r="E134" s="27">
        <f ca="1"/>
        <v>0</v>
      </c>
      <c r="F134" s="54">
        <f ca="1"/>
        <v>25</v>
      </c>
      <c r="G134" s="54" t="str">
        <f ca="1"/>
        <v>ＰＴＰ</v>
      </c>
      <c r="H134" s="54" t="str">
        <f ca="1"/>
        <v>１００Ｔ</v>
      </c>
      <c r="I134" s="54" t="str">
        <f ca="1"/>
        <v>錠</v>
      </c>
      <c r="J134" s="54" t="str">
        <f ca="1">IF(F134="","",OFFSET(分類!$B$29,MATCH(F134,分類!$A$30:$A$46,0),0))</f>
        <v>調剤棚　＆　普通薬バラ</v>
      </c>
      <c r="K134" s="69"/>
      <c r="L134" s="69">
        <v>130</v>
      </c>
      <c r="M134" s="54">
        <f t="shared" ref="M134:M197" si="4">SUM(K134:L134)</f>
        <v>130</v>
      </c>
    </row>
    <row r="135" spans="2:13">
      <c r="B135" s="27">
        <f t="shared" ref="B135:B198" si="5">B134+1</f>
        <v>131</v>
      </c>
      <c r="C135" s="27">
        <f ca="1"/>
        <v>314</v>
      </c>
      <c r="D135" s="27" t="str">
        <f ca="1"/>
        <v>ゾピクロン錠７．５ｍｇ「トーワ」</v>
      </c>
      <c r="E135" s="27">
        <f ca="1"/>
        <v>0</v>
      </c>
      <c r="F135" s="54">
        <f ca="1"/>
        <v>25</v>
      </c>
      <c r="G135" s="54" t="str">
        <f ca="1"/>
        <v>バラ</v>
      </c>
      <c r="H135" s="54" t="str">
        <f ca="1"/>
        <v>１０００Ｔ</v>
      </c>
      <c r="I135" s="54" t="str">
        <f ca="1"/>
        <v>錠</v>
      </c>
      <c r="J135" s="54" t="str">
        <f ca="1">IF(F135="","",OFFSET(分類!$B$29,MATCH(F135,分類!$A$30:$A$46,0),0))</f>
        <v>調剤棚　＆　普通薬バラ</v>
      </c>
      <c r="K135" s="69"/>
      <c r="L135" s="69">
        <v>131</v>
      </c>
      <c r="M135" s="54">
        <f t="shared" si="4"/>
        <v>131</v>
      </c>
    </row>
    <row r="136" spans="2:13">
      <c r="B136" s="27">
        <f t="shared" si="5"/>
        <v>132</v>
      </c>
      <c r="C136" s="27">
        <f ca="1"/>
        <v>315</v>
      </c>
      <c r="D136" s="27" t="str">
        <f ca="1"/>
        <v>ゾフルーザ錠２０ｍｇ</v>
      </c>
      <c r="E136" s="27">
        <f ca="1"/>
        <v>0</v>
      </c>
      <c r="F136" s="54">
        <f ca="1"/>
        <v>1</v>
      </c>
      <c r="G136" s="54" t="str">
        <f ca="1"/>
        <v>ＰＴＰ</v>
      </c>
      <c r="H136" s="54" t="str">
        <f ca="1"/>
        <v>１０Ｔ</v>
      </c>
      <c r="I136" s="54" t="str">
        <f ca="1"/>
        <v>錠</v>
      </c>
      <c r="J136" s="54" t="str">
        <f ca="1">IF(F136="","",OFFSET(分類!$B$29,MATCH(F136,分類!$A$30:$A$46,0),0))</f>
        <v>調剤棚</v>
      </c>
      <c r="K136" s="69"/>
      <c r="L136" s="69">
        <v>132</v>
      </c>
      <c r="M136" s="54">
        <f t="shared" si="4"/>
        <v>132</v>
      </c>
    </row>
    <row r="137" spans="2:13">
      <c r="B137" s="27">
        <f t="shared" si="5"/>
        <v>133</v>
      </c>
      <c r="C137" s="27">
        <f ca="1"/>
        <v>316</v>
      </c>
      <c r="D137" s="27" t="str">
        <f ca="1"/>
        <v>ソラナックス０．４ｍｇ錠</v>
      </c>
      <c r="E137" s="27">
        <f ca="1"/>
        <v>0</v>
      </c>
      <c r="F137" s="54">
        <f ca="1"/>
        <v>1</v>
      </c>
      <c r="G137" s="54" t="str">
        <f ca="1"/>
        <v>ＰＴＰ</v>
      </c>
      <c r="H137" s="54" t="str">
        <f ca="1"/>
        <v>１０００Ｔ</v>
      </c>
      <c r="I137" s="54" t="str">
        <f ca="1"/>
        <v>錠</v>
      </c>
      <c r="J137" s="54" t="str">
        <f ca="1">IF(F137="","",OFFSET(分類!$B$29,MATCH(F137,分類!$A$30:$A$46,0),0))</f>
        <v>調剤棚</v>
      </c>
      <c r="K137" s="69"/>
      <c r="L137" s="69">
        <v>133</v>
      </c>
      <c r="M137" s="54">
        <f t="shared" si="4"/>
        <v>133</v>
      </c>
    </row>
    <row r="138" spans="2:13">
      <c r="B138" s="27">
        <f t="shared" si="5"/>
        <v>134</v>
      </c>
      <c r="C138" s="27">
        <f ca="1"/>
        <v>317</v>
      </c>
      <c r="D138" s="27" t="str">
        <f ca="1"/>
        <v>ソラナックス０．４ｍｇ錠</v>
      </c>
      <c r="E138" s="27">
        <f ca="1"/>
        <v>0</v>
      </c>
      <c r="F138" s="54">
        <f ca="1"/>
        <v>1</v>
      </c>
      <c r="G138" s="54" t="str">
        <f ca="1"/>
        <v>バラ</v>
      </c>
      <c r="H138" s="54" t="str">
        <f ca="1"/>
        <v>５００Ｔ</v>
      </c>
      <c r="I138" s="54" t="str">
        <f ca="1"/>
        <v>錠</v>
      </c>
      <c r="J138" s="54" t="str">
        <f ca="1">IF(F138="","",OFFSET(分類!$B$29,MATCH(F138,分類!$A$30:$A$46,0),0))</f>
        <v>調剤棚</v>
      </c>
      <c r="K138" s="69"/>
      <c r="L138" s="69">
        <v>134</v>
      </c>
      <c r="M138" s="54">
        <f t="shared" si="4"/>
        <v>134</v>
      </c>
    </row>
    <row r="139" spans="2:13">
      <c r="B139" s="27">
        <f t="shared" si="5"/>
        <v>135</v>
      </c>
      <c r="C139" s="27">
        <f ca="1"/>
        <v>318</v>
      </c>
      <c r="D139" s="27" t="str">
        <f ca="1"/>
        <v>ソラナックス０．８ｍｇ錠</v>
      </c>
      <c r="E139" s="27">
        <f ca="1"/>
        <v>0</v>
      </c>
      <c r="F139" s="54">
        <f ca="1"/>
        <v>1</v>
      </c>
      <c r="G139" s="54" t="str">
        <f ca="1"/>
        <v>ＰＴＰ</v>
      </c>
      <c r="H139" s="54" t="str">
        <f ca="1"/>
        <v>５００Ｔ</v>
      </c>
      <c r="I139" s="54" t="str">
        <f ca="1"/>
        <v>錠</v>
      </c>
      <c r="J139" s="54" t="str">
        <f ca="1">IF(F139="","",OFFSET(分類!$B$29,MATCH(F139,分類!$A$30:$A$46,0),0))</f>
        <v>調剤棚</v>
      </c>
      <c r="K139" s="69"/>
      <c r="L139" s="69">
        <v>135</v>
      </c>
      <c r="M139" s="54">
        <f t="shared" si="4"/>
        <v>135</v>
      </c>
    </row>
    <row r="140" spans="2:13">
      <c r="B140" s="27">
        <f t="shared" si="5"/>
        <v>136</v>
      </c>
      <c r="C140" s="27">
        <f ca="1"/>
        <v>319</v>
      </c>
      <c r="D140" s="27" t="str">
        <f ca="1"/>
        <v>ソラナックス０．８ｍｇ錠</v>
      </c>
      <c r="E140" s="27">
        <f ca="1"/>
        <v>0</v>
      </c>
      <c r="F140" s="54">
        <f ca="1"/>
        <v>1</v>
      </c>
      <c r="G140" s="54" t="str">
        <f ca="1"/>
        <v>バラ</v>
      </c>
      <c r="H140" s="54" t="str">
        <f ca="1"/>
        <v>５００Ｔ</v>
      </c>
      <c r="I140" s="54" t="str">
        <f ca="1"/>
        <v>錠</v>
      </c>
      <c r="J140" s="54" t="str">
        <f ca="1">IF(F140="","",OFFSET(分類!$B$29,MATCH(F140,分類!$A$30:$A$46,0),0))</f>
        <v>調剤棚</v>
      </c>
      <c r="K140" s="69"/>
      <c r="L140" s="69">
        <v>136</v>
      </c>
      <c r="M140" s="54">
        <f t="shared" si="4"/>
        <v>136</v>
      </c>
    </row>
    <row r="141" spans="2:13">
      <c r="B141" s="27">
        <f t="shared" si="5"/>
        <v>137</v>
      </c>
      <c r="C141" s="27">
        <f ca="1"/>
        <v>320</v>
      </c>
      <c r="D141" s="27" t="str">
        <f ca="1"/>
        <v>ソリフェナシンコハク酸塩ＯＤ錠５ｍｇ「トーワ」</v>
      </c>
      <c r="E141" s="27">
        <f ca="1"/>
        <v>0</v>
      </c>
      <c r="F141" s="54">
        <f ca="1"/>
        <v>1</v>
      </c>
      <c r="G141" s="54" t="str">
        <f ca="1"/>
        <v>ＰＴＰ</v>
      </c>
      <c r="H141" s="54" t="str">
        <f ca="1"/>
        <v>１００Ｔ</v>
      </c>
      <c r="I141" s="54" t="str">
        <f ca="1"/>
        <v>錠</v>
      </c>
      <c r="J141" s="54" t="str">
        <f ca="1">IF(F141="","",OFFSET(分類!$B$29,MATCH(F141,分類!$A$30:$A$46,0),0))</f>
        <v>調剤棚</v>
      </c>
      <c r="K141" s="69"/>
      <c r="L141" s="69">
        <v>137</v>
      </c>
      <c r="M141" s="54">
        <f t="shared" si="4"/>
        <v>137</v>
      </c>
    </row>
    <row r="142" spans="2:13">
      <c r="B142" s="27">
        <f t="shared" si="5"/>
        <v>138</v>
      </c>
      <c r="C142" s="27">
        <f ca="1"/>
        <v>321</v>
      </c>
      <c r="D142" s="27" t="str">
        <f ca="1"/>
        <v>ソリフェナシンコハク酸塩ＯＤ錠５ｍｇ「トーワ」</v>
      </c>
      <c r="E142" s="27">
        <f ca="1"/>
        <v>0</v>
      </c>
      <c r="F142" s="54">
        <f ca="1"/>
        <v>1</v>
      </c>
      <c r="G142" s="54" t="str">
        <f ca="1"/>
        <v>バラ</v>
      </c>
      <c r="H142" s="54" t="str">
        <f ca="1"/>
        <v>１００Ｔ</v>
      </c>
      <c r="I142" s="54" t="str">
        <f ca="1"/>
        <v>錠</v>
      </c>
      <c r="J142" s="54" t="str">
        <f ca="1">IF(F142="","",OFFSET(分類!$B$29,MATCH(F142,分類!$A$30:$A$46,0),0))</f>
        <v>調剤棚</v>
      </c>
      <c r="K142" s="69"/>
      <c r="L142" s="69">
        <v>138</v>
      </c>
      <c r="M142" s="54">
        <f t="shared" si="4"/>
        <v>138</v>
      </c>
    </row>
    <row r="143" spans="2:13">
      <c r="B143" s="27">
        <f t="shared" si="5"/>
        <v>139</v>
      </c>
      <c r="C143" s="27">
        <f ca="1"/>
        <v>330</v>
      </c>
      <c r="D143" s="27" t="str">
        <f ca="1"/>
        <v>タケキャブＯＤ錠１０ｍｇ</v>
      </c>
      <c r="E143" s="27">
        <f ca="1"/>
        <v>0</v>
      </c>
      <c r="F143" s="54">
        <f ca="1"/>
        <v>25</v>
      </c>
      <c r="G143" s="54" t="str">
        <f ca="1"/>
        <v>ＰＴＰ</v>
      </c>
      <c r="H143" s="54" t="str">
        <f ca="1"/>
        <v>１００Ｔ</v>
      </c>
      <c r="I143" s="54" t="str">
        <f ca="1"/>
        <v>錠</v>
      </c>
      <c r="J143" s="54" t="str">
        <f ca="1">IF(F143="","",OFFSET(分類!$B$29,MATCH(F143,分類!$A$30:$A$46,0),0))</f>
        <v>調剤棚　＆　普通薬バラ</v>
      </c>
      <c r="K143" s="69"/>
      <c r="L143" s="69">
        <v>139</v>
      </c>
      <c r="M143" s="54">
        <f t="shared" si="4"/>
        <v>139</v>
      </c>
    </row>
    <row r="144" spans="2:13">
      <c r="B144" s="27">
        <f t="shared" si="5"/>
        <v>140</v>
      </c>
      <c r="C144" s="27">
        <f ca="1"/>
        <v>331</v>
      </c>
      <c r="D144" s="27" t="str">
        <f ca="1"/>
        <v>タケキャブＯＤ錠１０ｍｇ</v>
      </c>
      <c r="E144" s="27">
        <f ca="1"/>
        <v>0</v>
      </c>
      <c r="F144" s="54">
        <f ca="1"/>
        <v>25</v>
      </c>
      <c r="G144" s="54" t="str">
        <f ca="1"/>
        <v>バラ</v>
      </c>
      <c r="H144" s="54" t="str">
        <f ca="1"/>
        <v>２００Ｔ</v>
      </c>
      <c r="I144" s="54" t="str">
        <f ca="1"/>
        <v>錠</v>
      </c>
      <c r="J144" s="54" t="str">
        <f ca="1">IF(F144="","",OFFSET(分類!$B$29,MATCH(F144,分類!$A$30:$A$46,0),0))</f>
        <v>調剤棚　＆　普通薬バラ</v>
      </c>
      <c r="K144" s="69"/>
      <c r="L144" s="69">
        <v>140</v>
      </c>
      <c r="M144" s="54">
        <f t="shared" si="4"/>
        <v>140</v>
      </c>
    </row>
    <row r="145" spans="2:13">
      <c r="B145" s="27">
        <f t="shared" si="5"/>
        <v>141</v>
      </c>
      <c r="C145" s="27">
        <f ca="1"/>
        <v>332</v>
      </c>
      <c r="D145" s="27" t="str">
        <f ca="1"/>
        <v>タケキャブＯＤ錠２０ｍｇ</v>
      </c>
      <c r="E145" s="27">
        <f ca="1"/>
        <v>0</v>
      </c>
      <c r="F145" s="54">
        <f ca="1"/>
        <v>25</v>
      </c>
      <c r="G145" s="54" t="str">
        <f ca="1"/>
        <v>ＰＴＰ</v>
      </c>
      <c r="H145" s="54" t="str">
        <f ca="1"/>
        <v>１００Ｔ</v>
      </c>
      <c r="I145" s="54" t="str">
        <f ca="1"/>
        <v>錠</v>
      </c>
      <c r="J145" s="54" t="str">
        <f ca="1">IF(F145="","",OFFSET(分類!$B$29,MATCH(F145,分類!$A$30:$A$46,0),0))</f>
        <v>調剤棚　＆　普通薬バラ</v>
      </c>
      <c r="K145" s="69"/>
      <c r="L145" s="69">
        <v>141</v>
      </c>
      <c r="M145" s="54">
        <f t="shared" si="4"/>
        <v>141</v>
      </c>
    </row>
    <row r="146" spans="2:13">
      <c r="B146" s="27">
        <f t="shared" si="5"/>
        <v>142</v>
      </c>
      <c r="C146" s="27">
        <f ca="1"/>
        <v>335</v>
      </c>
      <c r="D146" s="27" t="str">
        <f ca="1"/>
        <v>タムスロシン塩酸塩ＯＤ錠０．２ｍｇ「サワイ」</v>
      </c>
      <c r="E146" s="27">
        <f ca="1"/>
        <v>0</v>
      </c>
      <c r="F146" s="54">
        <f ca="1"/>
        <v>25</v>
      </c>
      <c r="G146" s="54" t="str">
        <f ca="1"/>
        <v>ＰＴＰ</v>
      </c>
      <c r="H146" s="54" t="str">
        <f ca="1"/>
        <v>１４０Ｔ</v>
      </c>
      <c r="I146" s="54" t="str">
        <f ca="1"/>
        <v>錠</v>
      </c>
      <c r="J146" s="54" t="str">
        <f ca="1">IF(F146="","",OFFSET(分類!$B$29,MATCH(F146,分類!$A$30:$A$46,0),0))</f>
        <v>調剤棚　＆　普通薬バラ</v>
      </c>
      <c r="K146" s="69"/>
      <c r="L146" s="69">
        <v>142</v>
      </c>
      <c r="M146" s="54">
        <f t="shared" si="4"/>
        <v>142</v>
      </c>
    </row>
    <row r="147" spans="2:13">
      <c r="B147" s="27">
        <f t="shared" si="5"/>
        <v>143</v>
      </c>
      <c r="C147" s="27">
        <f ca="1"/>
        <v>336</v>
      </c>
      <c r="D147" s="27" t="str">
        <f ca="1"/>
        <v>タムスロシン塩酸塩ＯＤ錠０．２ｍｇ「サワイ」</v>
      </c>
      <c r="E147" s="27">
        <f ca="1"/>
        <v>0</v>
      </c>
      <c r="F147" s="54">
        <f ca="1"/>
        <v>25</v>
      </c>
      <c r="G147" s="54" t="str">
        <f ca="1"/>
        <v>バラ</v>
      </c>
      <c r="H147" s="54" t="str">
        <f ca="1"/>
        <v>３００Ｔ</v>
      </c>
      <c r="I147" s="54" t="str">
        <f ca="1"/>
        <v>錠</v>
      </c>
      <c r="J147" s="54" t="str">
        <f ca="1">IF(F147="","",OFFSET(分類!$B$29,MATCH(F147,分類!$A$30:$A$46,0),0))</f>
        <v>調剤棚　＆　普通薬バラ</v>
      </c>
      <c r="K147" s="69"/>
      <c r="L147" s="69">
        <v>143</v>
      </c>
      <c r="M147" s="54">
        <f t="shared" si="4"/>
        <v>143</v>
      </c>
    </row>
    <row r="148" spans="2:13">
      <c r="B148" s="27">
        <f t="shared" si="5"/>
        <v>144</v>
      </c>
      <c r="C148" s="27">
        <f ca="1"/>
        <v>349</v>
      </c>
      <c r="D148" s="27" t="str">
        <f ca="1"/>
        <v>チザニジン錠１ｍｇ「トーワ」　</v>
      </c>
      <c r="E148" s="27">
        <f ca="1"/>
        <v>0</v>
      </c>
      <c r="F148" s="54">
        <f ca="1"/>
        <v>5</v>
      </c>
      <c r="G148" s="54" t="str">
        <f ca="1"/>
        <v>ＰＴＰ</v>
      </c>
      <c r="H148" s="54" t="str">
        <f ca="1"/>
        <v>１００Ｔ</v>
      </c>
      <c r="I148" s="54" t="str">
        <f ca="1"/>
        <v>錠</v>
      </c>
      <c r="J148" s="54" t="str">
        <f ca="1">IF(F148="","",OFFSET(分類!$B$29,MATCH(F148,分類!$A$30:$A$46,0),0))</f>
        <v>普通薬バラ</v>
      </c>
      <c r="K148" s="69"/>
      <c r="L148" s="69">
        <v>144</v>
      </c>
      <c r="M148" s="54">
        <f t="shared" si="4"/>
        <v>144</v>
      </c>
    </row>
    <row r="149" spans="2:13">
      <c r="B149" s="27">
        <f t="shared" si="5"/>
        <v>145</v>
      </c>
      <c r="C149" s="27">
        <f ca="1"/>
        <v>350</v>
      </c>
      <c r="D149" s="27" t="str">
        <f ca="1"/>
        <v>チザニジン錠１ｍｇ「トーワ」　</v>
      </c>
      <c r="E149" s="27">
        <f ca="1"/>
        <v>0</v>
      </c>
      <c r="F149" s="54">
        <f ca="1"/>
        <v>5</v>
      </c>
      <c r="G149" s="54" t="str">
        <f ca="1"/>
        <v>バラ</v>
      </c>
      <c r="H149" s="54" t="str">
        <f ca="1"/>
        <v>１０００Ｔ</v>
      </c>
      <c r="I149" s="54" t="str">
        <f ca="1"/>
        <v>錠</v>
      </c>
      <c r="J149" s="54" t="str">
        <f ca="1">IF(F149="","",OFFSET(分類!$B$29,MATCH(F149,分類!$A$30:$A$46,0),0))</f>
        <v>普通薬バラ</v>
      </c>
      <c r="K149" s="69"/>
      <c r="L149" s="69">
        <v>145</v>
      </c>
      <c r="M149" s="54">
        <f t="shared" si="4"/>
        <v>145</v>
      </c>
    </row>
    <row r="150" spans="2:13">
      <c r="B150" s="27">
        <f t="shared" si="5"/>
        <v>146</v>
      </c>
      <c r="C150" s="27">
        <f ca="1"/>
        <v>352</v>
      </c>
      <c r="D150" s="27" t="str">
        <f ca="1"/>
        <v>チラーヂンＳ錠２５μｇ</v>
      </c>
      <c r="E150" s="27">
        <f ca="1"/>
        <v>2</v>
      </c>
      <c r="F150" s="54">
        <f ca="1"/>
        <v>26</v>
      </c>
      <c r="G150" s="54" t="str">
        <f ca="1"/>
        <v>バラ</v>
      </c>
      <c r="H150" s="54" t="str">
        <f ca="1"/>
        <v>５００Ｔ</v>
      </c>
      <c r="I150" s="54" t="str">
        <f ca="1"/>
        <v>錠</v>
      </c>
      <c r="J150" s="54" t="str">
        <f ca="1">IF(F150="","",OFFSET(分類!$B$29,MATCH(F150,分類!$A$30:$A$46,0),0))</f>
        <v>調剤棚　＆　劇薬バラ</v>
      </c>
      <c r="K150" s="69"/>
      <c r="L150" s="69">
        <v>146</v>
      </c>
      <c r="M150" s="54">
        <f t="shared" si="4"/>
        <v>146</v>
      </c>
    </row>
    <row r="151" spans="2:13">
      <c r="B151" s="27">
        <f t="shared" si="5"/>
        <v>147</v>
      </c>
      <c r="C151" s="27">
        <f ca="1"/>
        <v>353</v>
      </c>
      <c r="D151" s="27" t="str">
        <f ca="1"/>
        <v>チラーヂンＳ錠５０μｇ</v>
      </c>
      <c r="E151" s="27">
        <f ca="1"/>
        <v>2</v>
      </c>
      <c r="F151" s="54">
        <f ca="1"/>
        <v>26</v>
      </c>
      <c r="G151" s="54" t="str">
        <f ca="1"/>
        <v>バラ</v>
      </c>
      <c r="H151" s="54" t="str">
        <f ca="1"/>
        <v>５００Ｔ</v>
      </c>
      <c r="I151" s="54" t="str">
        <f ca="1"/>
        <v>錠</v>
      </c>
      <c r="J151" s="54" t="str">
        <f ca="1">IF(F151="","",OFFSET(分類!$B$29,MATCH(F151,分類!$A$30:$A$46,0),0))</f>
        <v>調剤棚　＆　劇薬バラ</v>
      </c>
      <c r="K151" s="69"/>
      <c r="L151" s="69">
        <v>147</v>
      </c>
      <c r="M151" s="54">
        <f t="shared" si="4"/>
        <v>147</v>
      </c>
    </row>
    <row r="152" spans="2:13">
      <c r="B152" s="27">
        <f t="shared" si="5"/>
        <v>148</v>
      </c>
      <c r="C152" s="27">
        <f ca="1"/>
        <v>357</v>
      </c>
      <c r="D152" s="27" t="str">
        <f ca="1"/>
        <v>デエビゴ錠２．５ｍｇ</v>
      </c>
      <c r="E152" s="27">
        <f ca="1"/>
        <v>0</v>
      </c>
      <c r="F152" s="54">
        <f ca="1"/>
        <v>25</v>
      </c>
      <c r="G152" s="54" t="str">
        <f ca="1"/>
        <v>ＰＴＰ</v>
      </c>
      <c r="H152" s="54" t="str">
        <f ca="1"/>
        <v>１００Ｔ</v>
      </c>
      <c r="I152" s="54" t="str">
        <f ca="1"/>
        <v>錠</v>
      </c>
      <c r="J152" s="54" t="str">
        <f ca="1">IF(F152="","",OFFSET(分類!$B$29,MATCH(F152,分類!$A$30:$A$46,0),0))</f>
        <v>調剤棚　＆　普通薬バラ</v>
      </c>
      <c r="K152" s="69"/>
      <c r="L152" s="69">
        <v>148</v>
      </c>
      <c r="M152" s="54">
        <f t="shared" si="4"/>
        <v>148</v>
      </c>
    </row>
    <row r="153" spans="2:13">
      <c r="B153" s="27">
        <f t="shared" si="5"/>
        <v>149</v>
      </c>
      <c r="C153" s="27">
        <f ca="1"/>
        <v>358</v>
      </c>
      <c r="D153" s="27" t="str">
        <f ca="1"/>
        <v>デエビゴ錠２．５ｍｇ</v>
      </c>
      <c r="E153" s="27">
        <f ca="1"/>
        <v>0</v>
      </c>
      <c r="F153" s="54">
        <f ca="1"/>
        <v>25</v>
      </c>
      <c r="G153" s="54" t="str">
        <f ca="1"/>
        <v>バラ</v>
      </c>
      <c r="H153" s="54" t="str">
        <f ca="1"/>
        <v>１００Ｔ</v>
      </c>
      <c r="I153" s="54" t="str">
        <f ca="1"/>
        <v>錠</v>
      </c>
      <c r="J153" s="54" t="str">
        <f ca="1">IF(F153="","",OFFSET(分類!$B$29,MATCH(F153,分類!$A$30:$A$46,0),0))</f>
        <v>調剤棚　＆　普通薬バラ</v>
      </c>
      <c r="K153" s="69"/>
      <c r="L153" s="69">
        <v>149</v>
      </c>
      <c r="M153" s="54">
        <f t="shared" si="4"/>
        <v>149</v>
      </c>
    </row>
    <row r="154" spans="2:13">
      <c r="B154" s="27">
        <f t="shared" si="5"/>
        <v>150</v>
      </c>
      <c r="C154" s="27">
        <f ca="1"/>
        <v>359</v>
      </c>
      <c r="D154" s="27" t="str">
        <f ca="1"/>
        <v>デエビゴ錠５ｍｇ</v>
      </c>
      <c r="E154" s="27">
        <f ca="1"/>
        <v>0</v>
      </c>
      <c r="F154" s="54">
        <f ca="1"/>
        <v>25</v>
      </c>
      <c r="G154" s="54" t="str">
        <f ca="1"/>
        <v>ＰＴＰ</v>
      </c>
      <c r="H154" s="54" t="str">
        <f ca="1"/>
        <v>５００Ｔ</v>
      </c>
      <c r="I154" s="54" t="str">
        <f ca="1"/>
        <v>錠</v>
      </c>
      <c r="J154" s="54" t="str">
        <f ca="1">IF(F154="","",OFFSET(分類!$B$29,MATCH(F154,分類!$A$30:$A$46,0),0))</f>
        <v>調剤棚　＆　普通薬バラ</v>
      </c>
      <c r="K154" s="69"/>
      <c r="L154" s="69">
        <v>150</v>
      </c>
      <c r="M154" s="54">
        <f t="shared" si="4"/>
        <v>150</v>
      </c>
    </row>
    <row r="155" spans="2:13">
      <c r="B155" s="27">
        <f t="shared" si="5"/>
        <v>151</v>
      </c>
      <c r="C155" s="27">
        <f ca="1"/>
        <v>360</v>
      </c>
      <c r="D155" s="27" t="str">
        <f ca="1"/>
        <v>デエビゴ錠５ｍｇ</v>
      </c>
      <c r="E155" s="27">
        <f ca="1"/>
        <v>0</v>
      </c>
      <c r="F155" s="54">
        <f ca="1"/>
        <v>25</v>
      </c>
      <c r="G155" s="54" t="str">
        <f ca="1"/>
        <v>バラ</v>
      </c>
      <c r="H155" s="54" t="str">
        <f ca="1"/>
        <v>１００Ｔ</v>
      </c>
      <c r="I155" s="54" t="str">
        <f ca="1"/>
        <v>錠</v>
      </c>
      <c r="J155" s="54" t="str">
        <f ca="1">IF(F155="","",OFFSET(分類!$B$29,MATCH(F155,分類!$A$30:$A$46,0),0))</f>
        <v>調剤棚　＆　普通薬バラ</v>
      </c>
      <c r="K155" s="69"/>
      <c r="L155" s="69">
        <v>151</v>
      </c>
      <c r="M155" s="54">
        <f t="shared" si="4"/>
        <v>151</v>
      </c>
    </row>
    <row r="156" spans="2:13">
      <c r="B156" s="27">
        <f t="shared" si="5"/>
        <v>152</v>
      </c>
      <c r="C156" s="27">
        <f ca="1"/>
        <v>361</v>
      </c>
      <c r="D156" s="27" t="str">
        <f ca="1"/>
        <v>テオフィリン徐放Ｕ錠２００ｍｇ「トーワ」</v>
      </c>
      <c r="E156" s="27">
        <f ca="1"/>
        <v>2</v>
      </c>
      <c r="F156" s="54">
        <f ca="1"/>
        <v>6</v>
      </c>
      <c r="G156" s="54" t="str">
        <f ca="1"/>
        <v>ＰＴＰ</v>
      </c>
      <c r="H156" s="54" t="str">
        <f ca="1"/>
        <v>１００Ｔ</v>
      </c>
      <c r="I156" s="54" t="str">
        <f ca="1"/>
        <v>錠</v>
      </c>
      <c r="J156" s="54" t="str">
        <f ca="1">IF(F156="","",OFFSET(分類!$B$29,MATCH(F156,分類!$A$30:$A$46,0),0))</f>
        <v>劇薬バラ</v>
      </c>
      <c r="K156" s="69"/>
      <c r="L156" s="69">
        <v>152</v>
      </c>
      <c r="M156" s="54">
        <f t="shared" si="4"/>
        <v>152</v>
      </c>
    </row>
    <row r="157" spans="2:13">
      <c r="B157" s="27">
        <f t="shared" si="5"/>
        <v>153</v>
      </c>
      <c r="C157" s="27">
        <f ca="1"/>
        <v>368</v>
      </c>
      <c r="D157" s="27" t="str">
        <f ca="1"/>
        <v>テトラミド錠１０ｍｇ</v>
      </c>
      <c r="E157" s="27">
        <f ca="1"/>
        <v>0</v>
      </c>
      <c r="F157" s="54">
        <f ca="1"/>
        <v>5</v>
      </c>
      <c r="G157" s="54" t="str">
        <f ca="1"/>
        <v>ＰＴＰ</v>
      </c>
      <c r="H157" s="54" t="str">
        <f ca="1"/>
        <v>１０５Ｔ</v>
      </c>
      <c r="I157" s="54" t="str">
        <f ca="1"/>
        <v>錠</v>
      </c>
      <c r="J157" s="54" t="str">
        <f ca="1">IF(F157="","",OFFSET(分類!$B$29,MATCH(F157,分類!$A$30:$A$46,0),0))</f>
        <v>普通薬バラ</v>
      </c>
      <c r="K157" s="69"/>
      <c r="L157" s="69">
        <v>153</v>
      </c>
      <c r="M157" s="54">
        <f t="shared" si="4"/>
        <v>153</v>
      </c>
    </row>
    <row r="158" spans="2:13">
      <c r="B158" s="27">
        <f t="shared" si="5"/>
        <v>154</v>
      </c>
      <c r="C158" s="27">
        <f ca="1"/>
        <v>369</v>
      </c>
      <c r="D158" s="27" t="str">
        <f ca="1"/>
        <v>テトラミド錠３０ｍｇ</v>
      </c>
      <c r="E158" s="27">
        <f ca="1"/>
        <v>0</v>
      </c>
      <c r="F158" s="54">
        <f ca="1"/>
        <v>5</v>
      </c>
      <c r="G158" s="54" t="str">
        <f ca="1"/>
        <v>ＰＴＰ</v>
      </c>
      <c r="H158" s="54" t="str">
        <f ca="1"/>
        <v>１００Ｔ</v>
      </c>
      <c r="I158" s="54" t="str">
        <f ca="1"/>
        <v>錠</v>
      </c>
      <c r="J158" s="54" t="str">
        <f ca="1">IF(F158="","",OFFSET(分類!$B$29,MATCH(F158,分類!$A$30:$A$46,0),0))</f>
        <v>普通薬バラ</v>
      </c>
      <c r="K158" s="69"/>
      <c r="L158" s="69">
        <v>154</v>
      </c>
      <c r="M158" s="54">
        <f t="shared" si="4"/>
        <v>154</v>
      </c>
    </row>
    <row r="159" spans="2:13">
      <c r="B159" s="27">
        <f t="shared" si="5"/>
        <v>155</v>
      </c>
      <c r="C159" s="27">
        <f ca="1"/>
        <v>371</v>
      </c>
      <c r="D159" s="27" t="str">
        <f ca="1"/>
        <v>デパケンＲ錠２００ｍｇ</v>
      </c>
      <c r="E159" s="27">
        <f ca="1"/>
        <v>0</v>
      </c>
      <c r="F159" s="54">
        <f ca="1"/>
        <v>25</v>
      </c>
      <c r="G159" s="54" t="str">
        <f ca="1"/>
        <v>ＰＴＰ</v>
      </c>
      <c r="H159" s="54" t="str">
        <f ca="1"/>
        <v>１００Ｔ</v>
      </c>
      <c r="I159" s="54" t="str">
        <f ca="1"/>
        <v>錠</v>
      </c>
      <c r="J159" s="54" t="str">
        <f ca="1">IF(F159="","",OFFSET(分類!$B$29,MATCH(F159,分類!$A$30:$A$46,0),0))</f>
        <v>調剤棚　＆　普通薬バラ</v>
      </c>
      <c r="K159" s="69"/>
      <c r="L159" s="69">
        <v>155</v>
      </c>
      <c r="M159" s="54">
        <f t="shared" si="4"/>
        <v>155</v>
      </c>
    </row>
    <row r="160" spans="2:13">
      <c r="B160" s="27">
        <f t="shared" si="5"/>
        <v>156</v>
      </c>
      <c r="C160" s="27">
        <f ca="1"/>
        <v>372</v>
      </c>
      <c r="D160" s="27" t="str">
        <f ca="1"/>
        <v>デパケンＲ錠２００ｍｇ</v>
      </c>
      <c r="E160" s="27">
        <f ca="1"/>
        <v>0</v>
      </c>
      <c r="F160" s="54">
        <f ca="1"/>
        <v>25</v>
      </c>
      <c r="G160" s="54" t="str">
        <f ca="1"/>
        <v>バラ</v>
      </c>
      <c r="H160" s="54" t="str">
        <f ca="1"/>
        <v>１０００Ｔ</v>
      </c>
      <c r="I160" s="54" t="str">
        <f ca="1"/>
        <v>錠</v>
      </c>
      <c r="J160" s="54" t="str">
        <f ca="1">IF(F160="","",OFFSET(分類!$B$29,MATCH(F160,分類!$A$30:$A$46,0),0))</f>
        <v>調剤棚　＆　普通薬バラ</v>
      </c>
      <c r="K160" s="69"/>
      <c r="L160" s="69">
        <v>156</v>
      </c>
      <c r="M160" s="54">
        <f t="shared" si="4"/>
        <v>156</v>
      </c>
    </row>
    <row r="161" spans="2:13">
      <c r="B161" s="27">
        <f t="shared" si="5"/>
        <v>157</v>
      </c>
      <c r="C161" s="27">
        <f ca="1"/>
        <v>376</v>
      </c>
      <c r="D161" s="27" t="str">
        <f ca="1"/>
        <v>デプロメール錠２５</v>
      </c>
      <c r="E161" s="27">
        <f ca="1"/>
        <v>0</v>
      </c>
      <c r="F161" s="54">
        <f ca="1"/>
        <v>25</v>
      </c>
      <c r="G161" s="54" t="str">
        <f ca="1"/>
        <v>ＰＴＰ</v>
      </c>
      <c r="H161" s="54" t="str">
        <f ca="1"/>
        <v>５００Ｔ</v>
      </c>
      <c r="I161" s="54" t="str">
        <f ca="1"/>
        <v>錠</v>
      </c>
      <c r="J161" s="54" t="str">
        <f ca="1">IF(F161="","",OFFSET(分類!$B$29,MATCH(F161,分類!$A$30:$A$46,0),0))</f>
        <v>調剤棚　＆　普通薬バラ</v>
      </c>
      <c r="K161" s="69"/>
      <c r="L161" s="69">
        <v>157</v>
      </c>
      <c r="M161" s="54">
        <f t="shared" si="4"/>
        <v>157</v>
      </c>
    </row>
    <row r="162" spans="2:13">
      <c r="B162" s="27">
        <f t="shared" si="5"/>
        <v>158</v>
      </c>
      <c r="C162" s="27">
        <f ca="1"/>
        <v>377</v>
      </c>
      <c r="D162" s="27" t="str">
        <f ca="1"/>
        <v>デプロメール錠２５</v>
      </c>
      <c r="E162" s="27">
        <f ca="1"/>
        <v>0</v>
      </c>
      <c r="F162" s="54">
        <f ca="1"/>
        <v>25</v>
      </c>
      <c r="G162" s="54" t="str">
        <f ca="1"/>
        <v>バラ</v>
      </c>
      <c r="H162" s="54" t="str">
        <f ca="1"/>
        <v>１０００Ｔ</v>
      </c>
      <c r="I162" s="54" t="str">
        <f ca="1"/>
        <v>錠</v>
      </c>
      <c r="J162" s="54" t="str">
        <f ca="1">IF(F162="","",OFFSET(分類!$B$29,MATCH(F162,分類!$A$30:$A$46,0),0))</f>
        <v>調剤棚　＆　普通薬バラ</v>
      </c>
      <c r="K162" s="69"/>
      <c r="L162" s="69">
        <v>158</v>
      </c>
      <c r="M162" s="54">
        <f t="shared" si="4"/>
        <v>158</v>
      </c>
    </row>
    <row r="163" spans="2:13">
      <c r="B163" s="27">
        <f t="shared" si="5"/>
        <v>159</v>
      </c>
      <c r="C163" s="27">
        <f ca="1"/>
        <v>384</v>
      </c>
      <c r="D163" s="27" t="str">
        <f ca="1"/>
        <v>テルミサルタンＯＤ錠２０ｍｇ「トーワ」</v>
      </c>
      <c r="E163" s="27">
        <f ca="1"/>
        <v>0</v>
      </c>
      <c r="F163" s="54">
        <f ca="1"/>
        <v>25</v>
      </c>
      <c r="G163" s="54" t="str">
        <f ca="1"/>
        <v>ＰＴＰ</v>
      </c>
      <c r="H163" s="54" t="str">
        <f ca="1"/>
        <v>１００Ｔ</v>
      </c>
      <c r="I163" s="54" t="str">
        <f ca="1"/>
        <v>錠</v>
      </c>
      <c r="J163" s="54" t="str">
        <f ca="1">IF(F163="","",OFFSET(分類!$B$29,MATCH(F163,分類!$A$30:$A$46,0),0))</f>
        <v>調剤棚　＆　普通薬バラ</v>
      </c>
      <c r="K163" s="69"/>
      <c r="L163" s="69">
        <v>159</v>
      </c>
      <c r="M163" s="54">
        <f t="shared" si="4"/>
        <v>159</v>
      </c>
    </row>
    <row r="164" spans="2:13">
      <c r="B164" s="27">
        <f t="shared" si="5"/>
        <v>160</v>
      </c>
      <c r="C164" s="27">
        <f ca="1"/>
        <v>385</v>
      </c>
      <c r="D164" s="27" t="str">
        <f ca="1"/>
        <v>テルミサルタンＯＤ錠２０ｍｇ「トーワ」</v>
      </c>
      <c r="E164" s="27">
        <f ca="1"/>
        <v>0</v>
      </c>
      <c r="F164" s="54">
        <f ca="1"/>
        <v>25</v>
      </c>
      <c r="G164" s="54" t="str">
        <f ca="1"/>
        <v>バラ</v>
      </c>
      <c r="H164" s="54" t="str">
        <f ca="1"/>
        <v>３００Ｔ</v>
      </c>
      <c r="I164" s="54" t="str">
        <f ca="1"/>
        <v>錠</v>
      </c>
      <c r="J164" s="54" t="str">
        <f ca="1">IF(F164="","",OFFSET(分類!$B$29,MATCH(F164,分類!$A$30:$A$46,0),0))</f>
        <v>調剤棚　＆　普通薬バラ</v>
      </c>
      <c r="K164" s="69"/>
      <c r="L164" s="69">
        <v>160</v>
      </c>
      <c r="M164" s="54">
        <f t="shared" si="4"/>
        <v>160</v>
      </c>
    </row>
    <row r="165" spans="2:13">
      <c r="B165" s="27">
        <f t="shared" si="5"/>
        <v>161</v>
      </c>
      <c r="C165" s="27">
        <f ca="1"/>
        <v>391</v>
      </c>
      <c r="D165" s="27" t="str">
        <f ca="1"/>
        <v>ドネペジル塩酸塩ＯＤ錠１０ｍｇ「トーワ」</v>
      </c>
      <c r="E165" s="27">
        <f ca="1"/>
        <v>2</v>
      </c>
      <c r="F165" s="54">
        <f ca="1"/>
        <v>26</v>
      </c>
      <c r="G165" s="54" t="str">
        <f ca="1"/>
        <v>ＰＴＰ</v>
      </c>
      <c r="H165" s="54" t="str">
        <f ca="1"/>
        <v>１４０Ｔ</v>
      </c>
      <c r="I165" s="54" t="str">
        <f ca="1"/>
        <v>錠</v>
      </c>
      <c r="J165" s="54" t="str">
        <f ca="1">IF(F165="","",OFFSET(分類!$B$29,MATCH(F165,分類!$A$30:$A$46,0),0))</f>
        <v>調剤棚　＆　劇薬バラ</v>
      </c>
      <c r="K165" s="69"/>
      <c r="L165" s="69">
        <v>161</v>
      </c>
      <c r="M165" s="54">
        <f t="shared" si="4"/>
        <v>161</v>
      </c>
    </row>
    <row r="166" spans="2:13">
      <c r="B166" s="27">
        <f t="shared" si="5"/>
        <v>162</v>
      </c>
      <c r="C166" s="27">
        <f ca="1"/>
        <v>392</v>
      </c>
      <c r="D166" s="27" t="str">
        <f ca="1"/>
        <v>ドネペジル塩酸塩ＯＤ錠１０ｍｇ「トーワ」</v>
      </c>
      <c r="E166" s="27">
        <f ca="1"/>
        <v>2</v>
      </c>
      <c r="F166" s="54">
        <f ca="1"/>
        <v>26</v>
      </c>
      <c r="G166" s="54" t="str">
        <f ca="1"/>
        <v>バラ</v>
      </c>
      <c r="H166" s="54" t="str">
        <f ca="1"/>
        <v>１００Ｔ</v>
      </c>
      <c r="I166" s="54" t="str">
        <f ca="1"/>
        <v>錠</v>
      </c>
      <c r="J166" s="54" t="str">
        <f ca="1">IF(F166="","",OFFSET(分類!$B$29,MATCH(F166,分類!$A$30:$A$46,0),0))</f>
        <v>調剤棚　＆　劇薬バラ</v>
      </c>
      <c r="K166" s="69"/>
      <c r="L166" s="69">
        <v>162</v>
      </c>
      <c r="M166" s="54">
        <f t="shared" si="4"/>
        <v>162</v>
      </c>
    </row>
    <row r="167" spans="2:13">
      <c r="B167" s="27">
        <f t="shared" si="5"/>
        <v>163</v>
      </c>
      <c r="C167" s="27">
        <f ca="1"/>
        <v>393</v>
      </c>
      <c r="D167" s="27" t="str">
        <f ca="1"/>
        <v>ドネペジル塩酸塩ＯＤ錠３ｍｇ「トーワ」</v>
      </c>
      <c r="E167" s="27">
        <f ca="1"/>
        <v>2</v>
      </c>
      <c r="F167" s="54">
        <f ca="1"/>
        <v>26</v>
      </c>
      <c r="G167" s="54" t="str">
        <f ca="1"/>
        <v>ＰＴＰ</v>
      </c>
      <c r="H167" s="54" t="str">
        <f ca="1"/>
        <v>２８Ｔ</v>
      </c>
      <c r="I167" s="54" t="str">
        <f ca="1"/>
        <v>錠</v>
      </c>
      <c r="J167" s="54" t="str">
        <f ca="1">IF(F167="","",OFFSET(分類!$B$29,MATCH(F167,分類!$A$30:$A$46,0),0))</f>
        <v>調剤棚　＆　劇薬バラ</v>
      </c>
      <c r="K167" s="69"/>
      <c r="L167" s="69">
        <v>163</v>
      </c>
      <c r="M167" s="54">
        <f t="shared" si="4"/>
        <v>163</v>
      </c>
    </row>
    <row r="168" spans="2:13">
      <c r="B168" s="27">
        <f t="shared" si="5"/>
        <v>164</v>
      </c>
      <c r="C168" s="27">
        <f ca="1"/>
        <v>394</v>
      </c>
      <c r="D168" s="27" t="str">
        <f ca="1"/>
        <v>ドネペジル塩酸塩ＯＤ錠３ｍｇ「トーワ」</v>
      </c>
      <c r="E168" s="27">
        <f ca="1"/>
        <v>2</v>
      </c>
      <c r="F168" s="54">
        <f ca="1"/>
        <v>26</v>
      </c>
      <c r="G168" s="54" t="str">
        <f ca="1"/>
        <v>バラ</v>
      </c>
      <c r="H168" s="54" t="str">
        <f ca="1"/>
        <v>１００Ｔ</v>
      </c>
      <c r="I168" s="54" t="str">
        <f ca="1"/>
        <v>錠</v>
      </c>
      <c r="J168" s="54" t="str">
        <f ca="1">IF(F168="","",OFFSET(分類!$B$29,MATCH(F168,分類!$A$30:$A$46,0),0))</f>
        <v>調剤棚　＆　劇薬バラ</v>
      </c>
      <c r="K168" s="69"/>
      <c r="L168" s="69">
        <v>164</v>
      </c>
      <c r="M168" s="54">
        <f t="shared" si="4"/>
        <v>164</v>
      </c>
    </row>
    <row r="169" spans="2:13">
      <c r="B169" s="27">
        <f t="shared" si="5"/>
        <v>165</v>
      </c>
      <c r="C169" s="27">
        <f ca="1"/>
        <v>395</v>
      </c>
      <c r="D169" s="27" t="str">
        <f ca="1"/>
        <v>ドネペジル塩酸塩ＯＤ錠５ｍｇ「トーワ」</v>
      </c>
      <c r="E169" s="27">
        <f ca="1"/>
        <v>2</v>
      </c>
      <c r="F169" s="54">
        <f ca="1"/>
        <v>26</v>
      </c>
      <c r="G169" s="54" t="str">
        <f ca="1"/>
        <v>ＰＴＰ</v>
      </c>
      <c r="H169" s="54" t="str">
        <f ca="1"/>
        <v>１４０Ｔ</v>
      </c>
      <c r="I169" s="54" t="str">
        <f ca="1"/>
        <v>錠</v>
      </c>
      <c r="J169" s="54" t="str">
        <f ca="1">IF(F169="","",OFFSET(分類!$B$29,MATCH(F169,分類!$A$30:$A$46,0),0))</f>
        <v>調剤棚　＆　劇薬バラ</v>
      </c>
      <c r="K169" s="69"/>
      <c r="L169" s="69">
        <v>165</v>
      </c>
      <c r="M169" s="54">
        <f t="shared" si="4"/>
        <v>165</v>
      </c>
    </row>
    <row r="170" spans="2:13">
      <c r="B170" s="27">
        <f t="shared" si="5"/>
        <v>166</v>
      </c>
      <c r="C170" s="27">
        <f ca="1"/>
        <v>396</v>
      </c>
      <c r="D170" s="27" t="str">
        <f ca="1"/>
        <v>ドネペジル塩酸塩ＯＤ錠５ｍｇ「トーワ」</v>
      </c>
      <c r="E170" s="27">
        <f ca="1"/>
        <v>2</v>
      </c>
      <c r="F170" s="54">
        <f ca="1"/>
        <v>26</v>
      </c>
      <c r="G170" s="54" t="str">
        <f ca="1"/>
        <v>バラ</v>
      </c>
      <c r="H170" s="54" t="str">
        <f ca="1"/>
        <v>１００Ｔ</v>
      </c>
      <c r="I170" s="54" t="str">
        <f ca="1"/>
        <v>錠</v>
      </c>
      <c r="J170" s="54" t="str">
        <f ca="1">IF(F170="","",OFFSET(分類!$B$29,MATCH(F170,分類!$A$30:$A$46,0),0))</f>
        <v>調剤棚　＆　劇薬バラ</v>
      </c>
      <c r="K170" s="69"/>
      <c r="L170" s="69">
        <v>166</v>
      </c>
      <c r="M170" s="54">
        <f t="shared" si="4"/>
        <v>166</v>
      </c>
    </row>
    <row r="171" spans="2:13">
      <c r="B171" s="27">
        <f t="shared" si="5"/>
        <v>167</v>
      </c>
      <c r="C171" s="27">
        <f ca="1"/>
        <v>399</v>
      </c>
      <c r="D171" s="27" t="str">
        <f ca="1"/>
        <v>トピロリック錠４０ｍｇ</v>
      </c>
      <c r="E171" s="27">
        <f ca="1"/>
        <v>0</v>
      </c>
      <c r="F171" s="54">
        <f ca="1"/>
        <v>25</v>
      </c>
      <c r="G171" s="54" t="str">
        <f ca="1"/>
        <v>ＰＴＰ</v>
      </c>
      <c r="H171" s="54" t="str">
        <f ca="1"/>
        <v>１００Ｔ</v>
      </c>
      <c r="I171" s="54" t="str">
        <f ca="1"/>
        <v>錠</v>
      </c>
      <c r="J171" s="54" t="str">
        <f ca="1">IF(F171="","",OFFSET(分類!$B$29,MATCH(F171,分類!$A$30:$A$46,0),0))</f>
        <v>調剤棚　＆　普通薬バラ</v>
      </c>
      <c r="K171" s="69"/>
      <c r="L171" s="69">
        <v>167</v>
      </c>
      <c r="M171" s="54">
        <f t="shared" si="4"/>
        <v>167</v>
      </c>
    </row>
    <row r="172" spans="2:13">
      <c r="B172" s="27">
        <f t="shared" si="5"/>
        <v>168</v>
      </c>
      <c r="C172" s="27">
        <f ca="1"/>
        <v>400</v>
      </c>
      <c r="D172" s="27" t="str">
        <f ca="1"/>
        <v>ドプスＯＤ錠１００ｍｇ</v>
      </c>
      <c r="E172" s="27">
        <f ca="1"/>
        <v>0</v>
      </c>
      <c r="F172" s="54">
        <f ca="1"/>
        <v>5</v>
      </c>
      <c r="G172" s="54" t="str">
        <f ca="1"/>
        <v>ＰＴＰ</v>
      </c>
      <c r="H172" s="54" t="str">
        <f ca="1"/>
        <v>１００Ｔ</v>
      </c>
      <c r="I172" s="54" t="str">
        <f ca="1"/>
        <v>錠</v>
      </c>
      <c r="J172" s="54" t="str">
        <f ca="1">IF(F172="","",OFFSET(分類!$B$29,MATCH(F172,分類!$A$30:$A$46,0),0))</f>
        <v>普通薬バラ</v>
      </c>
      <c r="K172" s="69"/>
      <c r="L172" s="69">
        <v>168</v>
      </c>
      <c r="M172" s="54">
        <f t="shared" si="4"/>
        <v>168</v>
      </c>
    </row>
    <row r="173" spans="2:13">
      <c r="B173" s="27">
        <f t="shared" si="5"/>
        <v>169</v>
      </c>
      <c r="C173" s="27">
        <f ca="1"/>
        <v>401</v>
      </c>
      <c r="D173" s="27" t="str">
        <f ca="1"/>
        <v>トフラニール錠１０ｍｇ</v>
      </c>
      <c r="E173" s="27">
        <f ca="1"/>
        <v>0</v>
      </c>
      <c r="F173" s="54">
        <f ca="1"/>
        <v>25</v>
      </c>
      <c r="G173" s="54" t="str">
        <f ca="1"/>
        <v>ＰＴＰ</v>
      </c>
      <c r="H173" s="54" t="str">
        <f ca="1"/>
        <v>３００Ｔ</v>
      </c>
      <c r="I173" s="54" t="str">
        <f ca="1"/>
        <v>錠</v>
      </c>
      <c r="J173" s="54" t="str">
        <f ca="1">IF(F173="","",OFFSET(分類!$B$29,MATCH(F173,分類!$A$30:$A$46,0),0))</f>
        <v>調剤棚　＆　普通薬バラ</v>
      </c>
      <c r="K173" s="69"/>
      <c r="L173" s="69">
        <v>169</v>
      </c>
      <c r="M173" s="54">
        <f t="shared" si="4"/>
        <v>169</v>
      </c>
    </row>
    <row r="174" spans="2:13">
      <c r="B174" s="27">
        <f t="shared" si="5"/>
        <v>170</v>
      </c>
      <c r="C174" s="27">
        <f ca="1"/>
        <v>404</v>
      </c>
      <c r="D174" s="27" t="str">
        <f ca="1"/>
        <v>トラゾドン塩酸塩錠２５ｍｇ「アメル」</v>
      </c>
      <c r="E174" s="27">
        <f ca="1"/>
        <v>2</v>
      </c>
      <c r="F174" s="54">
        <f ca="1"/>
        <v>26</v>
      </c>
      <c r="G174" s="54" t="str">
        <f ca="1"/>
        <v>ＰＴＰ</v>
      </c>
      <c r="H174" s="54" t="str">
        <f ca="1"/>
        <v>１００Ｔ</v>
      </c>
      <c r="I174" s="54" t="str">
        <f ca="1"/>
        <v>錠</v>
      </c>
      <c r="J174" s="54" t="str">
        <f ca="1">IF(F174="","",OFFSET(分類!$B$29,MATCH(F174,分類!$A$30:$A$46,0),0))</f>
        <v>調剤棚　＆　劇薬バラ</v>
      </c>
      <c r="K174" s="69"/>
      <c r="L174" s="69">
        <v>170</v>
      </c>
      <c r="M174" s="54">
        <f t="shared" si="4"/>
        <v>170</v>
      </c>
    </row>
    <row r="175" spans="2:13">
      <c r="B175" s="27">
        <f t="shared" si="5"/>
        <v>171</v>
      </c>
      <c r="C175" s="27">
        <f ca="1"/>
        <v>405</v>
      </c>
      <c r="D175" s="27" t="str">
        <f ca="1"/>
        <v>トラゾドン塩酸塩錠２５ｍｇ「アメル」</v>
      </c>
      <c r="E175" s="27">
        <f ca="1"/>
        <v>2</v>
      </c>
      <c r="F175" s="54">
        <f ca="1"/>
        <v>26</v>
      </c>
      <c r="G175" s="54" t="str">
        <f ca="1"/>
        <v>バラ</v>
      </c>
      <c r="H175" s="54" t="str">
        <f ca="1"/>
        <v>１０００Ｔ</v>
      </c>
      <c r="I175" s="54" t="str">
        <f ca="1"/>
        <v>錠</v>
      </c>
      <c r="J175" s="54" t="str">
        <f ca="1">IF(F175="","",OFFSET(分類!$B$29,MATCH(F175,分類!$A$30:$A$46,0),0))</f>
        <v>調剤棚　＆　劇薬バラ</v>
      </c>
      <c r="K175" s="69"/>
      <c r="L175" s="69">
        <v>171</v>
      </c>
      <c r="M175" s="54">
        <f t="shared" si="4"/>
        <v>171</v>
      </c>
    </row>
    <row r="176" spans="2:13">
      <c r="B176" s="27">
        <f t="shared" si="5"/>
        <v>172</v>
      </c>
      <c r="C176" s="27">
        <f ca="1"/>
        <v>411</v>
      </c>
      <c r="D176" s="27" t="str">
        <f ca="1"/>
        <v>トリアゾラム錠０．２５ｍｇ「日医工」　　　　　　　　</v>
      </c>
      <c r="E176" s="27">
        <f ca="1"/>
        <v>0</v>
      </c>
      <c r="F176" s="54">
        <f ca="1"/>
        <v>25</v>
      </c>
      <c r="G176" s="54" t="str">
        <f ca="1"/>
        <v>ＰＴＰ</v>
      </c>
      <c r="H176" s="54" t="str">
        <f ca="1"/>
        <v>１００Ｔ</v>
      </c>
      <c r="I176" s="54" t="str">
        <f ca="1"/>
        <v>錠</v>
      </c>
      <c r="J176" s="54" t="str">
        <f ca="1">IF(F176="","",OFFSET(分類!$B$29,MATCH(F176,分類!$A$30:$A$46,0),0))</f>
        <v>調剤棚　＆　普通薬バラ</v>
      </c>
      <c r="K176" s="69"/>
      <c r="L176" s="69">
        <v>172</v>
      </c>
      <c r="M176" s="54">
        <f t="shared" si="4"/>
        <v>172</v>
      </c>
    </row>
    <row r="177" spans="2:13">
      <c r="B177" s="27">
        <f t="shared" si="5"/>
        <v>173</v>
      </c>
      <c r="C177" s="27">
        <f ca="1"/>
        <v>412</v>
      </c>
      <c r="D177" s="27" t="str">
        <f ca="1"/>
        <v>トリプタノール錠２５</v>
      </c>
      <c r="E177" s="27">
        <f ca="1"/>
        <v>0</v>
      </c>
      <c r="F177" s="54">
        <f ca="1"/>
        <v>5</v>
      </c>
      <c r="G177" s="54" t="str">
        <f ca="1"/>
        <v>ＰＴＰ</v>
      </c>
      <c r="H177" s="54" t="str">
        <f ca="1"/>
        <v>１００Ｔ</v>
      </c>
      <c r="I177" s="54" t="str">
        <f ca="1"/>
        <v>錠</v>
      </c>
      <c r="J177" s="54" t="str">
        <f ca="1">IF(F177="","",OFFSET(分類!$B$29,MATCH(F177,分類!$A$30:$A$46,0),0))</f>
        <v>普通薬バラ</v>
      </c>
      <c r="K177" s="69"/>
      <c r="L177" s="69">
        <v>173</v>
      </c>
      <c r="M177" s="54">
        <f t="shared" si="4"/>
        <v>173</v>
      </c>
    </row>
    <row r="178" spans="2:13">
      <c r="B178" s="27">
        <f t="shared" si="5"/>
        <v>174</v>
      </c>
      <c r="C178" s="27">
        <f ca="1"/>
        <v>414</v>
      </c>
      <c r="D178" s="27" t="str">
        <f ca="1"/>
        <v>トリヘキシフェニジル塩酸塩錠２ｍｇ「ＮＩＧ」　</v>
      </c>
      <c r="E178" s="27">
        <f ca="1"/>
        <v>0</v>
      </c>
      <c r="F178" s="54">
        <f ca="1"/>
        <v>25</v>
      </c>
      <c r="G178" s="54" t="str">
        <f ca="1"/>
        <v>ＰＴＰ</v>
      </c>
      <c r="H178" s="54" t="str">
        <f ca="1"/>
        <v>１００Ｔ</v>
      </c>
      <c r="I178" s="54" t="str">
        <f ca="1"/>
        <v>錠</v>
      </c>
      <c r="J178" s="54" t="str">
        <f ca="1">IF(F178="","",OFFSET(分類!$B$29,MATCH(F178,分類!$A$30:$A$46,0),0))</f>
        <v>調剤棚　＆　普通薬バラ</v>
      </c>
      <c r="K178" s="69"/>
      <c r="L178" s="69">
        <v>174</v>
      </c>
      <c r="M178" s="54">
        <f t="shared" si="4"/>
        <v>174</v>
      </c>
    </row>
    <row r="179" spans="2:13">
      <c r="B179" s="27">
        <f t="shared" si="5"/>
        <v>175</v>
      </c>
      <c r="C179" s="27">
        <f ca="1"/>
        <v>415</v>
      </c>
      <c r="D179" s="27" t="str">
        <f ca="1"/>
        <v>トリヘキシフェニジル塩酸塩錠２ｍｇ「ＮＩＧ」　</v>
      </c>
      <c r="E179" s="27">
        <f ca="1"/>
        <v>0</v>
      </c>
      <c r="F179" s="54">
        <f ca="1"/>
        <v>25</v>
      </c>
      <c r="G179" s="54" t="str">
        <f ca="1"/>
        <v>バラ</v>
      </c>
      <c r="H179" s="54" t="str">
        <f ca="1"/>
        <v>１２００Ｔ</v>
      </c>
      <c r="I179" s="54" t="str">
        <f ca="1"/>
        <v>錠</v>
      </c>
      <c r="J179" s="54" t="str">
        <f ca="1">IF(F179="","",OFFSET(分類!$B$29,MATCH(F179,分類!$A$30:$A$46,0),0))</f>
        <v>調剤棚　＆　普通薬バラ</v>
      </c>
      <c r="K179" s="69"/>
      <c r="L179" s="69">
        <v>175</v>
      </c>
      <c r="M179" s="54">
        <f t="shared" si="4"/>
        <v>175</v>
      </c>
    </row>
    <row r="180" spans="2:13">
      <c r="B180" s="27">
        <f t="shared" si="5"/>
        <v>176</v>
      </c>
      <c r="C180" s="27">
        <f ca="1"/>
        <v>416</v>
      </c>
      <c r="D180" s="27" t="str">
        <f ca="1"/>
        <v>トリメブチンマレイン酸塩錠１００ｍｇ「トーワ」</v>
      </c>
      <c r="E180" s="27">
        <f ca="1"/>
        <v>0</v>
      </c>
      <c r="F180" s="54">
        <f ca="1"/>
        <v>25</v>
      </c>
      <c r="G180" s="54" t="str">
        <f ca="1"/>
        <v>バラ</v>
      </c>
      <c r="H180" s="54" t="str">
        <f ca="1"/>
        <v>１０００Ｔ</v>
      </c>
      <c r="I180" s="54" t="str">
        <f ca="1"/>
        <v>錠</v>
      </c>
      <c r="J180" s="54" t="str">
        <f ca="1">IF(F180="","",OFFSET(分類!$B$29,MATCH(F180,分類!$A$30:$A$46,0),0))</f>
        <v>調剤棚　＆　普通薬バラ</v>
      </c>
      <c r="K180" s="69"/>
      <c r="L180" s="69">
        <v>176</v>
      </c>
      <c r="M180" s="54">
        <f t="shared" si="4"/>
        <v>176</v>
      </c>
    </row>
    <row r="181" spans="2:13">
      <c r="B181" s="27">
        <f t="shared" si="5"/>
        <v>177</v>
      </c>
      <c r="C181" s="27">
        <f ca="1"/>
        <v>417</v>
      </c>
      <c r="D181" s="27" t="str">
        <f ca="1"/>
        <v>トリンテリックス錠１０ｍｇ</v>
      </c>
      <c r="E181" s="27">
        <f ca="1"/>
        <v>2</v>
      </c>
      <c r="F181" s="54">
        <f ca="1"/>
        <v>26</v>
      </c>
      <c r="G181" s="54" t="str">
        <f ca="1"/>
        <v>ＰＴＰ</v>
      </c>
      <c r="H181" s="54" t="str">
        <f ca="1"/>
        <v>１００Ｔ</v>
      </c>
      <c r="I181" s="54" t="str">
        <f ca="1"/>
        <v>錠</v>
      </c>
      <c r="J181" s="54" t="str">
        <f ca="1">IF(F181="","",OFFSET(分類!$B$29,MATCH(F181,分類!$A$30:$A$46,0),0))</f>
        <v>調剤棚　＆　劇薬バラ</v>
      </c>
      <c r="K181" s="69"/>
      <c r="L181" s="69">
        <v>177</v>
      </c>
      <c r="M181" s="54">
        <f t="shared" si="4"/>
        <v>177</v>
      </c>
    </row>
    <row r="182" spans="2:13">
      <c r="B182" s="27">
        <f t="shared" si="5"/>
        <v>178</v>
      </c>
      <c r="C182" s="27">
        <f ca="1"/>
        <v>422</v>
      </c>
      <c r="D182" s="27" t="str">
        <f ca="1"/>
        <v>トレドミン錠１５ｍｇ　　　　　　　</v>
      </c>
      <c r="E182" s="27">
        <f ca="1"/>
        <v>2</v>
      </c>
      <c r="F182" s="54">
        <f ca="1"/>
        <v>26</v>
      </c>
      <c r="G182" s="54" t="str">
        <f ca="1"/>
        <v>ＰＴＰ</v>
      </c>
      <c r="H182" s="54" t="str">
        <f ca="1"/>
        <v>１００Ｔ</v>
      </c>
      <c r="I182" s="54" t="str">
        <f ca="1"/>
        <v>錠</v>
      </c>
      <c r="J182" s="54" t="str">
        <f ca="1">IF(F182="","",OFFSET(分類!$B$29,MATCH(F182,分類!$A$30:$A$46,0),0))</f>
        <v>調剤棚　＆　劇薬バラ</v>
      </c>
      <c r="K182" s="69"/>
      <c r="L182" s="69">
        <v>178</v>
      </c>
      <c r="M182" s="54">
        <f t="shared" si="4"/>
        <v>178</v>
      </c>
    </row>
    <row r="183" spans="2:13">
      <c r="B183" s="27">
        <f t="shared" si="5"/>
        <v>179</v>
      </c>
      <c r="C183" s="27">
        <f ca="1"/>
        <v>423</v>
      </c>
      <c r="D183" s="27" t="str">
        <f ca="1"/>
        <v>トレドミン錠２５ｍｇ　　　　　　　</v>
      </c>
      <c r="E183" s="27">
        <f ca="1"/>
        <v>2</v>
      </c>
      <c r="F183" s="54">
        <f ca="1"/>
        <v>26</v>
      </c>
      <c r="G183" s="54" t="str">
        <f ca="1"/>
        <v>ＰＴＰ</v>
      </c>
      <c r="H183" s="54" t="str">
        <f ca="1"/>
        <v>１００Ｔ</v>
      </c>
      <c r="I183" s="54" t="str">
        <f ca="1"/>
        <v>錠</v>
      </c>
      <c r="J183" s="54" t="str">
        <f ca="1">IF(F183="","",OFFSET(分類!$B$29,MATCH(F183,分類!$A$30:$A$46,0),0))</f>
        <v>調剤棚　＆　劇薬バラ</v>
      </c>
      <c r="K183" s="69"/>
      <c r="L183" s="69">
        <v>179</v>
      </c>
      <c r="M183" s="54">
        <f t="shared" si="4"/>
        <v>179</v>
      </c>
    </row>
    <row r="184" spans="2:13">
      <c r="B184" s="27">
        <f t="shared" si="5"/>
        <v>180</v>
      </c>
      <c r="C184" s="27">
        <f ca="1"/>
        <v>425</v>
      </c>
      <c r="D184" s="27" t="str">
        <f ca="1"/>
        <v>ドンペリドン錠１０ｍｇ「ＪＧ」</v>
      </c>
      <c r="E184" s="27">
        <f ca="1"/>
        <v>0</v>
      </c>
      <c r="F184" s="54">
        <f ca="1"/>
        <v>25</v>
      </c>
      <c r="G184" s="54" t="str">
        <f ca="1"/>
        <v>ＰＴＰ</v>
      </c>
      <c r="H184" s="54" t="str">
        <f ca="1"/>
        <v>１０００Ｔ</v>
      </c>
      <c r="I184" s="54" t="str">
        <f ca="1"/>
        <v>錠</v>
      </c>
      <c r="J184" s="54" t="str">
        <f ca="1">IF(F184="","",OFFSET(分類!$B$29,MATCH(F184,分類!$A$30:$A$46,0),0))</f>
        <v>調剤棚　＆　普通薬バラ</v>
      </c>
      <c r="K184" s="69"/>
      <c r="L184" s="69">
        <v>180</v>
      </c>
      <c r="M184" s="54">
        <f t="shared" si="4"/>
        <v>180</v>
      </c>
    </row>
    <row r="185" spans="2:13">
      <c r="B185" s="27">
        <f t="shared" si="5"/>
        <v>181</v>
      </c>
      <c r="C185" s="27">
        <f ca="1"/>
        <v>427</v>
      </c>
      <c r="D185" s="27" t="str">
        <f ca="1"/>
        <v>ナトリックス錠１</v>
      </c>
      <c r="E185" s="27">
        <f ca="1"/>
        <v>0</v>
      </c>
      <c r="F185" s="54">
        <f ca="1"/>
        <v>5</v>
      </c>
      <c r="G185" s="54" t="str">
        <f ca="1"/>
        <v>ＰＴＰ</v>
      </c>
      <c r="H185" s="54" t="str">
        <f ca="1"/>
        <v>１００Ｔ</v>
      </c>
      <c r="I185" s="54" t="str">
        <f ca="1"/>
        <v>錠</v>
      </c>
      <c r="J185" s="54" t="str">
        <f ca="1">IF(F185="","",OFFSET(分類!$B$29,MATCH(F185,分類!$A$30:$A$46,0),0))</f>
        <v>普通薬バラ</v>
      </c>
      <c r="K185" s="69"/>
      <c r="L185" s="69">
        <v>181</v>
      </c>
      <c r="M185" s="54">
        <f t="shared" si="4"/>
        <v>181</v>
      </c>
    </row>
    <row r="186" spans="2:13">
      <c r="B186" s="27">
        <f t="shared" si="5"/>
        <v>182</v>
      </c>
      <c r="C186" s="27">
        <f ca="1"/>
        <v>428</v>
      </c>
      <c r="D186" s="27" t="str">
        <f ca="1"/>
        <v>ニコランジル錠５ｍｇ「トーワ」　　　　　　　　　</v>
      </c>
      <c r="E186" s="27">
        <f ca="1"/>
        <v>0</v>
      </c>
      <c r="F186" s="54">
        <f ca="1"/>
        <v>25</v>
      </c>
      <c r="G186" s="54" t="str">
        <f ca="1"/>
        <v>バラ</v>
      </c>
      <c r="H186" s="54" t="str">
        <f ca="1"/>
        <v>１０００Ｔ</v>
      </c>
      <c r="I186" s="54" t="str">
        <f ca="1"/>
        <v>錠</v>
      </c>
      <c r="J186" s="54" t="str">
        <f ca="1">IF(F186="","",OFFSET(分類!$B$29,MATCH(F186,分類!$A$30:$A$46,0),0))</f>
        <v>調剤棚　＆　普通薬バラ</v>
      </c>
      <c r="K186" s="69"/>
      <c r="L186" s="69">
        <v>182</v>
      </c>
      <c r="M186" s="54">
        <f t="shared" si="4"/>
        <v>182</v>
      </c>
    </row>
    <row r="187" spans="2:13">
      <c r="B187" s="27">
        <f t="shared" si="5"/>
        <v>183</v>
      </c>
      <c r="C187" s="27">
        <f ca="1"/>
        <v>429</v>
      </c>
      <c r="D187" s="27" t="str">
        <f ca="1"/>
        <v>ニセルゴリン錠５ｍｇ「トーワ」</v>
      </c>
      <c r="E187" s="27">
        <f ca="1"/>
        <v>0</v>
      </c>
      <c r="F187" s="54">
        <f ca="1"/>
        <v>25</v>
      </c>
      <c r="G187" s="54" t="str">
        <f ca="1"/>
        <v>バラ</v>
      </c>
      <c r="H187" s="54" t="str">
        <f ca="1"/>
        <v>１０００Ｔ</v>
      </c>
      <c r="I187" s="54" t="str">
        <f ca="1"/>
        <v>錠</v>
      </c>
      <c r="J187" s="54" t="str">
        <f ca="1">IF(F187="","",OFFSET(分類!$B$29,MATCH(F187,分類!$A$30:$A$46,0),0))</f>
        <v>調剤棚　＆　普通薬バラ</v>
      </c>
      <c r="K187" s="69"/>
      <c r="L187" s="69">
        <v>183</v>
      </c>
      <c r="M187" s="54">
        <f t="shared" si="4"/>
        <v>183</v>
      </c>
    </row>
    <row r="188" spans="2:13">
      <c r="B188" s="27">
        <f t="shared" si="5"/>
        <v>184</v>
      </c>
      <c r="C188" s="27">
        <f ca="1"/>
        <v>432</v>
      </c>
      <c r="D188" s="27" t="str">
        <f ca="1"/>
        <v>ニトロペン舌下錠０．３ｍｇ</v>
      </c>
      <c r="E188" s="27">
        <f ca="1"/>
        <v>2</v>
      </c>
      <c r="F188" s="54">
        <f ca="1"/>
        <v>1</v>
      </c>
      <c r="G188" s="54" t="str">
        <f ca="1"/>
        <v>ＰＴＰ</v>
      </c>
      <c r="H188" s="54" t="str">
        <f ca="1"/>
        <v>１００Ｔ</v>
      </c>
      <c r="I188" s="54" t="str">
        <f ca="1"/>
        <v>錠</v>
      </c>
      <c r="J188" s="54" t="str">
        <f ca="1">IF(F188="","",OFFSET(分類!$B$29,MATCH(F188,分類!$A$30:$A$46,0),0))</f>
        <v>調剤棚</v>
      </c>
      <c r="K188" s="69"/>
      <c r="L188" s="69">
        <v>184</v>
      </c>
      <c r="M188" s="54">
        <f t="shared" si="4"/>
        <v>184</v>
      </c>
    </row>
    <row r="189" spans="2:13">
      <c r="B189" s="27">
        <f t="shared" si="5"/>
        <v>185</v>
      </c>
      <c r="C189" s="27">
        <f ca="1"/>
        <v>436</v>
      </c>
      <c r="D189" s="27" t="str">
        <f ca="1"/>
        <v>ニューレプチル錠１０ｍｇ</v>
      </c>
      <c r="E189" s="27">
        <f ca="1"/>
        <v>0</v>
      </c>
      <c r="F189" s="54">
        <f ca="1"/>
        <v>25</v>
      </c>
      <c r="G189" s="54" t="str">
        <f ca="1"/>
        <v>バラ</v>
      </c>
      <c r="H189" s="54" t="str">
        <f ca="1"/>
        <v>１０００Ｔ</v>
      </c>
      <c r="I189" s="54" t="str">
        <f ca="1"/>
        <v>錠</v>
      </c>
      <c r="J189" s="54" t="str">
        <f ca="1">IF(F189="","",OFFSET(分類!$B$29,MATCH(F189,分類!$A$30:$A$46,0),0))</f>
        <v>調剤棚　＆　普通薬バラ</v>
      </c>
      <c r="K189" s="69"/>
      <c r="L189" s="69">
        <v>185</v>
      </c>
      <c r="M189" s="54">
        <f t="shared" si="4"/>
        <v>185</v>
      </c>
    </row>
    <row r="190" spans="2:13">
      <c r="B190" s="27">
        <f t="shared" si="5"/>
        <v>186</v>
      </c>
      <c r="C190" s="27">
        <f ca="1"/>
        <v>437</v>
      </c>
      <c r="D190" s="27" t="str">
        <f ca="1"/>
        <v>ニューレプチル錠５ｍｇ</v>
      </c>
      <c r="E190" s="27">
        <f ca="1"/>
        <v>0</v>
      </c>
      <c r="F190" s="54">
        <f ca="1"/>
        <v>25</v>
      </c>
      <c r="G190" s="54" t="str">
        <f ca="1"/>
        <v>バラ</v>
      </c>
      <c r="H190" s="54" t="str">
        <f ca="1"/>
        <v>１０００Ｔ</v>
      </c>
      <c r="I190" s="54" t="str">
        <f ca="1"/>
        <v>錠</v>
      </c>
      <c r="J190" s="54" t="str">
        <f ca="1">IF(F190="","",OFFSET(分類!$B$29,MATCH(F190,分類!$A$30:$A$46,0),0))</f>
        <v>調剤棚　＆　普通薬バラ</v>
      </c>
      <c r="K190" s="69"/>
      <c r="L190" s="69">
        <v>186</v>
      </c>
      <c r="M190" s="54">
        <f t="shared" si="4"/>
        <v>186</v>
      </c>
    </row>
    <row r="191" spans="2:13">
      <c r="B191" s="27">
        <f t="shared" si="5"/>
        <v>187</v>
      </c>
      <c r="C191" s="27">
        <f ca="1"/>
        <v>439</v>
      </c>
      <c r="D191" s="27" t="str">
        <f ca="1"/>
        <v>ニルバジピン錠４ｍｇ「サワイ」</v>
      </c>
      <c r="E191" s="27">
        <f ca="1"/>
        <v>2</v>
      </c>
      <c r="F191" s="54">
        <f ca="1"/>
        <v>6</v>
      </c>
      <c r="G191" s="54" t="str">
        <f ca="1"/>
        <v>ＰＴＰ</v>
      </c>
      <c r="H191" s="54" t="str">
        <f ca="1"/>
        <v>１００Ｔ</v>
      </c>
      <c r="I191" s="54" t="str">
        <f ca="1"/>
        <v>錠</v>
      </c>
      <c r="J191" s="54" t="str">
        <f ca="1">IF(F191="","",OFFSET(分類!$B$29,MATCH(F191,分類!$A$30:$A$46,0),0))</f>
        <v>劇薬バラ</v>
      </c>
      <c r="K191" s="69"/>
      <c r="L191" s="69">
        <v>187</v>
      </c>
      <c r="M191" s="54">
        <f t="shared" si="4"/>
        <v>187</v>
      </c>
    </row>
    <row r="192" spans="2:13">
      <c r="B192" s="27">
        <f t="shared" si="5"/>
        <v>188</v>
      </c>
      <c r="C192" s="27">
        <f ca="1"/>
        <v>441</v>
      </c>
      <c r="D192" s="27" t="str">
        <f ca="1"/>
        <v>ネオドパストン配合錠Ｌ１００</v>
      </c>
      <c r="E192" s="27">
        <f ca="1"/>
        <v>0</v>
      </c>
      <c r="F192" s="54">
        <f ca="1"/>
        <v>25</v>
      </c>
      <c r="G192" s="54" t="str">
        <f ca="1"/>
        <v>バラ</v>
      </c>
      <c r="H192" s="54" t="str">
        <f ca="1"/>
        <v>１０００Ｔ</v>
      </c>
      <c r="I192" s="54" t="str">
        <f ca="1"/>
        <v>錠</v>
      </c>
      <c r="J192" s="54" t="str">
        <f ca="1">IF(F192="","",OFFSET(分類!$B$29,MATCH(F192,分類!$A$30:$A$46,0),0))</f>
        <v>調剤棚　＆　普通薬バラ</v>
      </c>
      <c r="K192" s="69"/>
      <c r="L192" s="69">
        <v>188</v>
      </c>
      <c r="M192" s="54">
        <f t="shared" si="4"/>
        <v>188</v>
      </c>
    </row>
    <row r="193" spans="2:13">
      <c r="B193" s="27">
        <f t="shared" si="5"/>
        <v>189</v>
      </c>
      <c r="C193" s="27">
        <f ca="1"/>
        <v>445</v>
      </c>
      <c r="D193" s="27" t="str">
        <f ca="1"/>
        <v>ノイロトロピン錠４単位</v>
      </c>
      <c r="E193" s="27">
        <f ca="1"/>
        <v>0</v>
      </c>
      <c r="F193" s="54">
        <f ca="1"/>
        <v>25</v>
      </c>
      <c r="G193" s="54" t="str">
        <f ca="1"/>
        <v>ＰＴＰ</v>
      </c>
      <c r="H193" s="54" t="str">
        <f ca="1"/>
        <v>１０００Ｔ</v>
      </c>
      <c r="I193" s="54" t="str">
        <f ca="1"/>
        <v>錠</v>
      </c>
      <c r="J193" s="54" t="str">
        <f ca="1">IF(F193="","",OFFSET(分類!$B$29,MATCH(F193,分類!$A$30:$A$46,0),0))</f>
        <v>調剤棚　＆　普通薬バラ</v>
      </c>
      <c r="K193" s="69"/>
      <c r="L193" s="69">
        <v>189</v>
      </c>
      <c r="M193" s="54">
        <f t="shared" si="4"/>
        <v>189</v>
      </c>
    </row>
    <row r="194" spans="2:13">
      <c r="B194" s="27">
        <f t="shared" si="5"/>
        <v>190</v>
      </c>
      <c r="C194" s="27">
        <f ca="1"/>
        <v>446</v>
      </c>
      <c r="D194" s="27" t="str">
        <f ca="1"/>
        <v>ノイロビタン配合錠</v>
      </c>
      <c r="E194" s="27">
        <f ca="1"/>
        <v>0</v>
      </c>
      <c r="F194" s="54">
        <f ca="1"/>
        <v>25</v>
      </c>
      <c r="G194" s="54" t="str">
        <f ca="1"/>
        <v>ＰＴＰ</v>
      </c>
      <c r="H194" s="54" t="str">
        <f ca="1"/>
        <v>５００Ｔ</v>
      </c>
      <c r="I194" s="54" t="str">
        <f ca="1"/>
        <v>錠</v>
      </c>
      <c r="J194" s="54" t="str">
        <f ca="1">IF(F194="","",OFFSET(分類!$B$29,MATCH(F194,分類!$A$30:$A$46,0),0))</f>
        <v>調剤棚　＆　普通薬バラ</v>
      </c>
      <c r="K194" s="69"/>
      <c r="L194" s="69">
        <v>190</v>
      </c>
      <c r="M194" s="54">
        <f t="shared" si="4"/>
        <v>190</v>
      </c>
    </row>
    <row r="195" spans="2:13">
      <c r="B195" s="27">
        <f t="shared" si="5"/>
        <v>191</v>
      </c>
      <c r="C195" s="27">
        <f ca="1"/>
        <v>447</v>
      </c>
      <c r="D195" s="27" t="str">
        <f ca="1"/>
        <v>ノイロビタン配合錠</v>
      </c>
      <c r="E195" s="27">
        <f ca="1"/>
        <v>0</v>
      </c>
      <c r="F195" s="54">
        <f ca="1"/>
        <v>25</v>
      </c>
      <c r="G195" s="54" t="str">
        <f ca="1"/>
        <v>バラ</v>
      </c>
      <c r="H195" s="54" t="str">
        <f ca="1"/>
        <v>１０００Ｔ</v>
      </c>
      <c r="I195" s="54" t="str">
        <f ca="1"/>
        <v>錠</v>
      </c>
      <c r="J195" s="54" t="str">
        <f ca="1">IF(F195="","",OFFSET(分類!$B$29,MATCH(F195,分類!$A$30:$A$46,0),0))</f>
        <v>調剤棚　＆　普通薬バラ</v>
      </c>
      <c r="K195" s="69"/>
      <c r="L195" s="69">
        <v>191</v>
      </c>
      <c r="M195" s="54">
        <f t="shared" si="4"/>
        <v>191</v>
      </c>
    </row>
    <row r="196" spans="2:13">
      <c r="B196" s="27">
        <f t="shared" si="5"/>
        <v>192</v>
      </c>
      <c r="C196" s="27">
        <f ca="1"/>
        <v>452</v>
      </c>
      <c r="D196" s="27" t="str">
        <f ca="1"/>
        <v>ハイペン錠２００ｍｇ</v>
      </c>
      <c r="E196" s="27">
        <f ca="1"/>
        <v>2</v>
      </c>
      <c r="F196" s="54">
        <f ca="1"/>
        <v>26</v>
      </c>
      <c r="G196" s="54" t="str">
        <f ca="1"/>
        <v>ＰＴＰ</v>
      </c>
      <c r="H196" s="54" t="str">
        <f ca="1"/>
        <v>１００Ｔ</v>
      </c>
      <c r="I196" s="54" t="str">
        <f ca="1"/>
        <v>錠</v>
      </c>
      <c r="J196" s="54" t="str">
        <f ca="1">IF(F196="","",OFFSET(分類!$B$29,MATCH(F196,分類!$A$30:$A$46,0),0))</f>
        <v>調剤棚　＆　劇薬バラ</v>
      </c>
      <c r="K196" s="69"/>
      <c r="L196" s="69">
        <v>192</v>
      </c>
      <c r="M196" s="54">
        <f t="shared" si="4"/>
        <v>192</v>
      </c>
    </row>
    <row r="197" spans="2:13">
      <c r="B197" s="27">
        <f t="shared" si="5"/>
        <v>193</v>
      </c>
      <c r="C197" s="27">
        <f ca="1"/>
        <v>453</v>
      </c>
      <c r="D197" s="27" t="str">
        <f ca="1"/>
        <v>パキシルＣＲ錠１２．５ｍｇ</v>
      </c>
      <c r="E197" s="27">
        <f ca="1"/>
        <v>2</v>
      </c>
      <c r="F197" s="54">
        <f ca="1"/>
        <v>26</v>
      </c>
      <c r="G197" s="54" t="str">
        <f ca="1"/>
        <v>ＰＴＰ</v>
      </c>
      <c r="H197" s="54" t="str">
        <f ca="1"/>
        <v>１４０Ｔ</v>
      </c>
      <c r="I197" s="54" t="str">
        <f ca="1"/>
        <v>錠</v>
      </c>
      <c r="J197" s="54" t="str">
        <f ca="1">IF(F197="","",OFFSET(分類!$B$29,MATCH(F197,分類!$A$30:$A$46,0),0))</f>
        <v>調剤棚　＆　劇薬バラ</v>
      </c>
      <c r="K197" s="69"/>
      <c r="L197" s="69">
        <v>193</v>
      </c>
      <c r="M197" s="54">
        <f t="shared" si="4"/>
        <v>193</v>
      </c>
    </row>
    <row r="198" spans="2:13">
      <c r="B198" s="27">
        <f t="shared" si="5"/>
        <v>194</v>
      </c>
      <c r="C198" s="27">
        <f ca="1"/>
        <v>454</v>
      </c>
      <c r="D198" s="27" t="str">
        <f ca="1"/>
        <v>パキシルＣＲ錠１２．５ｍｇ</v>
      </c>
      <c r="E198" s="27">
        <f ca="1"/>
        <v>2</v>
      </c>
      <c r="F198" s="54">
        <f ca="1"/>
        <v>26</v>
      </c>
      <c r="G198" s="54" t="str">
        <f ca="1"/>
        <v>バラ</v>
      </c>
      <c r="H198" s="54" t="str">
        <f ca="1"/>
        <v>５００Ｔ</v>
      </c>
      <c r="I198" s="54" t="str">
        <f ca="1"/>
        <v>錠</v>
      </c>
      <c r="J198" s="54" t="str">
        <f ca="1">IF(F198="","",OFFSET(分類!$B$29,MATCH(F198,分類!$A$30:$A$46,0),0))</f>
        <v>調剤棚　＆　劇薬バラ</v>
      </c>
      <c r="K198" s="69"/>
      <c r="L198" s="69">
        <v>194</v>
      </c>
      <c r="M198" s="54">
        <f t="shared" ref="M198:M261" si="6">SUM(K198:L198)</f>
        <v>194</v>
      </c>
    </row>
    <row r="199" spans="2:13">
      <c r="B199" s="27">
        <f t="shared" ref="B199:B262" si="7">B198+1</f>
        <v>195</v>
      </c>
      <c r="C199" s="27">
        <f ca="1"/>
        <v>455</v>
      </c>
      <c r="D199" s="27" t="str">
        <f ca="1"/>
        <v>バッサミン配合錠Ａ８１</v>
      </c>
      <c r="E199" s="27">
        <f ca="1"/>
        <v>0</v>
      </c>
      <c r="F199" s="54">
        <f ca="1"/>
        <v>25</v>
      </c>
      <c r="G199" s="54" t="str">
        <f ca="1"/>
        <v>ＰＴＰ</v>
      </c>
      <c r="H199" s="54" t="str">
        <f ca="1"/>
        <v>１０００Ｔ</v>
      </c>
      <c r="I199" s="54" t="str">
        <f ca="1"/>
        <v>錠</v>
      </c>
      <c r="J199" s="54" t="str">
        <f ca="1">IF(F199="","",OFFSET(分類!$B$29,MATCH(F199,分類!$A$30:$A$46,0),0))</f>
        <v>調剤棚　＆　普通薬バラ</v>
      </c>
      <c r="K199" s="69"/>
      <c r="L199" s="69">
        <v>195</v>
      </c>
      <c r="M199" s="54">
        <f t="shared" si="6"/>
        <v>195</v>
      </c>
    </row>
    <row r="200" spans="2:13">
      <c r="B200" s="27">
        <f t="shared" si="7"/>
        <v>196</v>
      </c>
      <c r="C200" s="27">
        <f ca="1"/>
        <v>456</v>
      </c>
      <c r="D200" s="27" t="str">
        <f ca="1"/>
        <v>バナン錠１００ｍｇ（第一三共）</v>
      </c>
      <c r="E200" s="27">
        <f ca="1"/>
        <v>0</v>
      </c>
      <c r="F200" s="54">
        <f ca="1"/>
        <v>1</v>
      </c>
      <c r="G200" s="54" t="str">
        <f ca="1"/>
        <v>ＰＴＰ</v>
      </c>
      <c r="H200" s="54" t="str">
        <f ca="1"/>
        <v>１００Ｔ</v>
      </c>
      <c r="I200" s="54" t="str">
        <f ca="1"/>
        <v>錠</v>
      </c>
      <c r="J200" s="54" t="str">
        <f ca="1">IF(F200="","",OFFSET(分類!$B$29,MATCH(F200,分類!$A$30:$A$46,0),0))</f>
        <v>調剤棚</v>
      </c>
      <c r="K200" s="69"/>
      <c r="L200" s="69">
        <v>196</v>
      </c>
      <c r="M200" s="54">
        <f t="shared" si="6"/>
        <v>196</v>
      </c>
    </row>
    <row r="201" spans="2:13">
      <c r="B201" s="27">
        <f t="shared" si="7"/>
        <v>197</v>
      </c>
      <c r="C201" s="27">
        <f ca="1"/>
        <v>458</v>
      </c>
      <c r="D201" s="27" t="str">
        <f ca="1"/>
        <v>バラシクロビル錠５００ｍｇ「ＳＰＫＫ」</v>
      </c>
      <c r="E201" s="27">
        <f ca="1"/>
        <v>0</v>
      </c>
      <c r="F201" s="54">
        <f ca="1"/>
        <v>1</v>
      </c>
      <c r="G201" s="54" t="str">
        <f ca="1"/>
        <v>ＰＴＰ</v>
      </c>
      <c r="H201" s="54" t="str">
        <f ca="1"/>
        <v>４２Ｔ</v>
      </c>
      <c r="I201" s="54" t="str">
        <f ca="1"/>
        <v>錠</v>
      </c>
      <c r="J201" s="54" t="str">
        <f ca="1">IF(F201="","",OFFSET(分類!$B$29,MATCH(F201,分類!$A$30:$A$46,0),0))</f>
        <v>調剤棚</v>
      </c>
      <c r="K201" s="69"/>
      <c r="L201" s="69">
        <v>197</v>
      </c>
      <c r="M201" s="54">
        <f t="shared" si="6"/>
        <v>197</v>
      </c>
    </row>
    <row r="202" spans="2:13">
      <c r="B202" s="27">
        <f t="shared" si="7"/>
        <v>198</v>
      </c>
      <c r="C202" s="27">
        <f ca="1"/>
        <v>461</v>
      </c>
      <c r="D202" s="27" t="str">
        <f ca="1"/>
        <v>バルプロ酸ナトリウム錠２００ｍｇ「ＤＳＰ」</v>
      </c>
      <c r="E202" s="27">
        <f ca="1"/>
        <v>0</v>
      </c>
      <c r="F202" s="54">
        <f ca="1"/>
        <v>25</v>
      </c>
      <c r="G202" s="54" t="str">
        <f ca="1"/>
        <v>バラ</v>
      </c>
      <c r="H202" s="54" t="str">
        <f ca="1"/>
        <v>５００Ｔ</v>
      </c>
      <c r="I202" s="54" t="str">
        <f ca="1"/>
        <v>錠</v>
      </c>
      <c r="J202" s="54" t="str">
        <f ca="1">IF(F202="","",OFFSET(分類!$B$29,MATCH(F202,分類!$A$30:$A$46,0),0))</f>
        <v>調剤棚　＆　普通薬バラ</v>
      </c>
      <c r="K202" s="69"/>
      <c r="L202" s="69">
        <v>198</v>
      </c>
      <c r="M202" s="54">
        <f t="shared" si="6"/>
        <v>198</v>
      </c>
    </row>
    <row r="203" spans="2:13">
      <c r="B203" s="27">
        <f t="shared" si="7"/>
        <v>199</v>
      </c>
      <c r="C203" s="27">
        <f ca="1"/>
        <v>463</v>
      </c>
      <c r="D203" s="27" t="str">
        <f ca="1"/>
        <v>パロキセチンＯＤ錠１０ｍｇ「トーワ」</v>
      </c>
      <c r="E203" s="27">
        <f ca="1"/>
        <v>2</v>
      </c>
      <c r="F203" s="54">
        <f ca="1"/>
        <v>26</v>
      </c>
      <c r="G203" s="54" t="str">
        <f ca="1"/>
        <v>ＰＴＰ</v>
      </c>
      <c r="H203" s="54" t="str">
        <f ca="1"/>
        <v>１００Ｔ</v>
      </c>
      <c r="I203" s="54" t="str">
        <f ca="1"/>
        <v>錠</v>
      </c>
      <c r="J203" s="54" t="str">
        <f ca="1">IF(F203="","",OFFSET(分類!$B$29,MATCH(F203,分類!$A$30:$A$46,0),0))</f>
        <v>調剤棚　＆　劇薬バラ</v>
      </c>
      <c r="K203" s="69"/>
      <c r="L203" s="69">
        <v>199</v>
      </c>
      <c r="M203" s="54">
        <f t="shared" si="6"/>
        <v>199</v>
      </c>
    </row>
    <row r="204" spans="2:13">
      <c r="B204" s="27">
        <f t="shared" si="7"/>
        <v>200</v>
      </c>
      <c r="C204" s="27">
        <f ca="1"/>
        <v>464</v>
      </c>
      <c r="D204" s="27" t="str">
        <f ca="1"/>
        <v>パロキセチンＯＤ錠１０ｍｇ「トーワ」</v>
      </c>
      <c r="E204" s="27">
        <f ca="1"/>
        <v>2</v>
      </c>
      <c r="F204" s="54">
        <f ca="1"/>
        <v>26</v>
      </c>
      <c r="G204" s="54" t="str">
        <f ca="1"/>
        <v>バラ</v>
      </c>
      <c r="H204" s="54" t="str">
        <f ca="1"/>
        <v>３００Ｔ</v>
      </c>
      <c r="I204" s="54" t="str">
        <f ca="1"/>
        <v>錠</v>
      </c>
      <c r="J204" s="54" t="str">
        <f ca="1">IF(F204="","",OFFSET(分類!$B$29,MATCH(F204,分類!$A$30:$A$46,0),0))</f>
        <v>調剤棚　＆　劇薬バラ</v>
      </c>
      <c r="K204" s="69"/>
      <c r="L204" s="69">
        <v>200</v>
      </c>
      <c r="M204" s="54">
        <f t="shared" si="6"/>
        <v>200</v>
      </c>
    </row>
    <row r="205" spans="2:13">
      <c r="B205" s="27">
        <f t="shared" si="7"/>
        <v>201</v>
      </c>
      <c r="C205" s="27">
        <f ca="1"/>
        <v>466</v>
      </c>
      <c r="D205" s="27" t="str">
        <f ca="1"/>
        <v>ハロペリドール錠０．７５ｍｇ「アメル」　　　　　　</v>
      </c>
      <c r="E205" s="27">
        <f ca="1"/>
        <v>2</v>
      </c>
      <c r="F205" s="54">
        <f ca="1"/>
        <v>26</v>
      </c>
      <c r="G205" s="54" t="str">
        <f ca="1"/>
        <v>バラ</v>
      </c>
      <c r="H205" s="54" t="str">
        <f ca="1"/>
        <v>１０００Ｔ</v>
      </c>
      <c r="I205" s="54" t="str">
        <f ca="1"/>
        <v>錠</v>
      </c>
      <c r="J205" s="54" t="str">
        <f ca="1">IF(F205="","",OFFSET(分類!$B$29,MATCH(F205,分類!$A$30:$A$46,0),0))</f>
        <v>調剤棚　＆　劇薬バラ</v>
      </c>
      <c r="K205" s="69"/>
      <c r="L205" s="69">
        <v>201</v>
      </c>
      <c r="M205" s="54">
        <f t="shared" si="6"/>
        <v>201</v>
      </c>
    </row>
    <row r="206" spans="2:13">
      <c r="B206" s="27">
        <f t="shared" si="7"/>
        <v>202</v>
      </c>
      <c r="C206" s="27">
        <f ca="1"/>
        <v>467</v>
      </c>
      <c r="D206" s="27" t="str">
        <f ca="1"/>
        <v>ハロペリドール錠１．５ｍｇ「アメル」　　　　　　　</v>
      </c>
      <c r="E206" s="27">
        <f ca="1"/>
        <v>2</v>
      </c>
      <c r="F206" s="54">
        <f ca="1"/>
        <v>26</v>
      </c>
      <c r="G206" s="54" t="str">
        <f ca="1"/>
        <v>バラ</v>
      </c>
      <c r="H206" s="54" t="str">
        <f ca="1"/>
        <v>１０００Ｔ</v>
      </c>
      <c r="I206" s="54" t="str">
        <f ca="1"/>
        <v>錠</v>
      </c>
      <c r="J206" s="54" t="str">
        <f ca="1">IF(F206="","",OFFSET(分類!$B$29,MATCH(F206,分類!$A$30:$A$46,0),0))</f>
        <v>調剤棚　＆　劇薬バラ</v>
      </c>
      <c r="K206" s="69"/>
      <c r="L206" s="69">
        <v>202</v>
      </c>
      <c r="M206" s="54">
        <f t="shared" si="6"/>
        <v>202</v>
      </c>
    </row>
    <row r="207" spans="2:13">
      <c r="B207" s="27">
        <f t="shared" si="7"/>
        <v>203</v>
      </c>
      <c r="C207" s="27">
        <f ca="1"/>
        <v>468</v>
      </c>
      <c r="D207" s="27" t="str">
        <f ca="1"/>
        <v>ハロペリドール錠１ｍｇ「アメル」</v>
      </c>
      <c r="E207" s="27">
        <f ca="1"/>
        <v>2</v>
      </c>
      <c r="F207" s="54">
        <f ca="1"/>
        <v>26</v>
      </c>
      <c r="G207" s="54" t="str">
        <f ca="1"/>
        <v>ＰＴＰ</v>
      </c>
      <c r="H207" s="54" t="str">
        <f ca="1"/>
        <v>１００Ｔ</v>
      </c>
      <c r="I207" s="54" t="str">
        <f ca="1"/>
        <v>錠</v>
      </c>
      <c r="J207" s="54" t="str">
        <f ca="1">IF(F207="","",OFFSET(分類!$B$29,MATCH(F207,分類!$A$30:$A$46,0),0))</f>
        <v>調剤棚　＆　劇薬バラ</v>
      </c>
      <c r="K207" s="69"/>
      <c r="L207" s="69">
        <v>203</v>
      </c>
      <c r="M207" s="54">
        <f t="shared" si="6"/>
        <v>203</v>
      </c>
    </row>
    <row r="208" spans="2:13">
      <c r="B208" s="27">
        <f t="shared" si="7"/>
        <v>204</v>
      </c>
      <c r="C208" s="27">
        <f ca="1"/>
        <v>469</v>
      </c>
      <c r="D208" s="27" t="str">
        <f ca="1"/>
        <v>ハロペリドール錠１ｍｇ「アメル」</v>
      </c>
      <c r="E208" s="27">
        <f ca="1"/>
        <v>2</v>
      </c>
      <c r="F208" s="54">
        <f ca="1"/>
        <v>26</v>
      </c>
      <c r="G208" s="54" t="str">
        <f ca="1"/>
        <v>バラ</v>
      </c>
      <c r="H208" s="54" t="str">
        <f ca="1"/>
        <v>１０００Ｔ</v>
      </c>
      <c r="I208" s="54" t="str">
        <f ca="1"/>
        <v>錠</v>
      </c>
      <c r="J208" s="54" t="str">
        <f ca="1">IF(F208="","",OFFSET(分類!$B$29,MATCH(F208,分類!$A$30:$A$46,0),0))</f>
        <v>調剤棚　＆　劇薬バラ</v>
      </c>
      <c r="K208" s="69"/>
      <c r="L208" s="69">
        <v>204</v>
      </c>
      <c r="M208" s="54">
        <f t="shared" si="6"/>
        <v>204</v>
      </c>
    </row>
    <row r="209" spans="2:13">
      <c r="B209" s="27">
        <f t="shared" si="7"/>
        <v>205</v>
      </c>
      <c r="C209" s="27">
        <f ca="1"/>
        <v>470</v>
      </c>
      <c r="D209" s="27" t="str">
        <f ca="1"/>
        <v>ハロペリドール錠３ｍｇ「アメル」</v>
      </c>
      <c r="E209" s="27">
        <f ca="1"/>
        <v>2</v>
      </c>
      <c r="F209" s="54">
        <f ca="1"/>
        <v>26</v>
      </c>
      <c r="G209" s="54" t="str">
        <f ca="1"/>
        <v>バラ</v>
      </c>
      <c r="H209" s="54" t="str">
        <f ca="1"/>
        <v>１０００Ｔ</v>
      </c>
      <c r="I209" s="54" t="str">
        <f ca="1"/>
        <v>錠</v>
      </c>
      <c r="J209" s="54" t="str">
        <f ca="1">IF(F209="","",OFFSET(分類!$B$29,MATCH(F209,分類!$A$30:$A$46,0),0))</f>
        <v>調剤棚　＆　劇薬バラ</v>
      </c>
      <c r="K209" s="69"/>
      <c r="L209" s="69">
        <v>205</v>
      </c>
      <c r="M209" s="54">
        <f t="shared" si="6"/>
        <v>205</v>
      </c>
    </row>
    <row r="210" spans="2:13">
      <c r="B210" s="27">
        <f t="shared" si="7"/>
        <v>206</v>
      </c>
      <c r="C210" s="27">
        <f ca="1"/>
        <v>476</v>
      </c>
      <c r="D210" s="27" t="str">
        <f ca="1"/>
        <v>パントシン錠２００</v>
      </c>
      <c r="E210" s="27">
        <f ca="1"/>
        <v>0</v>
      </c>
      <c r="F210" s="54">
        <f ca="1"/>
        <v>25</v>
      </c>
      <c r="G210" s="54" t="str">
        <f ca="1"/>
        <v>ＰＴＰ</v>
      </c>
      <c r="H210" s="54" t="str">
        <f ca="1"/>
        <v>１００Ｔ</v>
      </c>
      <c r="I210" s="54" t="str">
        <f ca="1"/>
        <v>錠</v>
      </c>
      <c r="J210" s="54" t="str">
        <f ca="1">IF(F210="","",OFFSET(分類!$B$29,MATCH(F210,分類!$A$30:$A$46,0),0))</f>
        <v>調剤棚　＆　普通薬バラ</v>
      </c>
      <c r="K210" s="69"/>
      <c r="L210" s="69">
        <v>206</v>
      </c>
      <c r="M210" s="54">
        <f t="shared" si="6"/>
        <v>206</v>
      </c>
    </row>
    <row r="211" spans="2:13">
      <c r="B211" s="27">
        <f t="shared" si="7"/>
        <v>207</v>
      </c>
      <c r="C211" s="27">
        <f ca="1"/>
        <v>477</v>
      </c>
      <c r="D211" s="27" t="str">
        <f ca="1"/>
        <v>パントシン錠２００</v>
      </c>
      <c r="E211" s="27">
        <f ca="1"/>
        <v>0</v>
      </c>
      <c r="F211" s="54">
        <f ca="1"/>
        <v>25</v>
      </c>
      <c r="G211" s="54" t="str">
        <f ca="1"/>
        <v>バラ</v>
      </c>
      <c r="H211" s="54" t="str">
        <f ca="1"/>
        <v>５００Ｔ</v>
      </c>
      <c r="I211" s="54" t="str">
        <f ca="1"/>
        <v>錠</v>
      </c>
      <c r="J211" s="54" t="str">
        <f ca="1">IF(F211="","",OFFSET(分類!$B$29,MATCH(F211,分類!$A$30:$A$46,0),0))</f>
        <v>調剤棚　＆　普通薬バラ</v>
      </c>
      <c r="K211" s="69"/>
      <c r="L211" s="69">
        <v>207</v>
      </c>
      <c r="M211" s="54">
        <f t="shared" si="6"/>
        <v>207</v>
      </c>
    </row>
    <row r="212" spans="2:13">
      <c r="B212" s="27">
        <f t="shared" si="7"/>
        <v>208</v>
      </c>
      <c r="C212" s="27">
        <f ca="1"/>
        <v>482</v>
      </c>
      <c r="D212" s="27" t="str">
        <f ca="1"/>
        <v>ビオフェルミン錠剤</v>
      </c>
      <c r="E212" s="27">
        <f ca="1"/>
        <v>0</v>
      </c>
      <c r="F212" s="54">
        <f ca="1"/>
        <v>25</v>
      </c>
      <c r="G212" s="54" t="str">
        <f ca="1"/>
        <v>ＰＴＰ</v>
      </c>
      <c r="H212" s="54" t="str">
        <f ca="1"/>
        <v>６３０Ｔ</v>
      </c>
      <c r="I212" s="54" t="str">
        <f ca="1"/>
        <v>錠</v>
      </c>
      <c r="J212" s="54" t="str">
        <f ca="1">IF(F212="","",OFFSET(分類!$B$29,MATCH(F212,分類!$A$30:$A$46,0),0))</f>
        <v>調剤棚　＆　普通薬バラ</v>
      </c>
      <c r="K212" s="69"/>
      <c r="L212" s="69">
        <v>208</v>
      </c>
      <c r="M212" s="54">
        <f t="shared" si="6"/>
        <v>208</v>
      </c>
    </row>
    <row r="213" spans="2:13">
      <c r="B213" s="27">
        <f t="shared" si="7"/>
        <v>209</v>
      </c>
      <c r="C213" s="27">
        <f ca="1"/>
        <v>483</v>
      </c>
      <c r="D213" s="27" t="str">
        <f ca="1"/>
        <v>ビオフェルミン錠剤</v>
      </c>
      <c r="E213" s="27">
        <f ca="1"/>
        <v>0</v>
      </c>
      <c r="F213" s="54">
        <f ca="1"/>
        <v>25</v>
      </c>
      <c r="G213" s="54" t="str">
        <f ca="1"/>
        <v>バラ</v>
      </c>
      <c r="H213" s="54" t="str">
        <f ca="1"/>
        <v>１０００Ｔ</v>
      </c>
      <c r="I213" s="54" t="str">
        <f ca="1"/>
        <v>錠</v>
      </c>
      <c r="J213" s="54" t="str">
        <f ca="1">IF(F213="","",OFFSET(分類!$B$29,MATCH(F213,分類!$A$30:$A$46,0),0))</f>
        <v>調剤棚　＆　普通薬バラ</v>
      </c>
      <c r="K213" s="69"/>
      <c r="L213" s="69">
        <v>209</v>
      </c>
      <c r="M213" s="54">
        <f t="shared" si="6"/>
        <v>209</v>
      </c>
    </row>
    <row r="214" spans="2:13">
      <c r="B214" s="27">
        <f t="shared" si="7"/>
        <v>210</v>
      </c>
      <c r="C214" s="27">
        <f ca="1"/>
        <v>488</v>
      </c>
      <c r="D214" s="27" t="str">
        <f ca="1"/>
        <v>ピコスルファートナトリウム錠２．５ｍｇ「イワキ」</v>
      </c>
      <c r="E214" s="27">
        <f ca="1"/>
        <v>0</v>
      </c>
      <c r="F214" s="54">
        <f ca="1"/>
        <v>25</v>
      </c>
      <c r="G214" s="54" t="str">
        <f ca="1"/>
        <v>ＰＴＰ</v>
      </c>
      <c r="H214" s="54" t="str">
        <f ca="1"/>
        <v>１０００Ｔ</v>
      </c>
      <c r="I214" s="54" t="str">
        <f ca="1"/>
        <v>錠</v>
      </c>
      <c r="J214" s="54" t="str">
        <f ca="1">IF(F214="","",OFFSET(分類!$B$29,MATCH(F214,分類!$A$30:$A$46,0),0))</f>
        <v>調剤棚　＆　普通薬バラ</v>
      </c>
      <c r="K214" s="69"/>
      <c r="L214" s="69">
        <v>210</v>
      </c>
      <c r="M214" s="54">
        <f t="shared" si="6"/>
        <v>210</v>
      </c>
    </row>
    <row r="215" spans="2:13">
      <c r="B215" s="27">
        <f t="shared" si="7"/>
        <v>211</v>
      </c>
      <c r="C215" s="27">
        <f ca="1"/>
        <v>489</v>
      </c>
      <c r="D215" s="27" t="str">
        <f ca="1"/>
        <v>ピコスルファートナトリウム錠２．５ｍｇ「イワキ」</v>
      </c>
      <c r="E215" s="27">
        <f ca="1"/>
        <v>0</v>
      </c>
      <c r="F215" s="54">
        <f ca="1"/>
        <v>25</v>
      </c>
      <c r="G215" s="54" t="str">
        <f ca="1"/>
        <v>バラ</v>
      </c>
      <c r="H215" s="54" t="str">
        <f ca="1"/>
        <v>１０００Ｔ</v>
      </c>
      <c r="I215" s="54" t="str">
        <f ca="1"/>
        <v>錠</v>
      </c>
      <c r="J215" s="54" t="str">
        <f ca="1">IF(F215="","",OFFSET(分類!$B$29,MATCH(F215,分類!$A$30:$A$46,0),0))</f>
        <v>調剤棚　＆　普通薬バラ</v>
      </c>
      <c r="K215" s="69"/>
      <c r="L215" s="69">
        <v>211</v>
      </c>
      <c r="M215" s="54">
        <f t="shared" si="6"/>
        <v>211</v>
      </c>
    </row>
    <row r="216" spans="2:13">
      <c r="B216" s="27">
        <f t="shared" si="7"/>
        <v>212</v>
      </c>
      <c r="C216" s="27">
        <f ca="1"/>
        <v>493</v>
      </c>
      <c r="D216" s="27" t="str">
        <f ca="1"/>
        <v>ビソプロロールフマル酸塩錠０．６２５ｍｇ「トーワ」</v>
      </c>
      <c r="E216" s="27">
        <f ca="1"/>
        <v>0</v>
      </c>
      <c r="F216" s="54">
        <f ca="1"/>
        <v>25</v>
      </c>
      <c r="G216" s="54" t="str">
        <f ca="1"/>
        <v>ＰＴＰ</v>
      </c>
      <c r="H216" s="54" t="str">
        <f ca="1"/>
        <v>１００Ｔ</v>
      </c>
      <c r="I216" s="54" t="str">
        <f ca="1"/>
        <v>錠</v>
      </c>
      <c r="J216" s="54" t="str">
        <f ca="1">IF(F216="","",OFFSET(分類!$B$29,MATCH(F216,分類!$A$30:$A$46,0),0))</f>
        <v>調剤棚　＆　普通薬バラ</v>
      </c>
      <c r="K216" s="69"/>
      <c r="L216" s="69">
        <v>212</v>
      </c>
      <c r="M216" s="54">
        <f t="shared" si="6"/>
        <v>212</v>
      </c>
    </row>
    <row r="217" spans="2:13">
      <c r="B217" s="27">
        <f t="shared" si="7"/>
        <v>213</v>
      </c>
      <c r="C217" s="27">
        <f ca="1"/>
        <v>494</v>
      </c>
      <c r="D217" s="27" t="str">
        <f ca="1"/>
        <v>ビソプロロールフマル酸塩錠２．５ｍｇ「トーワ」</v>
      </c>
      <c r="E217" s="27">
        <f ca="1"/>
        <v>0</v>
      </c>
      <c r="F217" s="54">
        <f ca="1"/>
        <v>1</v>
      </c>
      <c r="G217" s="54" t="str">
        <f ca="1"/>
        <v>ＰＴＰ</v>
      </c>
      <c r="H217" s="54" t="str">
        <f ca="1"/>
        <v>１００Ｔ</v>
      </c>
      <c r="I217" s="54" t="str">
        <f ca="1"/>
        <v>錠</v>
      </c>
      <c r="J217" s="54" t="str">
        <f ca="1">IF(F217="","",OFFSET(分類!$B$29,MATCH(F217,分類!$A$30:$A$46,0),0))</f>
        <v>調剤棚</v>
      </c>
      <c r="K217" s="69"/>
      <c r="L217" s="69">
        <v>213</v>
      </c>
      <c r="M217" s="54">
        <f t="shared" si="6"/>
        <v>213</v>
      </c>
    </row>
    <row r="218" spans="2:13">
      <c r="B218" s="27">
        <f t="shared" si="7"/>
        <v>214</v>
      </c>
      <c r="C218" s="27">
        <f ca="1"/>
        <v>496</v>
      </c>
      <c r="D218" s="27" t="str">
        <f ca="1"/>
        <v>ビブラマイシン錠５０ｍｇ</v>
      </c>
      <c r="E218" s="27">
        <f ca="1"/>
        <v>0</v>
      </c>
      <c r="F218" s="54">
        <f ca="1"/>
        <v>1</v>
      </c>
      <c r="G218" s="54" t="str">
        <f ca="1"/>
        <v>ＰＴＰ</v>
      </c>
      <c r="H218" s="54" t="str">
        <f ca="1"/>
        <v>１００Ｔ</v>
      </c>
      <c r="I218" s="54" t="str">
        <f ca="1"/>
        <v>錠</v>
      </c>
      <c r="J218" s="54" t="str">
        <f ca="1">IF(F218="","",OFFSET(分類!$B$29,MATCH(F218,分類!$A$30:$A$46,0),0))</f>
        <v>調剤棚</v>
      </c>
      <c r="K218" s="69"/>
      <c r="L218" s="69">
        <v>214</v>
      </c>
      <c r="M218" s="54">
        <f t="shared" si="6"/>
        <v>214</v>
      </c>
    </row>
    <row r="219" spans="2:13">
      <c r="B219" s="27">
        <f t="shared" si="7"/>
        <v>215</v>
      </c>
      <c r="C219" s="27">
        <f ca="1"/>
        <v>501</v>
      </c>
      <c r="D219" s="27" t="str">
        <f ca="1"/>
        <v>ビペリデン塩酸塩錠１ｍｇ「アメル」</v>
      </c>
      <c r="E219" s="27">
        <f ca="1"/>
        <v>0</v>
      </c>
      <c r="F219" s="54">
        <f ca="1"/>
        <v>25</v>
      </c>
      <c r="G219" s="54" t="str">
        <f ca="1"/>
        <v>ＰＴＰ</v>
      </c>
      <c r="H219" s="54" t="str">
        <f ca="1"/>
        <v>１０００Ｔ</v>
      </c>
      <c r="I219" s="54" t="str">
        <f ca="1"/>
        <v>錠</v>
      </c>
      <c r="J219" s="54" t="str">
        <f ca="1">IF(F219="","",OFFSET(分類!$B$29,MATCH(F219,分類!$A$30:$A$46,0),0))</f>
        <v>調剤棚　＆　普通薬バラ</v>
      </c>
      <c r="K219" s="69"/>
      <c r="L219" s="69">
        <v>215</v>
      </c>
      <c r="M219" s="54">
        <f t="shared" si="6"/>
        <v>215</v>
      </c>
    </row>
    <row r="220" spans="2:13">
      <c r="B220" s="27">
        <f t="shared" si="7"/>
        <v>216</v>
      </c>
      <c r="C220" s="27">
        <f ca="1"/>
        <v>502</v>
      </c>
      <c r="D220" s="27" t="str">
        <f ca="1"/>
        <v>ビペリデン塩酸塩錠１ｍｇ「アメル」</v>
      </c>
      <c r="E220" s="27">
        <f ca="1"/>
        <v>0</v>
      </c>
      <c r="F220" s="54">
        <f ca="1"/>
        <v>25</v>
      </c>
      <c r="G220" s="54" t="str">
        <f ca="1"/>
        <v>バラ</v>
      </c>
      <c r="H220" s="54" t="str">
        <f ca="1"/>
        <v>１０００Ｔ</v>
      </c>
      <c r="I220" s="54" t="str">
        <f ca="1"/>
        <v>錠</v>
      </c>
      <c r="J220" s="54" t="str">
        <f ca="1">IF(F220="","",OFFSET(分類!$B$29,MATCH(F220,分類!$A$30:$A$46,0),0))</f>
        <v>調剤棚　＆　普通薬バラ</v>
      </c>
      <c r="K220" s="69"/>
      <c r="L220" s="69">
        <v>216</v>
      </c>
      <c r="M220" s="54">
        <f t="shared" si="6"/>
        <v>216</v>
      </c>
    </row>
    <row r="221" spans="2:13">
      <c r="B221" s="27">
        <f t="shared" si="7"/>
        <v>217</v>
      </c>
      <c r="C221" s="27">
        <f ca="1"/>
        <v>504</v>
      </c>
      <c r="D221" s="27" t="str">
        <f ca="1"/>
        <v>ヒベルナ糖衣錠２５ｍｇ</v>
      </c>
      <c r="E221" s="27">
        <f ca="1"/>
        <v>0</v>
      </c>
      <c r="F221" s="54">
        <f ca="1"/>
        <v>25</v>
      </c>
      <c r="G221" s="54" t="str">
        <f ca="1"/>
        <v>ＰＴＰ</v>
      </c>
      <c r="H221" s="54" t="str">
        <f ca="1"/>
        <v>１００Ｔ</v>
      </c>
      <c r="I221" s="54" t="str">
        <f ca="1"/>
        <v>錠</v>
      </c>
      <c r="J221" s="54" t="str">
        <f ca="1">IF(F221="","",OFFSET(分類!$B$29,MATCH(F221,分類!$A$30:$A$46,0),0))</f>
        <v>調剤棚　＆　普通薬バラ</v>
      </c>
      <c r="K221" s="69"/>
      <c r="L221" s="69">
        <v>217</v>
      </c>
      <c r="M221" s="54">
        <f t="shared" si="6"/>
        <v>217</v>
      </c>
    </row>
    <row r="222" spans="2:13">
      <c r="B222" s="27">
        <f t="shared" si="7"/>
        <v>218</v>
      </c>
      <c r="C222" s="27">
        <f ca="1"/>
        <v>505</v>
      </c>
      <c r="D222" s="27" t="str">
        <f ca="1"/>
        <v>ヒベルナ糖衣錠２５ｍｇ</v>
      </c>
      <c r="E222" s="27">
        <f ca="1"/>
        <v>0</v>
      </c>
      <c r="F222" s="54">
        <f ca="1"/>
        <v>25</v>
      </c>
      <c r="G222" s="54" t="str">
        <f ca="1"/>
        <v>バラ</v>
      </c>
      <c r="H222" s="54" t="str">
        <f ca="1"/>
        <v>１０００Ｔ</v>
      </c>
      <c r="I222" s="54" t="str">
        <f ca="1"/>
        <v>錠</v>
      </c>
      <c r="J222" s="54" t="str">
        <f ca="1">IF(F222="","",OFFSET(分類!$B$29,MATCH(F222,分類!$A$30:$A$46,0),0))</f>
        <v>調剤棚　＆　普通薬バラ</v>
      </c>
      <c r="K222" s="69"/>
      <c r="L222" s="69">
        <v>218</v>
      </c>
      <c r="M222" s="54">
        <f t="shared" si="6"/>
        <v>218</v>
      </c>
    </row>
    <row r="223" spans="2:13">
      <c r="B223" s="27">
        <f t="shared" si="7"/>
        <v>219</v>
      </c>
      <c r="C223" s="27">
        <f ca="1"/>
        <v>514</v>
      </c>
      <c r="D223" s="27" t="str">
        <f ca="1"/>
        <v>ビラノアＯＤ錠２０ｍｇ</v>
      </c>
      <c r="E223" s="27">
        <f ca="1"/>
        <v>0</v>
      </c>
      <c r="F223" s="54">
        <f ca="1"/>
        <v>25</v>
      </c>
      <c r="G223" s="54" t="str">
        <f ca="1"/>
        <v>ＰＴＰ</v>
      </c>
      <c r="H223" s="54" t="str">
        <f ca="1"/>
        <v>１００Ｔ</v>
      </c>
      <c r="I223" s="54" t="str">
        <f ca="1"/>
        <v>錠</v>
      </c>
      <c r="J223" s="54" t="str">
        <f ca="1">IF(F223="","",OFFSET(分類!$B$29,MATCH(F223,分類!$A$30:$A$46,0),0))</f>
        <v>調剤棚　＆　普通薬バラ</v>
      </c>
      <c r="K223" s="69"/>
      <c r="L223" s="69">
        <v>219</v>
      </c>
      <c r="M223" s="54">
        <f t="shared" si="6"/>
        <v>219</v>
      </c>
    </row>
    <row r="224" spans="2:13">
      <c r="B224" s="27">
        <f t="shared" si="7"/>
        <v>220</v>
      </c>
      <c r="C224" s="27">
        <f ca="1"/>
        <v>515</v>
      </c>
      <c r="D224" s="27" t="str">
        <f ca="1"/>
        <v>ビラノアＯＤ錠２０ｍｇ</v>
      </c>
      <c r="E224" s="27">
        <f ca="1"/>
        <v>0</v>
      </c>
      <c r="F224" s="54">
        <f ca="1"/>
        <v>25</v>
      </c>
      <c r="G224" s="54" t="str">
        <f ca="1"/>
        <v>ＰＴＰ</v>
      </c>
      <c r="H224" s="54" t="str">
        <f ca="1"/>
        <v>５００Ｔ</v>
      </c>
      <c r="I224" s="54" t="str">
        <f ca="1"/>
        <v>錠</v>
      </c>
      <c r="J224" s="54" t="str">
        <f ca="1">IF(F224="","",OFFSET(分類!$B$29,MATCH(F224,分類!$A$30:$A$46,0),0))</f>
        <v>調剤棚　＆　普通薬バラ</v>
      </c>
      <c r="K224" s="69"/>
      <c r="L224" s="69">
        <v>220</v>
      </c>
      <c r="M224" s="54">
        <f t="shared" si="6"/>
        <v>220</v>
      </c>
    </row>
    <row r="225" spans="2:13">
      <c r="B225" s="27">
        <f t="shared" si="7"/>
        <v>221</v>
      </c>
      <c r="C225" s="27">
        <f ca="1"/>
        <v>518</v>
      </c>
      <c r="D225" s="27" t="str">
        <f ca="1"/>
        <v>ヒルナミン錠（２５ｍｇ）</v>
      </c>
      <c r="E225" s="27">
        <f ca="1"/>
        <v>0</v>
      </c>
      <c r="F225" s="54">
        <f ca="1"/>
        <v>25</v>
      </c>
      <c r="G225" s="54" t="str">
        <f ca="1"/>
        <v>ＰＴＰ</v>
      </c>
      <c r="H225" s="54" t="str">
        <f ca="1"/>
        <v>１００Ｔ</v>
      </c>
      <c r="I225" s="54" t="str">
        <f ca="1"/>
        <v>錠</v>
      </c>
      <c r="J225" s="54" t="str">
        <f ca="1">IF(F225="","",OFFSET(分類!$B$29,MATCH(F225,分類!$A$30:$A$46,0),0))</f>
        <v>調剤棚　＆　普通薬バラ</v>
      </c>
      <c r="K225" s="69"/>
      <c r="L225" s="69">
        <v>221</v>
      </c>
      <c r="M225" s="54">
        <f t="shared" si="6"/>
        <v>221</v>
      </c>
    </row>
    <row r="226" spans="2:13">
      <c r="B226" s="27">
        <f t="shared" si="7"/>
        <v>222</v>
      </c>
      <c r="C226" s="27">
        <f ca="1"/>
        <v>519</v>
      </c>
      <c r="D226" s="27" t="str">
        <f ca="1"/>
        <v>ヒルナミン錠（２５ｍｇ）</v>
      </c>
      <c r="E226" s="27">
        <f ca="1"/>
        <v>0</v>
      </c>
      <c r="F226" s="54">
        <f ca="1"/>
        <v>25</v>
      </c>
      <c r="G226" s="54" t="str">
        <f ca="1"/>
        <v>バラ</v>
      </c>
      <c r="H226" s="54" t="str">
        <f ca="1"/>
        <v>１０００Ｔ</v>
      </c>
      <c r="I226" s="54" t="str">
        <f ca="1"/>
        <v>錠</v>
      </c>
      <c r="J226" s="54" t="str">
        <f ca="1">IF(F226="","",OFFSET(分類!$B$29,MATCH(F226,分類!$A$30:$A$46,0),0))</f>
        <v>調剤棚　＆　普通薬バラ</v>
      </c>
      <c r="K226" s="69"/>
      <c r="L226" s="69">
        <v>222</v>
      </c>
      <c r="M226" s="54">
        <f t="shared" si="6"/>
        <v>222</v>
      </c>
    </row>
    <row r="227" spans="2:13">
      <c r="B227" s="27">
        <f t="shared" si="7"/>
        <v>223</v>
      </c>
      <c r="C227" s="27">
        <f ca="1"/>
        <v>520</v>
      </c>
      <c r="D227" s="27" t="str">
        <f ca="1"/>
        <v>ヒルナミン錠（５０ｍｇ）</v>
      </c>
      <c r="E227" s="27">
        <f ca="1"/>
        <v>2</v>
      </c>
      <c r="F227" s="54">
        <f ca="1"/>
        <v>26</v>
      </c>
      <c r="G227" s="54" t="str">
        <f ca="1"/>
        <v>バラ</v>
      </c>
      <c r="H227" s="54" t="str">
        <f ca="1"/>
        <v>１０００Ｔ</v>
      </c>
      <c r="I227" s="54" t="str">
        <f ca="1"/>
        <v>錠</v>
      </c>
      <c r="J227" s="54" t="str">
        <f ca="1">IF(F227="","",OFFSET(分類!$B$29,MATCH(F227,分類!$A$30:$A$46,0),0))</f>
        <v>調剤棚　＆　劇薬バラ</v>
      </c>
      <c r="K227" s="69"/>
      <c r="L227" s="69">
        <v>223</v>
      </c>
      <c r="M227" s="54">
        <f t="shared" si="6"/>
        <v>223</v>
      </c>
    </row>
    <row r="228" spans="2:13">
      <c r="B228" s="27">
        <f t="shared" si="7"/>
        <v>224</v>
      </c>
      <c r="C228" s="27">
        <f ca="1"/>
        <v>521</v>
      </c>
      <c r="D228" s="27" t="str">
        <f ca="1"/>
        <v>ヒルナミン錠（５ｍｇ）</v>
      </c>
      <c r="E228" s="27">
        <f ca="1"/>
        <v>0</v>
      </c>
      <c r="F228" s="54">
        <f ca="1"/>
        <v>25</v>
      </c>
      <c r="G228" s="54" t="str">
        <f ca="1"/>
        <v>ＰＴＰ</v>
      </c>
      <c r="H228" s="54" t="str">
        <f ca="1"/>
        <v>１０００Ｔ</v>
      </c>
      <c r="I228" s="54" t="str">
        <f ca="1"/>
        <v>錠</v>
      </c>
      <c r="J228" s="54" t="str">
        <f ca="1">IF(F228="","",OFFSET(分類!$B$29,MATCH(F228,分類!$A$30:$A$46,0),0))</f>
        <v>調剤棚　＆　普通薬バラ</v>
      </c>
      <c r="K228" s="69"/>
      <c r="L228" s="69">
        <v>224</v>
      </c>
      <c r="M228" s="54">
        <f t="shared" si="6"/>
        <v>224</v>
      </c>
    </row>
    <row r="229" spans="2:13">
      <c r="B229" s="27">
        <f t="shared" si="7"/>
        <v>225</v>
      </c>
      <c r="C229" s="27">
        <f ca="1"/>
        <v>522</v>
      </c>
      <c r="D229" s="27" t="str">
        <f ca="1"/>
        <v>ヒルナミン錠（５ｍｇ）</v>
      </c>
      <c r="E229" s="27">
        <f ca="1"/>
        <v>0</v>
      </c>
      <c r="F229" s="54">
        <f ca="1"/>
        <v>25</v>
      </c>
      <c r="G229" s="54" t="str">
        <f ca="1"/>
        <v>バラ</v>
      </c>
      <c r="H229" s="54" t="str">
        <f ca="1"/>
        <v>１０００Ｔ</v>
      </c>
      <c r="I229" s="54" t="str">
        <f ca="1"/>
        <v>錠</v>
      </c>
      <c r="J229" s="54" t="str">
        <f ca="1">IF(F229="","",OFFSET(分類!$B$29,MATCH(F229,分類!$A$30:$A$46,0),0))</f>
        <v>調剤棚　＆　普通薬バラ</v>
      </c>
      <c r="K229" s="69"/>
      <c r="L229" s="69">
        <v>225</v>
      </c>
      <c r="M229" s="54">
        <f t="shared" si="6"/>
        <v>225</v>
      </c>
    </row>
    <row r="230" spans="2:13">
      <c r="B230" s="27">
        <f t="shared" si="7"/>
        <v>226</v>
      </c>
      <c r="C230" s="27">
        <f ca="1"/>
        <v>524</v>
      </c>
      <c r="D230" s="27" t="str">
        <f ca="1"/>
        <v>ファモチジンＤ錠２０ｍｇ「サワイ」</v>
      </c>
      <c r="E230" s="27">
        <f ca="1"/>
        <v>0</v>
      </c>
      <c r="F230" s="54">
        <f ca="1"/>
        <v>25</v>
      </c>
      <c r="G230" s="54" t="str">
        <f ca="1"/>
        <v>ＰＴＰ</v>
      </c>
      <c r="H230" s="54" t="str">
        <f ca="1"/>
        <v>１００Ｔ</v>
      </c>
      <c r="I230" s="54" t="str">
        <f ca="1"/>
        <v>錠</v>
      </c>
      <c r="J230" s="54" t="str">
        <f ca="1">IF(F230="","",OFFSET(分類!$B$29,MATCH(F230,分類!$A$30:$A$46,0),0))</f>
        <v>調剤棚　＆　普通薬バラ</v>
      </c>
      <c r="K230" s="69"/>
      <c r="L230" s="69">
        <v>226</v>
      </c>
      <c r="M230" s="54">
        <f t="shared" si="6"/>
        <v>226</v>
      </c>
    </row>
    <row r="231" spans="2:13">
      <c r="B231" s="27">
        <f t="shared" si="7"/>
        <v>227</v>
      </c>
      <c r="C231" s="27">
        <f ca="1"/>
        <v>525</v>
      </c>
      <c r="D231" s="27" t="str">
        <f ca="1"/>
        <v>ファモチジンＤ錠２０ｍｇ「サワイ」</v>
      </c>
      <c r="E231" s="27">
        <f ca="1"/>
        <v>0</v>
      </c>
      <c r="F231" s="54">
        <f ca="1"/>
        <v>25</v>
      </c>
      <c r="G231" s="54" t="str">
        <f ca="1"/>
        <v>バラ</v>
      </c>
      <c r="H231" s="54" t="str">
        <f ca="1"/>
        <v>５００Ｔ</v>
      </c>
      <c r="I231" s="54" t="str">
        <f ca="1"/>
        <v>錠</v>
      </c>
      <c r="J231" s="54" t="str">
        <f ca="1">IF(F231="","",OFFSET(分類!$B$29,MATCH(F231,分類!$A$30:$A$46,0),0))</f>
        <v>調剤棚　＆　普通薬バラ</v>
      </c>
      <c r="K231" s="69"/>
      <c r="L231" s="69">
        <v>227</v>
      </c>
      <c r="M231" s="54">
        <f t="shared" si="6"/>
        <v>227</v>
      </c>
    </row>
    <row r="232" spans="2:13">
      <c r="B232" s="27">
        <f t="shared" si="7"/>
        <v>228</v>
      </c>
      <c r="C232" s="27">
        <f ca="1"/>
        <v>527</v>
      </c>
      <c r="D232" s="27" t="str">
        <f ca="1"/>
        <v>ファロム錠２００ｍｇ</v>
      </c>
      <c r="E232" s="27">
        <f ca="1"/>
        <v>0</v>
      </c>
      <c r="F232" s="54">
        <f ca="1"/>
        <v>1</v>
      </c>
      <c r="G232" s="54" t="str">
        <f ca="1"/>
        <v>ＰＴＰ</v>
      </c>
      <c r="H232" s="54" t="str">
        <f ca="1"/>
        <v>１００Ｔ</v>
      </c>
      <c r="I232" s="54" t="str">
        <f ca="1"/>
        <v>錠</v>
      </c>
      <c r="J232" s="54" t="str">
        <f ca="1">IF(F232="","",OFFSET(分類!$B$29,MATCH(F232,分類!$A$30:$A$46,0),0))</f>
        <v>調剤棚</v>
      </c>
      <c r="K232" s="69"/>
      <c r="L232" s="69">
        <v>228</v>
      </c>
      <c r="M232" s="54">
        <f t="shared" si="6"/>
        <v>228</v>
      </c>
    </row>
    <row r="233" spans="2:13">
      <c r="B233" s="27">
        <f t="shared" si="7"/>
        <v>229</v>
      </c>
      <c r="C233" s="27">
        <f ca="1"/>
        <v>528</v>
      </c>
      <c r="D233" s="27" t="str">
        <f ca="1"/>
        <v>フィコンパ錠２ｍｇ</v>
      </c>
      <c r="E233" s="27">
        <f ca="1"/>
        <v>0</v>
      </c>
      <c r="F233" s="54">
        <f ca="1"/>
        <v>1</v>
      </c>
      <c r="G233" s="54" t="str">
        <f ca="1"/>
        <v>ＰＴＰ</v>
      </c>
      <c r="H233" s="54" t="str">
        <f ca="1"/>
        <v>５６Ｔ</v>
      </c>
      <c r="I233" s="54" t="str">
        <f ca="1"/>
        <v>錠</v>
      </c>
      <c r="J233" s="54" t="str">
        <f ca="1">IF(F233="","",OFFSET(分類!$B$29,MATCH(F233,分類!$A$30:$A$46,0),0))</f>
        <v>調剤棚</v>
      </c>
      <c r="K233" s="69"/>
      <c r="L233" s="69">
        <v>229</v>
      </c>
      <c r="M233" s="54">
        <f t="shared" si="6"/>
        <v>229</v>
      </c>
    </row>
    <row r="234" spans="2:13">
      <c r="B234" s="27">
        <f t="shared" si="7"/>
        <v>230</v>
      </c>
      <c r="C234" s="27">
        <f ca="1"/>
        <v>533</v>
      </c>
      <c r="D234" s="27" t="str">
        <f ca="1"/>
        <v>フェブキソスタット錠１０ｍｇ「サワイ」　</v>
      </c>
      <c r="E234" s="27">
        <f ca="1"/>
        <v>0</v>
      </c>
      <c r="F234" s="54">
        <f ca="1"/>
        <v>25</v>
      </c>
      <c r="G234" s="54" t="str">
        <f ca="1"/>
        <v>ＰＴＰ</v>
      </c>
      <c r="H234" s="54" t="str">
        <f ca="1"/>
        <v>１００Ｔ</v>
      </c>
      <c r="I234" s="54" t="str">
        <f ca="1"/>
        <v>錠</v>
      </c>
      <c r="J234" s="54" t="str">
        <f ca="1">IF(F234="","",OFFSET(分類!$B$29,MATCH(F234,分類!$A$30:$A$46,0),0))</f>
        <v>調剤棚　＆　普通薬バラ</v>
      </c>
      <c r="K234" s="69"/>
      <c r="L234" s="69">
        <v>230</v>
      </c>
      <c r="M234" s="54">
        <f t="shared" si="6"/>
        <v>230</v>
      </c>
    </row>
    <row r="235" spans="2:13">
      <c r="B235" s="27">
        <f t="shared" si="7"/>
        <v>231</v>
      </c>
      <c r="C235" s="27">
        <f ca="1"/>
        <v>534</v>
      </c>
      <c r="D235" s="27" t="str">
        <f ca="1"/>
        <v>フェロジピン錠５ｍｇ「ＮＩＧ」</v>
      </c>
      <c r="E235" s="27">
        <f ca="1"/>
        <v>2</v>
      </c>
      <c r="F235" s="54">
        <f ca="1"/>
        <v>6</v>
      </c>
      <c r="G235" s="54" t="str">
        <f ca="1"/>
        <v>ＰＴＰ</v>
      </c>
      <c r="H235" s="54" t="str">
        <f ca="1"/>
        <v>１００Ｔ</v>
      </c>
      <c r="I235" s="54" t="str">
        <f ca="1"/>
        <v>錠</v>
      </c>
      <c r="J235" s="54" t="str">
        <f ca="1">IF(F235="","",OFFSET(分類!$B$29,MATCH(F235,分類!$A$30:$A$46,0),0))</f>
        <v>劇薬バラ</v>
      </c>
      <c r="K235" s="69"/>
      <c r="L235" s="69">
        <v>231</v>
      </c>
      <c r="M235" s="54">
        <f t="shared" si="6"/>
        <v>231</v>
      </c>
    </row>
    <row r="236" spans="2:13">
      <c r="B236" s="27">
        <f t="shared" si="7"/>
        <v>232</v>
      </c>
      <c r="C236" s="27">
        <f ca="1"/>
        <v>535</v>
      </c>
      <c r="D236" s="27" t="str">
        <f ca="1"/>
        <v>フェロミア錠５０ｍｇ</v>
      </c>
      <c r="E236" s="27">
        <f ca="1"/>
        <v>0</v>
      </c>
      <c r="F236" s="54">
        <f ca="1"/>
        <v>25</v>
      </c>
      <c r="G236" s="54" t="str">
        <f ca="1"/>
        <v>ＰＴＰ</v>
      </c>
      <c r="H236" s="54" t="str">
        <f ca="1"/>
        <v>５００Ｔ</v>
      </c>
      <c r="I236" s="54" t="str">
        <f ca="1"/>
        <v>錠</v>
      </c>
      <c r="J236" s="54" t="str">
        <f ca="1">IF(F236="","",OFFSET(分類!$B$29,MATCH(F236,分類!$A$30:$A$46,0),0))</f>
        <v>調剤棚　＆　普通薬バラ</v>
      </c>
      <c r="K236" s="69"/>
      <c r="L236" s="69">
        <v>232</v>
      </c>
      <c r="M236" s="54">
        <f t="shared" si="6"/>
        <v>232</v>
      </c>
    </row>
    <row r="237" spans="2:13">
      <c r="B237" s="27">
        <f t="shared" si="7"/>
        <v>233</v>
      </c>
      <c r="C237" s="27">
        <f ca="1"/>
        <v>536</v>
      </c>
      <c r="D237" s="27" t="str">
        <f ca="1"/>
        <v>フェロミア錠５０ｍｇ</v>
      </c>
      <c r="E237" s="27">
        <f ca="1"/>
        <v>0</v>
      </c>
      <c r="F237" s="54">
        <f ca="1"/>
        <v>25</v>
      </c>
      <c r="G237" s="54" t="str">
        <f ca="1"/>
        <v>バラ</v>
      </c>
      <c r="H237" s="54" t="str">
        <f ca="1"/>
        <v>５００Ｔ</v>
      </c>
      <c r="I237" s="54" t="str">
        <f ca="1"/>
        <v>錠</v>
      </c>
      <c r="J237" s="54" t="str">
        <f ca="1">IF(F237="","",OFFSET(分類!$B$29,MATCH(F237,分類!$A$30:$A$46,0),0))</f>
        <v>調剤棚　＆　普通薬バラ</v>
      </c>
      <c r="K237" s="69"/>
      <c r="L237" s="69">
        <v>233</v>
      </c>
      <c r="M237" s="54">
        <f t="shared" si="6"/>
        <v>233</v>
      </c>
    </row>
    <row r="238" spans="2:13">
      <c r="B238" s="27">
        <f t="shared" si="7"/>
        <v>234</v>
      </c>
      <c r="C238" s="27">
        <f ca="1"/>
        <v>538</v>
      </c>
      <c r="D238" s="27" t="str">
        <f ca="1"/>
        <v>フォシーガ錠５ｍｇ</v>
      </c>
      <c r="E238" s="27">
        <f ca="1"/>
        <v>0</v>
      </c>
      <c r="F238" s="54">
        <f ca="1"/>
        <v>25</v>
      </c>
      <c r="G238" s="54" t="str">
        <f ca="1"/>
        <v>ＰＴＰ</v>
      </c>
      <c r="H238" s="54" t="str">
        <f ca="1"/>
        <v>１００Ｔ</v>
      </c>
      <c r="I238" s="54" t="str">
        <f ca="1"/>
        <v>錠</v>
      </c>
      <c r="J238" s="54" t="str">
        <f ca="1">IF(F238="","",OFFSET(分類!$B$29,MATCH(F238,分類!$A$30:$A$46,0),0))</f>
        <v>調剤棚　＆　普通薬バラ</v>
      </c>
      <c r="K238" s="69"/>
      <c r="L238" s="69">
        <v>234</v>
      </c>
      <c r="M238" s="54">
        <f t="shared" si="6"/>
        <v>234</v>
      </c>
    </row>
    <row r="239" spans="2:13">
      <c r="B239" s="27">
        <f t="shared" si="7"/>
        <v>235</v>
      </c>
      <c r="C239" s="27">
        <f ca="1"/>
        <v>547</v>
      </c>
      <c r="D239" s="27" t="str">
        <f ca="1"/>
        <v>プラバスタチンＮａ錠５ｍｇ「サワイ」</v>
      </c>
      <c r="E239" s="27">
        <f ca="1"/>
        <v>0</v>
      </c>
      <c r="F239" s="54">
        <f ca="1"/>
        <v>25</v>
      </c>
      <c r="G239" s="54" t="str">
        <f ca="1"/>
        <v>ＰＴＰ</v>
      </c>
      <c r="H239" s="54" t="str">
        <f ca="1"/>
        <v>１００Ｔ</v>
      </c>
      <c r="I239" s="54" t="str">
        <f ca="1"/>
        <v>錠</v>
      </c>
      <c r="J239" s="54" t="str">
        <f ca="1">IF(F239="","",OFFSET(分類!$B$29,MATCH(F239,分類!$A$30:$A$46,0),0))</f>
        <v>調剤棚　＆　普通薬バラ</v>
      </c>
      <c r="K239" s="69"/>
      <c r="L239" s="69">
        <v>235</v>
      </c>
      <c r="M239" s="54">
        <f t="shared" si="6"/>
        <v>235</v>
      </c>
    </row>
    <row r="240" spans="2:13">
      <c r="B240" s="27">
        <f t="shared" si="7"/>
        <v>236</v>
      </c>
      <c r="C240" s="27">
        <f ca="1"/>
        <v>548</v>
      </c>
      <c r="D240" s="27" t="str">
        <f ca="1"/>
        <v>プラバスタチンＮａ錠５ｍｇ「サワイ」</v>
      </c>
      <c r="E240" s="27">
        <f ca="1"/>
        <v>0</v>
      </c>
      <c r="F240" s="54">
        <f ca="1"/>
        <v>25</v>
      </c>
      <c r="G240" s="54" t="str">
        <f ca="1"/>
        <v>バラ</v>
      </c>
      <c r="H240" s="54" t="str">
        <f ca="1"/>
        <v>１０００Ｔ</v>
      </c>
      <c r="I240" s="54" t="str">
        <f ca="1"/>
        <v>錠</v>
      </c>
      <c r="J240" s="54" t="str">
        <f ca="1">IF(F240="","",OFFSET(分類!$B$29,MATCH(F240,分類!$A$30:$A$46,0),0))</f>
        <v>調剤棚　＆　普通薬バラ</v>
      </c>
      <c r="K240" s="69"/>
      <c r="L240" s="69">
        <v>236</v>
      </c>
      <c r="M240" s="54">
        <f t="shared" si="6"/>
        <v>236</v>
      </c>
    </row>
    <row r="241" spans="2:13">
      <c r="B241" s="27">
        <f t="shared" si="7"/>
        <v>237</v>
      </c>
      <c r="C241" s="27">
        <f ca="1"/>
        <v>555</v>
      </c>
      <c r="D241" s="27" t="str">
        <f ca="1"/>
        <v>フルニトラゼパム錠１ｍｇ「アメル」</v>
      </c>
      <c r="E241" s="27">
        <f ca="1"/>
        <v>0</v>
      </c>
      <c r="F241" s="54">
        <f ca="1"/>
        <v>3</v>
      </c>
      <c r="G241" s="54" t="str">
        <f ca="1"/>
        <v>ＰＴＰ</v>
      </c>
      <c r="H241" s="54" t="str">
        <f ca="1"/>
        <v>１０００Ｔ</v>
      </c>
      <c r="I241" s="54" t="str">
        <f ca="1"/>
        <v>錠</v>
      </c>
      <c r="J241" s="54" t="str">
        <f ca="1">IF(F241="","",OFFSET(分類!$B$29,MATCH(F241,分類!$A$30:$A$46,0),0))</f>
        <v>外用.臨時.散薬ヒート</v>
      </c>
      <c r="K241" s="69"/>
      <c r="L241" s="69">
        <v>237</v>
      </c>
      <c r="M241" s="54">
        <f t="shared" si="6"/>
        <v>237</v>
      </c>
    </row>
    <row r="242" spans="2:13">
      <c r="B242" s="27">
        <f t="shared" si="7"/>
        <v>238</v>
      </c>
      <c r="C242" s="27">
        <f ca="1"/>
        <v>556</v>
      </c>
      <c r="D242" s="27" t="str">
        <f ca="1"/>
        <v>フルニトラゼパム錠１ｍｇ「アメル」</v>
      </c>
      <c r="E242" s="27">
        <f ca="1"/>
        <v>0</v>
      </c>
      <c r="F242" s="54">
        <f ca="1"/>
        <v>3</v>
      </c>
      <c r="G242" s="54" t="str">
        <f ca="1"/>
        <v>バラ</v>
      </c>
      <c r="H242" s="54" t="str">
        <f ca="1"/>
        <v>１０００Ｔ</v>
      </c>
      <c r="I242" s="54" t="str">
        <f ca="1"/>
        <v>錠</v>
      </c>
      <c r="J242" s="54" t="str">
        <f ca="1">IF(F242="","",OFFSET(分類!$B$29,MATCH(F242,分類!$A$30:$A$46,0),0))</f>
        <v>外用.臨時.散薬ヒート</v>
      </c>
      <c r="K242" s="69"/>
      <c r="L242" s="69">
        <v>238</v>
      </c>
      <c r="M242" s="54">
        <f t="shared" si="6"/>
        <v>238</v>
      </c>
    </row>
    <row r="243" spans="2:13">
      <c r="B243" s="27">
        <f t="shared" si="7"/>
        <v>239</v>
      </c>
      <c r="C243" s="27">
        <f ca="1"/>
        <v>557</v>
      </c>
      <c r="D243" s="27" t="str">
        <f ca="1"/>
        <v>フルニトラゼパム錠２ｍｇ「アメル」</v>
      </c>
      <c r="E243" s="27">
        <f ca="1"/>
        <v>0</v>
      </c>
      <c r="F243" s="54">
        <f ca="1"/>
        <v>3</v>
      </c>
      <c r="G243" s="54" t="str">
        <f ca="1"/>
        <v>ＰＴＰ</v>
      </c>
      <c r="H243" s="54" t="str">
        <f ca="1"/>
        <v>１０００Ｔ</v>
      </c>
      <c r="I243" s="54" t="str">
        <f ca="1"/>
        <v>錠</v>
      </c>
      <c r="J243" s="54" t="str">
        <f ca="1">IF(F243="","",OFFSET(分類!$B$29,MATCH(F243,分類!$A$30:$A$46,0),0))</f>
        <v>外用.臨時.散薬ヒート</v>
      </c>
      <c r="K243" s="69"/>
      <c r="L243" s="69">
        <v>239</v>
      </c>
      <c r="M243" s="54">
        <f t="shared" si="6"/>
        <v>239</v>
      </c>
    </row>
    <row r="244" spans="2:13">
      <c r="B244" s="27">
        <f t="shared" si="7"/>
        <v>240</v>
      </c>
      <c r="C244" s="27">
        <f ca="1"/>
        <v>558</v>
      </c>
      <c r="D244" s="27" t="str">
        <f ca="1"/>
        <v>フルニトラゼパム錠２ｍｇ「アメル」</v>
      </c>
      <c r="E244" s="27">
        <f ca="1"/>
        <v>0</v>
      </c>
      <c r="F244" s="54">
        <f ca="1"/>
        <v>3</v>
      </c>
      <c r="G244" s="54" t="str">
        <f ca="1"/>
        <v>バラ</v>
      </c>
      <c r="H244" s="54" t="str">
        <f ca="1"/>
        <v>１０００Ｔ</v>
      </c>
      <c r="I244" s="54" t="str">
        <f ca="1"/>
        <v>錠</v>
      </c>
      <c r="J244" s="54" t="str">
        <f ca="1">IF(F244="","",OFFSET(分類!$B$29,MATCH(F244,分類!$A$30:$A$46,0),0))</f>
        <v>外用.臨時.散薬ヒート</v>
      </c>
      <c r="K244" s="69"/>
      <c r="L244" s="69">
        <v>240</v>
      </c>
      <c r="M244" s="54">
        <f t="shared" si="6"/>
        <v>240</v>
      </c>
    </row>
    <row r="245" spans="2:13">
      <c r="B245" s="27">
        <f t="shared" si="7"/>
        <v>241</v>
      </c>
      <c r="C245" s="27">
        <f ca="1"/>
        <v>562</v>
      </c>
      <c r="D245" s="27" t="str">
        <f ca="1"/>
        <v>プレドニゾロン錠５ｍｇ「ＶＴＲＳ」　　　　　</v>
      </c>
      <c r="E245" s="27">
        <f ca="1"/>
        <v>0</v>
      </c>
      <c r="F245" s="54">
        <f ca="1"/>
        <v>25</v>
      </c>
      <c r="G245" s="54" t="str">
        <f ca="1"/>
        <v>ＰＴＰ</v>
      </c>
      <c r="H245" s="54" t="str">
        <f ca="1"/>
        <v>１００Ｔ</v>
      </c>
      <c r="I245" s="54" t="str">
        <f ca="1"/>
        <v>錠</v>
      </c>
      <c r="J245" s="54" t="str">
        <f ca="1">IF(F245="","",OFFSET(分類!$B$29,MATCH(F245,分類!$A$30:$A$46,0),0))</f>
        <v>調剤棚　＆　普通薬バラ</v>
      </c>
      <c r="K245" s="69"/>
      <c r="L245" s="69">
        <v>241</v>
      </c>
      <c r="M245" s="54">
        <f t="shared" si="6"/>
        <v>241</v>
      </c>
    </row>
    <row r="246" spans="2:13">
      <c r="B246" s="27">
        <f t="shared" si="7"/>
        <v>242</v>
      </c>
      <c r="C246" s="27">
        <f ca="1"/>
        <v>565</v>
      </c>
      <c r="D246" s="27" t="str">
        <f ca="1"/>
        <v>フロセミド錠２０ｍｇ「ＮＩＧ」</v>
      </c>
      <c r="E246" s="27">
        <f ca="1"/>
        <v>0</v>
      </c>
      <c r="F246" s="54">
        <f ca="1"/>
        <v>25</v>
      </c>
      <c r="G246" s="54" t="str">
        <f ca="1"/>
        <v>バラ</v>
      </c>
      <c r="H246" s="54" t="str">
        <f ca="1"/>
        <v>１２００錠</v>
      </c>
      <c r="I246" s="54" t="str">
        <f ca="1"/>
        <v>錠</v>
      </c>
      <c r="J246" s="54" t="str">
        <f ca="1">IF(F246="","",OFFSET(分類!$B$29,MATCH(F246,分類!$A$30:$A$46,0),0))</f>
        <v>調剤棚　＆　普通薬バラ</v>
      </c>
      <c r="K246" s="69"/>
      <c r="L246" s="69">
        <v>242</v>
      </c>
      <c r="M246" s="54">
        <f t="shared" si="6"/>
        <v>242</v>
      </c>
    </row>
    <row r="247" spans="2:13">
      <c r="B247" s="27">
        <f t="shared" si="7"/>
        <v>243</v>
      </c>
      <c r="C247" s="27">
        <f ca="1"/>
        <v>568</v>
      </c>
      <c r="D247" s="27" t="str">
        <f ca="1"/>
        <v>ブロチゾラム錠０．２５ｍｇ「ヨシトミ」</v>
      </c>
      <c r="E247" s="27">
        <f ca="1"/>
        <v>0</v>
      </c>
      <c r="F247" s="54">
        <f ca="1"/>
        <v>25</v>
      </c>
      <c r="G247" s="54" t="str">
        <f ca="1"/>
        <v>ＰＴＰ</v>
      </c>
      <c r="H247" s="54" t="str">
        <f ca="1"/>
        <v>１０００Ｔ</v>
      </c>
      <c r="I247" s="54" t="str">
        <f ca="1"/>
        <v>錠</v>
      </c>
      <c r="J247" s="54" t="str">
        <f ca="1">IF(F247="","",OFFSET(分類!$B$29,MATCH(F247,分類!$A$30:$A$46,0),0))</f>
        <v>調剤棚　＆　普通薬バラ</v>
      </c>
      <c r="K247" s="69"/>
      <c r="L247" s="69">
        <v>243</v>
      </c>
      <c r="M247" s="54">
        <f t="shared" si="6"/>
        <v>243</v>
      </c>
    </row>
    <row r="248" spans="2:13">
      <c r="B248" s="27">
        <f t="shared" si="7"/>
        <v>244</v>
      </c>
      <c r="C248" s="27">
        <f ca="1"/>
        <v>569</v>
      </c>
      <c r="D248" s="27" t="str">
        <f ca="1"/>
        <v>ブロチゾラム錠０．２５ｍｇ「ヨシトミ」</v>
      </c>
      <c r="E248" s="27">
        <f ca="1"/>
        <v>0</v>
      </c>
      <c r="F248" s="54">
        <f ca="1"/>
        <v>25</v>
      </c>
      <c r="G248" s="54" t="str">
        <f ca="1"/>
        <v>バラ</v>
      </c>
      <c r="H248" s="54" t="str">
        <f ca="1"/>
        <v>５００Ｔ</v>
      </c>
      <c r="I248" s="54" t="str">
        <f ca="1"/>
        <v>錠</v>
      </c>
      <c r="J248" s="54" t="str">
        <f ca="1">IF(F248="","",OFFSET(分類!$B$29,MATCH(F248,分類!$A$30:$A$46,0),0))</f>
        <v>調剤棚　＆　普通薬バラ</v>
      </c>
      <c r="K248" s="69"/>
      <c r="L248" s="69">
        <v>244</v>
      </c>
      <c r="M248" s="54">
        <f t="shared" si="6"/>
        <v>244</v>
      </c>
    </row>
    <row r="249" spans="2:13">
      <c r="B249" s="27">
        <f t="shared" si="7"/>
        <v>245</v>
      </c>
      <c r="C249" s="27">
        <f ca="1"/>
        <v>572</v>
      </c>
      <c r="D249" s="27" t="str">
        <f ca="1"/>
        <v>ブロナンセリン錠２ｍｇ「ＤＳＰＢ」</v>
      </c>
      <c r="E249" s="27">
        <f ca="1"/>
        <v>2</v>
      </c>
      <c r="F249" s="54">
        <f ca="1"/>
        <v>26</v>
      </c>
      <c r="G249" s="54" t="str">
        <f ca="1"/>
        <v>ＰＴＰ</v>
      </c>
      <c r="H249" s="54" t="str">
        <f ca="1"/>
        <v>１００Ｔ</v>
      </c>
      <c r="I249" s="54" t="str">
        <f ca="1"/>
        <v>錠</v>
      </c>
      <c r="J249" s="54" t="str">
        <f ca="1">IF(F249="","",OFFSET(分類!$B$29,MATCH(F249,分類!$A$30:$A$46,0),0))</f>
        <v>調剤棚　＆　劇薬バラ</v>
      </c>
      <c r="K249" s="69"/>
      <c r="L249" s="69">
        <v>245</v>
      </c>
      <c r="M249" s="54">
        <f t="shared" si="6"/>
        <v>245</v>
      </c>
    </row>
    <row r="250" spans="2:13">
      <c r="B250" s="27">
        <f t="shared" si="7"/>
        <v>246</v>
      </c>
      <c r="C250" s="27">
        <f ca="1"/>
        <v>573</v>
      </c>
      <c r="D250" s="27" t="str">
        <f ca="1"/>
        <v>ブロナンセリン錠４ｍｇ「ＤＳＰＢ」</v>
      </c>
      <c r="E250" s="27">
        <f ca="1"/>
        <v>2</v>
      </c>
      <c r="F250" s="54">
        <f ca="1"/>
        <v>26</v>
      </c>
      <c r="G250" s="54" t="str">
        <f ca="1"/>
        <v>ＰＴＰ</v>
      </c>
      <c r="H250" s="54" t="str">
        <f ca="1"/>
        <v>１００Ｔ</v>
      </c>
      <c r="I250" s="54" t="str">
        <f ca="1"/>
        <v>錠</v>
      </c>
      <c r="J250" s="54" t="str">
        <f ca="1">IF(F250="","",OFFSET(分類!$B$29,MATCH(F250,分類!$A$30:$A$46,0),0))</f>
        <v>調剤棚　＆　劇薬バラ</v>
      </c>
      <c r="K250" s="69"/>
      <c r="L250" s="69">
        <v>246</v>
      </c>
      <c r="M250" s="54">
        <f t="shared" si="6"/>
        <v>246</v>
      </c>
    </row>
    <row r="251" spans="2:13">
      <c r="B251" s="27">
        <f t="shared" si="7"/>
        <v>247</v>
      </c>
      <c r="C251" s="27">
        <f ca="1"/>
        <v>574</v>
      </c>
      <c r="D251" s="27" t="str">
        <f ca="1"/>
        <v>ブロナンセリン錠４ｍｇ「ＤＳＰＢ」</v>
      </c>
      <c r="E251" s="27">
        <f ca="1"/>
        <v>2</v>
      </c>
      <c r="F251" s="54">
        <f ca="1"/>
        <v>26</v>
      </c>
      <c r="G251" s="54" t="str">
        <f ca="1"/>
        <v>バラ</v>
      </c>
      <c r="H251" s="54" t="str">
        <f ca="1"/>
        <v>１０００Ｔ</v>
      </c>
      <c r="I251" s="54" t="str">
        <f ca="1"/>
        <v>錠</v>
      </c>
      <c r="J251" s="54" t="str">
        <f ca="1">IF(F251="","",OFFSET(分類!$B$29,MATCH(F251,分類!$A$30:$A$46,0),0))</f>
        <v>調剤棚　＆　劇薬バラ</v>
      </c>
      <c r="K251" s="69"/>
      <c r="L251" s="69">
        <v>247</v>
      </c>
      <c r="M251" s="54">
        <f t="shared" si="6"/>
        <v>247</v>
      </c>
    </row>
    <row r="252" spans="2:13">
      <c r="B252" s="27">
        <f t="shared" si="7"/>
        <v>248</v>
      </c>
      <c r="C252" s="27">
        <f ca="1"/>
        <v>575</v>
      </c>
      <c r="D252" s="27" t="str">
        <f ca="1"/>
        <v>ブロナンセリン錠８ｍｇ「ＤＳＰＢ」</v>
      </c>
      <c r="E252" s="27">
        <f ca="1"/>
        <v>2</v>
      </c>
      <c r="F252" s="54">
        <f ca="1"/>
        <v>26</v>
      </c>
      <c r="G252" s="54" t="str">
        <f ca="1"/>
        <v>ＰＴＰ</v>
      </c>
      <c r="H252" s="54" t="str">
        <f ca="1"/>
        <v>１００Ｔ</v>
      </c>
      <c r="I252" s="54" t="str">
        <f ca="1"/>
        <v>錠</v>
      </c>
      <c r="J252" s="54" t="str">
        <f ca="1">IF(F252="","",OFFSET(分類!$B$29,MATCH(F252,分類!$A$30:$A$46,0),0))</f>
        <v>調剤棚　＆　劇薬バラ</v>
      </c>
      <c r="K252" s="69"/>
      <c r="L252" s="69">
        <v>248</v>
      </c>
      <c r="M252" s="54">
        <f t="shared" si="6"/>
        <v>248</v>
      </c>
    </row>
    <row r="253" spans="2:13">
      <c r="B253" s="27">
        <f t="shared" si="7"/>
        <v>249</v>
      </c>
      <c r="C253" s="27">
        <f ca="1"/>
        <v>576</v>
      </c>
      <c r="D253" s="27" t="str">
        <f ca="1"/>
        <v>ブロナンセリン錠８ｍｇ「ＤＳＰＢ」</v>
      </c>
      <c r="E253" s="27">
        <f ca="1"/>
        <v>2</v>
      </c>
      <c r="F253" s="54">
        <f ca="1"/>
        <v>26</v>
      </c>
      <c r="G253" s="54" t="str">
        <f ca="1"/>
        <v>バラ</v>
      </c>
      <c r="H253" s="54" t="str">
        <f ca="1"/>
        <v>１０００Ｔ</v>
      </c>
      <c r="I253" s="54" t="str">
        <f ca="1"/>
        <v>錠</v>
      </c>
      <c r="J253" s="54" t="str">
        <f ca="1">IF(F253="","",OFFSET(分類!$B$29,MATCH(F253,分類!$A$30:$A$46,0),0))</f>
        <v>調剤棚　＆　劇薬バラ</v>
      </c>
      <c r="K253" s="69"/>
      <c r="L253" s="69">
        <v>249</v>
      </c>
      <c r="M253" s="54">
        <f t="shared" si="6"/>
        <v>249</v>
      </c>
    </row>
    <row r="254" spans="2:13">
      <c r="B254" s="27">
        <f t="shared" si="7"/>
        <v>250</v>
      </c>
      <c r="C254" s="27">
        <f ca="1"/>
        <v>577</v>
      </c>
      <c r="D254" s="27" t="str">
        <f ca="1"/>
        <v>プロピベリン塩酸塩錠１０ｍｇ「ＮＩＧ」　</v>
      </c>
      <c r="E254" s="27">
        <f ca="1"/>
        <v>0</v>
      </c>
      <c r="F254" s="54">
        <f ca="1"/>
        <v>1</v>
      </c>
      <c r="G254" s="54" t="str">
        <f ca="1"/>
        <v>ＰＴＰ</v>
      </c>
      <c r="H254" s="54" t="str">
        <f ca="1"/>
        <v>１００Ｔ</v>
      </c>
      <c r="I254" s="54" t="str">
        <f ca="1"/>
        <v>錠</v>
      </c>
      <c r="J254" s="54" t="str">
        <f ca="1">IF(F254="","",OFFSET(分類!$B$29,MATCH(F254,分類!$A$30:$A$46,0),0))</f>
        <v>調剤棚</v>
      </c>
      <c r="K254" s="69"/>
      <c r="L254" s="69">
        <v>250</v>
      </c>
      <c r="M254" s="54">
        <f t="shared" si="6"/>
        <v>250</v>
      </c>
    </row>
    <row r="255" spans="2:13">
      <c r="B255" s="27">
        <f t="shared" si="7"/>
        <v>251</v>
      </c>
      <c r="C255" s="27">
        <f ca="1"/>
        <v>578</v>
      </c>
      <c r="D255" s="27" t="str">
        <f ca="1"/>
        <v>プロピベリン塩酸塩錠１０ｍｇ「ＮＩＧ」　</v>
      </c>
      <c r="E255" s="27">
        <f ca="1"/>
        <v>0</v>
      </c>
      <c r="F255" s="54">
        <f ca="1"/>
        <v>1</v>
      </c>
      <c r="G255" s="54" t="str">
        <f ca="1"/>
        <v>バラ</v>
      </c>
      <c r="H255" s="54" t="str">
        <f ca="1"/>
        <v>５００Ｔ</v>
      </c>
      <c r="I255" s="54" t="str">
        <f ca="1"/>
        <v>錠</v>
      </c>
      <c r="J255" s="54" t="str">
        <f ca="1">IF(F255="","",OFFSET(分類!$B$29,MATCH(F255,分類!$A$30:$A$46,0),0))</f>
        <v>調剤棚</v>
      </c>
      <c r="K255" s="69"/>
      <c r="L255" s="69">
        <v>251</v>
      </c>
      <c r="M255" s="54">
        <f t="shared" si="6"/>
        <v>251</v>
      </c>
    </row>
    <row r="256" spans="2:13">
      <c r="B256" s="27">
        <f t="shared" si="7"/>
        <v>252</v>
      </c>
      <c r="C256" s="27">
        <f ca="1"/>
        <v>579</v>
      </c>
      <c r="D256" s="27" t="str">
        <f ca="1"/>
        <v>プロマックＤ錠７５</v>
      </c>
      <c r="E256" s="27">
        <f ca="1"/>
        <v>0</v>
      </c>
      <c r="F256" s="54">
        <f ca="1"/>
        <v>5</v>
      </c>
      <c r="G256" s="54" t="str">
        <f ca="1"/>
        <v>ＰＴＰ</v>
      </c>
      <c r="H256" s="54" t="str">
        <f ca="1"/>
        <v>１４０Ｔ</v>
      </c>
      <c r="I256" s="54" t="str">
        <f ca="1"/>
        <v>錠</v>
      </c>
      <c r="J256" s="54" t="str">
        <f ca="1">IF(F256="","",OFFSET(分類!$B$29,MATCH(F256,分類!$A$30:$A$46,0),0))</f>
        <v>普通薬バラ</v>
      </c>
      <c r="K256" s="69"/>
      <c r="L256" s="69">
        <v>252</v>
      </c>
      <c r="M256" s="54">
        <f t="shared" si="6"/>
        <v>252</v>
      </c>
    </row>
    <row r="257" spans="2:13">
      <c r="B257" s="27">
        <f t="shared" si="7"/>
        <v>253</v>
      </c>
      <c r="C257" s="27">
        <f ca="1"/>
        <v>581</v>
      </c>
      <c r="D257" s="27" t="str">
        <f ca="1"/>
        <v>ブロムヘキシン塩酸塩錠４ｍｇ「トーワ」</v>
      </c>
      <c r="E257" s="27">
        <f ca="1"/>
        <v>0</v>
      </c>
      <c r="F257" s="54">
        <f ca="1"/>
        <v>5</v>
      </c>
      <c r="G257" s="54" t="str">
        <f ca="1"/>
        <v>ＰＴＰ</v>
      </c>
      <c r="H257" s="54" t="str">
        <f ca="1"/>
        <v>１０００Ｔ</v>
      </c>
      <c r="I257" s="54" t="str">
        <f ca="1"/>
        <v>錠</v>
      </c>
      <c r="J257" s="54" t="str">
        <f ca="1">IF(F257="","",OFFSET(分類!$B$29,MATCH(F257,分類!$A$30:$A$46,0),0))</f>
        <v>普通薬バラ</v>
      </c>
      <c r="K257" s="69"/>
      <c r="L257" s="69">
        <v>253</v>
      </c>
      <c r="M257" s="54">
        <f t="shared" si="6"/>
        <v>253</v>
      </c>
    </row>
    <row r="258" spans="2:13">
      <c r="B258" s="27">
        <f t="shared" si="7"/>
        <v>254</v>
      </c>
      <c r="C258" s="27">
        <f ca="1"/>
        <v>583</v>
      </c>
      <c r="D258" s="27" t="str">
        <f ca="1"/>
        <v>ブロムペリドール錠３ｍｇ「アメル」</v>
      </c>
      <c r="E258" s="27">
        <f ca="1"/>
        <v>2</v>
      </c>
      <c r="F258" s="54">
        <f ca="1"/>
        <v>6</v>
      </c>
      <c r="G258" s="54" t="str">
        <f ca="1"/>
        <v>ＰＴＰ</v>
      </c>
      <c r="H258" s="54" t="str">
        <f ca="1"/>
        <v>１００Ｔ</v>
      </c>
      <c r="I258" s="54" t="str">
        <f ca="1"/>
        <v>錠</v>
      </c>
      <c r="J258" s="54" t="str">
        <f ca="1">IF(F258="","",OFFSET(分類!$B$29,MATCH(F258,分類!$A$30:$A$46,0),0))</f>
        <v>劇薬バラ</v>
      </c>
      <c r="K258" s="69"/>
      <c r="L258" s="69">
        <v>254</v>
      </c>
      <c r="M258" s="54">
        <f t="shared" si="6"/>
        <v>254</v>
      </c>
    </row>
    <row r="259" spans="2:13">
      <c r="B259" s="27">
        <f t="shared" si="7"/>
        <v>255</v>
      </c>
      <c r="C259" s="27">
        <f ca="1"/>
        <v>584</v>
      </c>
      <c r="D259" s="27" t="str">
        <f ca="1"/>
        <v>ベオーパ錠５０ｍｇ</v>
      </c>
      <c r="E259" s="27">
        <f ca="1"/>
        <v>0</v>
      </c>
      <c r="F259" s="54">
        <f ca="1"/>
        <v>25</v>
      </c>
      <c r="G259" s="54" t="str">
        <f ca="1"/>
        <v>ＰＴＰ</v>
      </c>
      <c r="H259" s="54" t="str">
        <f ca="1"/>
        <v>１００Ｔ</v>
      </c>
      <c r="I259" s="54" t="str">
        <f ca="1"/>
        <v/>
      </c>
      <c r="J259" s="54" t="str">
        <f ca="1">IF(F259="","",OFFSET(分類!$B$29,MATCH(F259,分類!$A$30:$A$46,0),0))</f>
        <v>調剤棚　＆　普通薬バラ</v>
      </c>
      <c r="K259" s="69"/>
      <c r="L259" s="69">
        <v>255</v>
      </c>
      <c r="M259" s="54">
        <f t="shared" si="6"/>
        <v>255</v>
      </c>
    </row>
    <row r="260" spans="2:13">
      <c r="B260" s="27">
        <f t="shared" si="7"/>
        <v>256</v>
      </c>
      <c r="C260" s="27">
        <f ca="1"/>
        <v>587</v>
      </c>
      <c r="D260" s="27" t="str">
        <f ca="1"/>
        <v>ベザフィブラートＳＲ錠２００ｍｇ「日医工」　　　</v>
      </c>
      <c r="E260" s="27">
        <f ca="1"/>
        <v>0</v>
      </c>
      <c r="F260" s="54">
        <f ca="1"/>
        <v>25</v>
      </c>
      <c r="G260" s="54" t="str">
        <f ca="1"/>
        <v>ＰＴＰ</v>
      </c>
      <c r="H260" s="54" t="str">
        <f ca="1"/>
        <v>１００Ｔ</v>
      </c>
      <c r="I260" s="54" t="str">
        <f ca="1"/>
        <v>錠</v>
      </c>
      <c r="J260" s="54" t="str">
        <f ca="1">IF(F260="","",OFFSET(分類!$B$29,MATCH(F260,分類!$A$30:$A$46,0),0))</f>
        <v>調剤棚　＆　普通薬バラ</v>
      </c>
      <c r="K260" s="69"/>
      <c r="L260" s="69">
        <v>256</v>
      </c>
      <c r="M260" s="54">
        <f t="shared" si="6"/>
        <v>256</v>
      </c>
    </row>
    <row r="261" spans="2:13">
      <c r="B261" s="27">
        <f t="shared" si="7"/>
        <v>257</v>
      </c>
      <c r="C261" s="27">
        <f ca="1"/>
        <v>600</v>
      </c>
      <c r="D261" s="27" t="str">
        <f ca="1"/>
        <v>ベルソムラ錠１５ｍｇ</v>
      </c>
      <c r="E261" s="27">
        <f ca="1"/>
        <v>0</v>
      </c>
      <c r="F261" s="54">
        <f ca="1"/>
        <v>1</v>
      </c>
      <c r="G261" s="54" t="str">
        <f ca="1"/>
        <v>ＰＴＰ</v>
      </c>
      <c r="H261" s="54" t="str">
        <f ca="1"/>
        <v>５００Ｔ</v>
      </c>
      <c r="I261" s="54" t="str">
        <f ca="1"/>
        <v>錠</v>
      </c>
      <c r="J261" s="54" t="str">
        <f ca="1">IF(F261="","",OFFSET(分類!$B$29,MATCH(F261,分類!$A$30:$A$46,0),0))</f>
        <v>調剤棚</v>
      </c>
      <c r="K261" s="69"/>
      <c r="L261" s="69">
        <v>257</v>
      </c>
      <c r="M261" s="54">
        <f t="shared" si="6"/>
        <v>257</v>
      </c>
    </row>
    <row r="262" spans="2:13">
      <c r="B262" s="27">
        <f t="shared" si="7"/>
        <v>258</v>
      </c>
      <c r="C262" s="27">
        <f ca="1"/>
        <v>601</v>
      </c>
      <c r="D262" s="27" t="str">
        <f ca="1"/>
        <v>ベルソムラ錠２０ｍｇ</v>
      </c>
      <c r="E262" s="27">
        <f ca="1"/>
        <v>0</v>
      </c>
      <c r="F262" s="54">
        <f ca="1"/>
        <v>1</v>
      </c>
      <c r="G262" s="54" t="str">
        <f ca="1"/>
        <v>ＰＴＰ</v>
      </c>
      <c r="H262" s="54" t="str">
        <f ca="1"/>
        <v>１００Ｔ</v>
      </c>
      <c r="I262" s="54" t="str">
        <f ca="1"/>
        <v>錠</v>
      </c>
      <c r="J262" s="54" t="str">
        <f ca="1">IF(F262="","",OFFSET(分類!$B$29,MATCH(F262,分類!$A$30:$A$46,0),0))</f>
        <v>調剤棚</v>
      </c>
      <c r="K262" s="69"/>
      <c r="L262" s="69">
        <v>258</v>
      </c>
      <c r="M262" s="54">
        <f t="shared" ref="M262:M325" si="8">SUM(K262:L262)</f>
        <v>258</v>
      </c>
    </row>
    <row r="263" spans="2:13">
      <c r="B263" s="27">
        <f t="shared" ref="B263:B326" si="9">B262+1</f>
        <v>259</v>
      </c>
      <c r="C263" s="27">
        <f ca="1"/>
        <v>602</v>
      </c>
      <c r="D263" s="27" t="str">
        <f ca="1"/>
        <v>ヘルベッサー錠３０　　　　　</v>
      </c>
      <c r="E263" s="27">
        <f ca="1"/>
        <v>0</v>
      </c>
      <c r="F263" s="54">
        <f ca="1"/>
        <v>5</v>
      </c>
      <c r="G263" s="54" t="str">
        <f ca="1"/>
        <v>ＰＴＰ</v>
      </c>
      <c r="H263" s="54" t="str">
        <f ca="1"/>
        <v>１００Ｔ</v>
      </c>
      <c r="I263" s="54" t="str">
        <f ca="1"/>
        <v>錠</v>
      </c>
      <c r="J263" s="54" t="str">
        <f ca="1">IF(F263="","",OFFSET(分類!$B$29,MATCH(F263,分類!$A$30:$A$46,0),0))</f>
        <v>普通薬バラ</v>
      </c>
      <c r="K263" s="69"/>
      <c r="L263" s="69">
        <v>259</v>
      </c>
      <c r="M263" s="54">
        <f t="shared" si="8"/>
        <v>259</v>
      </c>
    </row>
    <row r="264" spans="2:13">
      <c r="B264" s="27">
        <f t="shared" si="9"/>
        <v>260</v>
      </c>
      <c r="C264" s="27">
        <f ca="1"/>
        <v>605</v>
      </c>
      <c r="D264" s="27" t="str">
        <f ca="1"/>
        <v>ベンザリン錠５</v>
      </c>
      <c r="E264" s="27">
        <f ca="1"/>
        <v>0</v>
      </c>
      <c r="F264" s="54">
        <f ca="1"/>
        <v>25</v>
      </c>
      <c r="G264" s="54" t="str">
        <f ca="1"/>
        <v>ＰＴＰ</v>
      </c>
      <c r="H264" s="54" t="str">
        <f ca="1"/>
        <v>１００Ｔ</v>
      </c>
      <c r="I264" s="54" t="str">
        <f ca="1"/>
        <v>錠</v>
      </c>
      <c r="J264" s="54" t="str">
        <f ca="1">IF(F264="","",OFFSET(分類!$B$29,MATCH(F264,分類!$A$30:$A$46,0),0))</f>
        <v>調剤棚　＆　普通薬バラ</v>
      </c>
      <c r="K264" s="69"/>
      <c r="L264" s="69">
        <v>260</v>
      </c>
      <c r="M264" s="54">
        <f t="shared" si="8"/>
        <v>260</v>
      </c>
    </row>
    <row r="265" spans="2:13">
      <c r="B265" s="27">
        <f t="shared" si="9"/>
        <v>261</v>
      </c>
      <c r="C265" s="27">
        <f ca="1"/>
        <v>606</v>
      </c>
      <c r="D265" s="27" t="str">
        <f ca="1"/>
        <v>ベンザリン錠５</v>
      </c>
      <c r="E265" s="27">
        <f ca="1"/>
        <v>0</v>
      </c>
      <c r="F265" s="54">
        <f ca="1"/>
        <v>25</v>
      </c>
      <c r="G265" s="54" t="str">
        <f ca="1"/>
        <v>バラ</v>
      </c>
      <c r="H265" s="54" t="str">
        <f ca="1"/>
        <v>１０００Ｔ</v>
      </c>
      <c r="I265" s="54" t="str">
        <f ca="1"/>
        <v>錠</v>
      </c>
      <c r="J265" s="54" t="str">
        <f ca="1">IF(F265="","",OFFSET(分類!$B$29,MATCH(F265,分類!$A$30:$A$46,0),0))</f>
        <v>調剤棚　＆　普通薬バラ</v>
      </c>
      <c r="K265" s="69"/>
      <c r="L265" s="69">
        <v>261</v>
      </c>
      <c r="M265" s="54">
        <f t="shared" si="8"/>
        <v>261</v>
      </c>
    </row>
    <row r="266" spans="2:13">
      <c r="B266" s="27">
        <f t="shared" si="9"/>
        <v>262</v>
      </c>
      <c r="C266" s="27">
        <f ca="1"/>
        <v>611</v>
      </c>
      <c r="D266" s="27" t="str">
        <f ca="1"/>
        <v>ボグリボーズＯＤ錠０．２ｍｇ　「トーワ」</v>
      </c>
      <c r="E266" s="27">
        <f ca="1"/>
        <v>0</v>
      </c>
      <c r="F266" s="54">
        <f ca="1"/>
        <v>25</v>
      </c>
      <c r="G266" s="54" t="str">
        <f ca="1"/>
        <v>ＰＴＰ</v>
      </c>
      <c r="H266" s="54" t="str">
        <f ca="1"/>
        <v>１００Ｔ</v>
      </c>
      <c r="I266" s="54" t="str">
        <f ca="1"/>
        <v>錠</v>
      </c>
      <c r="J266" s="54" t="str">
        <f ca="1">IF(F266="","",OFFSET(分類!$B$29,MATCH(F266,分類!$A$30:$A$46,0),0))</f>
        <v>調剤棚　＆　普通薬バラ</v>
      </c>
      <c r="K266" s="69"/>
      <c r="L266" s="69">
        <v>262</v>
      </c>
      <c r="M266" s="54">
        <f t="shared" si="8"/>
        <v>262</v>
      </c>
    </row>
    <row r="267" spans="2:13">
      <c r="B267" s="27">
        <f t="shared" si="9"/>
        <v>263</v>
      </c>
      <c r="C267" s="27">
        <f ca="1"/>
        <v>612</v>
      </c>
      <c r="D267" s="27" t="str">
        <f ca="1"/>
        <v>ボグリボーズＯＤ錠０．２ｍｇ「トーワ」</v>
      </c>
      <c r="E267" s="27">
        <f ca="1"/>
        <v>0</v>
      </c>
      <c r="F267" s="54">
        <f ca="1"/>
        <v>25</v>
      </c>
      <c r="G267" s="54" t="str">
        <f ca="1"/>
        <v>バラ</v>
      </c>
      <c r="H267" s="54" t="str">
        <f ca="1"/>
        <v>５００Ｔ</v>
      </c>
      <c r="I267" s="54" t="str">
        <f ca="1"/>
        <v>錠</v>
      </c>
      <c r="J267" s="54" t="str">
        <f ca="1">IF(F267="","",OFFSET(分類!$B$29,MATCH(F267,分類!$A$30:$A$46,0),0))</f>
        <v>調剤棚　＆　普通薬バラ</v>
      </c>
      <c r="K267" s="69"/>
      <c r="L267" s="69">
        <v>263</v>
      </c>
      <c r="M267" s="54">
        <f t="shared" si="8"/>
        <v>263</v>
      </c>
    </row>
    <row r="268" spans="2:13">
      <c r="B268" s="27">
        <f t="shared" si="9"/>
        <v>264</v>
      </c>
      <c r="C268" s="27">
        <f ca="1"/>
        <v>627</v>
      </c>
      <c r="D268" s="27" t="str">
        <f ca="1"/>
        <v>マイスタン錠５ｍｇ</v>
      </c>
      <c r="E268" s="27">
        <f ca="1"/>
        <v>0</v>
      </c>
      <c r="F268" s="54">
        <f ca="1"/>
        <v>25</v>
      </c>
      <c r="G268" s="54" t="str">
        <f ca="1"/>
        <v>バラ</v>
      </c>
      <c r="H268" s="54" t="str">
        <f ca="1"/>
        <v>５００Ｔ</v>
      </c>
      <c r="I268" s="54" t="str">
        <f ca="1"/>
        <v>錠</v>
      </c>
      <c r="J268" s="54" t="str">
        <f ca="1">IF(F268="","",OFFSET(分類!$B$29,MATCH(F268,分類!$A$30:$A$46,0),0))</f>
        <v>調剤棚　＆　普通薬バラ</v>
      </c>
      <c r="K268" s="69"/>
      <c r="L268" s="69">
        <v>264</v>
      </c>
      <c r="M268" s="54">
        <f t="shared" si="8"/>
        <v>264</v>
      </c>
    </row>
    <row r="269" spans="2:13">
      <c r="B269" s="27">
        <f t="shared" si="9"/>
        <v>265</v>
      </c>
      <c r="C269" s="27">
        <f ca="1"/>
        <v>628</v>
      </c>
      <c r="D269" s="27" t="str">
        <f ca="1"/>
        <v>マイスリー錠５ｍｇ</v>
      </c>
      <c r="E269" s="27">
        <f ca="1"/>
        <v>0</v>
      </c>
      <c r="F269" s="54">
        <f ca="1"/>
        <v>25</v>
      </c>
      <c r="G269" s="54" t="str">
        <f ca="1"/>
        <v>ＰＴＰ</v>
      </c>
      <c r="H269" s="54" t="str">
        <f ca="1"/>
        <v>１００Ｔ</v>
      </c>
      <c r="I269" s="54" t="str">
        <f ca="1"/>
        <v>錠</v>
      </c>
      <c r="J269" s="54" t="str">
        <f ca="1">IF(F269="","",OFFSET(分類!$B$29,MATCH(F269,分類!$A$30:$A$46,0),0))</f>
        <v>調剤棚　＆　普通薬バラ</v>
      </c>
      <c r="K269" s="69"/>
      <c r="L269" s="69">
        <v>265</v>
      </c>
      <c r="M269" s="54">
        <f t="shared" si="8"/>
        <v>265</v>
      </c>
    </row>
    <row r="270" spans="2:13">
      <c r="B270" s="27">
        <f t="shared" si="9"/>
        <v>266</v>
      </c>
      <c r="C270" s="27">
        <f ca="1"/>
        <v>629</v>
      </c>
      <c r="D270" s="27" t="str">
        <f ca="1"/>
        <v>マイスリー錠５ｍｇ</v>
      </c>
      <c r="E270" s="27">
        <f ca="1"/>
        <v>0</v>
      </c>
      <c r="F270" s="54">
        <f ca="1"/>
        <v>25</v>
      </c>
      <c r="G270" s="54" t="str">
        <f ca="1"/>
        <v>バラ</v>
      </c>
      <c r="H270" s="54" t="str">
        <f ca="1"/>
        <v>１０００Ｔ</v>
      </c>
      <c r="I270" s="54" t="str">
        <f ca="1"/>
        <v>錠</v>
      </c>
      <c r="J270" s="54" t="str">
        <f ca="1">IF(F270="","",OFFSET(分類!$B$29,MATCH(F270,分類!$A$30:$A$46,0),0))</f>
        <v>調剤棚　＆　普通薬バラ</v>
      </c>
      <c r="K270" s="69"/>
      <c r="L270" s="69">
        <v>266</v>
      </c>
      <c r="M270" s="54">
        <f t="shared" si="8"/>
        <v>266</v>
      </c>
    </row>
    <row r="271" spans="2:13">
      <c r="B271" s="27">
        <f t="shared" si="9"/>
        <v>267</v>
      </c>
      <c r="C271" s="27">
        <f ca="1"/>
        <v>630</v>
      </c>
      <c r="D271" s="27" t="str">
        <f ca="1"/>
        <v>マグミット錠３３０ｍｇ</v>
      </c>
      <c r="E271" s="27">
        <f ca="1"/>
        <v>0</v>
      </c>
      <c r="F271" s="54">
        <f ca="1"/>
        <v>25</v>
      </c>
      <c r="G271" s="54" t="str">
        <f ca="1"/>
        <v>ＰＴＰ</v>
      </c>
      <c r="H271" s="54" t="str">
        <f ca="1"/>
        <v>１０００Ｔ</v>
      </c>
      <c r="I271" s="54" t="str">
        <f ca="1"/>
        <v>錠</v>
      </c>
      <c r="J271" s="54" t="str">
        <f ca="1">IF(F271="","",OFFSET(分類!$B$29,MATCH(F271,分類!$A$30:$A$46,0),0))</f>
        <v>調剤棚　＆　普通薬バラ</v>
      </c>
      <c r="K271" s="69"/>
      <c r="L271" s="69">
        <v>267</v>
      </c>
      <c r="M271" s="54">
        <f t="shared" si="8"/>
        <v>267</v>
      </c>
    </row>
    <row r="272" spans="2:13">
      <c r="B272" s="27">
        <f t="shared" si="9"/>
        <v>268</v>
      </c>
      <c r="C272" s="27">
        <f ca="1"/>
        <v>631</v>
      </c>
      <c r="D272" s="27" t="str">
        <f ca="1"/>
        <v>マグミット錠３３０ｍｇ</v>
      </c>
      <c r="E272" s="27">
        <f ca="1"/>
        <v>0</v>
      </c>
      <c r="F272" s="54">
        <f ca="1"/>
        <v>25</v>
      </c>
      <c r="G272" s="54" t="str">
        <f ca="1"/>
        <v>バラ</v>
      </c>
      <c r="H272" s="54" t="str">
        <f ca="1"/>
        <v>１０００Ｔ</v>
      </c>
      <c r="I272" s="54" t="str">
        <f ca="1"/>
        <v>錠</v>
      </c>
      <c r="J272" s="54" t="str">
        <f ca="1">IF(F272="","",OFFSET(分類!$B$29,MATCH(F272,分類!$A$30:$A$46,0),0))</f>
        <v>調剤棚　＆　普通薬バラ</v>
      </c>
      <c r="K272" s="69"/>
      <c r="L272" s="69">
        <v>268</v>
      </c>
      <c r="M272" s="54">
        <f t="shared" si="8"/>
        <v>268</v>
      </c>
    </row>
    <row r="273" spans="2:13">
      <c r="B273" s="27">
        <f t="shared" si="9"/>
        <v>269</v>
      </c>
      <c r="C273" s="27">
        <f ca="1"/>
        <v>632</v>
      </c>
      <c r="D273" s="27" t="str">
        <f ca="1"/>
        <v>マグミット錠５００ｍｇ</v>
      </c>
      <c r="E273" s="27">
        <f ca="1"/>
        <v>0</v>
      </c>
      <c r="F273" s="54">
        <f ca="1"/>
        <v>25</v>
      </c>
      <c r="G273" s="54" t="str">
        <f ca="1"/>
        <v>ＰＴＰ</v>
      </c>
      <c r="H273" s="54" t="str">
        <f ca="1"/>
        <v>５００Ｔ</v>
      </c>
      <c r="I273" s="54" t="str">
        <f ca="1"/>
        <v>錠</v>
      </c>
      <c r="J273" s="54" t="str">
        <f ca="1">IF(F273="","",OFFSET(分類!$B$29,MATCH(F273,分類!$A$30:$A$46,0),0))</f>
        <v>調剤棚　＆　普通薬バラ</v>
      </c>
      <c r="K273" s="69"/>
      <c r="L273" s="69">
        <v>269</v>
      </c>
      <c r="M273" s="54">
        <f t="shared" si="8"/>
        <v>269</v>
      </c>
    </row>
    <row r="274" spans="2:13">
      <c r="B274" s="27">
        <f t="shared" si="9"/>
        <v>270</v>
      </c>
      <c r="C274" s="27">
        <f ca="1"/>
        <v>633</v>
      </c>
      <c r="D274" s="27" t="str">
        <f ca="1"/>
        <v>マグミット錠５００ｍｇ</v>
      </c>
      <c r="E274" s="27">
        <f ca="1"/>
        <v>0</v>
      </c>
      <c r="F274" s="54">
        <f ca="1"/>
        <v>25</v>
      </c>
      <c r="G274" s="54" t="str">
        <f ca="1"/>
        <v>バラ</v>
      </c>
      <c r="H274" s="54" t="str">
        <f ca="1"/>
        <v>５００Ｔ</v>
      </c>
      <c r="I274" s="54" t="str">
        <f ca="1"/>
        <v>錠</v>
      </c>
      <c r="J274" s="54" t="str">
        <f ca="1">IF(F274="","",OFFSET(分類!$B$29,MATCH(F274,分類!$A$30:$A$46,0),0))</f>
        <v>調剤棚　＆　普通薬バラ</v>
      </c>
      <c r="K274" s="69"/>
      <c r="L274" s="69">
        <v>270</v>
      </c>
      <c r="M274" s="54">
        <f t="shared" si="8"/>
        <v>270</v>
      </c>
    </row>
    <row r="275" spans="2:13">
      <c r="B275" s="27">
        <f t="shared" si="9"/>
        <v>271</v>
      </c>
      <c r="C275" s="27">
        <f ca="1"/>
        <v>635</v>
      </c>
      <c r="D275" s="27" t="str">
        <f ca="1"/>
        <v>マプロチリン塩酸塩錠１０ｍｇ「アメル」</v>
      </c>
      <c r="E275" s="27">
        <f ca="1"/>
        <v>0</v>
      </c>
      <c r="F275" s="54">
        <f ca="1"/>
        <v>25</v>
      </c>
      <c r="G275" s="54" t="str">
        <f ca="1"/>
        <v>ＰＴＰ</v>
      </c>
      <c r="H275" s="54" t="str">
        <f ca="1"/>
        <v>１００Ｔ</v>
      </c>
      <c r="I275" s="54" t="str">
        <f ca="1"/>
        <v>錠</v>
      </c>
      <c r="J275" s="54" t="str">
        <f ca="1">IF(F275="","",OFFSET(分類!$B$29,MATCH(F275,分類!$A$30:$A$46,0),0))</f>
        <v>調剤棚　＆　普通薬バラ</v>
      </c>
      <c r="K275" s="69"/>
      <c r="L275" s="69">
        <v>271</v>
      </c>
      <c r="M275" s="54">
        <f t="shared" si="8"/>
        <v>271</v>
      </c>
    </row>
    <row r="276" spans="2:13">
      <c r="B276" s="27">
        <f t="shared" si="9"/>
        <v>272</v>
      </c>
      <c r="C276" s="27">
        <f ca="1"/>
        <v>636</v>
      </c>
      <c r="D276" s="27" t="str">
        <f ca="1"/>
        <v>マプロチリン塩酸塩錠２５ｍｇ「アメル」</v>
      </c>
      <c r="E276" s="27">
        <f ca="1"/>
        <v>0</v>
      </c>
      <c r="F276" s="54">
        <f ca="1"/>
        <v>25</v>
      </c>
      <c r="G276" s="54" t="str">
        <f ca="1"/>
        <v>ＰＴＰ</v>
      </c>
      <c r="H276" s="54" t="str">
        <f ca="1"/>
        <v>１００Ｔ</v>
      </c>
      <c r="I276" s="54" t="str">
        <f ca="1"/>
        <v>錠</v>
      </c>
      <c r="J276" s="54" t="str">
        <f ca="1">IF(F276="","",OFFSET(分類!$B$29,MATCH(F276,分類!$A$30:$A$46,0),0))</f>
        <v>調剤棚　＆　普通薬バラ</v>
      </c>
      <c r="K276" s="69"/>
      <c r="L276" s="69">
        <v>272</v>
      </c>
      <c r="M276" s="54">
        <f t="shared" si="8"/>
        <v>272</v>
      </c>
    </row>
    <row r="277" spans="2:13">
      <c r="B277" s="27">
        <f t="shared" si="9"/>
        <v>273</v>
      </c>
      <c r="C277" s="27">
        <f ca="1"/>
        <v>638</v>
      </c>
      <c r="D277" s="27" t="str">
        <f ca="1"/>
        <v>ミチグリニドＣａ・ＯＤ錠１０ｍｇ「三和」</v>
      </c>
      <c r="E277" s="27">
        <f ca="1"/>
        <v>0</v>
      </c>
      <c r="F277" s="54">
        <f ca="1"/>
        <v>5</v>
      </c>
      <c r="G277" s="54" t="str">
        <f ca="1"/>
        <v>ＰＴＰ</v>
      </c>
      <c r="H277" s="54" t="str">
        <f ca="1"/>
        <v>１００Ｔ</v>
      </c>
      <c r="I277" s="54" t="str">
        <f ca="1"/>
        <v>錠</v>
      </c>
      <c r="J277" s="54" t="str">
        <f ca="1">IF(F277="","",OFFSET(分類!$B$29,MATCH(F277,分類!$A$30:$A$46,0),0))</f>
        <v>普通薬バラ</v>
      </c>
      <c r="K277" s="69"/>
      <c r="L277" s="69">
        <v>273</v>
      </c>
      <c r="M277" s="54">
        <f t="shared" si="8"/>
        <v>273</v>
      </c>
    </row>
    <row r="278" spans="2:13">
      <c r="B278" s="27">
        <f t="shared" si="9"/>
        <v>274</v>
      </c>
      <c r="C278" s="27">
        <f ca="1"/>
        <v>639</v>
      </c>
      <c r="D278" s="27" t="str">
        <f ca="1"/>
        <v>ミドドリン塩酸塩錠２ｍｇ「トーワ」</v>
      </c>
      <c r="E278" s="27">
        <f ca="1"/>
        <v>0</v>
      </c>
      <c r="F278" s="54">
        <f ca="1"/>
        <v>25</v>
      </c>
      <c r="G278" s="54" t="str">
        <f ca="1"/>
        <v>ＰＴＰ</v>
      </c>
      <c r="H278" s="54" t="str">
        <f ca="1"/>
        <v>１００Ｔ</v>
      </c>
      <c r="I278" s="54" t="str">
        <f ca="1"/>
        <v>錠</v>
      </c>
      <c r="J278" s="54" t="str">
        <f ca="1">IF(F278="","",OFFSET(分類!$B$29,MATCH(F278,分類!$A$30:$A$46,0),0))</f>
        <v>調剤棚　＆　普通薬バラ</v>
      </c>
      <c r="K278" s="69"/>
      <c r="L278" s="69">
        <v>274</v>
      </c>
      <c r="M278" s="54">
        <f t="shared" si="8"/>
        <v>274</v>
      </c>
    </row>
    <row r="279" spans="2:13">
      <c r="B279" s="27">
        <f t="shared" si="9"/>
        <v>275</v>
      </c>
      <c r="C279" s="27">
        <f ca="1"/>
        <v>641</v>
      </c>
      <c r="D279" s="27" t="str">
        <f ca="1"/>
        <v>ミノドロン酸錠５０ｍｇ「ＪＧ」</v>
      </c>
      <c r="E279" s="27">
        <f ca="1"/>
        <v>2</v>
      </c>
      <c r="F279" s="54">
        <f ca="1"/>
        <v>1</v>
      </c>
      <c r="G279" s="54" t="str">
        <f ca="1"/>
        <v>ＰＴＰ</v>
      </c>
      <c r="H279" s="54" t="str">
        <f ca="1"/>
        <v>２Ｔ</v>
      </c>
      <c r="I279" s="54" t="str">
        <f ca="1"/>
        <v>錠</v>
      </c>
      <c r="J279" s="54" t="str">
        <f ca="1">IF(F279="","",OFFSET(分類!$B$29,MATCH(F279,分類!$A$30:$A$46,0),0))</f>
        <v>調剤棚</v>
      </c>
      <c r="K279" s="69"/>
      <c r="L279" s="69">
        <v>275</v>
      </c>
      <c r="M279" s="54">
        <f t="shared" si="8"/>
        <v>275</v>
      </c>
    </row>
    <row r="280" spans="2:13">
      <c r="B280" s="27">
        <f t="shared" si="9"/>
        <v>276</v>
      </c>
      <c r="C280" s="27">
        <f ca="1"/>
        <v>642</v>
      </c>
      <c r="D280" s="27" t="str">
        <f ca="1"/>
        <v>ミルタザピンＯＤ錠１５ｍｇ「サワイ」</v>
      </c>
      <c r="E280" s="27">
        <f ca="1"/>
        <v>2</v>
      </c>
      <c r="F280" s="54">
        <f ca="1"/>
        <v>26</v>
      </c>
      <c r="G280" s="54" t="str">
        <f ca="1"/>
        <v>ＰＴＰ</v>
      </c>
      <c r="H280" s="54" t="str">
        <f ca="1"/>
        <v>１００Ｔ</v>
      </c>
      <c r="I280" s="54" t="str">
        <f ca="1"/>
        <v>錠</v>
      </c>
      <c r="J280" s="54" t="str">
        <f ca="1">IF(F280="","",OFFSET(分類!$B$29,MATCH(F280,分類!$A$30:$A$46,0),0))</f>
        <v>調剤棚　＆　劇薬バラ</v>
      </c>
      <c r="K280" s="69"/>
      <c r="L280" s="69">
        <v>276</v>
      </c>
      <c r="M280" s="54">
        <f t="shared" si="8"/>
        <v>276</v>
      </c>
    </row>
    <row r="281" spans="2:13">
      <c r="B281" s="27">
        <f t="shared" si="9"/>
        <v>277</v>
      </c>
      <c r="C281" s="27">
        <f ca="1"/>
        <v>643</v>
      </c>
      <c r="D281" s="27" t="str">
        <f ca="1"/>
        <v>ミルタザピンＯＤ錠１５ｍｇ「サワイ」</v>
      </c>
      <c r="E281" s="27">
        <f ca="1"/>
        <v>2</v>
      </c>
      <c r="F281" s="54">
        <f ca="1"/>
        <v>26</v>
      </c>
      <c r="G281" s="54" t="str">
        <f ca="1"/>
        <v>バラ</v>
      </c>
      <c r="H281" s="54" t="str">
        <f ca="1"/>
        <v>２００Ｔ</v>
      </c>
      <c r="I281" s="54" t="str">
        <f ca="1"/>
        <v>錠</v>
      </c>
      <c r="J281" s="54" t="str">
        <f ca="1">IF(F281="","",OFFSET(分類!$B$29,MATCH(F281,分類!$A$30:$A$46,0),0))</f>
        <v>調剤棚　＆　劇薬バラ</v>
      </c>
      <c r="K281" s="69"/>
      <c r="L281" s="69">
        <v>277</v>
      </c>
      <c r="M281" s="54">
        <f t="shared" si="8"/>
        <v>277</v>
      </c>
    </row>
    <row r="282" spans="2:13">
      <c r="B282" s="27">
        <f t="shared" si="9"/>
        <v>278</v>
      </c>
      <c r="C282" s="27">
        <f ca="1"/>
        <v>645</v>
      </c>
      <c r="D282" s="27" t="str">
        <f ca="1"/>
        <v>メイラックス錠１ｍｇ</v>
      </c>
      <c r="E282" s="27">
        <f ca="1"/>
        <v>0</v>
      </c>
      <c r="F282" s="54">
        <f ca="1"/>
        <v>25</v>
      </c>
      <c r="G282" s="54" t="str">
        <f ca="1"/>
        <v>ＰＴＰ</v>
      </c>
      <c r="H282" s="54" t="str">
        <f ca="1"/>
        <v>５００Ｔ</v>
      </c>
      <c r="I282" s="54" t="str">
        <f ca="1"/>
        <v>錠</v>
      </c>
      <c r="J282" s="54" t="str">
        <f ca="1">IF(F282="","",OFFSET(分類!$B$29,MATCH(F282,分類!$A$30:$A$46,0),0))</f>
        <v>調剤棚　＆　普通薬バラ</v>
      </c>
      <c r="K282" s="69"/>
      <c r="L282" s="69">
        <v>278</v>
      </c>
      <c r="M282" s="54">
        <f t="shared" si="8"/>
        <v>278</v>
      </c>
    </row>
    <row r="283" spans="2:13">
      <c r="B283" s="27">
        <f t="shared" si="9"/>
        <v>279</v>
      </c>
      <c r="C283" s="27">
        <f ca="1"/>
        <v>648</v>
      </c>
      <c r="D283" s="27" t="str">
        <f ca="1"/>
        <v>メコバラミン錠５００「トーワ」</v>
      </c>
      <c r="E283" s="27">
        <f ca="1"/>
        <v>0</v>
      </c>
      <c r="F283" s="54">
        <f ca="1"/>
        <v>25</v>
      </c>
      <c r="G283" s="54" t="str">
        <f ca="1"/>
        <v>ＰＴＰ</v>
      </c>
      <c r="H283" s="54" t="str">
        <f ca="1"/>
        <v>１０００Ｔ</v>
      </c>
      <c r="I283" s="54" t="str">
        <f ca="1"/>
        <v>錠</v>
      </c>
      <c r="J283" s="54" t="str">
        <f ca="1">IF(F283="","",OFFSET(分類!$B$29,MATCH(F283,分類!$A$30:$A$46,0),0))</f>
        <v>調剤棚　＆　普通薬バラ</v>
      </c>
      <c r="K283" s="69"/>
      <c r="L283" s="69">
        <v>279</v>
      </c>
      <c r="M283" s="54">
        <f t="shared" si="8"/>
        <v>279</v>
      </c>
    </row>
    <row r="284" spans="2:13">
      <c r="B284" s="27">
        <f t="shared" si="9"/>
        <v>280</v>
      </c>
      <c r="C284" s="27">
        <f ca="1"/>
        <v>649</v>
      </c>
      <c r="D284" s="27" t="str">
        <f ca="1"/>
        <v>メコバラミン錠５００「トーワ」</v>
      </c>
      <c r="E284" s="27">
        <f ca="1"/>
        <v>0</v>
      </c>
      <c r="F284" s="54">
        <f ca="1"/>
        <v>25</v>
      </c>
      <c r="G284" s="54" t="str">
        <f ca="1"/>
        <v>バラ</v>
      </c>
      <c r="H284" s="54" t="str">
        <f ca="1"/>
        <v>１０００Ｔ</v>
      </c>
      <c r="I284" s="54" t="str">
        <f ca="1"/>
        <v>錠</v>
      </c>
      <c r="J284" s="54" t="str">
        <f ca="1">IF(F284="","",OFFSET(分類!$B$29,MATCH(F284,分類!$A$30:$A$46,0),0))</f>
        <v>調剤棚　＆　普通薬バラ</v>
      </c>
      <c r="K284" s="69"/>
      <c r="L284" s="69">
        <v>280</v>
      </c>
      <c r="M284" s="54">
        <f t="shared" si="8"/>
        <v>280</v>
      </c>
    </row>
    <row r="285" spans="2:13">
      <c r="B285" s="27">
        <f t="shared" si="9"/>
        <v>281</v>
      </c>
      <c r="C285" s="27">
        <f ca="1"/>
        <v>651</v>
      </c>
      <c r="D285" s="27" t="str">
        <f ca="1"/>
        <v>メトホルミン塩酸塩錠２５０ｍｇＭＴ「ＤＳＰＢ」</v>
      </c>
      <c r="E285" s="27">
        <f ca="1"/>
        <v>2</v>
      </c>
      <c r="F285" s="54">
        <f ca="1"/>
        <v>26</v>
      </c>
      <c r="G285" s="54" t="str">
        <f ca="1"/>
        <v>バラ</v>
      </c>
      <c r="H285" s="54" t="str">
        <f ca="1"/>
        <v>５００Ｔ</v>
      </c>
      <c r="I285" s="54" t="str">
        <f ca="1"/>
        <v>錠</v>
      </c>
      <c r="J285" s="54" t="str">
        <f ca="1">IF(F285="","",OFFSET(分類!$B$29,MATCH(F285,分類!$A$30:$A$46,0),0))</f>
        <v>調剤棚　＆　劇薬バラ</v>
      </c>
      <c r="K285" s="69"/>
      <c r="L285" s="69">
        <v>281</v>
      </c>
      <c r="M285" s="54">
        <f t="shared" si="8"/>
        <v>281</v>
      </c>
    </row>
    <row r="286" spans="2:13">
      <c r="B286" s="27">
        <f t="shared" si="9"/>
        <v>282</v>
      </c>
      <c r="C286" s="27">
        <f ca="1"/>
        <v>653</v>
      </c>
      <c r="D286" s="27" t="str">
        <f ca="1"/>
        <v>メマンチン塩酸塩ＯＤ錠２０ｍｇ「ＤＳＥＰ」</v>
      </c>
      <c r="E286" s="27">
        <f ca="1"/>
        <v>2</v>
      </c>
      <c r="F286" s="54">
        <f ca="1"/>
        <v>26</v>
      </c>
      <c r="G286" s="54" t="str">
        <f ca="1"/>
        <v>ＰＴＰ</v>
      </c>
      <c r="H286" s="54" t="str">
        <f ca="1"/>
        <v>５６Ｔ</v>
      </c>
      <c r="I286" s="54" t="str">
        <f ca="1"/>
        <v>錠</v>
      </c>
      <c r="J286" s="54" t="str">
        <f ca="1">IF(F286="","",OFFSET(分類!$B$29,MATCH(F286,分類!$A$30:$A$46,0),0))</f>
        <v>調剤棚　＆　劇薬バラ</v>
      </c>
      <c r="K286" s="69"/>
      <c r="L286" s="69">
        <v>282</v>
      </c>
      <c r="M286" s="54">
        <f t="shared" si="8"/>
        <v>282</v>
      </c>
    </row>
    <row r="287" spans="2:13">
      <c r="B287" s="27">
        <f t="shared" si="9"/>
        <v>283</v>
      </c>
      <c r="C287" s="27">
        <f ca="1"/>
        <v>654</v>
      </c>
      <c r="D287" s="27" t="str">
        <f ca="1"/>
        <v>メマンチン塩酸塩ＯＤ錠２０ｍｇ「ＤＳＥＰ」</v>
      </c>
      <c r="E287" s="27">
        <f ca="1"/>
        <v>2</v>
      </c>
      <c r="F287" s="54">
        <f ca="1"/>
        <v>26</v>
      </c>
      <c r="G287" s="54" t="str">
        <f ca="1"/>
        <v>バラ</v>
      </c>
      <c r="H287" s="54" t="str">
        <f ca="1"/>
        <v>１００Ｔ</v>
      </c>
      <c r="I287" s="54" t="str">
        <f ca="1"/>
        <v>錠</v>
      </c>
      <c r="J287" s="54" t="str">
        <f ca="1">IF(F287="","",OFFSET(分類!$B$29,MATCH(F287,分類!$A$30:$A$46,0),0))</f>
        <v>調剤棚　＆　劇薬バラ</v>
      </c>
      <c r="K287" s="69"/>
      <c r="L287" s="69">
        <v>283</v>
      </c>
      <c r="M287" s="54">
        <f t="shared" si="8"/>
        <v>283</v>
      </c>
    </row>
    <row r="288" spans="2:13">
      <c r="B288" s="27">
        <f t="shared" si="9"/>
        <v>284</v>
      </c>
      <c r="C288" s="27">
        <f ca="1"/>
        <v>655</v>
      </c>
      <c r="D288" s="27" t="str">
        <f ca="1"/>
        <v>メマンチン塩酸塩ＯＤ錠５ｍｇ「ＤＳＥＰ」</v>
      </c>
      <c r="E288" s="27">
        <f ca="1"/>
        <v>2</v>
      </c>
      <c r="F288" s="54">
        <f ca="1"/>
        <v>26</v>
      </c>
      <c r="G288" s="54" t="str">
        <f ca="1"/>
        <v>ＰＴＰ</v>
      </c>
      <c r="H288" s="54" t="str">
        <f ca="1"/>
        <v>５６Ｔ</v>
      </c>
      <c r="I288" s="54" t="str">
        <f ca="1"/>
        <v>錠</v>
      </c>
      <c r="J288" s="54" t="str">
        <f ca="1">IF(F288="","",OFFSET(分類!$B$29,MATCH(F288,分類!$A$30:$A$46,0),0))</f>
        <v>調剤棚　＆　劇薬バラ</v>
      </c>
      <c r="K288" s="69"/>
      <c r="L288" s="69">
        <v>284</v>
      </c>
      <c r="M288" s="54">
        <f t="shared" si="8"/>
        <v>284</v>
      </c>
    </row>
    <row r="289" spans="2:13">
      <c r="B289" s="27">
        <f t="shared" si="9"/>
        <v>285</v>
      </c>
      <c r="C289" s="27">
        <f ca="1"/>
        <v>656</v>
      </c>
      <c r="D289" s="27" t="str">
        <f ca="1"/>
        <v>メマンチン塩酸塩ＯＤ錠５ｍｇ「ＤＳＥＰ」</v>
      </c>
      <c r="E289" s="27">
        <f ca="1"/>
        <v>2</v>
      </c>
      <c r="F289" s="54">
        <f ca="1"/>
        <v>26</v>
      </c>
      <c r="G289" s="54" t="str">
        <f ca="1"/>
        <v>バラ</v>
      </c>
      <c r="H289" s="54" t="str">
        <f ca="1"/>
        <v>１００Ｔ</v>
      </c>
      <c r="I289" s="54" t="str">
        <f ca="1"/>
        <v>錠</v>
      </c>
      <c r="J289" s="54" t="str">
        <f ca="1">IF(F289="","",OFFSET(分類!$B$29,MATCH(F289,分類!$A$30:$A$46,0),0))</f>
        <v>調剤棚　＆　劇薬バラ</v>
      </c>
      <c r="K289" s="69"/>
      <c r="L289" s="69">
        <v>285</v>
      </c>
      <c r="M289" s="54">
        <f t="shared" si="8"/>
        <v>285</v>
      </c>
    </row>
    <row r="290" spans="2:13">
      <c r="B290" s="27">
        <f t="shared" si="9"/>
        <v>286</v>
      </c>
      <c r="C290" s="27">
        <f ca="1"/>
        <v>661</v>
      </c>
      <c r="D290" s="27" t="str">
        <f ca="1"/>
        <v>モサプリドクエン酸塩錠５ｍｇ「日医工」</v>
      </c>
      <c r="E290" s="27">
        <f ca="1"/>
        <v>0</v>
      </c>
      <c r="F290" s="54">
        <f ca="1"/>
        <v>25</v>
      </c>
      <c r="G290" s="54" t="str">
        <f ca="1"/>
        <v>ＰＴＰ</v>
      </c>
      <c r="H290" s="54" t="str">
        <f ca="1"/>
        <v>１００Ｔ</v>
      </c>
      <c r="I290" s="54" t="str">
        <f ca="1"/>
        <v>錠</v>
      </c>
      <c r="J290" s="54" t="str">
        <f ca="1">IF(F290="","",OFFSET(分類!$B$29,MATCH(F290,分類!$A$30:$A$46,0),0))</f>
        <v>調剤棚　＆　普通薬バラ</v>
      </c>
      <c r="K290" s="69"/>
      <c r="L290" s="69">
        <v>286</v>
      </c>
      <c r="M290" s="54">
        <f t="shared" si="8"/>
        <v>286</v>
      </c>
    </row>
    <row r="291" spans="2:13">
      <c r="B291" s="27">
        <f t="shared" si="9"/>
        <v>287</v>
      </c>
      <c r="C291" s="27">
        <f ca="1"/>
        <v>662</v>
      </c>
      <c r="D291" s="27" t="str">
        <f ca="1"/>
        <v>モサプリドクエン酸塩錠５ｍｇ「日医工」</v>
      </c>
      <c r="E291" s="27">
        <f ca="1"/>
        <v>0</v>
      </c>
      <c r="F291" s="54">
        <f ca="1"/>
        <v>25</v>
      </c>
      <c r="G291" s="54" t="str">
        <f ca="1"/>
        <v>バラ</v>
      </c>
      <c r="H291" s="54" t="str">
        <f ca="1"/>
        <v>１０００Ｔ</v>
      </c>
      <c r="I291" s="54" t="str">
        <f ca="1"/>
        <v>錠</v>
      </c>
      <c r="J291" s="54" t="str">
        <f ca="1">IF(F291="","",OFFSET(分類!$B$29,MATCH(F291,分類!$A$30:$A$46,0),0))</f>
        <v>調剤棚　＆　普通薬バラ</v>
      </c>
      <c r="K291" s="69"/>
      <c r="L291" s="69">
        <v>287</v>
      </c>
      <c r="M291" s="54">
        <f t="shared" si="8"/>
        <v>287</v>
      </c>
    </row>
    <row r="292" spans="2:13">
      <c r="B292" s="27">
        <f t="shared" si="9"/>
        <v>288</v>
      </c>
      <c r="C292" s="27">
        <f ca="1"/>
        <v>663</v>
      </c>
      <c r="D292" s="27" t="str">
        <f ca="1"/>
        <v>モディオダール錠１００ｍｇ</v>
      </c>
      <c r="E292" s="27">
        <f ca="1"/>
        <v>2</v>
      </c>
      <c r="F292" s="54">
        <f ca="1"/>
        <v>3</v>
      </c>
      <c r="G292" s="54" t="str">
        <f ca="1"/>
        <v>ＰＴＰ</v>
      </c>
      <c r="H292" s="54" t="str">
        <f ca="1"/>
        <v>１００Ｔ</v>
      </c>
      <c r="I292" s="54" t="str">
        <f ca="1"/>
        <v>錠</v>
      </c>
      <c r="J292" s="54" t="str">
        <f ca="1">IF(F292="","",OFFSET(分類!$B$29,MATCH(F292,分類!$A$30:$A$46,0),0))</f>
        <v>外用.臨時.散薬ヒート</v>
      </c>
      <c r="K292" s="69"/>
      <c r="L292" s="69">
        <v>288</v>
      </c>
      <c r="M292" s="54">
        <f t="shared" si="8"/>
        <v>288</v>
      </c>
    </row>
    <row r="293" spans="2:13">
      <c r="B293" s="27">
        <f t="shared" si="9"/>
        <v>289</v>
      </c>
      <c r="C293" s="27">
        <f ca="1"/>
        <v>665</v>
      </c>
      <c r="D293" s="27" t="str">
        <f ca="1"/>
        <v>ユーロジン２ｍｇ錠</v>
      </c>
      <c r="E293" s="27">
        <f ca="1"/>
        <v>0</v>
      </c>
      <c r="F293" s="54">
        <f ca="1"/>
        <v>25</v>
      </c>
      <c r="G293" s="54" t="str">
        <f ca="1"/>
        <v>ＰＴＰ</v>
      </c>
      <c r="H293" s="54" t="str">
        <f ca="1"/>
        <v>１００Ｔ</v>
      </c>
      <c r="I293" s="54" t="str">
        <f ca="1"/>
        <v>錠</v>
      </c>
      <c r="J293" s="54" t="str">
        <f ca="1">IF(F293="","",OFFSET(分類!$B$29,MATCH(F293,分類!$A$30:$A$46,0),0))</f>
        <v>調剤棚　＆　普通薬バラ</v>
      </c>
      <c r="K293" s="69"/>
      <c r="L293" s="69">
        <v>289</v>
      </c>
      <c r="M293" s="54">
        <f t="shared" si="8"/>
        <v>289</v>
      </c>
    </row>
    <row r="294" spans="2:13">
      <c r="B294" s="27">
        <f t="shared" si="9"/>
        <v>290</v>
      </c>
      <c r="C294" s="27">
        <f ca="1"/>
        <v>679</v>
      </c>
      <c r="D294" s="27" t="str">
        <f ca="1"/>
        <v>ラツーダ錠２０ｍｇ</v>
      </c>
      <c r="E294" s="27">
        <f ca="1"/>
        <v>2</v>
      </c>
      <c r="F294" s="54">
        <f ca="1"/>
        <v>26</v>
      </c>
      <c r="G294" s="54" t="str">
        <f ca="1"/>
        <v>ＰＴＰ</v>
      </c>
      <c r="H294" s="54" t="str">
        <f ca="1"/>
        <v>１００Ｔ</v>
      </c>
      <c r="I294" s="54" t="str">
        <f ca="1"/>
        <v>錠</v>
      </c>
      <c r="J294" s="54" t="str">
        <f ca="1">IF(F294="","",OFFSET(分類!$B$29,MATCH(F294,分類!$A$30:$A$46,0),0))</f>
        <v>調剤棚　＆　劇薬バラ</v>
      </c>
      <c r="K294" s="69"/>
      <c r="L294" s="69">
        <v>290</v>
      </c>
      <c r="M294" s="54">
        <f t="shared" si="8"/>
        <v>290</v>
      </c>
    </row>
    <row r="295" spans="2:13">
      <c r="B295" s="27">
        <f t="shared" si="9"/>
        <v>291</v>
      </c>
      <c r="C295" s="27">
        <f ca="1"/>
        <v>680</v>
      </c>
      <c r="D295" s="27" t="str">
        <f ca="1"/>
        <v>ラツーダ錠２０ｍｇ</v>
      </c>
      <c r="E295" s="27">
        <f ca="1"/>
        <v>2</v>
      </c>
      <c r="F295" s="54">
        <f ca="1"/>
        <v>26</v>
      </c>
      <c r="G295" s="54" t="str">
        <f ca="1"/>
        <v>バラ</v>
      </c>
      <c r="H295" s="54" t="str">
        <f ca="1"/>
        <v>５００Ｔ</v>
      </c>
      <c r="I295" s="54" t="str">
        <f ca="1"/>
        <v>錠</v>
      </c>
      <c r="J295" s="54" t="str">
        <f ca="1">IF(F295="","",OFFSET(分類!$B$29,MATCH(F295,分類!$A$30:$A$46,0),0))</f>
        <v>調剤棚　＆　劇薬バラ</v>
      </c>
      <c r="K295" s="69"/>
      <c r="L295" s="69">
        <v>291</v>
      </c>
      <c r="M295" s="54">
        <f t="shared" si="8"/>
        <v>291</v>
      </c>
    </row>
    <row r="296" spans="2:13">
      <c r="B296" s="27">
        <f t="shared" si="9"/>
        <v>292</v>
      </c>
      <c r="C296" s="27">
        <f ca="1"/>
        <v>681</v>
      </c>
      <c r="D296" s="27" t="str">
        <f ca="1"/>
        <v>ラツーダ錠４０ｍｇ</v>
      </c>
      <c r="E296" s="27">
        <f ca="1"/>
        <v>2</v>
      </c>
      <c r="F296" s="54">
        <f ca="1"/>
        <v>26</v>
      </c>
      <c r="G296" s="54" t="str">
        <f ca="1"/>
        <v>ＰＴＰ</v>
      </c>
      <c r="H296" s="54" t="str">
        <f ca="1"/>
        <v>１００Ｔ</v>
      </c>
      <c r="I296" s="54" t="str">
        <f ca="1"/>
        <v>錠</v>
      </c>
      <c r="J296" s="54" t="str">
        <f ca="1">IF(F296="","",OFFSET(分類!$B$29,MATCH(F296,分類!$A$30:$A$46,0),0))</f>
        <v>調剤棚　＆　劇薬バラ</v>
      </c>
      <c r="K296" s="69"/>
      <c r="L296" s="69">
        <v>292</v>
      </c>
      <c r="M296" s="54">
        <f t="shared" si="8"/>
        <v>292</v>
      </c>
    </row>
    <row r="297" spans="2:13">
      <c r="B297" s="27">
        <f t="shared" si="9"/>
        <v>293</v>
      </c>
      <c r="C297" s="27">
        <f ca="1"/>
        <v>682</v>
      </c>
      <c r="D297" s="27" t="str">
        <f ca="1"/>
        <v>ラツーダ錠４０ｍｇ</v>
      </c>
      <c r="E297" s="27">
        <f ca="1"/>
        <v>2</v>
      </c>
      <c r="F297" s="54">
        <f ca="1"/>
        <v>26</v>
      </c>
      <c r="G297" s="54" t="str">
        <f ca="1"/>
        <v>バラ</v>
      </c>
      <c r="H297" s="54" t="str">
        <f ca="1"/>
        <v>５００Ｔ</v>
      </c>
      <c r="I297" s="54" t="str">
        <f ca="1"/>
        <v>錠</v>
      </c>
      <c r="J297" s="54" t="str">
        <f ca="1">IF(F297="","",OFFSET(分類!$B$29,MATCH(F297,分類!$A$30:$A$46,0),0))</f>
        <v>調剤棚　＆　劇薬バラ</v>
      </c>
      <c r="K297" s="69"/>
      <c r="L297" s="69">
        <v>293</v>
      </c>
      <c r="M297" s="54">
        <f t="shared" si="8"/>
        <v>293</v>
      </c>
    </row>
    <row r="298" spans="2:13">
      <c r="B298" s="27">
        <f t="shared" si="9"/>
        <v>294</v>
      </c>
      <c r="C298" s="27">
        <f ca="1"/>
        <v>684</v>
      </c>
      <c r="D298" s="27" t="str">
        <f ca="1"/>
        <v>ラメルテオン錠８ｍｇ「トーワ」</v>
      </c>
      <c r="E298" s="27">
        <f ca="1"/>
        <v>0</v>
      </c>
      <c r="F298" s="54">
        <f ca="1"/>
        <v>25</v>
      </c>
      <c r="G298" s="54" t="str">
        <f ca="1"/>
        <v>ＰＴＰ</v>
      </c>
      <c r="H298" s="54" t="str">
        <f ca="1"/>
        <v>１００Ｔ</v>
      </c>
      <c r="I298" s="54" t="str">
        <f ca="1"/>
        <v>錠</v>
      </c>
      <c r="J298" s="54" t="str">
        <f ca="1">IF(F298="","",OFFSET(分類!$B$29,MATCH(F298,分類!$A$30:$A$46,0),0))</f>
        <v>調剤棚　＆　普通薬バラ</v>
      </c>
      <c r="K298" s="69"/>
      <c r="L298" s="69">
        <v>294</v>
      </c>
      <c r="M298" s="54">
        <f t="shared" si="8"/>
        <v>294</v>
      </c>
    </row>
    <row r="299" spans="2:13">
      <c r="B299" s="27">
        <f t="shared" si="9"/>
        <v>295</v>
      </c>
      <c r="C299" s="27">
        <f ca="1"/>
        <v>685</v>
      </c>
      <c r="D299" s="27" t="str">
        <f ca="1"/>
        <v>ラメルテオン錠８ｍｇ「トーワ」</v>
      </c>
      <c r="E299" s="27">
        <f ca="1"/>
        <v>0</v>
      </c>
      <c r="F299" s="54">
        <f ca="1"/>
        <v>25</v>
      </c>
      <c r="G299" s="54" t="str">
        <f ca="1"/>
        <v>バラ</v>
      </c>
      <c r="H299" s="54" t="str">
        <f ca="1"/>
        <v>３００Ｔ</v>
      </c>
      <c r="I299" s="54" t="str">
        <f ca="1"/>
        <v>錠</v>
      </c>
      <c r="J299" s="54" t="str">
        <f ca="1">IF(F299="","",OFFSET(分類!$B$29,MATCH(F299,分類!$A$30:$A$46,0),0))</f>
        <v>調剤棚　＆　普通薬バラ</v>
      </c>
      <c r="K299" s="69"/>
      <c r="L299" s="69">
        <v>295</v>
      </c>
      <c r="M299" s="54">
        <f t="shared" si="8"/>
        <v>295</v>
      </c>
    </row>
    <row r="300" spans="2:13">
      <c r="B300" s="27">
        <f t="shared" si="9"/>
        <v>296</v>
      </c>
      <c r="C300" s="27">
        <f ca="1"/>
        <v>686</v>
      </c>
      <c r="D300" s="27" t="str">
        <f ca="1"/>
        <v>ラモトリギン錠１００ｍｇ「トーワ」</v>
      </c>
      <c r="E300" s="27">
        <f ca="1"/>
        <v>2</v>
      </c>
      <c r="F300" s="54">
        <f ca="1"/>
        <v>26</v>
      </c>
      <c r="G300" s="54" t="str">
        <f ca="1"/>
        <v>ＰＴＰ</v>
      </c>
      <c r="H300" s="54" t="str">
        <f ca="1"/>
        <v>１４０Ｔ</v>
      </c>
      <c r="I300" s="54" t="str">
        <f ca="1"/>
        <v>錠</v>
      </c>
      <c r="J300" s="54" t="str">
        <f ca="1">IF(F300="","",OFFSET(分類!$B$29,MATCH(F300,分類!$A$30:$A$46,0),0))</f>
        <v>調剤棚　＆　劇薬バラ</v>
      </c>
      <c r="K300" s="69"/>
      <c r="L300" s="69">
        <v>296</v>
      </c>
      <c r="M300" s="54">
        <f t="shared" si="8"/>
        <v>296</v>
      </c>
    </row>
    <row r="301" spans="2:13">
      <c r="B301" s="27">
        <f t="shared" si="9"/>
        <v>297</v>
      </c>
      <c r="C301" s="27">
        <f ca="1"/>
        <v>687</v>
      </c>
      <c r="D301" s="27" t="str">
        <f ca="1"/>
        <v>ラモトリギン錠１００ｍｇ「トーワ」</v>
      </c>
      <c r="E301" s="27">
        <f ca="1"/>
        <v>2</v>
      </c>
      <c r="F301" s="54">
        <f ca="1"/>
        <v>26</v>
      </c>
      <c r="G301" s="54" t="str">
        <f ca="1"/>
        <v>バラ</v>
      </c>
      <c r="H301" s="54" t="str">
        <f ca="1"/>
        <v>１００Ｔ</v>
      </c>
      <c r="I301" s="54" t="str">
        <f ca="1"/>
        <v>錠</v>
      </c>
      <c r="J301" s="54" t="str">
        <f ca="1">IF(F301="","",OFFSET(分類!$B$29,MATCH(F301,分類!$A$30:$A$46,0),0))</f>
        <v>調剤棚　＆　劇薬バラ</v>
      </c>
      <c r="K301" s="69"/>
      <c r="L301" s="69">
        <v>297</v>
      </c>
      <c r="M301" s="54">
        <f t="shared" si="8"/>
        <v>297</v>
      </c>
    </row>
    <row r="302" spans="2:13">
      <c r="B302" s="27">
        <f t="shared" si="9"/>
        <v>298</v>
      </c>
      <c r="C302" s="27">
        <f ca="1"/>
        <v>688</v>
      </c>
      <c r="D302" s="27" t="str">
        <f ca="1"/>
        <v>ラモトリギン錠２５ｍｇ「トーワ」</v>
      </c>
      <c r="E302" s="27">
        <f ca="1"/>
        <v>2</v>
      </c>
      <c r="F302" s="54">
        <f ca="1"/>
        <v>26</v>
      </c>
      <c r="G302" s="54" t="str">
        <f ca="1"/>
        <v>ＰＴＰ</v>
      </c>
      <c r="H302" s="54" t="str">
        <f ca="1"/>
        <v>１４０Ｔ</v>
      </c>
      <c r="I302" s="54" t="str">
        <f ca="1"/>
        <v>錠</v>
      </c>
      <c r="J302" s="54" t="str">
        <f ca="1">IF(F302="","",OFFSET(分類!$B$29,MATCH(F302,分類!$A$30:$A$46,0),0))</f>
        <v>調剤棚　＆　劇薬バラ</v>
      </c>
      <c r="K302" s="69"/>
      <c r="L302" s="69">
        <v>298</v>
      </c>
      <c r="M302" s="54">
        <f t="shared" si="8"/>
        <v>298</v>
      </c>
    </row>
    <row r="303" spans="2:13">
      <c r="B303" s="27">
        <f t="shared" si="9"/>
        <v>299</v>
      </c>
      <c r="C303" s="27">
        <f ca="1"/>
        <v>689</v>
      </c>
      <c r="D303" s="27" t="str">
        <f ca="1"/>
        <v>ラモトリギン錠２５ｍｇ「トーワ」</v>
      </c>
      <c r="E303" s="27">
        <f ca="1"/>
        <v>2</v>
      </c>
      <c r="F303" s="54">
        <f ca="1"/>
        <v>26</v>
      </c>
      <c r="G303" s="54" t="str">
        <f ca="1"/>
        <v>バラ</v>
      </c>
      <c r="H303" s="54" t="str">
        <f ca="1"/>
        <v>１００Ｔ</v>
      </c>
      <c r="I303" s="54" t="str">
        <f ca="1"/>
        <v>錠</v>
      </c>
      <c r="J303" s="54" t="str">
        <f ca="1">IF(F303="","",OFFSET(分類!$B$29,MATCH(F303,分類!$A$30:$A$46,0),0))</f>
        <v>調剤棚　＆　劇薬バラ</v>
      </c>
      <c r="K303" s="69"/>
      <c r="L303" s="69">
        <v>299</v>
      </c>
      <c r="M303" s="54">
        <f t="shared" si="8"/>
        <v>299</v>
      </c>
    </row>
    <row r="304" spans="2:13">
      <c r="B304" s="27">
        <f t="shared" si="9"/>
        <v>300</v>
      </c>
      <c r="C304" s="27">
        <f ca="1"/>
        <v>690</v>
      </c>
      <c r="D304" s="27" t="str">
        <f ca="1"/>
        <v>ランソプラゾールＯＤ錠１５ｍｇ「トーワ」</v>
      </c>
      <c r="E304" s="27">
        <f ca="1"/>
        <v>0</v>
      </c>
      <c r="F304" s="54">
        <f ca="1"/>
        <v>25</v>
      </c>
      <c r="G304" s="54" t="str">
        <f ca="1"/>
        <v>ＰＴＰ</v>
      </c>
      <c r="H304" s="54" t="str">
        <f ca="1"/>
        <v>５００Ｔ</v>
      </c>
      <c r="I304" s="54" t="str">
        <f ca="1"/>
        <v>錠</v>
      </c>
      <c r="J304" s="54" t="str">
        <f ca="1">IF(F304="","",OFFSET(分類!$B$29,MATCH(F304,分類!$A$30:$A$46,0),0))</f>
        <v>調剤棚　＆　普通薬バラ</v>
      </c>
      <c r="K304" s="69"/>
      <c r="L304" s="69">
        <v>300</v>
      </c>
      <c r="M304" s="54">
        <f t="shared" si="8"/>
        <v>300</v>
      </c>
    </row>
    <row r="305" spans="2:13">
      <c r="B305" s="27">
        <f t="shared" si="9"/>
        <v>301</v>
      </c>
      <c r="C305" s="27">
        <f ca="1"/>
        <v>691</v>
      </c>
      <c r="D305" s="54" t="str">
        <f ca="1"/>
        <v>ランソプラゾールＯＤ錠１５ｍｇ「トーワ」</v>
      </c>
      <c r="E305" s="54">
        <f ca="1"/>
        <v>0</v>
      </c>
      <c r="F305" s="54">
        <f ca="1"/>
        <v>25</v>
      </c>
      <c r="G305" s="54" t="str">
        <f ca="1"/>
        <v>バラ</v>
      </c>
      <c r="H305" s="54" t="str">
        <f ca="1"/>
        <v>５００Ｔ</v>
      </c>
      <c r="I305" s="54" t="str">
        <f ca="1"/>
        <v>錠</v>
      </c>
      <c r="J305" s="54" t="str">
        <f ca="1">IF(F305="","",OFFSET(分類!$B$29,MATCH(F305,分類!$A$30:$A$46,0),0))</f>
        <v>調剤棚　＆　普通薬バラ</v>
      </c>
      <c r="K305" s="69"/>
      <c r="L305" s="69">
        <v>301</v>
      </c>
      <c r="M305" s="54">
        <f t="shared" si="8"/>
        <v>301</v>
      </c>
    </row>
    <row r="306" spans="2:13">
      <c r="B306" s="27">
        <f t="shared" si="9"/>
        <v>302</v>
      </c>
      <c r="C306" s="27">
        <f ca="1"/>
        <v>694</v>
      </c>
      <c r="D306" s="54" t="str">
        <f ca="1"/>
        <v>リーゼ錠５ｍｇ</v>
      </c>
      <c r="E306" s="54">
        <f ca="1"/>
        <v>0</v>
      </c>
      <c r="F306" s="54">
        <f ca="1"/>
        <v>1</v>
      </c>
      <c r="G306" s="54" t="str">
        <f ca="1"/>
        <v>ＰＴＰ</v>
      </c>
      <c r="H306" s="54" t="str">
        <f ca="1"/>
        <v>１００Ｔ</v>
      </c>
      <c r="I306" s="54" t="str">
        <f ca="1"/>
        <v>錠</v>
      </c>
      <c r="J306" s="54" t="str">
        <f ca="1">IF(F306="","",OFFSET(分類!$B$29,MATCH(F306,分類!$A$30:$A$46,0),0))</f>
        <v>調剤棚</v>
      </c>
      <c r="K306" s="69"/>
      <c r="L306" s="69">
        <v>302</v>
      </c>
      <c r="M306" s="54">
        <f t="shared" si="8"/>
        <v>302</v>
      </c>
    </row>
    <row r="307" spans="2:13">
      <c r="B307" s="27">
        <f t="shared" si="9"/>
        <v>303</v>
      </c>
      <c r="C307" s="27">
        <f ca="1"/>
        <v>696</v>
      </c>
      <c r="D307" s="54" t="str">
        <f ca="1"/>
        <v>リクシアナＯＤ錠３０ｍｇ</v>
      </c>
      <c r="E307" s="54">
        <f ca="1"/>
        <v>0</v>
      </c>
      <c r="F307" s="54">
        <f ca="1"/>
        <v>25</v>
      </c>
      <c r="G307" s="54" t="str">
        <f ca="1"/>
        <v>バラ</v>
      </c>
      <c r="H307" s="54" t="str">
        <f ca="1"/>
        <v>１００Ｔ</v>
      </c>
      <c r="I307" s="54" t="str">
        <f ca="1"/>
        <v>錠</v>
      </c>
      <c r="J307" s="54" t="str">
        <f ca="1">IF(F307="","",OFFSET(分類!$B$29,MATCH(F307,分類!$A$30:$A$46,0),0))</f>
        <v>調剤棚　＆　普通薬バラ</v>
      </c>
      <c r="K307" s="69"/>
      <c r="L307" s="69">
        <v>303</v>
      </c>
      <c r="M307" s="54">
        <f t="shared" si="8"/>
        <v>303</v>
      </c>
    </row>
    <row r="308" spans="2:13">
      <c r="B308" s="27">
        <f t="shared" si="9"/>
        <v>304</v>
      </c>
      <c r="C308" s="27">
        <f ca="1"/>
        <v>701</v>
      </c>
      <c r="D308" s="54" t="str">
        <f ca="1"/>
        <v>リスパダール錠１ｍｇ　　　　　　　　　　</v>
      </c>
      <c r="E308" s="54">
        <f ca="1"/>
        <v>2</v>
      </c>
      <c r="F308" s="54">
        <f ca="1"/>
        <v>26</v>
      </c>
      <c r="G308" s="54" t="str">
        <f ca="1"/>
        <v>ＰＴＰ</v>
      </c>
      <c r="H308" s="54" t="str">
        <f ca="1"/>
        <v>１００Ｔ</v>
      </c>
      <c r="I308" s="54" t="str">
        <f ca="1"/>
        <v>錠</v>
      </c>
      <c r="J308" s="54" t="str">
        <f ca="1">IF(F308="","",OFFSET(分類!$B$29,MATCH(F308,分類!$A$30:$A$46,0),0))</f>
        <v>調剤棚　＆　劇薬バラ</v>
      </c>
      <c r="K308" s="69"/>
      <c r="L308" s="69">
        <v>304</v>
      </c>
      <c r="M308" s="54">
        <f t="shared" si="8"/>
        <v>304</v>
      </c>
    </row>
    <row r="309" spans="2:13">
      <c r="B309" s="27">
        <f t="shared" si="9"/>
        <v>305</v>
      </c>
      <c r="C309" s="27">
        <f ca="1"/>
        <v>702</v>
      </c>
      <c r="D309" s="54" t="str">
        <f ca="1"/>
        <v>リスパダール錠１ｍｇ　　　　　　　　　　</v>
      </c>
      <c r="E309" s="54">
        <f ca="1"/>
        <v>2</v>
      </c>
      <c r="F309" s="54">
        <f ca="1"/>
        <v>26</v>
      </c>
      <c r="G309" s="54" t="str">
        <f ca="1"/>
        <v>バラ</v>
      </c>
      <c r="H309" s="54" t="str">
        <f ca="1"/>
        <v>１０００Ｔ</v>
      </c>
      <c r="I309" s="54" t="str">
        <f ca="1"/>
        <v>錠</v>
      </c>
      <c r="J309" s="54" t="str">
        <f ca="1">IF(F309="","",OFFSET(分類!$B$29,MATCH(F309,分類!$A$30:$A$46,0),0))</f>
        <v>調剤棚　＆　劇薬バラ</v>
      </c>
      <c r="K309" s="69"/>
      <c r="L309" s="69">
        <v>305</v>
      </c>
      <c r="M309" s="54">
        <f t="shared" si="8"/>
        <v>305</v>
      </c>
    </row>
    <row r="310" spans="2:13">
      <c r="B310" s="27">
        <f t="shared" si="9"/>
        <v>306</v>
      </c>
      <c r="C310" s="27">
        <f ca="1"/>
        <v>703</v>
      </c>
      <c r="D310" s="54" t="str">
        <f ca="1"/>
        <v>リスパダール錠２ｍｇ　　　　　　　　　　</v>
      </c>
      <c r="E310" s="54">
        <f ca="1"/>
        <v>2</v>
      </c>
      <c r="F310" s="54">
        <f ca="1"/>
        <v>26</v>
      </c>
      <c r="G310" s="54" t="str">
        <f ca="1"/>
        <v>ＰＴＰ</v>
      </c>
      <c r="H310" s="54" t="str">
        <f ca="1"/>
        <v>１００Ｔ</v>
      </c>
      <c r="I310" s="54" t="str">
        <f ca="1"/>
        <v>錠</v>
      </c>
      <c r="J310" s="54" t="str">
        <f ca="1">IF(F310="","",OFFSET(分類!$B$29,MATCH(F310,分類!$A$30:$A$46,0),0))</f>
        <v>調剤棚　＆　劇薬バラ</v>
      </c>
      <c r="K310" s="69"/>
      <c r="L310" s="69">
        <v>306</v>
      </c>
      <c r="M310" s="54">
        <f t="shared" si="8"/>
        <v>306</v>
      </c>
    </row>
    <row r="311" spans="2:13">
      <c r="B311" s="27">
        <f t="shared" si="9"/>
        <v>307</v>
      </c>
      <c r="C311" s="27">
        <f ca="1"/>
        <v>704</v>
      </c>
      <c r="D311" s="54" t="str">
        <f ca="1"/>
        <v>リスパダール錠２ｍｇ　　　　　　　　　　</v>
      </c>
      <c r="E311" s="54">
        <f ca="1"/>
        <v>2</v>
      </c>
      <c r="F311" s="54">
        <f ca="1"/>
        <v>26</v>
      </c>
      <c r="G311" s="54" t="str">
        <f ca="1"/>
        <v>バラ</v>
      </c>
      <c r="H311" s="54" t="str">
        <f ca="1"/>
        <v>１０００Ｔ</v>
      </c>
      <c r="I311" s="54" t="str">
        <f ca="1"/>
        <v>錠</v>
      </c>
      <c r="J311" s="54" t="str">
        <f ca="1">IF(F311="","",OFFSET(分類!$B$29,MATCH(F311,分類!$A$30:$A$46,0),0))</f>
        <v>調剤棚　＆　劇薬バラ</v>
      </c>
      <c r="K311" s="69"/>
      <c r="L311" s="69">
        <v>307</v>
      </c>
      <c r="M311" s="54">
        <f t="shared" si="8"/>
        <v>307</v>
      </c>
    </row>
    <row r="312" spans="2:13">
      <c r="B312" s="27">
        <f t="shared" si="9"/>
        <v>308</v>
      </c>
      <c r="C312" s="27">
        <f ca="1"/>
        <v>705</v>
      </c>
      <c r="D312" s="54" t="str">
        <f ca="1"/>
        <v>リスパダール錠３ｍｇ</v>
      </c>
      <c r="E312" s="54">
        <f ca="1"/>
        <v>2</v>
      </c>
      <c r="F312" s="54">
        <f ca="1"/>
        <v>26</v>
      </c>
      <c r="G312" s="54" t="str">
        <f ca="1"/>
        <v>ＰＴＰ</v>
      </c>
      <c r="H312" s="54" t="str">
        <f ca="1"/>
        <v>１００Ｔ</v>
      </c>
      <c r="I312" s="54" t="str">
        <f ca="1"/>
        <v>錠</v>
      </c>
      <c r="J312" s="54" t="str">
        <f ca="1">IF(F312="","",OFFSET(分類!$B$29,MATCH(F312,分類!$A$30:$A$46,0),0))</f>
        <v>調剤棚　＆　劇薬バラ</v>
      </c>
      <c r="K312" s="69"/>
      <c r="L312" s="69">
        <v>308</v>
      </c>
      <c r="M312" s="54">
        <f t="shared" si="8"/>
        <v>308</v>
      </c>
    </row>
    <row r="313" spans="2:13">
      <c r="B313" s="27">
        <f t="shared" si="9"/>
        <v>309</v>
      </c>
      <c r="C313" s="27">
        <f ca="1"/>
        <v>706</v>
      </c>
      <c r="D313" s="54" t="str">
        <f ca="1"/>
        <v>リスパダール錠３ｍｇ</v>
      </c>
      <c r="E313" s="54">
        <f ca="1"/>
        <v>2</v>
      </c>
      <c r="F313" s="54">
        <f ca="1"/>
        <v>26</v>
      </c>
      <c r="G313" s="54" t="str">
        <f ca="1"/>
        <v>バラ</v>
      </c>
      <c r="H313" s="54" t="str">
        <f ca="1"/>
        <v>１０００Ｔ</v>
      </c>
      <c r="I313" s="54" t="str">
        <f ca="1"/>
        <v>錠</v>
      </c>
      <c r="J313" s="54" t="str">
        <f ca="1">IF(F313="","",OFFSET(分類!$B$29,MATCH(F313,分類!$A$30:$A$46,0),0))</f>
        <v>調剤棚　＆　劇薬バラ</v>
      </c>
      <c r="K313" s="69"/>
      <c r="L313" s="69">
        <v>309</v>
      </c>
      <c r="M313" s="54">
        <f t="shared" si="8"/>
        <v>309</v>
      </c>
    </row>
    <row r="314" spans="2:13">
      <c r="B314" s="27">
        <f t="shared" si="9"/>
        <v>310</v>
      </c>
      <c r="C314" s="27">
        <f ca="1"/>
        <v>710</v>
      </c>
      <c r="D314" s="54" t="str">
        <f ca="1"/>
        <v>リスペリドンＯＤ錠０．５ｍｇ「アメル」</v>
      </c>
      <c r="E314" s="54">
        <f ca="1"/>
        <v>2</v>
      </c>
      <c r="F314" s="54">
        <f ca="1"/>
        <v>26</v>
      </c>
      <c r="G314" s="54" t="str">
        <f ca="1"/>
        <v>ＰＴＰ</v>
      </c>
      <c r="H314" s="54" t="str">
        <f ca="1"/>
        <v>１００Ｔ</v>
      </c>
      <c r="I314" s="54" t="str">
        <f ca="1"/>
        <v/>
      </c>
      <c r="J314" s="54" t="str">
        <f ca="1">IF(F314="","",OFFSET(分類!$B$29,MATCH(F314,分類!$A$30:$A$46,0),0))</f>
        <v>調剤棚　＆　劇薬バラ</v>
      </c>
      <c r="K314" s="69"/>
      <c r="L314" s="69">
        <v>310</v>
      </c>
      <c r="M314" s="54">
        <f t="shared" si="8"/>
        <v>310</v>
      </c>
    </row>
    <row r="315" spans="2:13">
      <c r="B315" s="27">
        <f t="shared" si="9"/>
        <v>311</v>
      </c>
      <c r="C315" s="27">
        <f ca="1"/>
        <v>711</v>
      </c>
      <c r="D315" s="54" t="str">
        <f ca="1"/>
        <v>リスペリドンＯＤ錠０．５ｍｇ「アメル」</v>
      </c>
      <c r="E315" s="54">
        <f ca="1"/>
        <v>2</v>
      </c>
      <c r="F315" s="54">
        <f ca="1"/>
        <v>26</v>
      </c>
      <c r="G315" s="54" t="str">
        <f ca="1"/>
        <v>バラ</v>
      </c>
      <c r="H315" s="54" t="str">
        <f ca="1"/>
        <v>５００Ｔ</v>
      </c>
      <c r="I315" s="54" t="str">
        <f ca="1"/>
        <v/>
      </c>
      <c r="J315" s="54" t="str">
        <f ca="1">IF(F315="","",OFFSET(分類!$B$29,MATCH(F315,分類!$A$30:$A$46,0),0))</f>
        <v>調剤棚　＆　劇薬バラ</v>
      </c>
      <c r="K315" s="69"/>
      <c r="L315" s="69">
        <v>311</v>
      </c>
      <c r="M315" s="54">
        <f t="shared" si="8"/>
        <v>311</v>
      </c>
    </row>
    <row r="316" spans="2:13">
      <c r="B316" s="27">
        <f t="shared" si="9"/>
        <v>312</v>
      </c>
      <c r="C316" s="27">
        <f ca="1"/>
        <v>712</v>
      </c>
      <c r="D316" s="54" t="str">
        <f ca="1"/>
        <v>リスペリドンＯＤ錠１ｍｇ「アメル」</v>
      </c>
      <c r="E316" s="54">
        <f ca="1"/>
        <v>2</v>
      </c>
      <c r="F316" s="54">
        <f ca="1"/>
        <v>26</v>
      </c>
      <c r="G316" s="54" t="str">
        <f ca="1"/>
        <v>ＰＴＰ</v>
      </c>
      <c r="H316" s="54" t="str">
        <f ca="1"/>
        <v>１００Ｔ</v>
      </c>
      <c r="I316" s="54" t="str">
        <f ca="1"/>
        <v>錠</v>
      </c>
      <c r="J316" s="54" t="str">
        <f ca="1">IF(F316="","",OFFSET(分類!$B$29,MATCH(F316,分類!$A$30:$A$46,0),0))</f>
        <v>調剤棚　＆　劇薬バラ</v>
      </c>
      <c r="K316" s="69"/>
      <c r="L316" s="69">
        <v>312</v>
      </c>
      <c r="M316" s="54">
        <f t="shared" si="8"/>
        <v>312</v>
      </c>
    </row>
    <row r="317" spans="2:13">
      <c r="B317" s="27">
        <f t="shared" si="9"/>
        <v>313</v>
      </c>
      <c r="C317" s="27">
        <f ca="1"/>
        <v>713</v>
      </c>
      <c r="D317" s="54" t="str">
        <f ca="1"/>
        <v>リスペリドンＯＤ錠１ｍｇ「アメル」</v>
      </c>
      <c r="E317" s="54">
        <f ca="1"/>
        <v>2</v>
      </c>
      <c r="F317" s="54">
        <f ca="1"/>
        <v>26</v>
      </c>
      <c r="G317" s="54" t="str">
        <f ca="1"/>
        <v>バラ</v>
      </c>
      <c r="H317" s="54" t="str">
        <f ca="1"/>
        <v>５００Ｔ</v>
      </c>
      <c r="I317" s="54" t="str">
        <f ca="1"/>
        <v/>
      </c>
      <c r="J317" s="54" t="str">
        <f ca="1">IF(F317="","",OFFSET(分類!$B$29,MATCH(F317,分類!$A$30:$A$46,0),0))</f>
        <v>調剤棚　＆　劇薬バラ</v>
      </c>
      <c r="K317" s="69"/>
      <c r="L317" s="69">
        <v>313</v>
      </c>
      <c r="M317" s="54">
        <f t="shared" si="8"/>
        <v>313</v>
      </c>
    </row>
    <row r="318" spans="2:13">
      <c r="B318" s="27">
        <f t="shared" si="9"/>
        <v>314</v>
      </c>
      <c r="C318" s="27">
        <f ca="1"/>
        <v>714</v>
      </c>
      <c r="D318" s="54" t="str">
        <f ca="1"/>
        <v>リスペリドンＯＤ錠２ｍｇ「アメル」</v>
      </c>
      <c r="E318" s="54">
        <f ca="1"/>
        <v>2</v>
      </c>
      <c r="F318" s="54">
        <f ca="1"/>
        <v>26</v>
      </c>
      <c r="G318" s="54" t="str">
        <f ca="1"/>
        <v>ＰＴＰ</v>
      </c>
      <c r="H318" s="54" t="str">
        <f ca="1"/>
        <v>１００Ｔ</v>
      </c>
      <c r="I318" s="54" t="str">
        <f ca="1"/>
        <v/>
      </c>
      <c r="J318" s="54" t="str">
        <f ca="1">IF(F318="","",OFFSET(分類!$B$29,MATCH(F318,分類!$A$30:$A$46,0),0))</f>
        <v>調剤棚　＆　劇薬バラ</v>
      </c>
      <c r="K318" s="69"/>
      <c r="L318" s="69">
        <v>314</v>
      </c>
      <c r="M318" s="54">
        <f t="shared" si="8"/>
        <v>314</v>
      </c>
    </row>
    <row r="319" spans="2:13">
      <c r="B319" s="27">
        <f t="shared" si="9"/>
        <v>315</v>
      </c>
      <c r="C319" s="27">
        <f ca="1"/>
        <v>715</v>
      </c>
      <c r="D319" s="54" t="str">
        <f ca="1"/>
        <v>リスペリドンＯＤ錠２ｍｇ「アメル」</v>
      </c>
      <c r="E319" s="54">
        <f ca="1"/>
        <v>2</v>
      </c>
      <c r="F319" s="54">
        <f ca="1"/>
        <v>26</v>
      </c>
      <c r="G319" s="54" t="str">
        <f ca="1"/>
        <v>バラ</v>
      </c>
      <c r="H319" s="54" t="str">
        <f ca="1"/>
        <v>５００Ｔ</v>
      </c>
      <c r="I319" s="54" t="str">
        <f ca="1"/>
        <v/>
      </c>
      <c r="J319" s="54" t="str">
        <f ca="1">IF(F319="","",OFFSET(分類!$B$29,MATCH(F319,分類!$A$30:$A$46,0),0))</f>
        <v>調剤棚　＆　劇薬バラ</v>
      </c>
      <c r="K319" s="69"/>
      <c r="L319" s="69">
        <v>315</v>
      </c>
      <c r="M319" s="54">
        <f t="shared" si="8"/>
        <v>315</v>
      </c>
    </row>
    <row r="320" spans="2:13">
      <c r="B320" s="27">
        <f t="shared" si="9"/>
        <v>316</v>
      </c>
      <c r="C320" s="27">
        <f ca="1"/>
        <v>716</v>
      </c>
      <c r="D320" s="54" t="str">
        <f ca="1"/>
        <v>リスペリドンＯＤ錠３ｍｇ「アメル」</v>
      </c>
      <c r="E320" s="54">
        <f ca="1"/>
        <v>2</v>
      </c>
      <c r="F320" s="54">
        <f ca="1"/>
        <v>26</v>
      </c>
      <c r="G320" s="54" t="str">
        <f ca="1"/>
        <v>ＰＴＰ</v>
      </c>
      <c r="H320" s="54" t="str">
        <f ca="1"/>
        <v>１００Ｔ</v>
      </c>
      <c r="I320" s="54" t="str">
        <f ca="1"/>
        <v/>
      </c>
      <c r="J320" s="54" t="str">
        <f ca="1">IF(F320="","",OFFSET(分類!$B$29,MATCH(F320,分類!$A$30:$A$46,0),0))</f>
        <v>調剤棚　＆　劇薬バラ</v>
      </c>
      <c r="K320" s="69"/>
      <c r="L320" s="69">
        <v>316</v>
      </c>
      <c r="M320" s="54">
        <f t="shared" si="8"/>
        <v>316</v>
      </c>
    </row>
    <row r="321" spans="2:13">
      <c r="B321" s="27">
        <f t="shared" si="9"/>
        <v>317</v>
      </c>
      <c r="C321" s="27">
        <f ca="1"/>
        <v>717</v>
      </c>
      <c r="D321" s="54" t="str">
        <f ca="1"/>
        <v>リスペリドンＯＤ錠３ｍｇ「アメル」</v>
      </c>
      <c r="E321" s="54">
        <f ca="1"/>
        <v>2</v>
      </c>
      <c r="F321" s="54">
        <f ca="1"/>
        <v>26</v>
      </c>
      <c r="G321" s="54" t="str">
        <f ca="1"/>
        <v>バラ</v>
      </c>
      <c r="H321" s="54" t="str">
        <f ca="1"/>
        <v>５００Ｔ</v>
      </c>
      <c r="I321" s="54" t="str">
        <f ca="1"/>
        <v/>
      </c>
      <c r="J321" s="54" t="str">
        <f ca="1">IF(F321="","",OFFSET(分類!$B$29,MATCH(F321,分類!$A$30:$A$46,0),0))</f>
        <v>調剤棚　＆　劇薬バラ</v>
      </c>
      <c r="K321" s="69"/>
      <c r="L321" s="69">
        <v>317</v>
      </c>
      <c r="M321" s="54">
        <f t="shared" si="8"/>
        <v>317</v>
      </c>
    </row>
    <row r="322" spans="2:13">
      <c r="B322" s="27">
        <f t="shared" si="9"/>
        <v>318</v>
      </c>
      <c r="C322" s="27">
        <f ca="1"/>
        <v>719</v>
      </c>
      <c r="D322" s="54" t="str">
        <f ca="1"/>
        <v>リスペリドン錠０．５ｍｇ「アメル」</v>
      </c>
      <c r="E322" s="54">
        <f ca="1"/>
        <v>2</v>
      </c>
      <c r="F322" s="54">
        <f ca="1"/>
        <v>26</v>
      </c>
      <c r="G322" s="54" t="str">
        <f ca="1"/>
        <v>ＰＴＰ</v>
      </c>
      <c r="H322" s="54" t="str">
        <f ca="1"/>
        <v>１００Ｔ</v>
      </c>
      <c r="I322" s="54" t="str">
        <f ca="1"/>
        <v>錠</v>
      </c>
      <c r="J322" s="54" t="str">
        <f ca="1">IF(F322="","",OFFSET(分類!$B$29,MATCH(F322,分類!$A$30:$A$46,0),0))</f>
        <v>調剤棚　＆　劇薬バラ</v>
      </c>
      <c r="K322" s="69"/>
      <c r="L322" s="69">
        <v>318</v>
      </c>
      <c r="M322" s="54">
        <f t="shared" si="8"/>
        <v>318</v>
      </c>
    </row>
    <row r="323" spans="2:13">
      <c r="B323" s="27">
        <f t="shared" si="9"/>
        <v>319</v>
      </c>
      <c r="C323" s="27">
        <f ca="1"/>
        <v>720</v>
      </c>
      <c r="D323" s="54" t="str">
        <f ca="1"/>
        <v>リスペリドン錠１ｍｇ「アメル」</v>
      </c>
      <c r="E323" s="54">
        <f ca="1"/>
        <v>2</v>
      </c>
      <c r="F323" s="54">
        <f ca="1"/>
        <v>26</v>
      </c>
      <c r="G323" s="54" t="str">
        <f ca="1"/>
        <v>ＰＴＰ</v>
      </c>
      <c r="H323" s="54" t="str">
        <f ca="1"/>
        <v>１００Ｔ</v>
      </c>
      <c r="I323" s="54" t="str">
        <f ca="1"/>
        <v>錠</v>
      </c>
      <c r="J323" s="54" t="str">
        <f ca="1">IF(F323="","",OFFSET(分類!$B$29,MATCH(F323,分類!$A$30:$A$46,0),0))</f>
        <v>調剤棚　＆　劇薬バラ</v>
      </c>
      <c r="K323" s="69"/>
      <c r="L323" s="69">
        <v>319</v>
      </c>
      <c r="M323" s="54">
        <f t="shared" si="8"/>
        <v>319</v>
      </c>
    </row>
    <row r="324" spans="2:13">
      <c r="B324" s="27">
        <f t="shared" si="9"/>
        <v>320</v>
      </c>
      <c r="C324" s="27">
        <f ca="1"/>
        <v>723</v>
      </c>
      <c r="D324" s="54" t="str">
        <f ca="1"/>
        <v>リスミー錠２ｍｇ</v>
      </c>
      <c r="E324" s="54">
        <f ca="1"/>
        <v>0</v>
      </c>
      <c r="F324" s="54">
        <f ca="1"/>
        <v>25</v>
      </c>
      <c r="G324" s="54" t="str">
        <f ca="1"/>
        <v>ＰＴＰ</v>
      </c>
      <c r="H324" s="54" t="str">
        <f ca="1"/>
        <v>１００Ｔ</v>
      </c>
      <c r="I324" s="54" t="str">
        <f ca="1"/>
        <v>錠</v>
      </c>
      <c r="J324" s="54" t="str">
        <f ca="1">IF(F324="","",OFFSET(分類!$B$29,MATCH(F324,分類!$A$30:$A$46,0),0))</f>
        <v>調剤棚　＆　普通薬バラ</v>
      </c>
      <c r="K324" s="69"/>
      <c r="L324" s="69">
        <v>320</v>
      </c>
      <c r="M324" s="54">
        <f t="shared" si="8"/>
        <v>320</v>
      </c>
    </row>
    <row r="325" spans="2:13">
      <c r="B325" s="27">
        <f t="shared" si="9"/>
        <v>321</v>
      </c>
      <c r="C325" s="27">
        <f ca="1"/>
        <v>725</v>
      </c>
      <c r="D325" s="54" t="str">
        <f ca="1"/>
        <v>リバーロキサバンＯＤ錠１０ｍｇ「バイエル」</v>
      </c>
      <c r="E325" s="54">
        <f ca="1"/>
        <v>0</v>
      </c>
      <c r="F325" s="54">
        <f ca="1"/>
        <v>5</v>
      </c>
      <c r="G325" s="54" t="str">
        <f ca="1"/>
        <v>ＰＴＰ</v>
      </c>
      <c r="H325" s="54" t="str">
        <f ca="1"/>
        <v>１００Ｔ</v>
      </c>
      <c r="I325" s="54" t="str">
        <f ca="1"/>
        <v>錠</v>
      </c>
      <c r="J325" s="54" t="str">
        <f ca="1">IF(F325="","",OFFSET(分類!$B$29,MATCH(F325,分類!$A$30:$A$46,0),0))</f>
        <v>普通薬バラ</v>
      </c>
      <c r="K325" s="69"/>
      <c r="L325" s="69">
        <v>321</v>
      </c>
      <c r="M325" s="54">
        <f t="shared" si="8"/>
        <v>321</v>
      </c>
    </row>
    <row r="326" spans="2:13">
      <c r="B326" s="27">
        <f t="shared" si="9"/>
        <v>322</v>
      </c>
      <c r="C326" s="27">
        <f ca="1"/>
        <v>731</v>
      </c>
      <c r="D326" s="54" t="str">
        <f ca="1"/>
        <v>リボトリール錠０．５ｍｇ</v>
      </c>
      <c r="E326" s="54">
        <f ca="1"/>
        <v>0</v>
      </c>
      <c r="F326" s="54">
        <f ca="1"/>
        <v>25</v>
      </c>
      <c r="G326" s="54" t="str">
        <f ca="1"/>
        <v>ＰＴＰ</v>
      </c>
      <c r="H326" s="54" t="str">
        <f ca="1"/>
        <v>１００Ｔ</v>
      </c>
      <c r="I326" s="54" t="str">
        <f ca="1"/>
        <v>錠</v>
      </c>
      <c r="J326" s="54" t="str">
        <f ca="1">IF(F326="","",OFFSET(分類!$B$29,MATCH(F326,分類!$A$30:$A$46,0),0))</f>
        <v>調剤棚　＆　普通薬バラ</v>
      </c>
      <c r="K326" s="69"/>
      <c r="L326" s="69">
        <v>322</v>
      </c>
      <c r="M326" s="54">
        <f t="shared" ref="M326:M389" si="10">SUM(K326:L326)</f>
        <v>322</v>
      </c>
    </row>
    <row r="327" spans="2:13">
      <c r="B327" s="27">
        <f t="shared" ref="B327:B390" si="11">B326+1</f>
        <v>323</v>
      </c>
      <c r="C327" s="27">
        <f ca="1"/>
        <v>732</v>
      </c>
      <c r="D327" s="54" t="str">
        <f ca="1"/>
        <v>リボトリール錠０．５ｍｇ</v>
      </c>
      <c r="E327" s="54">
        <f ca="1"/>
        <v>0</v>
      </c>
      <c r="F327" s="54">
        <f ca="1"/>
        <v>25</v>
      </c>
      <c r="G327" s="54" t="str">
        <f ca="1"/>
        <v>バラ</v>
      </c>
      <c r="H327" s="54" t="str">
        <f ca="1"/>
        <v>１０００Ｔ</v>
      </c>
      <c r="I327" s="54" t="str">
        <f ca="1"/>
        <v>錠</v>
      </c>
      <c r="J327" s="54" t="str">
        <f ca="1">IF(F327="","",OFFSET(分類!$B$29,MATCH(F327,分類!$A$30:$A$46,0),0))</f>
        <v>調剤棚　＆　普通薬バラ</v>
      </c>
      <c r="K327" s="69"/>
      <c r="L327" s="69">
        <v>323</v>
      </c>
      <c r="M327" s="54">
        <f t="shared" si="10"/>
        <v>323</v>
      </c>
    </row>
    <row r="328" spans="2:13">
      <c r="B328" s="27">
        <f t="shared" si="11"/>
        <v>324</v>
      </c>
      <c r="C328" s="27">
        <f ca="1"/>
        <v>733</v>
      </c>
      <c r="D328" s="54" t="str">
        <f ca="1"/>
        <v>リボトリール錠１ｍｇ</v>
      </c>
      <c r="E328" s="54">
        <f ca="1"/>
        <v>0</v>
      </c>
      <c r="F328" s="54">
        <f ca="1"/>
        <v>25</v>
      </c>
      <c r="G328" s="54" t="str">
        <f ca="1"/>
        <v>ＰＴＰ</v>
      </c>
      <c r="H328" s="54" t="str">
        <f ca="1"/>
        <v>１００Ｔ</v>
      </c>
      <c r="I328" s="54" t="str">
        <f ca="1"/>
        <v>錠</v>
      </c>
      <c r="J328" s="54" t="str">
        <f ca="1">IF(F328="","",OFFSET(分類!$B$29,MATCH(F328,分類!$A$30:$A$46,0),0))</f>
        <v>調剤棚　＆　普通薬バラ</v>
      </c>
      <c r="K328" s="69"/>
      <c r="L328" s="69">
        <v>324</v>
      </c>
      <c r="M328" s="54">
        <f t="shared" si="10"/>
        <v>324</v>
      </c>
    </row>
    <row r="329" spans="2:13">
      <c r="B329" s="27">
        <f t="shared" si="11"/>
        <v>325</v>
      </c>
      <c r="C329" s="27">
        <f ca="1"/>
        <v>734</v>
      </c>
      <c r="D329" s="54" t="str">
        <f ca="1"/>
        <v>リボトリール錠１ｍｇ</v>
      </c>
      <c r="E329" s="54">
        <f ca="1"/>
        <v>0</v>
      </c>
      <c r="F329" s="54">
        <f ca="1"/>
        <v>25</v>
      </c>
      <c r="G329" s="54" t="str">
        <f ca="1"/>
        <v>バラ</v>
      </c>
      <c r="H329" s="54" t="str">
        <f ca="1"/>
        <v>１０００Ｔ</v>
      </c>
      <c r="I329" s="54" t="str">
        <f ca="1"/>
        <v>錠</v>
      </c>
      <c r="J329" s="54" t="str">
        <f ca="1">IF(F329="","",OFFSET(分類!$B$29,MATCH(F329,分類!$A$30:$A$46,0),0))</f>
        <v>調剤棚　＆　普通薬バラ</v>
      </c>
      <c r="K329" s="69"/>
      <c r="L329" s="69">
        <v>325</v>
      </c>
      <c r="M329" s="54">
        <f t="shared" si="10"/>
        <v>325</v>
      </c>
    </row>
    <row r="330" spans="2:13">
      <c r="B330" s="27">
        <f t="shared" si="11"/>
        <v>326</v>
      </c>
      <c r="C330" s="27">
        <f ca="1"/>
        <v>736</v>
      </c>
      <c r="D330" s="54" t="str">
        <f ca="1"/>
        <v>リマプロスト　アルファデクス錠５μｇ「サワイ」</v>
      </c>
      <c r="E330" s="54">
        <f ca="1"/>
        <v>0</v>
      </c>
      <c r="F330" s="54">
        <f ca="1"/>
        <v>25</v>
      </c>
      <c r="G330" s="54" t="str">
        <f ca="1"/>
        <v>バラ</v>
      </c>
      <c r="H330" s="54" t="str">
        <f ca="1"/>
        <v>２００Ｔ</v>
      </c>
      <c r="I330" s="54" t="str">
        <f ca="1"/>
        <v>錠</v>
      </c>
      <c r="J330" s="54" t="str">
        <f ca="1">IF(F330="","",OFFSET(分類!$B$29,MATCH(F330,分類!$A$30:$A$46,0),0))</f>
        <v>調剤棚　＆　普通薬バラ</v>
      </c>
      <c r="K330" s="69"/>
      <c r="L330" s="69">
        <v>326</v>
      </c>
      <c r="M330" s="54">
        <f t="shared" si="10"/>
        <v>326</v>
      </c>
    </row>
    <row r="331" spans="2:13">
      <c r="B331" s="27">
        <f t="shared" si="11"/>
        <v>327</v>
      </c>
      <c r="C331" s="27">
        <f ca="1"/>
        <v>739</v>
      </c>
      <c r="D331" s="54" t="str">
        <f ca="1"/>
        <v>リンゼス錠０．２５ｍｇ</v>
      </c>
      <c r="E331" s="54">
        <f ca="1"/>
        <v>0</v>
      </c>
      <c r="F331" s="54">
        <f ca="1"/>
        <v>1</v>
      </c>
      <c r="G331" s="54" t="str">
        <f ca="1"/>
        <v>ＰＴＰ</v>
      </c>
      <c r="H331" s="54" t="str">
        <f ca="1"/>
        <v>１００Ｔ</v>
      </c>
      <c r="I331" s="54" t="str">
        <f ca="1"/>
        <v>錠</v>
      </c>
      <c r="J331" s="54" t="str">
        <f ca="1">IF(F331="","",OFFSET(分類!$B$29,MATCH(F331,分類!$A$30:$A$46,0),0))</f>
        <v>調剤棚</v>
      </c>
      <c r="K331" s="69"/>
      <c r="L331" s="69">
        <v>327</v>
      </c>
      <c r="M331" s="54">
        <f t="shared" si="10"/>
        <v>327</v>
      </c>
    </row>
    <row r="332" spans="2:13">
      <c r="B332" s="27">
        <f t="shared" si="11"/>
        <v>328</v>
      </c>
      <c r="C332" s="27">
        <f ca="1"/>
        <v>743</v>
      </c>
      <c r="D332" s="54" t="str">
        <f ca="1"/>
        <v>ルーラン錠４ｍｇ　　　　　　　　　　　　</v>
      </c>
      <c r="E332" s="54">
        <f ca="1"/>
        <v>2</v>
      </c>
      <c r="F332" s="54">
        <f ca="1"/>
        <v>26</v>
      </c>
      <c r="G332" s="54" t="str">
        <f ca="1"/>
        <v>ＰＴＰ</v>
      </c>
      <c r="H332" s="54" t="str">
        <f ca="1"/>
        <v>１００Ｔ　　　　</v>
      </c>
      <c r="I332" s="54" t="str">
        <f ca="1"/>
        <v>錠</v>
      </c>
      <c r="J332" s="54" t="str">
        <f ca="1">IF(F332="","",OFFSET(分類!$B$29,MATCH(F332,分類!$A$30:$A$46,0),0))</f>
        <v>調剤棚　＆　劇薬バラ</v>
      </c>
      <c r="K332" s="69"/>
      <c r="L332" s="69">
        <v>328</v>
      </c>
      <c r="M332" s="54">
        <f t="shared" si="10"/>
        <v>328</v>
      </c>
    </row>
    <row r="333" spans="2:13">
      <c r="B333" s="27">
        <f t="shared" si="11"/>
        <v>329</v>
      </c>
      <c r="C333" s="27">
        <f ca="1"/>
        <v>744</v>
      </c>
      <c r="D333" s="54" t="str">
        <f ca="1"/>
        <v>ルーラン錠４ｍｇ　　　　　　　　　　　　</v>
      </c>
      <c r="E333" s="54">
        <f ca="1"/>
        <v>2</v>
      </c>
      <c r="F333" s="54">
        <f ca="1"/>
        <v>26</v>
      </c>
      <c r="G333" s="54" t="str">
        <f ca="1"/>
        <v>バラ</v>
      </c>
      <c r="H333" s="54" t="str">
        <f ca="1"/>
        <v>１０００Ｔ</v>
      </c>
      <c r="I333" s="54" t="str">
        <f ca="1"/>
        <v>錠</v>
      </c>
      <c r="J333" s="54" t="str">
        <f ca="1">IF(F333="","",OFFSET(分類!$B$29,MATCH(F333,分類!$A$30:$A$46,0),0))</f>
        <v>調剤棚　＆　劇薬バラ</v>
      </c>
      <c r="K333" s="69"/>
      <c r="L333" s="69">
        <v>329</v>
      </c>
      <c r="M333" s="54">
        <f t="shared" si="10"/>
        <v>329</v>
      </c>
    </row>
    <row r="334" spans="2:13">
      <c r="B334" s="27">
        <f t="shared" si="11"/>
        <v>330</v>
      </c>
      <c r="C334" s="27">
        <f ca="1"/>
        <v>745</v>
      </c>
      <c r="D334" s="54" t="str">
        <f ca="1"/>
        <v>ルーラン錠８ｍｇ</v>
      </c>
      <c r="E334" s="54">
        <f ca="1"/>
        <v>2</v>
      </c>
      <c r="F334" s="54">
        <f ca="1"/>
        <v>26</v>
      </c>
      <c r="G334" s="54" t="str">
        <f ca="1"/>
        <v>バラ</v>
      </c>
      <c r="H334" s="54" t="str">
        <f ca="1"/>
        <v>１０００Ｔ</v>
      </c>
      <c r="I334" s="54" t="str">
        <f ca="1"/>
        <v>錠</v>
      </c>
      <c r="J334" s="54" t="str">
        <f ca="1">IF(F334="","",OFFSET(分類!$B$29,MATCH(F334,分類!$A$30:$A$46,0),0))</f>
        <v>調剤棚　＆　劇薬バラ</v>
      </c>
      <c r="K334" s="69"/>
      <c r="L334" s="69">
        <v>330</v>
      </c>
      <c r="M334" s="54">
        <f t="shared" si="10"/>
        <v>330</v>
      </c>
    </row>
    <row r="335" spans="2:13">
      <c r="B335" s="27">
        <f t="shared" si="11"/>
        <v>331</v>
      </c>
      <c r="C335" s="27">
        <f ca="1"/>
        <v>746</v>
      </c>
      <c r="D335" s="54" t="str">
        <f ca="1"/>
        <v>ルーラン錠８ｍｇ　　　　　　　　　　　　</v>
      </c>
      <c r="E335" s="54">
        <f ca="1"/>
        <v>2</v>
      </c>
      <c r="F335" s="54">
        <f ca="1"/>
        <v>26</v>
      </c>
      <c r="G335" s="54" t="str">
        <f ca="1"/>
        <v>ＰＴＰ</v>
      </c>
      <c r="H335" s="54" t="str">
        <f ca="1"/>
        <v>１００Ｔ</v>
      </c>
      <c r="I335" s="54" t="str">
        <f ca="1"/>
        <v>錠</v>
      </c>
      <c r="J335" s="54" t="str">
        <f ca="1">IF(F335="","",OFFSET(分類!$B$29,MATCH(F335,分類!$A$30:$A$46,0),0))</f>
        <v>調剤棚　＆　劇薬バラ</v>
      </c>
      <c r="K335" s="69"/>
      <c r="L335" s="69">
        <v>331</v>
      </c>
      <c r="M335" s="54">
        <f t="shared" si="10"/>
        <v>331</v>
      </c>
    </row>
    <row r="336" spans="2:13">
      <c r="B336" s="27">
        <f t="shared" si="11"/>
        <v>332</v>
      </c>
      <c r="C336" s="27">
        <f ca="1"/>
        <v>747</v>
      </c>
      <c r="D336" s="54" t="str">
        <f ca="1"/>
        <v>レキサルティＯＤ錠０．５ｍｇ</v>
      </c>
      <c r="E336" s="54">
        <f ca="1"/>
        <v>2</v>
      </c>
      <c r="F336" s="54">
        <f ca="1"/>
        <v>26</v>
      </c>
      <c r="G336" s="54" t="str">
        <f ca="1"/>
        <v>ＰＴＰ</v>
      </c>
      <c r="H336" s="54" t="str">
        <f ca="1"/>
        <v>１００Ｔ</v>
      </c>
      <c r="I336" s="54" t="str">
        <f ca="1"/>
        <v>錠</v>
      </c>
      <c r="J336" s="54" t="str">
        <f ca="1">IF(F336="","",OFFSET(分類!$B$29,MATCH(F336,分類!$A$30:$A$46,0),0))</f>
        <v>調剤棚　＆　劇薬バラ</v>
      </c>
      <c r="K336" s="69"/>
      <c r="L336" s="69">
        <v>332</v>
      </c>
      <c r="M336" s="54">
        <f t="shared" si="10"/>
        <v>332</v>
      </c>
    </row>
    <row r="337" spans="2:13">
      <c r="B337" s="27">
        <f t="shared" si="11"/>
        <v>333</v>
      </c>
      <c r="C337" s="27">
        <f ca="1"/>
        <v>748</v>
      </c>
      <c r="D337" s="54" t="str">
        <f ca="1"/>
        <v>レキサルティＯＤ錠０．５ｍｇ</v>
      </c>
      <c r="E337" s="54">
        <f ca="1"/>
        <v>2</v>
      </c>
      <c r="F337" s="54">
        <f ca="1"/>
        <v>26</v>
      </c>
      <c r="G337" s="54" t="str">
        <f ca="1"/>
        <v>バラ</v>
      </c>
      <c r="H337" s="54" t="str">
        <f ca="1"/>
        <v>５００Ｔ</v>
      </c>
      <c r="I337" s="54" t="str">
        <f ca="1"/>
        <v>錠</v>
      </c>
      <c r="J337" s="54" t="str">
        <f ca="1">IF(F337="","",OFFSET(分類!$B$29,MATCH(F337,分類!$A$30:$A$46,0),0))</f>
        <v>調剤棚　＆　劇薬バラ</v>
      </c>
      <c r="K337" s="69"/>
      <c r="L337" s="69">
        <v>333</v>
      </c>
      <c r="M337" s="54">
        <f t="shared" si="10"/>
        <v>333</v>
      </c>
    </row>
    <row r="338" spans="2:13">
      <c r="B338" s="27">
        <f t="shared" si="11"/>
        <v>334</v>
      </c>
      <c r="C338" s="27">
        <f ca="1"/>
        <v>749</v>
      </c>
      <c r="D338" s="54" t="str">
        <f ca="1"/>
        <v>レキサルティＯＤ錠１ｍｇ</v>
      </c>
      <c r="E338" s="54">
        <f ca="1"/>
        <v>2</v>
      </c>
      <c r="F338" s="54">
        <f ca="1"/>
        <v>26</v>
      </c>
      <c r="G338" s="54" t="str">
        <f ca="1"/>
        <v>ＰＴＰ</v>
      </c>
      <c r="H338" s="54" t="str">
        <f ca="1"/>
        <v>１００Ｔ</v>
      </c>
      <c r="I338" s="54" t="str">
        <f ca="1"/>
        <v>錠</v>
      </c>
      <c r="J338" s="54" t="str">
        <f ca="1">IF(F338="","",OFFSET(分類!$B$29,MATCH(F338,分類!$A$30:$A$46,0),0))</f>
        <v>調剤棚　＆　劇薬バラ</v>
      </c>
      <c r="K338" s="69"/>
      <c r="L338" s="69">
        <v>334</v>
      </c>
      <c r="M338" s="54">
        <f t="shared" si="10"/>
        <v>334</v>
      </c>
    </row>
    <row r="339" spans="2:13">
      <c r="B339" s="27">
        <f t="shared" si="11"/>
        <v>335</v>
      </c>
      <c r="C339" s="27">
        <f ca="1"/>
        <v>750</v>
      </c>
      <c r="D339" s="54" t="str">
        <f ca="1"/>
        <v>レキサルティＯＤ錠１ｍｇ</v>
      </c>
      <c r="E339" s="54">
        <f ca="1"/>
        <v>2</v>
      </c>
      <c r="F339" s="54">
        <f ca="1"/>
        <v>26</v>
      </c>
      <c r="G339" s="54" t="str">
        <f ca="1"/>
        <v>バラ</v>
      </c>
      <c r="H339" s="54" t="str">
        <f ca="1"/>
        <v>５００Ｔ</v>
      </c>
      <c r="I339" s="54" t="str">
        <f ca="1"/>
        <v>錠</v>
      </c>
      <c r="J339" s="54" t="str">
        <f ca="1">IF(F339="","",OFFSET(分類!$B$29,MATCH(F339,分類!$A$30:$A$46,0),0))</f>
        <v>調剤棚　＆　劇薬バラ</v>
      </c>
      <c r="K339" s="69"/>
      <c r="L339" s="69">
        <v>335</v>
      </c>
      <c r="M339" s="54">
        <f t="shared" si="10"/>
        <v>335</v>
      </c>
    </row>
    <row r="340" spans="2:13">
      <c r="B340" s="27">
        <f t="shared" si="11"/>
        <v>336</v>
      </c>
      <c r="C340" s="27">
        <f ca="1"/>
        <v>751</v>
      </c>
      <c r="D340" s="54" t="str">
        <f ca="1"/>
        <v>レキサルティＯＤ錠２ｍｇ</v>
      </c>
      <c r="E340" s="54">
        <f ca="1"/>
        <v>2</v>
      </c>
      <c r="F340" s="54">
        <f ca="1"/>
        <v>26</v>
      </c>
      <c r="G340" s="54" t="str">
        <f ca="1"/>
        <v>ＰＴＰ</v>
      </c>
      <c r="H340" s="54" t="str">
        <f ca="1"/>
        <v>１００Ｔ</v>
      </c>
      <c r="I340" s="54" t="str">
        <f ca="1"/>
        <v>錠</v>
      </c>
      <c r="J340" s="54" t="str">
        <f ca="1">IF(F340="","",OFFSET(分類!$B$29,MATCH(F340,分類!$A$30:$A$46,0),0))</f>
        <v>調剤棚　＆　劇薬バラ</v>
      </c>
      <c r="K340" s="69"/>
      <c r="L340" s="69">
        <v>336</v>
      </c>
      <c r="M340" s="54">
        <f t="shared" si="10"/>
        <v>336</v>
      </c>
    </row>
    <row r="341" spans="2:13">
      <c r="B341" s="27">
        <f t="shared" si="11"/>
        <v>337</v>
      </c>
      <c r="C341" s="27">
        <f ca="1"/>
        <v>752</v>
      </c>
      <c r="D341" s="54" t="str">
        <f ca="1"/>
        <v>レキサルティＯＤ錠２ｍｇ</v>
      </c>
      <c r="E341" s="54">
        <f ca="1"/>
        <v>2</v>
      </c>
      <c r="F341" s="54">
        <f ca="1"/>
        <v>26</v>
      </c>
      <c r="G341" s="54" t="str">
        <f ca="1"/>
        <v>バラ</v>
      </c>
      <c r="H341" s="54" t="str">
        <f ca="1"/>
        <v>５００Ｔ</v>
      </c>
      <c r="I341" s="54" t="str">
        <f ca="1"/>
        <v>錠</v>
      </c>
      <c r="J341" s="54" t="str">
        <f ca="1">IF(F341="","",OFFSET(分類!$B$29,MATCH(F341,分類!$A$30:$A$46,0),0))</f>
        <v>調剤棚　＆　劇薬バラ</v>
      </c>
      <c r="K341" s="69"/>
      <c r="L341" s="69">
        <v>337</v>
      </c>
      <c r="M341" s="54">
        <f t="shared" si="10"/>
        <v>337</v>
      </c>
    </row>
    <row r="342" spans="2:13">
      <c r="B342" s="27">
        <f t="shared" si="11"/>
        <v>338</v>
      </c>
      <c r="C342" s="27">
        <f ca="1"/>
        <v>753</v>
      </c>
      <c r="D342" s="54" t="str">
        <f ca="1"/>
        <v>レキソタン錠２</v>
      </c>
      <c r="E342" s="54">
        <f ca="1"/>
        <v>0</v>
      </c>
      <c r="F342" s="54">
        <f ca="1"/>
        <v>25</v>
      </c>
      <c r="G342" s="54" t="str">
        <f ca="1"/>
        <v>ＰＴＰ</v>
      </c>
      <c r="H342" s="54" t="str">
        <f ca="1"/>
        <v>１００Ｔ</v>
      </c>
      <c r="I342" s="54" t="str">
        <f ca="1"/>
        <v>錠</v>
      </c>
      <c r="J342" s="54" t="str">
        <f ca="1">IF(F342="","",OFFSET(分類!$B$29,MATCH(F342,分類!$A$30:$A$46,0),0))</f>
        <v>調剤棚　＆　普通薬バラ</v>
      </c>
      <c r="K342" s="69"/>
      <c r="L342" s="69">
        <v>338</v>
      </c>
      <c r="M342" s="54">
        <f t="shared" si="10"/>
        <v>338</v>
      </c>
    </row>
    <row r="343" spans="2:13">
      <c r="B343" s="27">
        <f t="shared" si="11"/>
        <v>339</v>
      </c>
      <c r="C343" s="27">
        <f ca="1"/>
        <v>754</v>
      </c>
      <c r="D343" s="54" t="str">
        <f ca="1"/>
        <v>レキソタン錠２</v>
      </c>
      <c r="E343" s="54">
        <f ca="1"/>
        <v>0</v>
      </c>
      <c r="F343" s="54">
        <f ca="1"/>
        <v>25</v>
      </c>
      <c r="G343" s="54" t="str">
        <f ca="1"/>
        <v>バラ</v>
      </c>
      <c r="H343" s="54" t="str">
        <f ca="1"/>
        <v>５００Ｔ</v>
      </c>
      <c r="I343" s="54" t="str">
        <f ca="1"/>
        <v>錠</v>
      </c>
      <c r="J343" s="54" t="str">
        <f ca="1">IF(F343="","",OFFSET(分類!$B$29,MATCH(F343,分類!$A$30:$A$46,0),0))</f>
        <v>調剤棚　＆　普通薬バラ</v>
      </c>
      <c r="K343" s="69"/>
      <c r="L343" s="69">
        <v>339</v>
      </c>
      <c r="M343" s="54">
        <f t="shared" si="10"/>
        <v>339</v>
      </c>
    </row>
    <row r="344" spans="2:13">
      <c r="B344" s="27">
        <f t="shared" si="11"/>
        <v>340</v>
      </c>
      <c r="C344" s="27">
        <f ca="1"/>
        <v>755</v>
      </c>
      <c r="D344" s="54" t="str">
        <f ca="1"/>
        <v>レキソタン錠５</v>
      </c>
      <c r="E344" s="54">
        <f ca="1"/>
        <v>0</v>
      </c>
      <c r="F344" s="54">
        <f ca="1"/>
        <v>25</v>
      </c>
      <c r="G344" s="54" t="str">
        <f ca="1"/>
        <v>ＰＴＰ</v>
      </c>
      <c r="H344" s="54" t="str">
        <f ca="1"/>
        <v>１００Ｔ</v>
      </c>
      <c r="I344" s="54" t="str">
        <f ca="1"/>
        <v>錠</v>
      </c>
      <c r="J344" s="54" t="str">
        <f ca="1">IF(F344="","",OFFSET(分類!$B$29,MATCH(F344,分類!$A$30:$A$46,0),0))</f>
        <v>調剤棚　＆　普通薬バラ</v>
      </c>
      <c r="K344" s="69"/>
      <c r="L344" s="69">
        <v>340</v>
      </c>
      <c r="M344" s="54">
        <f t="shared" si="10"/>
        <v>340</v>
      </c>
    </row>
    <row r="345" spans="2:13">
      <c r="B345" s="27">
        <f t="shared" si="11"/>
        <v>341</v>
      </c>
      <c r="C345" s="27">
        <f ca="1"/>
        <v>756</v>
      </c>
      <c r="D345" s="54" t="str">
        <f ca="1"/>
        <v>レキソタン錠５</v>
      </c>
      <c r="E345" s="54">
        <f ca="1"/>
        <v>0</v>
      </c>
      <c r="F345" s="54">
        <f ca="1"/>
        <v>25</v>
      </c>
      <c r="G345" s="54" t="str">
        <f ca="1"/>
        <v>バラ</v>
      </c>
      <c r="H345" s="54" t="str">
        <f ca="1"/>
        <v>５００Ｔ</v>
      </c>
      <c r="I345" s="54" t="str">
        <f ca="1"/>
        <v>錠</v>
      </c>
      <c r="J345" s="54" t="str">
        <f ca="1">IF(F345="","",OFFSET(分類!$B$29,MATCH(F345,分類!$A$30:$A$46,0),0))</f>
        <v>調剤棚　＆　普通薬バラ</v>
      </c>
      <c r="K345" s="69"/>
      <c r="L345" s="69">
        <v>341</v>
      </c>
      <c r="M345" s="54">
        <f t="shared" si="10"/>
        <v>341</v>
      </c>
    </row>
    <row r="346" spans="2:13">
      <c r="B346" s="27">
        <f t="shared" si="11"/>
        <v>342</v>
      </c>
      <c r="C346" s="27">
        <f ca="1"/>
        <v>757</v>
      </c>
      <c r="D346" s="54" t="str">
        <f ca="1"/>
        <v>レグテクト錠３３３ｍｇ</v>
      </c>
      <c r="E346" s="54">
        <f ca="1"/>
        <v>0</v>
      </c>
      <c r="F346" s="54">
        <f ca="1"/>
        <v>25</v>
      </c>
      <c r="G346" s="54" t="str">
        <f ca="1"/>
        <v>ＰＴＰ</v>
      </c>
      <c r="H346" s="54" t="str">
        <f ca="1"/>
        <v>１００Ｔ　</v>
      </c>
      <c r="I346" s="54" t="str">
        <f ca="1"/>
        <v>錠</v>
      </c>
      <c r="J346" s="54" t="str">
        <f ca="1">IF(F346="","",OFFSET(分類!$B$29,MATCH(F346,分類!$A$30:$A$46,0),0))</f>
        <v>調剤棚　＆　普通薬バラ</v>
      </c>
      <c r="K346" s="69"/>
      <c r="L346" s="69">
        <v>342</v>
      </c>
      <c r="M346" s="54">
        <f t="shared" si="10"/>
        <v>342</v>
      </c>
    </row>
    <row r="347" spans="2:13">
      <c r="B347" s="27">
        <f t="shared" si="11"/>
        <v>343</v>
      </c>
      <c r="C347" s="27">
        <f ca="1"/>
        <v>758</v>
      </c>
      <c r="D347" s="54" t="str">
        <f ca="1"/>
        <v>レグテクト錠３３３ｍｇ</v>
      </c>
      <c r="E347" s="54">
        <f ca="1"/>
        <v>0</v>
      </c>
      <c r="F347" s="54">
        <f ca="1"/>
        <v>25</v>
      </c>
      <c r="G347" s="54" t="str">
        <f ca="1"/>
        <v>バラ</v>
      </c>
      <c r="H347" s="54" t="str">
        <f ca="1"/>
        <v>５００Ｔ　</v>
      </c>
      <c r="I347" s="54" t="str">
        <f ca="1"/>
        <v>錠</v>
      </c>
      <c r="J347" s="54" t="str">
        <f ca="1">IF(F347="","",OFFSET(分類!$B$29,MATCH(F347,分類!$A$30:$A$46,0),0))</f>
        <v>調剤棚　＆　普通薬バラ</v>
      </c>
      <c r="K347" s="69"/>
      <c r="L347" s="69">
        <v>343</v>
      </c>
      <c r="M347" s="54">
        <f t="shared" si="10"/>
        <v>343</v>
      </c>
    </row>
    <row r="348" spans="2:13">
      <c r="B348" s="27">
        <f t="shared" si="11"/>
        <v>344</v>
      </c>
      <c r="C348" s="27">
        <f ca="1"/>
        <v>760</v>
      </c>
      <c r="D348" s="54" t="str">
        <f ca="1"/>
        <v>レスプレン錠２０ｍｇ</v>
      </c>
      <c r="E348" s="54">
        <f ca="1"/>
        <v>0</v>
      </c>
      <c r="F348" s="54">
        <f ca="1"/>
        <v>1</v>
      </c>
      <c r="G348" s="54" t="str">
        <f ca="1"/>
        <v>ＰＴＰ</v>
      </c>
      <c r="H348" s="54" t="str">
        <f ca="1"/>
        <v>５００Ｔ</v>
      </c>
      <c r="I348" s="54" t="str">
        <f ca="1"/>
        <v>錠</v>
      </c>
      <c r="J348" s="54" t="str">
        <f ca="1">IF(F348="","",OFFSET(分類!$B$29,MATCH(F348,分類!$A$30:$A$46,0),0))</f>
        <v>調剤棚</v>
      </c>
      <c r="K348" s="69"/>
      <c r="L348" s="69">
        <v>344</v>
      </c>
      <c r="M348" s="54">
        <f t="shared" si="10"/>
        <v>344</v>
      </c>
    </row>
    <row r="349" spans="2:13">
      <c r="B349" s="27">
        <f t="shared" si="11"/>
        <v>345</v>
      </c>
      <c r="C349" s="27">
        <f ca="1"/>
        <v>762</v>
      </c>
      <c r="D349" s="54" t="str">
        <f ca="1"/>
        <v>レバミピド錠１００ｍｇ「オーツカ」</v>
      </c>
      <c r="E349" s="54">
        <f ca="1"/>
        <v>0</v>
      </c>
      <c r="F349" s="54">
        <f ca="1"/>
        <v>25</v>
      </c>
      <c r="G349" s="54" t="str">
        <f ca="1"/>
        <v>ＰＴＰ</v>
      </c>
      <c r="H349" s="54" t="str">
        <f ca="1"/>
        <v>５００Ｔ</v>
      </c>
      <c r="I349" s="54" t="str">
        <f ca="1"/>
        <v>錠</v>
      </c>
      <c r="J349" s="54" t="str">
        <f ca="1">IF(F349="","",OFFSET(分類!$B$29,MATCH(F349,分類!$A$30:$A$46,0),0))</f>
        <v>調剤棚　＆　普通薬バラ</v>
      </c>
      <c r="K349" s="69"/>
      <c r="L349" s="69">
        <v>345</v>
      </c>
      <c r="M349" s="54">
        <f t="shared" si="10"/>
        <v>345</v>
      </c>
    </row>
    <row r="350" spans="2:13">
      <c r="B350" s="27">
        <f t="shared" si="11"/>
        <v>346</v>
      </c>
      <c r="C350" s="27">
        <f ca="1"/>
        <v>763</v>
      </c>
      <c r="D350" s="54" t="str">
        <f ca="1"/>
        <v>レバミピド錠１００ｍｇ「オーツカ」</v>
      </c>
      <c r="E350" s="54">
        <f ca="1"/>
        <v>0</v>
      </c>
      <c r="F350" s="54">
        <f ca="1"/>
        <v>25</v>
      </c>
      <c r="G350" s="54" t="str">
        <f ca="1"/>
        <v>バラ</v>
      </c>
      <c r="H350" s="54" t="str">
        <f ca="1"/>
        <v>５００Ｔ</v>
      </c>
      <c r="I350" s="54" t="str">
        <f ca="1"/>
        <v>錠</v>
      </c>
      <c r="J350" s="54" t="str">
        <f ca="1">IF(F350="","",OFFSET(分類!$B$29,MATCH(F350,分類!$A$30:$A$46,0),0))</f>
        <v>調剤棚　＆　普通薬バラ</v>
      </c>
      <c r="K350" s="69"/>
      <c r="L350" s="69">
        <v>346</v>
      </c>
      <c r="M350" s="54">
        <f t="shared" si="10"/>
        <v>346</v>
      </c>
    </row>
    <row r="351" spans="2:13">
      <c r="B351" s="27">
        <f t="shared" si="11"/>
        <v>347</v>
      </c>
      <c r="C351" s="27">
        <f ca="1"/>
        <v>765</v>
      </c>
      <c r="D351" s="54" t="str">
        <f ca="1"/>
        <v>レベチラセタム錠２５０ｍｇ「トーワ」</v>
      </c>
      <c r="E351" s="54">
        <f ca="1"/>
        <v>0</v>
      </c>
      <c r="F351" s="54">
        <f ca="1"/>
        <v>25</v>
      </c>
      <c r="G351" s="54" t="str">
        <f ca="1"/>
        <v>ＰＴＰ</v>
      </c>
      <c r="H351" s="54" t="str">
        <f ca="1"/>
        <v>１００Ｔ</v>
      </c>
      <c r="I351" s="54" t="str">
        <f ca="1"/>
        <v>錠</v>
      </c>
      <c r="J351" s="54" t="str">
        <f ca="1">IF(F351="","",OFFSET(分類!$B$29,MATCH(F351,分類!$A$30:$A$46,0),0))</f>
        <v>調剤棚　＆　普通薬バラ</v>
      </c>
      <c r="K351" s="69"/>
      <c r="L351" s="69">
        <v>347</v>
      </c>
      <c r="M351" s="54">
        <f t="shared" si="10"/>
        <v>347</v>
      </c>
    </row>
    <row r="352" spans="2:13">
      <c r="B352" s="27">
        <f t="shared" si="11"/>
        <v>348</v>
      </c>
      <c r="C352" s="27">
        <f ca="1"/>
        <v>766</v>
      </c>
      <c r="D352" s="54" t="str">
        <f ca="1"/>
        <v>レベチラセタム錠２５０ｍｇ「トーワ」</v>
      </c>
      <c r="E352" s="54">
        <f ca="1"/>
        <v>0</v>
      </c>
      <c r="F352" s="54">
        <f ca="1"/>
        <v>25</v>
      </c>
      <c r="G352" s="54" t="str">
        <f ca="1"/>
        <v>バラ</v>
      </c>
      <c r="H352" s="54" t="str">
        <f ca="1"/>
        <v>３００Ｔ</v>
      </c>
      <c r="I352" s="54" t="str">
        <f ca="1"/>
        <v>錠</v>
      </c>
      <c r="J352" s="54" t="str">
        <f ca="1">IF(F352="","",OFFSET(分類!$B$29,MATCH(F352,分類!$A$30:$A$46,0),0))</f>
        <v>調剤棚　＆　普通薬バラ</v>
      </c>
      <c r="K352" s="69"/>
      <c r="L352" s="69">
        <v>348</v>
      </c>
      <c r="M352" s="54">
        <f t="shared" si="10"/>
        <v>348</v>
      </c>
    </row>
    <row r="353" spans="2:13">
      <c r="B353" s="27">
        <f t="shared" si="11"/>
        <v>349</v>
      </c>
      <c r="C353" s="27">
        <f ca="1"/>
        <v>770</v>
      </c>
      <c r="D353" s="54" t="str">
        <f ca="1"/>
        <v>レボフロキサシン錠２５０ｍｇ「ＤＳＥＰ」</v>
      </c>
      <c r="E353" s="54">
        <f ca="1"/>
        <v>0</v>
      </c>
      <c r="F353" s="54">
        <f ca="1"/>
        <v>1</v>
      </c>
      <c r="G353" s="54" t="str">
        <f ca="1"/>
        <v>ＰＴＰ</v>
      </c>
      <c r="H353" s="54" t="str">
        <f ca="1"/>
        <v>１００Ｔ</v>
      </c>
      <c r="I353" s="54" t="str">
        <f ca="1"/>
        <v>錠</v>
      </c>
      <c r="J353" s="54" t="str">
        <f ca="1">IF(F353="","",OFFSET(分類!$B$29,MATCH(F353,分類!$A$30:$A$46,0),0))</f>
        <v>調剤棚</v>
      </c>
      <c r="K353" s="69"/>
      <c r="L353" s="69">
        <v>349</v>
      </c>
      <c r="M353" s="54">
        <f t="shared" si="10"/>
        <v>349</v>
      </c>
    </row>
    <row r="354" spans="2:13">
      <c r="B354" s="27">
        <f t="shared" si="11"/>
        <v>350</v>
      </c>
      <c r="C354" s="27">
        <f ca="1"/>
        <v>780</v>
      </c>
      <c r="D354" s="54" t="str">
        <f ca="1"/>
        <v>ロキソプロフェンナトリウム錠６０ｍｇ「日医工」</v>
      </c>
      <c r="E354" s="54">
        <f ca="1"/>
        <v>0</v>
      </c>
      <c r="F354" s="54">
        <f ca="1"/>
        <v>25</v>
      </c>
      <c r="G354" s="54" t="str">
        <f ca="1"/>
        <v>ＰＴＰ</v>
      </c>
      <c r="H354" s="54" t="str">
        <f ca="1"/>
        <v>１０００Ｔ</v>
      </c>
      <c r="I354" s="54" t="str">
        <f ca="1"/>
        <v>錠</v>
      </c>
      <c r="J354" s="54" t="str">
        <f ca="1">IF(F354="","",OFFSET(分類!$B$29,MATCH(F354,分類!$A$30:$A$46,0),0))</f>
        <v>調剤棚　＆　普通薬バラ</v>
      </c>
      <c r="K354" s="69"/>
      <c r="L354" s="69">
        <v>350</v>
      </c>
      <c r="M354" s="54">
        <f t="shared" si="10"/>
        <v>350</v>
      </c>
    </row>
    <row r="355" spans="2:13">
      <c r="B355" s="27">
        <f t="shared" si="11"/>
        <v>351</v>
      </c>
      <c r="C355" s="27">
        <f ca="1"/>
        <v>781</v>
      </c>
      <c r="D355" s="54" t="str">
        <f ca="1"/>
        <v>ロキソプロフェンナトリウム錠６０ｍｇ「日医工」</v>
      </c>
      <c r="E355" s="54">
        <f ca="1"/>
        <v>0</v>
      </c>
      <c r="F355" s="54">
        <f ca="1"/>
        <v>25</v>
      </c>
      <c r="G355" s="54" t="str">
        <f ca="1"/>
        <v>バラ</v>
      </c>
      <c r="H355" s="54" t="str">
        <f ca="1"/>
        <v>１０００Ｔ</v>
      </c>
      <c r="I355" s="54" t="str">
        <f ca="1"/>
        <v>錠</v>
      </c>
      <c r="J355" s="54" t="str">
        <f ca="1">IF(F355="","",OFFSET(分類!$B$29,MATCH(F355,分類!$A$30:$A$46,0),0))</f>
        <v>調剤棚　＆　普通薬バラ</v>
      </c>
      <c r="K355" s="69"/>
      <c r="L355" s="69">
        <v>351</v>
      </c>
      <c r="M355" s="54">
        <f t="shared" si="10"/>
        <v>351</v>
      </c>
    </row>
    <row r="356" spans="2:13">
      <c r="B356" s="27">
        <f t="shared" si="11"/>
        <v>352</v>
      </c>
      <c r="C356" s="27">
        <f ca="1"/>
        <v>784</v>
      </c>
      <c r="D356" s="54" t="str">
        <f ca="1"/>
        <v>ロスバスタチン錠２．５ｍｇ「トーワ」</v>
      </c>
      <c r="E356" s="54">
        <f ca="1"/>
        <v>0</v>
      </c>
      <c r="F356" s="54">
        <f ca="1"/>
        <v>25</v>
      </c>
      <c r="G356" s="54" t="str">
        <f ca="1"/>
        <v>ＰＴＰ</v>
      </c>
      <c r="H356" s="54" t="str">
        <f ca="1"/>
        <v>１００Ｔ</v>
      </c>
      <c r="I356" s="54" t="str">
        <f ca="1"/>
        <v>錠</v>
      </c>
      <c r="J356" s="54" t="str">
        <f ca="1">IF(F356="","",OFFSET(分類!$B$29,MATCH(F356,分類!$A$30:$A$46,0),0))</f>
        <v>調剤棚　＆　普通薬バラ</v>
      </c>
      <c r="K356" s="69"/>
      <c r="L356" s="69">
        <v>352</v>
      </c>
      <c r="M356" s="54">
        <f t="shared" si="10"/>
        <v>352</v>
      </c>
    </row>
    <row r="357" spans="2:13">
      <c r="B357" s="27">
        <f t="shared" si="11"/>
        <v>353</v>
      </c>
      <c r="C357" s="27">
        <f ca="1"/>
        <v>785</v>
      </c>
      <c r="D357" s="54" t="str">
        <f ca="1"/>
        <v>ロスバスタチン錠２．５ｍｇ「トーワ」</v>
      </c>
      <c r="E357" s="54">
        <f ca="1"/>
        <v>0</v>
      </c>
      <c r="F357" s="54">
        <f ca="1"/>
        <v>25</v>
      </c>
      <c r="G357" s="54" t="str">
        <f ca="1"/>
        <v>バラ</v>
      </c>
      <c r="H357" s="54" t="str">
        <f ca="1"/>
        <v>３００Ｔ</v>
      </c>
      <c r="I357" s="54" t="str">
        <f ca="1"/>
        <v>錠</v>
      </c>
      <c r="J357" s="54" t="str">
        <f ca="1">IF(F357="","",OFFSET(分類!$B$29,MATCH(F357,分類!$A$30:$A$46,0),0))</f>
        <v>調剤棚　＆　普通薬バラ</v>
      </c>
      <c r="K357" s="69"/>
      <c r="L357" s="69">
        <v>353</v>
      </c>
      <c r="M357" s="54">
        <f t="shared" si="10"/>
        <v>353</v>
      </c>
    </row>
    <row r="358" spans="2:13">
      <c r="B358" s="27">
        <f t="shared" si="11"/>
        <v>354</v>
      </c>
      <c r="C358" s="27">
        <f ca="1"/>
        <v>788</v>
      </c>
      <c r="D358" s="54" t="str">
        <f ca="1"/>
        <v>ロドピン錠２５ｍｇ</v>
      </c>
      <c r="E358" s="54">
        <f ca="1"/>
        <v>2</v>
      </c>
      <c r="F358" s="54">
        <f ca="1"/>
        <v>26</v>
      </c>
      <c r="G358" s="54" t="str">
        <f ca="1"/>
        <v>ＰＴＰ</v>
      </c>
      <c r="H358" s="54" t="str">
        <f ca="1"/>
        <v>１００Ｔ</v>
      </c>
      <c r="I358" s="54" t="str">
        <f ca="1"/>
        <v>錠</v>
      </c>
      <c r="J358" s="54" t="str">
        <f ca="1">IF(F358="","",OFFSET(分類!$B$29,MATCH(F358,分類!$A$30:$A$46,0),0))</f>
        <v>調剤棚　＆　劇薬バラ</v>
      </c>
      <c r="K358" s="69"/>
      <c r="L358" s="69">
        <v>354</v>
      </c>
      <c r="M358" s="54">
        <f t="shared" si="10"/>
        <v>354</v>
      </c>
    </row>
    <row r="359" spans="2:13">
      <c r="B359" s="27">
        <f t="shared" si="11"/>
        <v>355</v>
      </c>
      <c r="C359" s="27">
        <f ca="1"/>
        <v>789</v>
      </c>
      <c r="D359" s="54" t="str">
        <f ca="1"/>
        <v>ロドピン錠２５ｍｇ</v>
      </c>
      <c r="E359" s="54">
        <f ca="1"/>
        <v>2</v>
      </c>
      <c r="F359" s="54">
        <f ca="1"/>
        <v>26</v>
      </c>
      <c r="G359" s="54" t="str">
        <f ca="1"/>
        <v>バラ</v>
      </c>
      <c r="H359" s="54" t="str">
        <f ca="1"/>
        <v>１０００Ｔ</v>
      </c>
      <c r="I359" s="54" t="str">
        <f ca="1"/>
        <v>錠</v>
      </c>
      <c r="J359" s="54" t="str">
        <f ca="1">IF(F359="","",OFFSET(分類!$B$29,MATCH(F359,分類!$A$30:$A$46,0),0))</f>
        <v>調剤棚　＆　劇薬バラ</v>
      </c>
      <c r="K359" s="69"/>
      <c r="L359" s="69">
        <v>355</v>
      </c>
      <c r="M359" s="54">
        <f t="shared" si="10"/>
        <v>355</v>
      </c>
    </row>
    <row r="360" spans="2:13">
      <c r="B360" s="27">
        <f t="shared" si="11"/>
        <v>356</v>
      </c>
      <c r="C360" s="27">
        <f ca="1"/>
        <v>790</v>
      </c>
      <c r="D360" s="54" t="str">
        <f ca="1"/>
        <v>ロドピン錠５０ｍｇ</v>
      </c>
      <c r="E360" s="54">
        <f ca="1"/>
        <v>2</v>
      </c>
      <c r="F360" s="54">
        <f ca="1"/>
        <v>26</v>
      </c>
      <c r="G360" s="54" t="str">
        <f ca="1"/>
        <v>ＰＴＰ</v>
      </c>
      <c r="H360" s="54" t="str">
        <f ca="1"/>
        <v>１００Ｔ</v>
      </c>
      <c r="I360" s="54" t="str">
        <f ca="1"/>
        <v>錠</v>
      </c>
      <c r="J360" s="54" t="str">
        <f ca="1">IF(F360="","",OFFSET(分類!$B$29,MATCH(F360,分類!$A$30:$A$46,0),0))</f>
        <v>調剤棚　＆　劇薬バラ</v>
      </c>
      <c r="K360" s="69"/>
      <c r="L360" s="69">
        <v>356</v>
      </c>
      <c r="M360" s="54">
        <f t="shared" si="10"/>
        <v>356</v>
      </c>
    </row>
    <row r="361" spans="2:13">
      <c r="B361" s="27">
        <f t="shared" si="11"/>
        <v>357</v>
      </c>
      <c r="C361" s="27">
        <f ca="1"/>
        <v>791</v>
      </c>
      <c r="D361" s="54" t="str">
        <f ca="1"/>
        <v>ロドピン錠５０ｍｇ</v>
      </c>
      <c r="E361" s="54">
        <f ca="1"/>
        <v>2</v>
      </c>
      <c r="F361" s="54">
        <f ca="1"/>
        <v>26</v>
      </c>
      <c r="G361" s="54" t="str">
        <f ca="1"/>
        <v>バラ</v>
      </c>
      <c r="H361" s="54" t="str">
        <f ca="1"/>
        <v>１０００Ｔ</v>
      </c>
      <c r="I361" s="54" t="str">
        <f ca="1"/>
        <v>錠</v>
      </c>
      <c r="J361" s="54" t="str">
        <f ca="1">IF(F361="","",OFFSET(分類!$B$29,MATCH(F361,分類!$A$30:$A$46,0),0))</f>
        <v>調剤棚　＆　劇薬バラ</v>
      </c>
      <c r="K361" s="69"/>
      <c r="L361" s="69">
        <v>357</v>
      </c>
      <c r="M361" s="54">
        <f t="shared" si="10"/>
        <v>357</v>
      </c>
    </row>
    <row r="362" spans="2:13">
      <c r="B362" s="27">
        <f t="shared" si="11"/>
        <v>358</v>
      </c>
      <c r="C362" s="27">
        <f ca="1"/>
        <v>795</v>
      </c>
      <c r="D362" s="54" t="str">
        <f ca="1"/>
        <v>ロラゼパム錠０．５ｍｇ「サワイ」</v>
      </c>
      <c r="E362" s="54">
        <f ca="1"/>
        <v>0</v>
      </c>
      <c r="F362" s="54">
        <f ca="1"/>
        <v>25</v>
      </c>
      <c r="G362" s="54" t="str">
        <f ca="1"/>
        <v>ＰＴＰ</v>
      </c>
      <c r="H362" s="54" t="str">
        <f ca="1"/>
        <v>１０００Ｔ</v>
      </c>
      <c r="I362" s="54" t="str">
        <f ca="1"/>
        <v>錠</v>
      </c>
      <c r="J362" s="54" t="str">
        <f ca="1">IF(F362="","",OFFSET(分類!$B$29,MATCH(F362,分類!$A$30:$A$46,0),0))</f>
        <v>調剤棚　＆　普通薬バラ</v>
      </c>
      <c r="K362" s="69"/>
      <c r="L362" s="69">
        <v>358</v>
      </c>
      <c r="M362" s="54">
        <f t="shared" si="10"/>
        <v>358</v>
      </c>
    </row>
    <row r="363" spans="2:13">
      <c r="B363" s="27">
        <f t="shared" si="11"/>
        <v>359</v>
      </c>
      <c r="C363" s="27">
        <f ca="1"/>
        <v>796</v>
      </c>
      <c r="D363" s="54" t="str">
        <f ca="1"/>
        <v>ロラメット錠１．０（アスカ）</v>
      </c>
      <c r="E363" s="54">
        <f ca="1"/>
        <v>0</v>
      </c>
      <c r="F363" s="54">
        <f ca="1"/>
        <v>25</v>
      </c>
      <c r="G363" s="54" t="str">
        <f ca="1"/>
        <v>ＰＴＰ</v>
      </c>
      <c r="H363" s="54" t="str">
        <f ca="1"/>
        <v>１００Ｔ</v>
      </c>
      <c r="I363" s="54" t="str">
        <f ca="1"/>
        <v>錠</v>
      </c>
      <c r="J363" s="54" t="str">
        <f ca="1">IF(F363="","",OFFSET(分類!$B$29,MATCH(F363,分類!$A$30:$A$46,0),0))</f>
        <v>調剤棚　＆　普通薬バラ</v>
      </c>
      <c r="K363" s="69"/>
      <c r="L363" s="69">
        <v>359</v>
      </c>
      <c r="M363" s="54">
        <f t="shared" si="10"/>
        <v>359</v>
      </c>
    </row>
    <row r="364" spans="2:13">
      <c r="B364" s="27">
        <f t="shared" si="11"/>
        <v>360</v>
      </c>
      <c r="C364" s="27">
        <f ca="1"/>
        <v>797</v>
      </c>
      <c r="D364" s="54" t="str">
        <f ca="1"/>
        <v>ロラメット錠１．０（アスカ）</v>
      </c>
      <c r="E364" s="54">
        <f ca="1"/>
        <v>0</v>
      </c>
      <c r="F364" s="54">
        <f ca="1"/>
        <v>25</v>
      </c>
      <c r="G364" s="54" t="str">
        <f ca="1"/>
        <v>バラ</v>
      </c>
      <c r="H364" s="54" t="str">
        <f ca="1"/>
        <v>５００Ｔ</v>
      </c>
      <c r="I364" s="54" t="str">
        <f ca="1"/>
        <v>錠</v>
      </c>
      <c r="J364" s="54" t="str">
        <f ca="1">IF(F364="","",OFFSET(分類!$B$29,MATCH(F364,分類!$A$30:$A$46,0),0))</f>
        <v>調剤棚　＆　普通薬バラ</v>
      </c>
      <c r="K364" s="69"/>
      <c r="L364" s="69">
        <v>360</v>
      </c>
      <c r="M364" s="54">
        <f t="shared" si="10"/>
        <v>360</v>
      </c>
    </row>
    <row r="365" spans="2:13">
      <c r="B365" s="27">
        <f t="shared" si="11"/>
        <v>361</v>
      </c>
      <c r="C365" s="27">
        <f ca="1"/>
        <v>798</v>
      </c>
      <c r="D365" s="54" t="str">
        <f ca="1"/>
        <v>ワーファリン錠１ｍｇ</v>
      </c>
      <c r="E365" s="54">
        <f ca="1"/>
        <v>0</v>
      </c>
      <c r="F365" s="54">
        <f ca="1"/>
        <v>25</v>
      </c>
      <c r="G365" s="54" t="str">
        <f ca="1"/>
        <v>バラ</v>
      </c>
      <c r="H365" s="54" t="str">
        <f ca="1"/>
        <v>１００Ｔ</v>
      </c>
      <c r="I365" s="54" t="str">
        <f ca="1"/>
        <v>錠</v>
      </c>
      <c r="J365" s="54" t="str">
        <f ca="1">IF(F365="","",OFFSET(分類!$B$29,MATCH(F365,分類!$A$30:$A$46,0),0))</f>
        <v>調剤棚　＆　普通薬バラ</v>
      </c>
      <c r="K365" s="69"/>
      <c r="L365" s="69">
        <v>361</v>
      </c>
      <c r="M365" s="54">
        <f t="shared" si="10"/>
        <v>361</v>
      </c>
    </row>
    <row r="366" spans="2:13">
      <c r="B366" s="27">
        <f t="shared" si="11"/>
        <v>362</v>
      </c>
      <c r="C366" s="27">
        <f ca="1"/>
        <v>800</v>
      </c>
      <c r="D366" s="54" t="str">
        <f ca="1"/>
        <v>ワソラン錠４０ｍｇ</v>
      </c>
      <c r="E366" s="54">
        <f ca="1"/>
        <v>0</v>
      </c>
      <c r="F366" s="54">
        <f ca="1"/>
        <v>4</v>
      </c>
      <c r="G366" s="54" t="str">
        <f ca="1"/>
        <v>バラ</v>
      </c>
      <c r="H366" s="54" t="str">
        <f ca="1"/>
        <v>１００Ｔ</v>
      </c>
      <c r="I366" s="54" t="str">
        <f ca="1"/>
        <v>錠</v>
      </c>
      <c r="J366" s="54" t="str">
        <f ca="1">IF(F366="","",OFFSET(分類!$B$29,MATCH(F366,分類!$A$30:$A$46,0),0))</f>
        <v>漢方薬</v>
      </c>
      <c r="K366" s="69"/>
      <c r="L366" s="69">
        <v>362</v>
      </c>
      <c r="M366" s="54">
        <f t="shared" si="10"/>
        <v>362</v>
      </c>
    </row>
    <row r="367" spans="2:13">
      <c r="B367" s="27">
        <f t="shared" si="11"/>
        <v>363</v>
      </c>
      <c r="C367" s="27">
        <f ca="1"/>
        <v>824</v>
      </c>
      <c r="D367" s="54" t="str">
        <f ca="1"/>
        <v>炭酸リチウム錠１００ｍｇ「大正」</v>
      </c>
      <c r="E367" s="54">
        <f ca="1"/>
        <v>2</v>
      </c>
      <c r="F367" s="54">
        <f ca="1"/>
        <v>26</v>
      </c>
      <c r="G367" s="54" t="str">
        <f ca="1"/>
        <v>ＰＴＰ</v>
      </c>
      <c r="H367" s="54" t="str">
        <f ca="1"/>
        <v>１００Ｔ　　</v>
      </c>
      <c r="I367" s="54" t="str">
        <f ca="1"/>
        <v>錠</v>
      </c>
      <c r="J367" s="54" t="str">
        <f ca="1">IF(F367="","",OFFSET(分類!$B$29,MATCH(F367,分類!$A$30:$A$46,0),0))</f>
        <v>調剤棚　＆　劇薬バラ</v>
      </c>
      <c r="K367" s="69"/>
      <c r="L367" s="69">
        <v>363</v>
      </c>
      <c r="M367" s="54">
        <f t="shared" si="10"/>
        <v>363</v>
      </c>
    </row>
    <row r="368" spans="2:13">
      <c r="B368" s="27">
        <f t="shared" si="11"/>
        <v>364</v>
      </c>
      <c r="C368" s="27">
        <f ca="1"/>
        <v>825</v>
      </c>
      <c r="D368" s="54" t="str">
        <f ca="1"/>
        <v>炭酸リチウム錠１００ｍｇ「大正」</v>
      </c>
      <c r="E368" s="54">
        <f ca="1"/>
        <v>2</v>
      </c>
      <c r="F368" s="54">
        <f ca="1"/>
        <v>26</v>
      </c>
      <c r="G368" s="54" t="str">
        <f ca="1"/>
        <v>バラ</v>
      </c>
      <c r="H368" s="54" t="str">
        <f ca="1"/>
        <v>１０００Ｔ　　</v>
      </c>
      <c r="I368" s="54" t="str">
        <f ca="1"/>
        <v>錠</v>
      </c>
      <c r="J368" s="54" t="str">
        <f ca="1">IF(F368="","",OFFSET(分類!$B$29,MATCH(F368,分類!$A$30:$A$46,0),0))</f>
        <v>調剤棚　＆　劇薬バラ</v>
      </c>
      <c r="K368" s="69"/>
      <c r="L368" s="69">
        <v>364</v>
      </c>
      <c r="M368" s="54">
        <f t="shared" si="10"/>
        <v>364</v>
      </c>
    </row>
    <row r="369" spans="2:13">
      <c r="B369" s="27">
        <f t="shared" si="11"/>
        <v>365</v>
      </c>
      <c r="C369" s="27">
        <f ca="1"/>
        <v>826</v>
      </c>
      <c r="D369" s="54" t="str">
        <f ca="1"/>
        <v>炭酸リチウム錠２００ｍｇ「大正」</v>
      </c>
      <c r="E369" s="54">
        <f ca="1"/>
        <v>2</v>
      </c>
      <c r="F369" s="54">
        <f ca="1"/>
        <v>26</v>
      </c>
      <c r="G369" s="54" t="str">
        <f ca="1"/>
        <v>ＰＴＰ</v>
      </c>
      <c r="H369" s="54" t="str">
        <f ca="1"/>
        <v>１００Ｔ</v>
      </c>
      <c r="I369" s="54" t="str">
        <f ca="1"/>
        <v>錠</v>
      </c>
      <c r="J369" s="54" t="str">
        <f ca="1">IF(F369="","",OFFSET(分類!$B$29,MATCH(F369,分類!$A$30:$A$46,0),0))</f>
        <v>調剤棚　＆　劇薬バラ</v>
      </c>
      <c r="K369" s="69"/>
      <c r="L369" s="69">
        <v>365</v>
      </c>
      <c r="M369" s="54">
        <f t="shared" si="10"/>
        <v>365</v>
      </c>
    </row>
    <row r="370" spans="2:13">
      <c r="B370" s="27">
        <f t="shared" si="11"/>
        <v>366</v>
      </c>
      <c r="C370" s="27">
        <f ca="1"/>
        <v>827</v>
      </c>
      <c r="D370" s="54" t="str">
        <f ca="1"/>
        <v>炭酸リチウム錠２００ｍｇ「大正」</v>
      </c>
      <c r="E370" s="54">
        <f ca="1"/>
        <v>2</v>
      </c>
      <c r="F370" s="54">
        <f ca="1"/>
        <v>26</v>
      </c>
      <c r="G370" s="54" t="str">
        <f ca="1"/>
        <v>バラ</v>
      </c>
      <c r="H370" s="54" t="str">
        <f ca="1"/>
        <v>１０００Ｔ</v>
      </c>
      <c r="I370" s="54" t="str">
        <f ca="1"/>
        <v>錠</v>
      </c>
      <c r="J370" s="54" t="str">
        <f ca="1">IF(F370="","",OFFSET(分類!$B$29,MATCH(F370,分類!$A$30:$A$46,0),0))</f>
        <v>調剤棚　＆　劇薬バラ</v>
      </c>
      <c r="K370" s="69"/>
      <c r="L370" s="69">
        <v>366</v>
      </c>
      <c r="M370" s="54">
        <f t="shared" si="10"/>
        <v>366</v>
      </c>
    </row>
    <row r="371" spans="2:13">
      <c r="B371" s="27">
        <f t="shared" si="11"/>
        <v>367</v>
      </c>
      <c r="C371" s="27"/>
      <c r="D371" s="54"/>
      <c r="E371" s="54"/>
      <c r="F371" s="54"/>
      <c r="G371" s="54"/>
      <c r="H371" s="54"/>
      <c r="I371" s="54"/>
      <c r="J371" s="54" t="str">
        <f ca="1">IF(F371="","",OFFSET(分類!$B$29,MATCH(F371,分類!$A$30:$A$46,0),0))</f>
        <v/>
      </c>
      <c r="K371" s="69"/>
      <c r="L371" s="69">
        <v>367</v>
      </c>
      <c r="M371" s="54">
        <f t="shared" si="10"/>
        <v>367</v>
      </c>
    </row>
    <row r="372" spans="2:13">
      <c r="B372" s="27">
        <f t="shared" si="11"/>
        <v>368</v>
      </c>
      <c r="C372" s="27"/>
      <c r="D372" s="54"/>
      <c r="E372" s="54"/>
      <c r="F372" s="54"/>
      <c r="G372" s="54"/>
      <c r="H372" s="54"/>
      <c r="I372" s="54"/>
      <c r="J372" s="54" t="str">
        <f ca="1">IF(F372="","",OFFSET(分類!$B$29,MATCH(F372,分類!$A$30:$A$46,0),0))</f>
        <v/>
      </c>
      <c r="K372" s="69"/>
      <c r="L372" s="69">
        <v>368</v>
      </c>
      <c r="M372" s="54">
        <f t="shared" si="10"/>
        <v>368</v>
      </c>
    </row>
    <row r="373" spans="2:13">
      <c r="B373" s="27">
        <f t="shared" si="11"/>
        <v>369</v>
      </c>
      <c r="C373" s="27"/>
      <c r="D373" s="54"/>
      <c r="E373" s="54"/>
      <c r="F373" s="54"/>
      <c r="G373" s="54"/>
      <c r="H373" s="54"/>
      <c r="I373" s="54"/>
      <c r="J373" s="54" t="str">
        <f ca="1">IF(F373="","",OFFSET(分類!$B$29,MATCH(F373,分類!$A$30:$A$46,0),0))</f>
        <v/>
      </c>
      <c r="K373" s="69"/>
      <c r="L373" s="69">
        <v>369</v>
      </c>
      <c r="M373" s="54">
        <f t="shared" si="10"/>
        <v>369</v>
      </c>
    </row>
    <row r="374" spans="2:13">
      <c r="B374" s="27">
        <f t="shared" si="11"/>
        <v>370</v>
      </c>
      <c r="C374" s="27"/>
      <c r="D374" s="54"/>
      <c r="E374" s="54"/>
      <c r="F374" s="54"/>
      <c r="G374" s="54"/>
      <c r="H374" s="54"/>
      <c r="I374" s="54"/>
      <c r="J374" s="54" t="str">
        <f ca="1">IF(F374="","",OFFSET(分類!$B$29,MATCH(F374,分類!$A$30:$A$46,0),0))</f>
        <v/>
      </c>
      <c r="K374" s="69"/>
      <c r="L374" s="69">
        <v>370</v>
      </c>
      <c r="M374" s="54">
        <f t="shared" si="10"/>
        <v>370</v>
      </c>
    </row>
    <row r="375" spans="2:13">
      <c r="B375" s="27">
        <f t="shared" si="11"/>
        <v>371</v>
      </c>
      <c r="C375" s="27"/>
      <c r="D375" s="54"/>
      <c r="E375" s="54"/>
      <c r="F375" s="54"/>
      <c r="G375" s="54"/>
      <c r="H375" s="54"/>
      <c r="I375" s="54"/>
      <c r="J375" s="54" t="str">
        <f ca="1">IF(F375="","",OFFSET(分類!$B$29,MATCH(F375,分類!$A$30:$A$46,0),0))</f>
        <v/>
      </c>
      <c r="K375" s="69"/>
      <c r="L375" s="69">
        <v>371</v>
      </c>
      <c r="M375" s="54">
        <f t="shared" si="10"/>
        <v>371</v>
      </c>
    </row>
    <row r="376" spans="2:13">
      <c r="B376" s="27">
        <f t="shared" si="11"/>
        <v>372</v>
      </c>
      <c r="C376" s="27"/>
      <c r="D376" s="54"/>
      <c r="E376" s="54"/>
      <c r="F376" s="54"/>
      <c r="G376" s="54"/>
      <c r="H376" s="54"/>
      <c r="I376" s="54"/>
      <c r="J376" s="54" t="str">
        <f ca="1">IF(F376="","",OFFSET(分類!$B$29,MATCH(F376,分類!$A$30:$A$46,0),0))</f>
        <v/>
      </c>
      <c r="K376" s="69"/>
      <c r="L376" s="69">
        <v>372</v>
      </c>
      <c r="M376" s="54">
        <f t="shared" si="10"/>
        <v>372</v>
      </c>
    </row>
    <row r="377" spans="2:13">
      <c r="B377" s="27">
        <f t="shared" si="11"/>
        <v>373</v>
      </c>
      <c r="C377" s="27"/>
      <c r="D377" s="54"/>
      <c r="E377" s="54"/>
      <c r="F377" s="54"/>
      <c r="G377" s="54"/>
      <c r="H377" s="54"/>
      <c r="I377" s="54"/>
      <c r="J377" s="54" t="str">
        <f ca="1">IF(F377="","",OFFSET(分類!$B$29,MATCH(F377,分類!$A$30:$A$46,0),0))</f>
        <v/>
      </c>
      <c r="K377" s="69"/>
      <c r="L377" s="69">
        <v>373</v>
      </c>
      <c r="M377" s="54">
        <f t="shared" si="10"/>
        <v>373</v>
      </c>
    </row>
    <row r="378" spans="2:13">
      <c r="B378" s="27">
        <f t="shared" si="11"/>
        <v>374</v>
      </c>
      <c r="C378" s="27"/>
      <c r="D378" s="54"/>
      <c r="E378" s="54"/>
      <c r="F378" s="54"/>
      <c r="G378" s="54"/>
      <c r="H378" s="54"/>
      <c r="I378" s="54"/>
      <c r="J378" s="54" t="str">
        <f ca="1">IF(F378="","",OFFSET(分類!$B$29,MATCH(F378,分類!$A$30:$A$46,0),0))</f>
        <v/>
      </c>
      <c r="K378" s="69"/>
      <c r="L378" s="69">
        <v>374</v>
      </c>
      <c r="M378" s="54">
        <f t="shared" si="10"/>
        <v>374</v>
      </c>
    </row>
    <row r="379" spans="2:13">
      <c r="B379" s="27">
        <f t="shared" si="11"/>
        <v>375</v>
      </c>
      <c r="C379" s="27"/>
      <c r="D379" s="54"/>
      <c r="E379" s="54"/>
      <c r="F379" s="54"/>
      <c r="G379" s="54"/>
      <c r="H379" s="54"/>
      <c r="I379" s="54"/>
      <c r="J379" s="54" t="str">
        <f ca="1">IF(F379="","",OFFSET(分類!$B$29,MATCH(F379,分類!$A$30:$A$46,0),0))</f>
        <v/>
      </c>
      <c r="K379" s="69"/>
      <c r="L379" s="69">
        <v>375</v>
      </c>
      <c r="M379" s="54">
        <f t="shared" si="10"/>
        <v>375</v>
      </c>
    </row>
    <row r="380" spans="2:13">
      <c r="B380" s="27">
        <f t="shared" si="11"/>
        <v>376</v>
      </c>
      <c r="C380" s="27"/>
      <c r="D380" s="54"/>
      <c r="E380" s="54"/>
      <c r="F380" s="54"/>
      <c r="G380" s="54"/>
      <c r="H380" s="54"/>
      <c r="I380" s="54"/>
      <c r="J380" s="54" t="str">
        <f ca="1">IF(F380="","",OFFSET(分類!$B$29,MATCH(F380,分類!$A$30:$A$46,0),0))</f>
        <v/>
      </c>
      <c r="K380" s="69"/>
      <c r="L380" s="69">
        <v>376</v>
      </c>
      <c r="M380" s="54">
        <f t="shared" si="10"/>
        <v>376</v>
      </c>
    </row>
    <row r="381" spans="2:13">
      <c r="B381" s="27">
        <f t="shared" si="11"/>
        <v>377</v>
      </c>
      <c r="C381" s="27"/>
      <c r="D381" s="54"/>
      <c r="E381" s="54"/>
      <c r="F381" s="54"/>
      <c r="G381" s="54"/>
      <c r="H381" s="54"/>
      <c r="I381" s="54"/>
      <c r="J381" s="54" t="str">
        <f ca="1">IF(F381="","",OFFSET(分類!$B$29,MATCH(F381,分類!$A$30:$A$46,0),0))</f>
        <v/>
      </c>
      <c r="K381" s="69"/>
      <c r="L381" s="69">
        <v>377</v>
      </c>
      <c r="M381" s="54">
        <f t="shared" si="10"/>
        <v>377</v>
      </c>
    </row>
    <row r="382" spans="2:13">
      <c r="B382" s="27">
        <f t="shared" si="11"/>
        <v>378</v>
      </c>
      <c r="C382" s="27"/>
      <c r="D382" s="54"/>
      <c r="E382" s="54"/>
      <c r="F382" s="54"/>
      <c r="G382" s="54"/>
      <c r="H382" s="54"/>
      <c r="I382" s="54"/>
      <c r="J382" s="54" t="str">
        <f ca="1">IF(F382="","",OFFSET(分類!$B$29,MATCH(F382,分類!$A$30:$A$46,0),0))</f>
        <v/>
      </c>
      <c r="K382" s="69"/>
      <c r="L382" s="69">
        <v>378</v>
      </c>
      <c r="M382" s="54">
        <f t="shared" si="10"/>
        <v>378</v>
      </c>
    </row>
    <row r="383" spans="2:13">
      <c r="B383" s="27">
        <f t="shared" si="11"/>
        <v>379</v>
      </c>
      <c r="C383" s="27"/>
      <c r="D383" s="54"/>
      <c r="E383" s="54"/>
      <c r="F383" s="54"/>
      <c r="G383" s="54"/>
      <c r="H383" s="54"/>
      <c r="I383" s="54"/>
      <c r="J383" s="54" t="str">
        <f ca="1">IF(F383="","",OFFSET(分類!$B$29,MATCH(F383,分類!$A$30:$A$46,0),0))</f>
        <v/>
      </c>
      <c r="K383" s="69"/>
      <c r="L383" s="69">
        <v>379</v>
      </c>
      <c r="M383" s="54">
        <f t="shared" si="10"/>
        <v>379</v>
      </c>
    </row>
    <row r="384" spans="2:13">
      <c r="B384" s="27">
        <f t="shared" si="11"/>
        <v>380</v>
      </c>
      <c r="C384" s="27"/>
      <c r="D384" s="54"/>
      <c r="E384" s="54"/>
      <c r="F384" s="54"/>
      <c r="G384" s="54"/>
      <c r="H384" s="54"/>
      <c r="I384" s="54"/>
      <c r="J384" s="54" t="str">
        <f ca="1">IF(F384="","",OFFSET(分類!$B$29,MATCH(F384,分類!$A$30:$A$46,0),0))</f>
        <v/>
      </c>
      <c r="K384" s="69"/>
      <c r="L384" s="69">
        <v>380</v>
      </c>
      <c r="M384" s="54">
        <f t="shared" si="10"/>
        <v>380</v>
      </c>
    </row>
    <row r="385" spans="2:13">
      <c r="B385" s="27">
        <f t="shared" si="11"/>
        <v>381</v>
      </c>
      <c r="C385" s="27"/>
      <c r="D385" s="54"/>
      <c r="E385" s="54"/>
      <c r="F385" s="54"/>
      <c r="G385" s="54"/>
      <c r="H385" s="54"/>
      <c r="I385" s="54"/>
      <c r="J385" s="54" t="str">
        <f ca="1">IF(F385="","",OFFSET(分類!$B$29,MATCH(F385,分類!$A$30:$A$46,0),0))</f>
        <v/>
      </c>
      <c r="K385" s="69"/>
      <c r="L385" s="69">
        <v>381</v>
      </c>
      <c r="M385" s="54">
        <f t="shared" si="10"/>
        <v>381</v>
      </c>
    </row>
    <row r="386" spans="2:13">
      <c r="B386" s="27">
        <f t="shared" si="11"/>
        <v>382</v>
      </c>
      <c r="C386" s="27"/>
      <c r="D386" s="54"/>
      <c r="E386" s="54"/>
      <c r="F386" s="54"/>
      <c r="G386" s="54"/>
      <c r="H386" s="54"/>
      <c r="I386" s="54"/>
      <c r="J386" s="54" t="str">
        <f ca="1">IF(F386="","",OFFSET(分類!$B$29,MATCH(F386,分類!$A$30:$A$46,0),0))</f>
        <v/>
      </c>
      <c r="K386" s="69"/>
      <c r="L386" s="69">
        <v>382</v>
      </c>
      <c r="M386" s="54">
        <f t="shared" si="10"/>
        <v>382</v>
      </c>
    </row>
    <row r="387" spans="2:13">
      <c r="B387" s="27">
        <f t="shared" si="11"/>
        <v>383</v>
      </c>
      <c r="C387" s="27"/>
      <c r="D387" s="54"/>
      <c r="E387" s="54"/>
      <c r="F387" s="54"/>
      <c r="G387" s="54"/>
      <c r="H387" s="54"/>
      <c r="I387" s="54"/>
      <c r="J387" s="54" t="str">
        <f ca="1">IF(F387="","",OFFSET(分類!$B$29,MATCH(F387,分類!$A$30:$A$46,0),0))</f>
        <v/>
      </c>
      <c r="K387" s="69"/>
      <c r="L387" s="69">
        <v>383</v>
      </c>
      <c r="M387" s="54">
        <f t="shared" si="10"/>
        <v>383</v>
      </c>
    </row>
    <row r="388" spans="2:13">
      <c r="B388" s="27">
        <f t="shared" si="11"/>
        <v>384</v>
      </c>
      <c r="C388" s="27"/>
      <c r="D388" s="54"/>
      <c r="E388" s="54"/>
      <c r="F388" s="54"/>
      <c r="G388" s="54"/>
      <c r="H388" s="54"/>
      <c r="I388" s="54"/>
      <c r="J388" s="54" t="str">
        <f ca="1">IF(F388="","",OFFSET(分類!$B$29,MATCH(F388,分類!$A$30:$A$46,0),0))</f>
        <v/>
      </c>
      <c r="K388" s="69"/>
      <c r="L388" s="69">
        <v>384</v>
      </c>
      <c r="M388" s="54">
        <f t="shared" si="10"/>
        <v>384</v>
      </c>
    </row>
    <row r="389" spans="2:13">
      <c r="B389" s="27">
        <f t="shared" si="11"/>
        <v>385</v>
      </c>
      <c r="C389" s="27"/>
      <c r="D389" s="54"/>
      <c r="E389" s="54"/>
      <c r="F389" s="54"/>
      <c r="G389" s="54"/>
      <c r="H389" s="54"/>
      <c r="I389" s="54"/>
      <c r="J389" s="54" t="str">
        <f ca="1">IF(F389="","",OFFSET(分類!$B$29,MATCH(F389,分類!$A$30:$A$46,0),0))</f>
        <v/>
      </c>
      <c r="K389" s="69"/>
      <c r="L389" s="69">
        <v>385</v>
      </c>
      <c r="M389" s="54">
        <f t="shared" si="10"/>
        <v>385</v>
      </c>
    </row>
    <row r="390" spans="2:13">
      <c r="B390" s="27">
        <f t="shared" si="11"/>
        <v>386</v>
      </c>
      <c r="C390" s="27"/>
      <c r="D390" s="54"/>
      <c r="E390" s="54"/>
      <c r="F390" s="54"/>
      <c r="G390" s="54"/>
      <c r="H390" s="54"/>
      <c r="I390" s="54"/>
      <c r="J390" s="54" t="str">
        <f ca="1">IF(F390="","",OFFSET(分類!$B$29,MATCH(F390,分類!$A$30:$A$46,0),0))</f>
        <v/>
      </c>
      <c r="K390" s="69"/>
      <c r="L390" s="69">
        <v>386</v>
      </c>
      <c r="M390" s="54">
        <f t="shared" ref="M390:M453" si="12">SUM(K390:L390)</f>
        <v>386</v>
      </c>
    </row>
    <row r="391" spans="2:13">
      <c r="B391" s="27">
        <f t="shared" ref="B391:B454" si="13">B390+1</f>
        <v>387</v>
      </c>
      <c r="C391" s="27"/>
      <c r="D391" s="54"/>
      <c r="E391" s="54"/>
      <c r="F391" s="54"/>
      <c r="G391" s="54"/>
      <c r="H391" s="54"/>
      <c r="I391" s="54"/>
      <c r="J391" s="54" t="str">
        <f ca="1">IF(F391="","",OFFSET(分類!$B$29,MATCH(F391,分類!$A$30:$A$46,0),0))</f>
        <v/>
      </c>
      <c r="K391" s="69"/>
      <c r="L391" s="69">
        <v>387</v>
      </c>
      <c r="M391" s="54">
        <f t="shared" si="12"/>
        <v>387</v>
      </c>
    </row>
    <row r="392" spans="2:13">
      <c r="B392" s="27">
        <f t="shared" si="13"/>
        <v>388</v>
      </c>
      <c r="C392" s="27"/>
      <c r="D392" s="54"/>
      <c r="E392" s="54"/>
      <c r="F392" s="54"/>
      <c r="G392" s="54"/>
      <c r="H392" s="54"/>
      <c r="I392" s="54"/>
      <c r="J392" s="54" t="str">
        <f ca="1">IF(F392="","",OFFSET(分類!$B$29,MATCH(F392,分類!$A$30:$A$46,0),0))</f>
        <v/>
      </c>
      <c r="K392" s="69"/>
      <c r="L392" s="69">
        <v>388</v>
      </c>
      <c r="M392" s="54">
        <f t="shared" si="12"/>
        <v>388</v>
      </c>
    </row>
    <row r="393" spans="2:13">
      <c r="B393" s="27">
        <f t="shared" si="13"/>
        <v>389</v>
      </c>
      <c r="C393" s="27"/>
      <c r="D393" s="54"/>
      <c r="E393" s="54"/>
      <c r="F393" s="54"/>
      <c r="G393" s="54"/>
      <c r="H393" s="54"/>
      <c r="I393" s="54"/>
      <c r="J393" s="54" t="str">
        <f ca="1">IF(F393="","",OFFSET(分類!$B$29,MATCH(F393,分類!$A$30:$A$46,0),0))</f>
        <v/>
      </c>
      <c r="K393" s="69"/>
      <c r="L393" s="69">
        <v>389</v>
      </c>
      <c r="M393" s="54">
        <f t="shared" si="12"/>
        <v>389</v>
      </c>
    </row>
    <row r="394" spans="2:13">
      <c r="B394" s="27">
        <f t="shared" si="13"/>
        <v>390</v>
      </c>
      <c r="C394" s="27"/>
      <c r="D394" s="54"/>
      <c r="E394" s="54"/>
      <c r="F394" s="54"/>
      <c r="G394" s="54"/>
      <c r="H394" s="54"/>
      <c r="I394" s="54"/>
      <c r="J394" s="54" t="str">
        <f ca="1">IF(F394="","",OFFSET(分類!$B$29,MATCH(F394,分類!$A$30:$A$46,0),0))</f>
        <v/>
      </c>
      <c r="K394" s="69"/>
      <c r="L394" s="69">
        <v>390</v>
      </c>
      <c r="M394" s="54">
        <f t="shared" si="12"/>
        <v>390</v>
      </c>
    </row>
    <row r="395" spans="2:13">
      <c r="B395" s="27">
        <f t="shared" si="13"/>
        <v>391</v>
      </c>
      <c r="C395" s="27"/>
      <c r="D395" s="54"/>
      <c r="E395" s="54"/>
      <c r="F395" s="54"/>
      <c r="G395" s="54"/>
      <c r="H395" s="54"/>
      <c r="I395" s="54"/>
      <c r="J395" s="54" t="str">
        <f ca="1">IF(F395="","",OFFSET(分類!$B$29,MATCH(F395,分類!$A$30:$A$46,0),0))</f>
        <v/>
      </c>
      <c r="K395" s="69"/>
      <c r="L395" s="69">
        <v>391</v>
      </c>
      <c r="M395" s="54">
        <f t="shared" si="12"/>
        <v>391</v>
      </c>
    </row>
    <row r="396" spans="2:13">
      <c r="B396" s="27">
        <f t="shared" si="13"/>
        <v>392</v>
      </c>
      <c r="C396" s="27"/>
      <c r="D396" s="54"/>
      <c r="E396" s="54"/>
      <c r="F396" s="54"/>
      <c r="G396" s="54"/>
      <c r="H396" s="54"/>
      <c r="I396" s="54"/>
      <c r="J396" s="54" t="str">
        <f ca="1">IF(F396="","",OFFSET(分類!$B$29,MATCH(F396,分類!$A$30:$A$46,0),0))</f>
        <v/>
      </c>
      <c r="K396" s="69"/>
      <c r="L396" s="69">
        <v>392</v>
      </c>
      <c r="M396" s="54">
        <f t="shared" si="12"/>
        <v>392</v>
      </c>
    </row>
    <row r="397" spans="2:13">
      <c r="B397" s="27">
        <f t="shared" si="13"/>
        <v>393</v>
      </c>
      <c r="C397" s="27"/>
      <c r="D397" s="54"/>
      <c r="E397" s="54"/>
      <c r="F397" s="54"/>
      <c r="G397" s="54"/>
      <c r="H397" s="54"/>
      <c r="I397" s="54"/>
      <c r="J397" s="54" t="str">
        <f ca="1">IF(F397="","",OFFSET(分類!$B$29,MATCH(F397,分類!$A$30:$A$46,0),0))</f>
        <v/>
      </c>
      <c r="K397" s="69"/>
      <c r="L397" s="69">
        <v>393</v>
      </c>
      <c r="M397" s="54">
        <f t="shared" si="12"/>
        <v>393</v>
      </c>
    </row>
    <row r="398" spans="2:13">
      <c r="B398" s="27">
        <f t="shared" si="13"/>
        <v>394</v>
      </c>
      <c r="C398" s="27"/>
      <c r="D398" s="54"/>
      <c r="E398" s="54"/>
      <c r="F398" s="54"/>
      <c r="G398" s="54"/>
      <c r="H398" s="54"/>
      <c r="I398" s="54"/>
      <c r="J398" s="54" t="str">
        <f ca="1">IF(F398="","",OFFSET(分類!$B$29,MATCH(F398,分類!$A$30:$A$46,0),0))</f>
        <v/>
      </c>
      <c r="K398" s="69"/>
      <c r="L398" s="69">
        <v>394</v>
      </c>
      <c r="M398" s="54">
        <f t="shared" si="12"/>
        <v>394</v>
      </c>
    </row>
    <row r="399" spans="2:13">
      <c r="B399" s="27">
        <f t="shared" si="13"/>
        <v>395</v>
      </c>
      <c r="C399" s="27"/>
      <c r="D399" s="54"/>
      <c r="E399" s="54"/>
      <c r="F399" s="54"/>
      <c r="G399" s="54"/>
      <c r="H399" s="54"/>
      <c r="I399" s="54"/>
      <c r="J399" s="54" t="str">
        <f ca="1">IF(F399="","",OFFSET(分類!$B$29,MATCH(F399,分類!$A$30:$A$46,0),0))</f>
        <v/>
      </c>
      <c r="K399" s="69"/>
      <c r="L399" s="69">
        <v>395</v>
      </c>
      <c r="M399" s="54">
        <f t="shared" si="12"/>
        <v>395</v>
      </c>
    </row>
    <row r="400" spans="2:13">
      <c r="B400" s="27">
        <f t="shared" si="13"/>
        <v>396</v>
      </c>
      <c r="C400" s="27"/>
      <c r="D400" s="54"/>
      <c r="E400" s="54"/>
      <c r="F400" s="54"/>
      <c r="G400" s="54"/>
      <c r="H400" s="54"/>
      <c r="I400" s="54"/>
      <c r="J400" s="54" t="str">
        <f ca="1">IF(F400="","",OFFSET(分類!$B$29,MATCH(F400,分類!$A$30:$A$46,0),0))</f>
        <v/>
      </c>
      <c r="K400" s="69"/>
      <c r="L400" s="69">
        <v>396</v>
      </c>
      <c r="M400" s="54">
        <f t="shared" si="12"/>
        <v>396</v>
      </c>
    </row>
    <row r="401" spans="2:13">
      <c r="B401" s="27">
        <f t="shared" si="13"/>
        <v>397</v>
      </c>
      <c r="C401" s="27"/>
      <c r="D401" s="54"/>
      <c r="E401" s="54"/>
      <c r="F401" s="54"/>
      <c r="G401" s="54"/>
      <c r="H401" s="54"/>
      <c r="I401" s="54"/>
      <c r="J401" s="54" t="str">
        <f ca="1">IF(F401="","",OFFSET(分類!$B$29,MATCH(F401,分類!$A$30:$A$46,0),0))</f>
        <v/>
      </c>
      <c r="K401" s="69"/>
      <c r="L401" s="69">
        <v>397</v>
      </c>
      <c r="M401" s="54">
        <f t="shared" si="12"/>
        <v>397</v>
      </c>
    </row>
    <row r="402" spans="2:13">
      <c r="B402" s="27">
        <f t="shared" si="13"/>
        <v>398</v>
      </c>
      <c r="C402" s="27"/>
      <c r="D402" s="54"/>
      <c r="E402" s="54"/>
      <c r="F402" s="54"/>
      <c r="G402" s="54"/>
      <c r="H402" s="54"/>
      <c r="I402" s="54"/>
      <c r="J402" s="54" t="str">
        <f ca="1">IF(F402="","",OFFSET(分類!$B$29,MATCH(F402,分類!$A$30:$A$46,0),0))</f>
        <v/>
      </c>
      <c r="K402" s="69"/>
      <c r="L402" s="69">
        <v>398</v>
      </c>
      <c r="M402" s="54">
        <f t="shared" si="12"/>
        <v>398</v>
      </c>
    </row>
    <row r="403" spans="2:13">
      <c r="B403" s="27">
        <f t="shared" si="13"/>
        <v>399</v>
      </c>
      <c r="C403" s="27"/>
      <c r="D403" s="54"/>
      <c r="E403" s="54"/>
      <c r="F403" s="54"/>
      <c r="G403" s="54"/>
      <c r="H403" s="54"/>
      <c r="I403" s="54"/>
      <c r="J403" s="54" t="str">
        <f ca="1">IF(F403="","",OFFSET(分類!$B$29,MATCH(F403,分類!$A$30:$A$46,0),0))</f>
        <v/>
      </c>
      <c r="K403" s="69"/>
      <c r="L403" s="69">
        <v>399</v>
      </c>
      <c r="M403" s="54">
        <f t="shared" si="12"/>
        <v>399</v>
      </c>
    </row>
    <row r="404" spans="2:13">
      <c r="B404" s="27">
        <f t="shared" si="13"/>
        <v>400</v>
      </c>
      <c r="C404" s="27"/>
      <c r="D404" s="54"/>
      <c r="E404" s="54"/>
      <c r="F404" s="54"/>
      <c r="G404" s="54"/>
      <c r="H404" s="54"/>
      <c r="I404" s="54"/>
      <c r="J404" s="54" t="str">
        <f ca="1">IF(F404="","",OFFSET(分類!$B$29,MATCH(F404,分類!$A$30:$A$46,0),0))</f>
        <v/>
      </c>
      <c r="K404" s="69"/>
      <c r="L404" s="69">
        <v>400</v>
      </c>
      <c r="M404" s="54">
        <f t="shared" si="12"/>
        <v>400</v>
      </c>
    </row>
    <row r="405" spans="2:13">
      <c r="B405" s="27">
        <f t="shared" si="13"/>
        <v>401</v>
      </c>
      <c r="C405" s="27"/>
      <c r="D405" s="54"/>
      <c r="E405" s="54"/>
      <c r="F405" s="54"/>
      <c r="G405" s="54"/>
      <c r="H405" s="54"/>
      <c r="I405" s="54"/>
      <c r="J405" s="54" t="str">
        <f ca="1">IF(F405="","",OFFSET(分類!$B$29,MATCH(F405,分類!$A$30:$A$46,0),0))</f>
        <v/>
      </c>
      <c r="K405" s="69"/>
      <c r="L405" s="69">
        <v>401</v>
      </c>
      <c r="M405" s="54">
        <f t="shared" si="12"/>
        <v>401</v>
      </c>
    </row>
    <row r="406" spans="2:13">
      <c r="B406" s="27">
        <f t="shared" si="13"/>
        <v>402</v>
      </c>
      <c r="C406" s="27"/>
      <c r="D406" s="54"/>
      <c r="E406" s="54"/>
      <c r="F406" s="54"/>
      <c r="G406" s="54"/>
      <c r="H406" s="54"/>
      <c r="I406" s="54"/>
      <c r="J406" s="54" t="str">
        <f ca="1">IF(F406="","",OFFSET(分類!$B$29,MATCH(F406,分類!$A$30:$A$46,0),0))</f>
        <v/>
      </c>
      <c r="K406" s="69"/>
      <c r="L406" s="69">
        <v>402</v>
      </c>
      <c r="M406" s="54">
        <f t="shared" si="12"/>
        <v>402</v>
      </c>
    </row>
    <row r="407" spans="2:13">
      <c r="B407" s="27">
        <f t="shared" si="13"/>
        <v>403</v>
      </c>
      <c r="C407" s="27"/>
      <c r="D407" s="54"/>
      <c r="E407" s="54"/>
      <c r="F407" s="54"/>
      <c r="G407" s="54"/>
      <c r="H407" s="54"/>
      <c r="I407" s="54"/>
      <c r="J407" s="54" t="str">
        <f ca="1">IF(F407="","",OFFSET(分類!$B$29,MATCH(F407,分類!$A$30:$A$46,0),0))</f>
        <v/>
      </c>
      <c r="K407" s="69"/>
      <c r="L407" s="69">
        <v>403</v>
      </c>
      <c r="M407" s="54">
        <f t="shared" si="12"/>
        <v>403</v>
      </c>
    </row>
    <row r="408" spans="2:13">
      <c r="B408" s="27">
        <f t="shared" si="13"/>
        <v>404</v>
      </c>
      <c r="C408" s="27"/>
      <c r="D408" s="54"/>
      <c r="E408" s="54"/>
      <c r="F408" s="54"/>
      <c r="G408" s="54"/>
      <c r="H408" s="54"/>
      <c r="I408" s="54"/>
      <c r="J408" s="54" t="str">
        <f ca="1">IF(F408="","",OFFSET(分類!$B$29,MATCH(F408,分類!$A$30:$A$46,0),0))</f>
        <v/>
      </c>
      <c r="K408" s="69"/>
      <c r="L408" s="69">
        <v>404</v>
      </c>
      <c r="M408" s="54">
        <f t="shared" si="12"/>
        <v>404</v>
      </c>
    </row>
    <row r="409" spans="2:13">
      <c r="B409" s="27">
        <f t="shared" si="13"/>
        <v>405</v>
      </c>
      <c r="C409" s="27"/>
      <c r="D409" s="54"/>
      <c r="E409" s="54"/>
      <c r="F409" s="54"/>
      <c r="G409" s="54"/>
      <c r="H409" s="54"/>
      <c r="I409" s="54"/>
      <c r="J409" s="54" t="str">
        <f ca="1">IF(F409="","",OFFSET(分類!$B$29,MATCH(F409,分類!$A$30:$A$46,0),0))</f>
        <v/>
      </c>
      <c r="K409" s="69"/>
      <c r="L409" s="69">
        <v>405</v>
      </c>
      <c r="M409" s="54">
        <f t="shared" si="12"/>
        <v>405</v>
      </c>
    </row>
    <row r="410" spans="2:13">
      <c r="B410" s="27">
        <f t="shared" si="13"/>
        <v>406</v>
      </c>
      <c r="C410" s="27"/>
      <c r="D410" s="54"/>
      <c r="E410" s="54"/>
      <c r="F410" s="54"/>
      <c r="G410" s="54"/>
      <c r="H410" s="54"/>
      <c r="I410" s="54"/>
      <c r="J410" s="54" t="str">
        <f ca="1">IF(F410="","",OFFSET(分類!$B$29,MATCH(F410,分類!$A$30:$A$46,0),0))</f>
        <v/>
      </c>
      <c r="K410" s="69"/>
      <c r="L410" s="69">
        <v>406</v>
      </c>
      <c r="M410" s="54">
        <f t="shared" si="12"/>
        <v>406</v>
      </c>
    </row>
    <row r="411" spans="2:13">
      <c r="B411" s="27">
        <f t="shared" si="13"/>
        <v>407</v>
      </c>
      <c r="C411" s="27"/>
      <c r="D411" s="54"/>
      <c r="E411" s="54"/>
      <c r="F411" s="54"/>
      <c r="G411" s="54"/>
      <c r="H411" s="54"/>
      <c r="I411" s="54"/>
      <c r="J411" s="54" t="str">
        <f ca="1">IF(F411="","",OFFSET(分類!$B$29,MATCH(F411,分類!$A$30:$A$46,0),0))</f>
        <v/>
      </c>
      <c r="K411" s="69"/>
      <c r="L411" s="69">
        <v>407</v>
      </c>
      <c r="M411" s="54">
        <f t="shared" si="12"/>
        <v>407</v>
      </c>
    </row>
    <row r="412" spans="2:13">
      <c r="B412" s="27">
        <f t="shared" si="13"/>
        <v>408</v>
      </c>
      <c r="C412" s="27"/>
      <c r="D412" s="54"/>
      <c r="E412" s="54"/>
      <c r="F412" s="54"/>
      <c r="G412" s="54"/>
      <c r="H412" s="54"/>
      <c r="I412" s="54"/>
      <c r="J412" s="54" t="str">
        <f ca="1">IF(F412="","",OFFSET(分類!$B$29,MATCH(F412,分類!$A$30:$A$46,0),0))</f>
        <v/>
      </c>
      <c r="K412" s="69"/>
      <c r="L412" s="69">
        <v>408</v>
      </c>
      <c r="M412" s="54">
        <f t="shared" si="12"/>
        <v>408</v>
      </c>
    </row>
    <row r="413" spans="2:13">
      <c r="B413" s="27">
        <f t="shared" si="13"/>
        <v>409</v>
      </c>
      <c r="C413" s="27"/>
      <c r="D413" s="54"/>
      <c r="E413" s="54"/>
      <c r="F413" s="54"/>
      <c r="G413" s="54"/>
      <c r="H413" s="54"/>
      <c r="I413" s="54"/>
      <c r="J413" s="54" t="str">
        <f ca="1">IF(F413="","",OFFSET(分類!$B$29,MATCH(F413,分類!$A$30:$A$46,0),0))</f>
        <v/>
      </c>
      <c r="K413" s="69"/>
      <c r="L413" s="69">
        <v>409</v>
      </c>
      <c r="M413" s="54">
        <f t="shared" si="12"/>
        <v>409</v>
      </c>
    </row>
    <row r="414" spans="2:13">
      <c r="B414" s="27">
        <f t="shared" si="13"/>
        <v>410</v>
      </c>
      <c r="C414" s="27"/>
      <c r="D414" s="54"/>
      <c r="E414" s="54"/>
      <c r="F414" s="54"/>
      <c r="G414" s="54"/>
      <c r="H414" s="54"/>
      <c r="I414" s="54"/>
      <c r="J414" s="54" t="str">
        <f ca="1">IF(F414="","",OFFSET(分類!$B$29,MATCH(F414,分類!$A$30:$A$46,0),0))</f>
        <v/>
      </c>
      <c r="K414" s="69"/>
      <c r="L414" s="69">
        <v>410</v>
      </c>
      <c r="M414" s="54">
        <f t="shared" si="12"/>
        <v>410</v>
      </c>
    </row>
    <row r="415" spans="2:13">
      <c r="B415" s="27">
        <f t="shared" si="13"/>
        <v>411</v>
      </c>
      <c r="C415" s="27"/>
      <c r="D415" s="54"/>
      <c r="E415" s="54"/>
      <c r="F415" s="54"/>
      <c r="G415" s="54"/>
      <c r="H415" s="54"/>
      <c r="I415" s="54"/>
      <c r="J415" s="54" t="str">
        <f ca="1">IF(F415="","",OFFSET(分類!$B$29,MATCH(F415,分類!$A$30:$A$46,0),0))</f>
        <v/>
      </c>
      <c r="K415" s="69"/>
      <c r="L415" s="69">
        <v>411</v>
      </c>
      <c r="M415" s="54">
        <f t="shared" si="12"/>
        <v>411</v>
      </c>
    </row>
    <row r="416" spans="2:13">
      <c r="B416" s="27">
        <f t="shared" si="13"/>
        <v>412</v>
      </c>
      <c r="C416" s="27"/>
      <c r="D416" s="54"/>
      <c r="E416" s="54"/>
      <c r="F416" s="54"/>
      <c r="G416" s="54"/>
      <c r="H416" s="54"/>
      <c r="I416" s="54"/>
      <c r="J416" s="54" t="str">
        <f ca="1">IF(F416="","",OFFSET(分類!$B$29,MATCH(F416,分類!$A$30:$A$46,0),0))</f>
        <v/>
      </c>
      <c r="K416" s="69"/>
      <c r="L416" s="69">
        <v>412</v>
      </c>
      <c r="M416" s="54">
        <f t="shared" si="12"/>
        <v>412</v>
      </c>
    </row>
    <row r="417" spans="2:13">
      <c r="B417" s="27">
        <f t="shared" si="13"/>
        <v>413</v>
      </c>
      <c r="C417" s="27"/>
      <c r="D417" s="54"/>
      <c r="E417" s="54"/>
      <c r="F417" s="54"/>
      <c r="G417" s="54"/>
      <c r="H417" s="54"/>
      <c r="I417" s="54"/>
      <c r="J417" s="54" t="str">
        <f ca="1">IF(F417="","",OFFSET(分類!$B$29,MATCH(F417,分類!$A$30:$A$46,0),0))</f>
        <v/>
      </c>
      <c r="K417" s="69"/>
      <c r="L417" s="69">
        <v>413</v>
      </c>
      <c r="M417" s="54">
        <f t="shared" si="12"/>
        <v>413</v>
      </c>
    </row>
    <row r="418" spans="2:13">
      <c r="B418" s="27">
        <f t="shared" si="13"/>
        <v>414</v>
      </c>
      <c r="C418" s="27"/>
      <c r="D418" s="54"/>
      <c r="E418" s="54"/>
      <c r="F418" s="54"/>
      <c r="G418" s="54"/>
      <c r="H418" s="54"/>
      <c r="I418" s="54"/>
      <c r="J418" s="54" t="str">
        <f ca="1">IF(F418="","",OFFSET(分類!$B$29,MATCH(F418,分類!$A$30:$A$46,0),0))</f>
        <v/>
      </c>
      <c r="K418" s="69"/>
      <c r="L418" s="69">
        <v>414</v>
      </c>
      <c r="M418" s="54">
        <f t="shared" si="12"/>
        <v>414</v>
      </c>
    </row>
    <row r="419" spans="2:13">
      <c r="B419" s="27">
        <f t="shared" si="13"/>
        <v>415</v>
      </c>
      <c r="C419" s="27"/>
      <c r="D419" s="54"/>
      <c r="E419" s="54"/>
      <c r="F419" s="54"/>
      <c r="G419" s="54"/>
      <c r="H419" s="54"/>
      <c r="I419" s="54"/>
      <c r="J419" s="54" t="str">
        <f ca="1">IF(F419="","",OFFSET(分類!$B$29,MATCH(F419,分類!$A$30:$A$46,0),0))</f>
        <v/>
      </c>
      <c r="K419" s="69"/>
      <c r="L419" s="69">
        <v>415</v>
      </c>
      <c r="M419" s="54">
        <f t="shared" si="12"/>
        <v>415</v>
      </c>
    </row>
    <row r="420" spans="2:13">
      <c r="B420" s="27">
        <f t="shared" si="13"/>
        <v>416</v>
      </c>
      <c r="C420" s="27"/>
      <c r="D420" s="54"/>
      <c r="E420" s="54"/>
      <c r="F420" s="54"/>
      <c r="G420" s="54"/>
      <c r="H420" s="54"/>
      <c r="I420" s="54"/>
      <c r="J420" s="54" t="str">
        <f ca="1">IF(F420="","",OFFSET(分類!$B$29,MATCH(F420,分類!$A$30:$A$46,0),0))</f>
        <v/>
      </c>
      <c r="K420" s="69"/>
      <c r="L420" s="69">
        <v>416</v>
      </c>
      <c r="M420" s="54">
        <f t="shared" si="12"/>
        <v>416</v>
      </c>
    </row>
    <row r="421" spans="2:13">
      <c r="B421" s="27">
        <f t="shared" si="13"/>
        <v>417</v>
      </c>
      <c r="C421" s="27"/>
      <c r="D421" s="54"/>
      <c r="E421" s="54"/>
      <c r="F421" s="54"/>
      <c r="G421" s="54"/>
      <c r="H421" s="54"/>
      <c r="I421" s="54"/>
      <c r="J421" s="54" t="str">
        <f ca="1">IF(F421="","",OFFSET(分類!$B$29,MATCH(F421,分類!$A$30:$A$46,0),0))</f>
        <v/>
      </c>
      <c r="K421" s="69"/>
      <c r="L421" s="69">
        <v>417</v>
      </c>
      <c r="M421" s="54">
        <f t="shared" si="12"/>
        <v>417</v>
      </c>
    </row>
    <row r="422" spans="2:13">
      <c r="B422" s="27">
        <f t="shared" si="13"/>
        <v>418</v>
      </c>
      <c r="C422" s="27"/>
      <c r="D422" s="54"/>
      <c r="E422" s="54"/>
      <c r="F422" s="54"/>
      <c r="G422" s="54"/>
      <c r="H422" s="54"/>
      <c r="I422" s="54"/>
      <c r="J422" s="54" t="str">
        <f ca="1">IF(F422="","",OFFSET(分類!$B$29,MATCH(F422,分類!$A$30:$A$46,0),0))</f>
        <v/>
      </c>
      <c r="K422" s="69"/>
      <c r="L422" s="69">
        <v>418</v>
      </c>
      <c r="M422" s="54">
        <f t="shared" si="12"/>
        <v>418</v>
      </c>
    </row>
    <row r="423" spans="2:13">
      <c r="B423" s="27">
        <f t="shared" si="13"/>
        <v>419</v>
      </c>
      <c r="C423" s="27"/>
      <c r="D423" s="54"/>
      <c r="E423" s="54"/>
      <c r="F423" s="54"/>
      <c r="G423" s="54"/>
      <c r="H423" s="54"/>
      <c r="I423" s="54"/>
      <c r="J423" s="54" t="str">
        <f ca="1">IF(F423="","",OFFSET(分類!$B$29,MATCH(F423,分類!$A$30:$A$46,0),0))</f>
        <v/>
      </c>
      <c r="K423" s="69"/>
      <c r="L423" s="69">
        <v>419</v>
      </c>
      <c r="M423" s="54">
        <f t="shared" si="12"/>
        <v>419</v>
      </c>
    </row>
    <row r="424" spans="2:13">
      <c r="B424" s="27">
        <f t="shared" si="13"/>
        <v>420</v>
      </c>
      <c r="C424" s="27"/>
      <c r="D424" s="54"/>
      <c r="E424" s="54"/>
      <c r="F424" s="54"/>
      <c r="G424" s="54"/>
      <c r="H424" s="54"/>
      <c r="I424" s="54"/>
      <c r="J424" s="54" t="str">
        <f ca="1">IF(F424="","",OFFSET(分類!$B$29,MATCH(F424,分類!$A$30:$A$46,0),0))</f>
        <v/>
      </c>
      <c r="K424" s="69"/>
      <c r="L424" s="69">
        <v>420</v>
      </c>
      <c r="M424" s="54">
        <f t="shared" si="12"/>
        <v>420</v>
      </c>
    </row>
    <row r="425" spans="2:13">
      <c r="B425" s="27">
        <f t="shared" si="13"/>
        <v>421</v>
      </c>
      <c r="C425" s="27"/>
      <c r="D425" s="54"/>
      <c r="E425" s="54"/>
      <c r="F425" s="54"/>
      <c r="G425" s="54"/>
      <c r="H425" s="54"/>
      <c r="I425" s="54"/>
      <c r="J425" s="54" t="str">
        <f ca="1">IF(F425="","",OFFSET(分類!$B$29,MATCH(F425,分類!$A$30:$A$46,0),0))</f>
        <v/>
      </c>
      <c r="K425" s="69"/>
      <c r="L425" s="69">
        <v>421</v>
      </c>
      <c r="M425" s="54">
        <f t="shared" si="12"/>
        <v>421</v>
      </c>
    </row>
    <row r="426" spans="2:13">
      <c r="B426" s="27">
        <f t="shared" si="13"/>
        <v>422</v>
      </c>
      <c r="C426" s="27"/>
      <c r="D426" s="54"/>
      <c r="E426" s="54"/>
      <c r="F426" s="54"/>
      <c r="G426" s="54"/>
      <c r="H426" s="54"/>
      <c r="I426" s="54"/>
      <c r="J426" s="54" t="str">
        <f ca="1">IF(F426="","",OFFSET(分類!$B$29,MATCH(F426,分類!$A$30:$A$46,0),0))</f>
        <v/>
      </c>
      <c r="K426" s="69"/>
      <c r="L426" s="69">
        <v>422</v>
      </c>
      <c r="M426" s="54">
        <f t="shared" si="12"/>
        <v>422</v>
      </c>
    </row>
    <row r="427" spans="2:13">
      <c r="B427" s="27">
        <f t="shared" si="13"/>
        <v>423</v>
      </c>
      <c r="C427" s="27"/>
      <c r="D427" s="54"/>
      <c r="E427" s="54"/>
      <c r="F427" s="54"/>
      <c r="G427" s="54"/>
      <c r="H427" s="54"/>
      <c r="I427" s="54"/>
      <c r="J427" s="54" t="str">
        <f ca="1">IF(F427="","",OFFSET(分類!$B$29,MATCH(F427,分類!$A$30:$A$46,0),0))</f>
        <v/>
      </c>
      <c r="K427" s="69"/>
      <c r="L427" s="69">
        <v>423</v>
      </c>
      <c r="M427" s="54">
        <f t="shared" si="12"/>
        <v>423</v>
      </c>
    </row>
    <row r="428" spans="2:13">
      <c r="B428" s="27">
        <f t="shared" si="13"/>
        <v>424</v>
      </c>
      <c r="C428" s="27"/>
      <c r="D428" s="54"/>
      <c r="E428" s="54"/>
      <c r="F428" s="54"/>
      <c r="G428" s="54"/>
      <c r="H428" s="54"/>
      <c r="I428" s="54"/>
      <c r="J428" s="54" t="str">
        <f ca="1">IF(F428="","",OFFSET(分類!$B$29,MATCH(F428,分類!$A$30:$A$46,0),0))</f>
        <v/>
      </c>
      <c r="K428" s="69"/>
      <c r="L428" s="69">
        <v>424</v>
      </c>
      <c r="M428" s="54">
        <f t="shared" si="12"/>
        <v>424</v>
      </c>
    </row>
    <row r="429" spans="2:13">
      <c r="B429" s="27">
        <f t="shared" si="13"/>
        <v>425</v>
      </c>
      <c r="C429" s="27"/>
      <c r="D429" s="54"/>
      <c r="E429" s="54"/>
      <c r="F429" s="54"/>
      <c r="G429" s="54"/>
      <c r="H429" s="54"/>
      <c r="I429" s="54"/>
      <c r="J429" s="54" t="str">
        <f ca="1">IF(F429="","",OFFSET(分類!$B$29,MATCH(F429,分類!$A$30:$A$46,0),0))</f>
        <v/>
      </c>
      <c r="K429" s="69"/>
      <c r="L429" s="69">
        <v>425</v>
      </c>
      <c r="M429" s="54">
        <f t="shared" si="12"/>
        <v>425</v>
      </c>
    </row>
    <row r="430" spans="2:13">
      <c r="B430" s="27">
        <f t="shared" si="13"/>
        <v>426</v>
      </c>
      <c r="C430" s="27"/>
      <c r="D430" s="54"/>
      <c r="E430" s="54"/>
      <c r="F430" s="54"/>
      <c r="G430" s="54"/>
      <c r="H430" s="54"/>
      <c r="I430" s="54"/>
      <c r="J430" s="54" t="str">
        <f ca="1">IF(F430="","",OFFSET(分類!$B$29,MATCH(F430,分類!$A$30:$A$46,0),0))</f>
        <v/>
      </c>
      <c r="K430" s="69"/>
      <c r="L430" s="69">
        <v>426</v>
      </c>
      <c r="M430" s="54">
        <f t="shared" si="12"/>
        <v>426</v>
      </c>
    </row>
    <row r="431" spans="2:13">
      <c r="B431" s="27">
        <f t="shared" si="13"/>
        <v>427</v>
      </c>
      <c r="C431" s="27"/>
      <c r="D431" s="54"/>
      <c r="E431" s="54"/>
      <c r="F431" s="54"/>
      <c r="G431" s="54"/>
      <c r="H431" s="54"/>
      <c r="I431" s="54"/>
      <c r="J431" s="54" t="str">
        <f ca="1">IF(F431="","",OFFSET(分類!$B$29,MATCH(F431,分類!$A$30:$A$46,0),0))</f>
        <v/>
      </c>
      <c r="K431" s="69"/>
      <c r="L431" s="69">
        <v>427</v>
      </c>
      <c r="M431" s="54">
        <f t="shared" si="12"/>
        <v>427</v>
      </c>
    </row>
    <row r="432" spans="2:13">
      <c r="B432" s="27">
        <f t="shared" si="13"/>
        <v>428</v>
      </c>
      <c r="C432" s="27"/>
      <c r="D432" s="54"/>
      <c r="E432" s="54"/>
      <c r="F432" s="54"/>
      <c r="G432" s="54"/>
      <c r="H432" s="54"/>
      <c r="I432" s="54"/>
      <c r="J432" s="54" t="str">
        <f ca="1">IF(F432="","",OFFSET(分類!$B$29,MATCH(F432,分類!$A$30:$A$46,0),0))</f>
        <v/>
      </c>
      <c r="K432" s="69"/>
      <c r="L432" s="69">
        <v>428</v>
      </c>
      <c r="M432" s="54">
        <f t="shared" si="12"/>
        <v>428</v>
      </c>
    </row>
    <row r="433" spans="2:13">
      <c r="B433" s="27">
        <f t="shared" si="13"/>
        <v>429</v>
      </c>
      <c r="C433" s="27"/>
      <c r="D433" s="54"/>
      <c r="E433" s="54"/>
      <c r="F433" s="54"/>
      <c r="G433" s="54"/>
      <c r="H433" s="54"/>
      <c r="I433" s="54"/>
      <c r="J433" s="54" t="str">
        <f ca="1">IF(F433="","",OFFSET(分類!$B$29,MATCH(F433,分類!$A$30:$A$46,0),0))</f>
        <v/>
      </c>
      <c r="K433" s="69"/>
      <c r="L433" s="69">
        <v>429</v>
      </c>
      <c r="M433" s="54">
        <f t="shared" si="12"/>
        <v>429</v>
      </c>
    </row>
    <row r="434" spans="2:13">
      <c r="B434" s="27">
        <f t="shared" si="13"/>
        <v>430</v>
      </c>
      <c r="C434" s="27"/>
      <c r="D434" s="54"/>
      <c r="E434" s="54"/>
      <c r="F434" s="54"/>
      <c r="G434" s="54"/>
      <c r="H434" s="54"/>
      <c r="I434" s="54"/>
      <c r="J434" s="54" t="str">
        <f ca="1">IF(F434="","",OFFSET(分類!$B$29,MATCH(F434,分類!$A$30:$A$46,0),0))</f>
        <v/>
      </c>
      <c r="K434" s="69"/>
      <c r="L434" s="69">
        <v>430</v>
      </c>
      <c r="M434" s="54">
        <f t="shared" si="12"/>
        <v>430</v>
      </c>
    </row>
    <row r="435" spans="2:13">
      <c r="B435" s="27">
        <f t="shared" si="13"/>
        <v>431</v>
      </c>
      <c r="C435" s="27"/>
      <c r="D435" s="54"/>
      <c r="E435" s="54"/>
      <c r="F435" s="54"/>
      <c r="G435" s="54"/>
      <c r="H435" s="54"/>
      <c r="I435" s="54"/>
      <c r="J435" s="54" t="str">
        <f ca="1">IF(F435="","",OFFSET(分類!$B$29,MATCH(F435,分類!$A$30:$A$46,0),0))</f>
        <v/>
      </c>
      <c r="K435" s="69"/>
      <c r="L435" s="69">
        <v>431</v>
      </c>
      <c r="M435" s="54">
        <f t="shared" si="12"/>
        <v>431</v>
      </c>
    </row>
    <row r="436" spans="2:13">
      <c r="B436" s="27">
        <f t="shared" si="13"/>
        <v>432</v>
      </c>
      <c r="C436" s="27"/>
      <c r="D436" s="54"/>
      <c r="E436" s="54"/>
      <c r="F436" s="54"/>
      <c r="G436" s="54"/>
      <c r="H436" s="54"/>
      <c r="I436" s="54"/>
      <c r="J436" s="54" t="str">
        <f ca="1">IF(F436="","",OFFSET(分類!$B$29,MATCH(F436,分類!$A$30:$A$46,0),0))</f>
        <v/>
      </c>
      <c r="K436" s="69"/>
      <c r="L436" s="69">
        <v>432</v>
      </c>
      <c r="M436" s="54">
        <f t="shared" si="12"/>
        <v>432</v>
      </c>
    </row>
    <row r="437" spans="2:13">
      <c r="B437" s="27">
        <f t="shared" si="13"/>
        <v>433</v>
      </c>
      <c r="C437" s="27"/>
      <c r="D437" s="54"/>
      <c r="E437" s="54"/>
      <c r="F437" s="54"/>
      <c r="G437" s="54"/>
      <c r="H437" s="54"/>
      <c r="I437" s="54"/>
      <c r="J437" s="54" t="str">
        <f ca="1">IF(F437="","",OFFSET(分類!$B$29,MATCH(F437,分類!$A$30:$A$46,0),0))</f>
        <v/>
      </c>
      <c r="K437" s="69"/>
      <c r="L437" s="69">
        <v>433</v>
      </c>
      <c r="M437" s="54">
        <f t="shared" si="12"/>
        <v>433</v>
      </c>
    </row>
    <row r="438" spans="2:13">
      <c r="B438" s="27">
        <f t="shared" si="13"/>
        <v>434</v>
      </c>
      <c r="C438" s="27"/>
      <c r="D438" s="54"/>
      <c r="E438" s="54"/>
      <c r="F438" s="54"/>
      <c r="G438" s="54"/>
      <c r="H438" s="54"/>
      <c r="I438" s="54"/>
      <c r="J438" s="54" t="str">
        <f ca="1">IF(F438="","",OFFSET(分類!$B$29,MATCH(F438,分類!$A$30:$A$46,0),0))</f>
        <v/>
      </c>
      <c r="K438" s="69"/>
      <c r="L438" s="69">
        <v>434</v>
      </c>
      <c r="M438" s="54">
        <f t="shared" si="12"/>
        <v>434</v>
      </c>
    </row>
    <row r="439" spans="2:13">
      <c r="B439" s="27">
        <f t="shared" si="13"/>
        <v>435</v>
      </c>
      <c r="C439" s="27"/>
      <c r="D439" s="54"/>
      <c r="E439" s="54"/>
      <c r="F439" s="54"/>
      <c r="G439" s="54"/>
      <c r="H439" s="54"/>
      <c r="I439" s="54"/>
      <c r="J439" s="54" t="str">
        <f ca="1">IF(F439="","",OFFSET(分類!$B$29,MATCH(F439,分類!$A$30:$A$46,0),0))</f>
        <v/>
      </c>
      <c r="K439" s="69"/>
      <c r="L439" s="69">
        <v>435</v>
      </c>
      <c r="M439" s="54">
        <f t="shared" si="12"/>
        <v>435</v>
      </c>
    </row>
    <row r="440" spans="2:13">
      <c r="B440" s="27">
        <f t="shared" si="13"/>
        <v>436</v>
      </c>
      <c r="C440" s="27"/>
      <c r="D440" s="54"/>
      <c r="E440" s="54"/>
      <c r="F440" s="54"/>
      <c r="G440" s="54"/>
      <c r="H440" s="54"/>
      <c r="I440" s="54"/>
      <c r="J440" s="54" t="str">
        <f ca="1">IF(F440="","",OFFSET(分類!$B$29,MATCH(F440,分類!$A$30:$A$46,0),0))</f>
        <v/>
      </c>
      <c r="K440" s="69"/>
      <c r="L440" s="69">
        <v>436</v>
      </c>
      <c r="M440" s="54">
        <f t="shared" si="12"/>
        <v>436</v>
      </c>
    </row>
    <row r="441" spans="2:13">
      <c r="B441" s="27">
        <f t="shared" si="13"/>
        <v>437</v>
      </c>
      <c r="C441" s="27"/>
      <c r="D441" s="54"/>
      <c r="E441" s="54"/>
      <c r="F441" s="54"/>
      <c r="G441" s="54"/>
      <c r="H441" s="54"/>
      <c r="I441" s="54"/>
      <c r="J441" s="54" t="str">
        <f ca="1">IF(F441="","",OFFSET(分類!$B$29,MATCH(F441,分類!$A$30:$A$46,0),0))</f>
        <v/>
      </c>
      <c r="K441" s="69"/>
      <c r="L441" s="69">
        <v>437</v>
      </c>
      <c r="M441" s="54">
        <f t="shared" si="12"/>
        <v>437</v>
      </c>
    </row>
    <row r="442" spans="2:13">
      <c r="B442" s="27">
        <f t="shared" si="13"/>
        <v>438</v>
      </c>
      <c r="C442" s="27"/>
      <c r="D442" s="54"/>
      <c r="E442" s="54"/>
      <c r="F442" s="54"/>
      <c r="G442" s="54"/>
      <c r="H442" s="54"/>
      <c r="I442" s="54"/>
      <c r="J442" s="54" t="str">
        <f ca="1">IF(F442="","",OFFSET(分類!$B$29,MATCH(F442,分類!$A$30:$A$46,0),0))</f>
        <v/>
      </c>
      <c r="K442" s="69"/>
      <c r="L442" s="69">
        <v>438</v>
      </c>
      <c r="M442" s="54">
        <f t="shared" si="12"/>
        <v>438</v>
      </c>
    </row>
    <row r="443" spans="2:13">
      <c r="B443" s="27">
        <f t="shared" si="13"/>
        <v>439</v>
      </c>
      <c r="C443" s="27"/>
      <c r="D443" s="54"/>
      <c r="E443" s="54"/>
      <c r="F443" s="54"/>
      <c r="G443" s="54"/>
      <c r="H443" s="54"/>
      <c r="I443" s="54"/>
      <c r="J443" s="54" t="str">
        <f ca="1">IF(F443="","",OFFSET(分類!$B$29,MATCH(F443,分類!$A$30:$A$46,0),0))</f>
        <v/>
      </c>
      <c r="K443" s="69"/>
      <c r="L443" s="69">
        <v>439</v>
      </c>
      <c r="M443" s="54">
        <f t="shared" si="12"/>
        <v>439</v>
      </c>
    </row>
    <row r="444" spans="2:13">
      <c r="B444" s="27">
        <f t="shared" si="13"/>
        <v>440</v>
      </c>
      <c r="C444" s="27"/>
      <c r="D444" s="54"/>
      <c r="E444" s="54"/>
      <c r="F444" s="54"/>
      <c r="G444" s="54"/>
      <c r="H444" s="54"/>
      <c r="I444" s="54"/>
      <c r="J444" s="54" t="str">
        <f ca="1">IF(F444="","",OFFSET(分類!$B$29,MATCH(F444,分類!$A$30:$A$46,0),0))</f>
        <v/>
      </c>
      <c r="K444" s="69"/>
      <c r="L444" s="69">
        <v>440</v>
      </c>
      <c r="M444" s="54">
        <f t="shared" si="12"/>
        <v>440</v>
      </c>
    </row>
    <row r="445" spans="2:13">
      <c r="B445" s="27">
        <f t="shared" si="13"/>
        <v>441</v>
      </c>
      <c r="C445" s="27"/>
      <c r="D445" s="54"/>
      <c r="E445" s="54"/>
      <c r="F445" s="54"/>
      <c r="G445" s="54"/>
      <c r="H445" s="54"/>
      <c r="I445" s="54"/>
      <c r="J445" s="54" t="str">
        <f ca="1">IF(F445="","",OFFSET(分類!$B$29,MATCH(F445,分類!$A$30:$A$46,0),0))</f>
        <v/>
      </c>
      <c r="K445" s="69"/>
      <c r="L445" s="69">
        <v>441</v>
      </c>
      <c r="M445" s="54">
        <f t="shared" si="12"/>
        <v>441</v>
      </c>
    </row>
    <row r="446" spans="2:13">
      <c r="B446" s="27">
        <f t="shared" si="13"/>
        <v>442</v>
      </c>
      <c r="C446" s="27"/>
      <c r="D446" s="54"/>
      <c r="E446" s="54"/>
      <c r="F446" s="54"/>
      <c r="G446" s="54"/>
      <c r="H446" s="54"/>
      <c r="I446" s="54"/>
      <c r="J446" s="54" t="str">
        <f ca="1">IF(F446="","",OFFSET(分類!$B$29,MATCH(F446,分類!$A$30:$A$46,0),0))</f>
        <v/>
      </c>
      <c r="K446" s="69"/>
      <c r="L446" s="69">
        <v>442</v>
      </c>
      <c r="M446" s="54">
        <f t="shared" si="12"/>
        <v>442</v>
      </c>
    </row>
    <row r="447" spans="2:13">
      <c r="B447" s="27">
        <f t="shared" si="13"/>
        <v>443</v>
      </c>
      <c r="C447" s="27"/>
      <c r="D447" s="54"/>
      <c r="E447" s="54"/>
      <c r="F447" s="54"/>
      <c r="G447" s="54"/>
      <c r="H447" s="54"/>
      <c r="I447" s="54"/>
      <c r="J447" s="54" t="str">
        <f ca="1">IF(F447="","",OFFSET(分類!$B$29,MATCH(F447,分類!$A$30:$A$46,0),0))</f>
        <v/>
      </c>
      <c r="K447" s="69"/>
      <c r="L447" s="69">
        <v>443</v>
      </c>
      <c r="M447" s="54">
        <f t="shared" si="12"/>
        <v>443</v>
      </c>
    </row>
    <row r="448" spans="2:13">
      <c r="B448" s="27">
        <f t="shared" si="13"/>
        <v>444</v>
      </c>
      <c r="C448" s="27"/>
      <c r="D448" s="54"/>
      <c r="E448" s="54"/>
      <c r="F448" s="54"/>
      <c r="G448" s="54"/>
      <c r="H448" s="54"/>
      <c r="I448" s="54"/>
      <c r="J448" s="54" t="str">
        <f ca="1">IF(F448="","",OFFSET(分類!$B$29,MATCH(F448,分類!$A$30:$A$46,0),0))</f>
        <v/>
      </c>
      <c r="K448" s="69"/>
      <c r="L448" s="69">
        <v>444</v>
      </c>
      <c r="M448" s="54">
        <f t="shared" si="12"/>
        <v>444</v>
      </c>
    </row>
    <row r="449" spans="2:13">
      <c r="B449" s="27">
        <f t="shared" si="13"/>
        <v>445</v>
      </c>
      <c r="C449" s="27"/>
      <c r="D449" s="54"/>
      <c r="E449" s="54"/>
      <c r="F449" s="54"/>
      <c r="G449" s="54"/>
      <c r="H449" s="54"/>
      <c r="I449" s="54"/>
      <c r="J449" s="54" t="str">
        <f ca="1">IF(F449="","",OFFSET(分類!$B$29,MATCH(F449,分類!$A$30:$A$46,0),0))</f>
        <v/>
      </c>
      <c r="K449" s="69"/>
      <c r="L449" s="69">
        <v>445</v>
      </c>
      <c r="M449" s="54">
        <f t="shared" si="12"/>
        <v>445</v>
      </c>
    </row>
    <row r="450" spans="2:13">
      <c r="B450" s="27">
        <f t="shared" si="13"/>
        <v>446</v>
      </c>
      <c r="C450" s="27"/>
      <c r="D450" s="54"/>
      <c r="E450" s="54"/>
      <c r="F450" s="54"/>
      <c r="G450" s="54"/>
      <c r="H450" s="54"/>
      <c r="I450" s="54"/>
      <c r="J450" s="54" t="str">
        <f ca="1">IF(F450="","",OFFSET(分類!$B$29,MATCH(F450,分類!$A$30:$A$46,0),0))</f>
        <v/>
      </c>
      <c r="K450" s="69"/>
      <c r="L450" s="69">
        <v>446</v>
      </c>
      <c r="M450" s="54">
        <f t="shared" si="12"/>
        <v>446</v>
      </c>
    </row>
    <row r="451" spans="2:13">
      <c r="B451" s="27">
        <f t="shared" si="13"/>
        <v>447</v>
      </c>
      <c r="C451" s="27"/>
      <c r="D451" s="54"/>
      <c r="E451" s="54"/>
      <c r="F451" s="54"/>
      <c r="G451" s="54"/>
      <c r="H451" s="54"/>
      <c r="I451" s="54"/>
      <c r="J451" s="54" t="str">
        <f ca="1">IF(F451="","",OFFSET(分類!$B$29,MATCH(F451,分類!$A$30:$A$46,0),0))</f>
        <v/>
      </c>
      <c r="K451" s="69"/>
      <c r="L451" s="69">
        <v>447</v>
      </c>
      <c r="M451" s="54">
        <f t="shared" si="12"/>
        <v>447</v>
      </c>
    </row>
    <row r="452" spans="2:13">
      <c r="B452" s="27">
        <f t="shared" si="13"/>
        <v>448</v>
      </c>
      <c r="C452" s="27"/>
      <c r="D452" s="54"/>
      <c r="E452" s="54"/>
      <c r="F452" s="54"/>
      <c r="G452" s="54"/>
      <c r="H452" s="54"/>
      <c r="I452" s="54"/>
      <c r="J452" s="54" t="str">
        <f ca="1">IF(F452="","",OFFSET(分類!$B$29,MATCH(F452,分類!$A$30:$A$46,0),0))</f>
        <v/>
      </c>
      <c r="K452" s="69"/>
      <c r="L452" s="69">
        <v>448</v>
      </c>
      <c r="M452" s="54">
        <f t="shared" si="12"/>
        <v>448</v>
      </c>
    </row>
    <row r="453" spans="2:13">
      <c r="B453" s="27">
        <f t="shared" si="13"/>
        <v>449</v>
      </c>
      <c r="C453" s="27"/>
      <c r="D453" s="54"/>
      <c r="E453" s="54"/>
      <c r="F453" s="54"/>
      <c r="G453" s="54"/>
      <c r="H453" s="54"/>
      <c r="I453" s="54"/>
      <c r="J453" s="54" t="str">
        <f ca="1">IF(F453="","",OFFSET(分類!$B$29,MATCH(F453,分類!$A$30:$A$46,0),0))</f>
        <v/>
      </c>
      <c r="K453" s="69"/>
      <c r="L453" s="69">
        <v>449</v>
      </c>
      <c r="M453" s="54">
        <f t="shared" si="12"/>
        <v>449</v>
      </c>
    </row>
    <row r="454" spans="2:13">
      <c r="B454" s="27">
        <f t="shared" si="13"/>
        <v>450</v>
      </c>
      <c r="C454" s="27"/>
      <c r="D454" s="54"/>
      <c r="E454" s="54"/>
      <c r="F454" s="54"/>
      <c r="G454" s="54"/>
      <c r="H454" s="54"/>
      <c r="I454" s="54"/>
      <c r="J454" s="54" t="str">
        <f ca="1">IF(F454="","",OFFSET(分類!$B$29,MATCH(F454,分類!$A$30:$A$46,0),0))</f>
        <v/>
      </c>
      <c r="K454" s="69"/>
      <c r="L454" s="69">
        <v>450</v>
      </c>
      <c r="M454" s="54">
        <f t="shared" ref="M454:M504" si="14">SUM(K454:L454)</f>
        <v>450</v>
      </c>
    </row>
    <row r="455" spans="2:13">
      <c r="B455" s="27">
        <f t="shared" ref="B455:B504" si="15">B454+1</f>
        <v>451</v>
      </c>
      <c r="C455" s="27"/>
      <c r="D455" s="54"/>
      <c r="E455" s="54"/>
      <c r="F455" s="54"/>
      <c r="G455" s="54"/>
      <c r="H455" s="54"/>
      <c r="I455" s="54"/>
      <c r="J455" s="54" t="str">
        <f ca="1">IF(F455="","",OFFSET(分類!$B$29,MATCH(F455,分類!$A$30:$A$46,0),0))</f>
        <v/>
      </c>
      <c r="K455" s="69"/>
      <c r="L455" s="69">
        <v>451</v>
      </c>
      <c r="M455" s="54">
        <f t="shared" si="14"/>
        <v>451</v>
      </c>
    </row>
    <row r="456" spans="2:13">
      <c r="B456" s="27">
        <f t="shared" si="15"/>
        <v>452</v>
      </c>
      <c r="C456" s="27"/>
      <c r="D456" s="54"/>
      <c r="E456" s="54"/>
      <c r="F456" s="54"/>
      <c r="G456" s="54"/>
      <c r="H456" s="54"/>
      <c r="I456" s="54"/>
      <c r="J456" s="54" t="str">
        <f ca="1">IF(F456="","",OFFSET(分類!$B$29,MATCH(F456,分類!$A$30:$A$46,0),0))</f>
        <v/>
      </c>
      <c r="K456" s="69"/>
      <c r="L456" s="69">
        <v>452</v>
      </c>
      <c r="M456" s="54">
        <f t="shared" si="14"/>
        <v>452</v>
      </c>
    </row>
    <row r="457" spans="2:13">
      <c r="B457" s="27">
        <f t="shared" si="15"/>
        <v>453</v>
      </c>
      <c r="C457" s="27"/>
      <c r="D457" s="54"/>
      <c r="E457" s="54"/>
      <c r="F457" s="54"/>
      <c r="G457" s="54"/>
      <c r="H457" s="54"/>
      <c r="I457" s="54"/>
      <c r="J457" s="54" t="str">
        <f ca="1">IF(F457="","",OFFSET(分類!$B$29,MATCH(F457,分類!$A$30:$A$46,0),0))</f>
        <v/>
      </c>
      <c r="K457" s="69"/>
      <c r="L457" s="69">
        <v>453</v>
      </c>
      <c r="M457" s="54">
        <f t="shared" si="14"/>
        <v>453</v>
      </c>
    </row>
    <row r="458" spans="2:13">
      <c r="B458" s="27">
        <f t="shared" si="15"/>
        <v>454</v>
      </c>
      <c r="C458" s="27"/>
      <c r="D458" s="54"/>
      <c r="E458" s="54"/>
      <c r="F458" s="54"/>
      <c r="G458" s="54"/>
      <c r="H458" s="54"/>
      <c r="I458" s="54"/>
      <c r="J458" s="54" t="str">
        <f ca="1">IF(F458="","",OFFSET(分類!$B$29,MATCH(F458,分類!$A$30:$A$46,0),0))</f>
        <v/>
      </c>
      <c r="K458" s="69"/>
      <c r="L458" s="69">
        <v>454</v>
      </c>
      <c r="M458" s="54">
        <f t="shared" si="14"/>
        <v>454</v>
      </c>
    </row>
    <row r="459" spans="2:13">
      <c r="B459" s="27">
        <f t="shared" si="15"/>
        <v>455</v>
      </c>
      <c r="C459" s="27"/>
      <c r="D459" s="54"/>
      <c r="E459" s="54"/>
      <c r="F459" s="54"/>
      <c r="G459" s="54"/>
      <c r="H459" s="54"/>
      <c r="I459" s="54"/>
      <c r="J459" s="54" t="str">
        <f ca="1">IF(F459="","",OFFSET(分類!$B$29,MATCH(F459,分類!$A$30:$A$46,0),0))</f>
        <v/>
      </c>
      <c r="K459" s="69"/>
      <c r="L459" s="69">
        <v>455</v>
      </c>
      <c r="M459" s="54">
        <f t="shared" si="14"/>
        <v>455</v>
      </c>
    </row>
    <row r="460" spans="2:13">
      <c r="B460" s="27">
        <f t="shared" si="15"/>
        <v>456</v>
      </c>
      <c r="C460" s="27"/>
      <c r="D460" s="54"/>
      <c r="E460" s="54"/>
      <c r="F460" s="54"/>
      <c r="G460" s="54"/>
      <c r="H460" s="54"/>
      <c r="I460" s="54"/>
      <c r="J460" s="54" t="str">
        <f ca="1">IF(F460="","",OFFSET(分類!$B$29,MATCH(F460,分類!$A$30:$A$46,0),0))</f>
        <v/>
      </c>
      <c r="K460" s="69"/>
      <c r="L460" s="69">
        <v>456</v>
      </c>
      <c r="M460" s="54">
        <f t="shared" si="14"/>
        <v>456</v>
      </c>
    </row>
    <row r="461" spans="2:13">
      <c r="B461" s="27">
        <f t="shared" si="15"/>
        <v>457</v>
      </c>
      <c r="C461" s="27"/>
      <c r="D461" s="54"/>
      <c r="E461" s="54"/>
      <c r="F461" s="54"/>
      <c r="G461" s="54"/>
      <c r="H461" s="54"/>
      <c r="I461" s="54"/>
      <c r="J461" s="54" t="str">
        <f ca="1">IF(F461="","",OFFSET(分類!$B$29,MATCH(F461,分類!$A$30:$A$46,0),0))</f>
        <v/>
      </c>
      <c r="K461" s="69"/>
      <c r="L461" s="69">
        <v>457</v>
      </c>
      <c r="M461" s="54">
        <f t="shared" si="14"/>
        <v>457</v>
      </c>
    </row>
    <row r="462" spans="2:13">
      <c r="B462" s="27">
        <f t="shared" si="15"/>
        <v>458</v>
      </c>
      <c r="C462" s="27"/>
      <c r="D462" s="54"/>
      <c r="E462" s="54"/>
      <c r="F462" s="54"/>
      <c r="G462" s="54"/>
      <c r="H462" s="54"/>
      <c r="I462" s="54"/>
      <c r="J462" s="54" t="str">
        <f ca="1">IF(F462="","",OFFSET(分類!$B$29,MATCH(F462,分類!$A$30:$A$46,0),0))</f>
        <v/>
      </c>
      <c r="K462" s="69"/>
      <c r="L462" s="69">
        <v>458</v>
      </c>
      <c r="M462" s="54">
        <f t="shared" si="14"/>
        <v>458</v>
      </c>
    </row>
    <row r="463" spans="2:13">
      <c r="B463" s="27">
        <f t="shared" si="15"/>
        <v>459</v>
      </c>
      <c r="C463" s="27"/>
      <c r="D463" s="54"/>
      <c r="E463" s="54"/>
      <c r="F463" s="54"/>
      <c r="G463" s="54"/>
      <c r="H463" s="54"/>
      <c r="I463" s="54"/>
      <c r="J463" s="54" t="str">
        <f ca="1">IF(F463="","",OFFSET(分類!$B$29,MATCH(F463,分類!$A$30:$A$46,0),0))</f>
        <v/>
      </c>
      <c r="K463" s="69"/>
      <c r="L463" s="69">
        <v>459</v>
      </c>
      <c r="M463" s="54">
        <f t="shared" si="14"/>
        <v>459</v>
      </c>
    </row>
    <row r="464" spans="2:13">
      <c r="B464" s="27">
        <f t="shared" si="15"/>
        <v>460</v>
      </c>
      <c r="C464" s="27"/>
      <c r="D464" s="54"/>
      <c r="E464" s="54"/>
      <c r="F464" s="54"/>
      <c r="G464" s="54"/>
      <c r="H464" s="54"/>
      <c r="I464" s="54"/>
      <c r="J464" s="54" t="str">
        <f ca="1">IF(F464="","",OFFSET(分類!$B$29,MATCH(F464,分類!$A$30:$A$46,0),0))</f>
        <v/>
      </c>
      <c r="K464" s="69"/>
      <c r="L464" s="69">
        <v>460</v>
      </c>
      <c r="M464" s="54">
        <f t="shared" si="14"/>
        <v>460</v>
      </c>
    </row>
    <row r="465" spans="2:13">
      <c r="B465" s="27">
        <f t="shared" si="15"/>
        <v>461</v>
      </c>
      <c r="C465" s="27"/>
      <c r="D465" s="54"/>
      <c r="E465" s="54"/>
      <c r="F465" s="54"/>
      <c r="G465" s="54"/>
      <c r="H465" s="54"/>
      <c r="I465" s="54"/>
      <c r="J465" s="54" t="str">
        <f ca="1">IF(F465="","",OFFSET(分類!$B$29,MATCH(F465,分類!$A$30:$A$46,0),0))</f>
        <v/>
      </c>
      <c r="K465" s="69"/>
      <c r="L465" s="69">
        <v>461</v>
      </c>
      <c r="M465" s="54">
        <f t="shared" si="14"/>
        <v>461</v>
      </c>
    </row>
    <row r="466" spans="2:13">
      <c r="B466" s="27">
        <f t="shared" si="15"/>
        <v>462</v>
      </c>
      <c r="C466" s="27"/>
      <c r="D466" s="54"/>
      <c r="E466" s="54"/>
      <c r="F466" s="54"/>
      <c r="G466" s="54"/>
      <c r="H466" s="54"/>
      <c r="I466" s="54"/>
      <c r="J466" s="54" t="str">
        <f ca="1">IF(F466="","",OFFSET(分類!$B$29,MATCH(F466,分類!$A$30:$A$46,0),0))</f>
        <v/>
      </c>
      <c r="K466" s="69"/>
      <c r="L466" s="69">
        <v>462</v>
      </c>
      <c r="M466" s="54">
        <f t="shared" si="14"/>
        <v>462</v>
      </c>
    </row>
    <row r="467" spans="2:13">
      <c r="B467" s="27">
        <f t="shared" si="15"/>
        <v>463</v>
      </c>
      <c r="C467" s="27"/>
      <c r="D467" s="54"/>
      <c r="E467" s="54"/>
      <c r="F467" s="54"/>
      <c r="G467" s="54"/>
      <c r="H467" s="54"/>
      <c r="I467" s="54"/>
      <c r="J467" s="54" t="str">
        <f ca="1">IF(F467="","",OFFSET(分類!$B$29,MATCH(F467,分類!$A$30:$A$46,0),0))</f>
        <v/>
      </c>
      <c r="K467" s="69"/>
      <c r="L467" s="69">
        <v>463</v>
      </c>
      <c r="M467" s="54">
        <f t="shared" si="14"/>
        <v>463</v>
      </c>
    </row>
    <row r="468" spans="2:13">
      <c r="B468" s="27">
        <f t="shared" si="15"/>
        <v>464</v>
      </c>
      <c r="C468" s="27"/>
      <c r="D468" s="54"/>
      <c r="E468" s="54"/>
      <c r="F468" s="54"/>
      <c r="G468" s="54"/>
      <c r="H468" s="54"/>
      <c r="I468" s="54"/>
      <c r="J468" s="54" t="str">
        <f ca="1">IF(F468="","",OFFSET(分類!$B$29,MATCH(F468,分類!$A$30:$A$46,0),0))</f>
        <v/>
      </c>
      <c r="K468" s="69"/>
      <c r="L468" s="69">
        <v>464</v>
      </c>
      <c r="M468" s="54">
        <f t="shared" si="14"/>
        <v>464</v>
      </c>
    </row>
    <row r="469" spans="2:13">
      <c r="B469" s="27">
        <f t="shared" si="15"/>
        <v>465</v>
      </c>
      <c r="C469" s="27"/>
      <c r="D469" s="54"/>
      <c r="E469" s="54"/>
      <c r="F469" s="54"/>
      <c r="G469" s="54"/>
      <c r="H469" s="54"/>
      <c r="I469" s="54"/>
      <c r="J469" s="54" t="str">
        <f ca="1">IF(F469="","",OFFSET(分類!$B$29,MATCH(F469,分類!$A$30:$A$46,0),0))</f>
        <v/>
      </c>
      <c r="K469" s="69"/>
      <c r="L469" s="69">
        <v>465</v>
      </c>
      <c r="M469" s="54">
        <f t="shared" si="14"/>
        <v>465</v>
      </c>
    </row>
    <row r="470" spans="2:13">
      <c r="B470" s="27">
        <f t="shared" si="15"/>
        <v>466</v>
      </c>
      <c r="C470" s="27"/>
      <c r="D470" s="54"/>
      <c r="E470" s="54"/>
      <c r="F470" s="54"/>
      <c r="G470" s="54"/>
      <c r="H470" s="54"/>
      <c r="I470" s="54"/>
      <c r="J470" s="54" t="str">
        <f ca="1">IF(F470="","",OFFSET(分類!$B$29,MATCH(F470,分類!$A$30:$A$46,0),0))</f>
        <v/>
      </c>
      <c r="K470" s="69"/>
      <c r="L470" s="69">
        <v>466</v>
      </c>
      <c r="M470" s="54">
        <f t="shared" si="14"/>
        <v>466</v>
      </c>
    </row>
    <row r="471" spans="2:13">
      <c r="B471" s="27">
        <f t="shared" si="15"/>
        <v>467</v>
      </c>
      <c r="C471" s="27"/>
      <c r="D471" s="54"/>
      <c r="E471" s="54"/>
      <c r="F471" s="54"/>
      <c r="G471" s="54"/>
      <c r="H471" s="54"/>
      <c r="I471" s="54"/>
      <c r="J471" s="54" t="str">
        <f ca="1">IF(F471="","",OFFSET(分類!$B$29,MATCH(F471,分類!$A$30:$A$46,0),0))</f>
        <v/>
      </c>
      <c r="K471" s="69"/>
      <c r="L471" s="69">
        <v>467</v>
      </c>
      <c r="M471" s="54">
        <f t="shared" si="14"/>
        <v>467</v>
      </c>
    </row>
    <row r="472" spans="2:13">
      <c r="B472" s="27">
        <f t="shared" si="15"/>
        <v>468</v>
      </c>
      <c r="C472" s="27"/>
      <c r="D472" s="54"/>
      <c r="E472" s="54"/>
      <c r="F472" s="54"/>
      <c r="G472" s="54"/>
      <c r="H472" s="54"/>
      <c r="I472" s="54"/>
      <c r="J472" s="54" t="str">
        <f ca="1">IF(F472="","",OFFSET(分類!$B$29,MATCH(F472,分類!$A$30:$A$46,0),0))</f>
        <v/>
      </c>
      <c r="K472" s="69"/>
      <c r="L472" s="69">
        <v>468</v>
      </c>
      <c r="M472" s="54">
        <f t="shared" si="14"/>
        <v>468</v>
      </c>
    </row>
    <row r="473" spans="2:13">
      <c r="B473" s="27">
        <f t="shared" si="15"/>
        <v>469</v>
      </c>
      <c r="C473" s="27"/>
      <c r="D473" s="54"/>
      <c r="E473" s="54"/>
      <c r="F473" s="54"/>
      <c r="G473" s="54"/>
      <c r="H473" s="54"/>
      <c r="I473" s="54"/>
      <c r="J473" s="54" t="str">
        <f ca="1">IF(F473="","",OFFSET(分類!$B$29,MATCH(F473,分類!$A$30:$A$46,0),0))</f>
        <v/>
      </c>
      <c r="K473" s="69"/>
      <c r="L473" s="69">
        <v>469</v>
      </c>
      <c r="M473" s="54">
        <f t="shared" si="14"/>
        <v>469</v>
      </c>
    </row>
    <row r="474" spans="2:13">
      <c r="B474" s="27">
        <f t="shared" si="15"/>
        <v>470</v>
      </c>
      <c r="C474" s="27"/>
      <c r="D474" s="54"/>
      <c r="E474" s="54"/>
      <c r="F474" s="54"/>
      <c r="G474" s="54"/>
      <c r="H474" s="54"/>
      <c r="I474" s="54"/>
      <c r="J474" s="54" t="str">
        <f ca="1">IF(F474="","",OFFSET(分類!$B$29,MATCH(F474,分類!$A$30:$A$46,0),0))</f>
        <v/>
      </c>
      <c r="K474" s="69"/>
      <c r="L474" s="69">
        <v>470</v>
      </c>
      <c r="M474" s="54">
        <f t="shared" si="14"/>
        <v>470</v>
      </c>
    </row>
    <row r="475" spans="2:13">
      <c r="B475" s="27">
        <f t="shared" si="15"/>
        <v>471</v>
      </c>
      <c r="C475" s="27"/>
      <c r="D475" s="54"/>
      <c r="E475" s="54"/>
      <c r="F475" s="54"/>
      <c r="G475" s="54"/>
      <c r="H475" s="54"/>
      <c r="I475" s="54"/>
      <c r="J475" s="54" t="str">
        <f ca="1">IF(F475="","",OFFSET(分類!$B$29,MATCH(F475,分類!$A$30:$A$46,0),0))</f>
        <v/>
      </c>
      <c r="K475" s="69"/>
      <c r="L475" s="69">
        <v>471</v>
      </c>
      <c r="M475" s="54">
        <f t="shared" si="14"/>
        <v>471</v>
      </c>
    </row>
    <row r="476" spans="2:13">
      <c r="B476" s="27">
        <f t="shared" si="15"/>
        <v>472</v>
      </c>
      <c r="C476" s="27"/>
      <c r="D476" s="54"/>
      <c r="E476" s="54"/>
      <c r="F476" s="54"/>
      <c r="G476" s="54"/>
      <c r="H476" s="54"/>
      <c r="I476" s="54"/>
      <c r="J476" s="54" t="str">
        <f ca="1">IF(F476="","",OFFSET(分類!$B$29,MATCH(F476,分類!$A$30:$A$46,0),0))</f>
        <v/>
      </c>
      <c r="K476" s="69"/>
      <c r="L476" s="69">
        <v>472</v>
      </c>
      <c r="M476" s="54">
        <f t="shared" si="14"/>
        <v>472</v>
      </c>
    </row>
    <row r="477" spans="2:13">
      <c r="B477" s="27">
        <f t="shared" si="15"/>
        <v>473</v>
      </c>
      <c r="C477" s="27"/>
      <c r="D477" s="54"/>
      <c r="E477" s="54"/>
      <c r="F477" s="54"/>
      <c r="G477" s="54"/>
      <c r="H477" s="54"/>
      <c r="I477" s="54"/>
      <c r="J477" s="54" t="str">
        <f ca="1">IF(F477="","",OFFSET(分類!$B$29,MATCH(F477,分類!$A$30:$A$46,0),0))</f>
        <v/>
      </c>
      <c r="K477" s="69"/>
      <c r="L477" s="69">
        <v>473</v>
      </c>
      <c r="M477" s="54">
        <f t="shared" si="14"/>
        <v>473</v>
      </c>
    </row>
    <row r="478" spans="2:13">
      <c r="B478" s="27">
        <f t="shared" si="15"/>
        <v>474</v>
      </c>
      <c r="C478" s="27"/>
      <c r="D478" s="54"/>
      <c r="E478" s="54"/>
      <c r="F478" s="54"/>
      <c r="G478" s="54"/>
      <c r="H478" s="54"/>
      <c r="I478" s="54"/>
      <c r="J478" s="54" t="str">
        <f ca="1">IF(F478="","",OFFSET(分類!$B$29,MATCH(F478,分類!$A$30:$A$46,0),0))</f>
        <v/>
      </c>
      <c r="K478" s="69"/>
      <c r="L478" s="69">
        <v>474</v>
      </c>
      <c r="M478" s="54">
        <f t="shared" si="14"/>
        <v>474</v>
      </c>
    </row>
    <row r="479" spans="2:13">
      <c r="B479" s="27">
        <f t="shared" si="15"/>
        <v>475</v>
      </c>
      <c r="C479" s="27"/>
      <c r="D479" s="54"/>
      <c r="E479" s="54"/>
      <c r="F479" s="54"/>
      <c r="G479" s="54"/>
      <c r="H479" s="54"/>
      <c r="I479" s="54"/>
      <c r="J479" s="54" t="str">
        <f ca="1">IF(F479="","",OFFSET(分類!$B$29,MATCH(F479,分類!$A$30:$A$46,0),0))</f>
        <v/>
      </c>
      <c r="K479" s="69"/>
      <c r="L479" s="69">
        <v>475</v>
      </c>
      <c r="M479" s="54">
        <f t="shared" si="14"/>
        <v>475</v>
      </c>
    </row>
    <row r="480" spans="2:13">
      <c r="B480" s="27">
        <f t="shared" si="15"/>
        <v>476</v>
      </c>
      <c r="C480" s="27"/>
      <c r="D480" s="54"/>
      <c r="E480" s="54"/>
      <c r="F480" s="54"/>
      <c r="G480" s="54"/>
      <c r="H480" s="54"/>
      <c r="I480" s="54"/>
      <c r="J480" s="54" t="str">
        <f ca="1">IF(F480="","",OFFSET(分類!$B$29,MATCH(F480,分類!$A$30:$A$46,0),0))</f>
        <v/>
      </c>
      <c r="K480" s="69"/>
      <c r="L480" s="69">
        <v>476</v>
      </c>
      <c r="M480" s="54">
        <f t="shared" si="14"/>
        <v>476</v>
      </c>
    </row>
    <row r="481" spans="2:13">
      <c r="B481" s="27">
        <f t="shared" si="15"/>
        <v>477</v>
      </c>
      <c r="C481" s="27"/>
      <c r="D481" s="54"/>
      <c r="E481" s="54"/>
      <c r="F481" s="54"/>
      <c r="G481" s="54"/>
      <c r="H481" s="54"/>
      <c r="I481" s="54"/>
      <c r="J481" s="54" t="str">
        <f ca="1">IF(F481="","",OFFSET(分類!$B$29,MATCH(F481,分類!$A$30:$A$46,0),0))</f>
        <v/>
      </c>
      <c r="K481" s="69"/>
      <c r="L481" s="69">
        <v>477</v>
      </c>
      <c r="M481" s="54">
        <f t="shared" si="14"/>
        <v>477</v>
      </c>
    </row>
    <row r="482" spans="2:13">
      <c r="B482" s="27">
        <f t="shared" si="15"/>
        <v>478</v>
      </c>
      <c r="C482" s="27"/>
      <c r="D482" s="54"/>
      <c r="E482" s="54"/>
      <c r="F482" s="54"/>
      <c r="G482" s="54"/>
      <c r="H482" s="54"/>
      <c r="I482" s="54"/>
      <c r="J482" s="54" t="str">
        <f ca="1">IF(F482="","",OFFSET(分類!$B$29,MATCH(F482,分類!$A$30:$A$46,0),0))</f>
        <v/>
      </c>
      <c r="K482" s="69"/>
      <c r="L482" s="69">
        <v>478</v>
      </c>
      <c r="M482" s="54">
        <f t="shared" si="14"/>
        <v>478</v>
      </c>
    </row>
    <row r="483" spans="2:13">
      <c r="B483" s="27">
        <f t="shared" si="15"/>
        <v>479</v>
      </c>
      <c r="C483" s="27"/>
      <c r="D483" s="54"/>
      <c r="E483" s="54"/>
      <c r="F483" s="54"/>
      <c r="G483" s="54"/>
      <c r="H483" s="54"/>
      <c r="I483" s="54"/>
      <c r="J483" s="54" t="str">
        <f ca="1">IF(F483="","",OFFSET(分類!$B$29,MATCH(F483,分類!$A$30:$A$46,0),0))</f>
        <v/>
      </c>
      <c r="K483" s="69"/>
      <c r="L483" s="69">
        <v>479</v>
      </c>
      <c r="M483" s="54">
        <f t="shared" si="14"/>
        <v>479</v>
      </c>
    </row>
    <row r="484" spans="2:13">
      <c r="B484" s="27">
        <f t="shared" si="15"/>
        <v>480</v>
      </c>
      <c r="C484" s="27"/>
      <c r="D484" s="54"/>
      <c r="E484" s="54"/>
      <c r="F484" s="54"/>
      <c r="G484" s="54"/>
      <c r="H484" s="54"/>
      <c r="I484" s="54"/>
      <c r="J484" s="54" t="str">
        <f ca="1">IF(F484="","",OFFSET(分類!$B$29,MATCH(F484,分類!$A$30:$A$46,0),0))</f>
        <v/>
      </c>
      <c r="K484" s="69"/>
      <c r="L484" s="69">
        <v>480</v>
      </c>
      <c r="M484" s="54">
        <f t="shared" si="14"/>
        <v>480</v>
      </c>
    </row>
    <row r="485" spans="2:13">
      <c r="B485" s="27">
        <f t="shared" si="15"/>
        <v>481</v>
      </c>
      <c r="C485" s="27"/>
      <c r="D485" s="54"/>
      <c r="E485" s="54"/>
      <c r="F485" s="54"/>
      <c r="G485" s="54"/>
      <c r="H485" s="54"/>
      <c r="I485" s="54"/>
      <c r="J485" s="54" t="str">
        <f ca="1">IF(F485="","",OFFSET(分類!$B$29,MATCH(F485,分類!$A$30:$A$46,0),0))</f>
        <v/>
      </c>
      <c r="K485" s="69"/>
      <c r="L485" s="69">
        <v>481</v>
      </c>
      <c r="M485" s="54">
        <f t="shared" si="14"/>
        <v>481</v>
      </c>
    </row>
    <row r="486" spans="2:13">
      <c r="B486" s="27">
        <f t="shared" si="15"/>
        <v>482</v>
      </c>
      <c r="C486" s="27"/>
      <c r="D486" s="54"/>
      <c r="E486" s="54"/>
      <c r="F486" s="54"/>
      <c r="G486" s="54"/>
      <c r="H486" s="54"/>
      <c r="I486" s="54"/>
      <c r="J486" s="54" t="str">
        <f ca="1">IF(F486="","",OFFSET(分類!$B$29,MATCH(F486,分類!$A$30:$A$46,0),0))</f>
        <v/>
      </c>
      <c r="K486" s="69"/>
      <c r="L486" s="69">
        <v>482</v>
      </c>
      <c r="M486" s="54">
        <f t="shared" si="14"/>
        <v>482</v>
      </c>
    </row>
    <row r="487" spans="2:13">
      <c r="B487" s="27">
        <f t="shared" si="15"/>
        <v>483</v>
      </c>
      <c r="C487" s="27"/>
      <c r="D487" s="54"/>
      <c r="E487" s="54"/>
      <c r="F487" s="54"/>
      <c r="G487" s="54"/>
      <c r="H487" s="54"/>
      <c r="I487" s="54"/>
      <c r="J487" s="54" t="str">
        <f ca="1">IF(F487="","",OFFSET(分類!$B$29,MATCH(F487,分類!$A$30:$A$46,0),0))</f>
        <v/>
      </c>
      <c r="K487" s="69"/>
      <c r="L487" s="69">
        <v>483</v>
      </c>
      <c r="M487" s="54">
        <f t="shared" si="14"/>
        <v>483</v>
      </c>
    </row>
    <row r="488" spans="2:13">
      <c r="B488" s="27">
        <f t="shared" si="15"/>
        <v>484</v>
      </c>
      <c r="C488" s="27"/>
      <c r="D488" s="54"/>
      <c r="E488" s="54"/>
      <c r="F488" s="54"/>
      <c r="G488" s="54"/>
      <c r="H488" s="54"/>
      <c r="I488" s="54"/>
      <c r="J488" s="54" t="str">
        <f ca="1">IF(F488="","",OFFSET(分類!$B$29,MATCH(F488,分類!$A$30:$A$46,0),0))</f>
        <v/>
      </c>
      <c r="K488" s="69"/>
      <c r="L488" s="69">
        <v>484</v>
      </c>
      <c r="M488" s="54">
        <f t="shared" si="14"/>
        <v>484</v>
      </c>
    </row>
    <row r="489" spans="2:13">
      <c r="B489" s="27">
        <f t="shared" si="15"/>
        <v>485</v>
      </c>
      <c r="C489" s="27"/>
      <c r="D489" s="54"/>
      <c r="E489" s="54"/>
      <c r="F489" s="54"/>
      <c r="G489" s="54"/>
      <c r="H489" s="54"/>
      <c r="I489" s="54"/>
      <c r="J489" s="54" t="str">
        <f ca="1">IF(F489="","",OFFSET(分類!$B$29,MATCH(F489,分類!$A$30:$A$46,0),0))</f>
        <v/>
      </c>
      <c r="K489" s="69"/>
      <c r="L489" s="69">
        <v>485</v>
      </c>
      <c r="M489" s="54">
        <f t="shared" si="14"/>
        <v>485</v>
      </c>
    </row>
    <row r="490" spans="2:13">
      <c r="B490" s="27">
        <f t="shared" si="15"/>
        <v>486</v>
      </c>
      <c r="C490" s="27"/>
      <c r="D490" s="54"/>
      <c r="E490" s="54"/>
      <c r="F490" s="54"/>
      <c r="G490" s="54"/>
      <c r="H490" s="54"/>
      <c r="I490" s="54"/>
      <c r="J490" s="54" t="str">
        <f ca="1">IF(F490="","",OFFSET(分類!$B$29,MATCH(F490,分類!$A$30:$A$46,0),0))</f>
        <v/>
      </c>
      <c r="K490" s="69"/>
      <c r="L490" s="69">
        <v>486</v>
      </c>
      <c r="M490" s="54">
        <f t="shared" si="14"/>
        <v>486</v>
      </c>
    </row>
    <row r="491" spans="2:13">
      <c r="B491" s="27">
        <f t="shared" si="15"/>
        <v>487</v>
      </c>
      <c r="C491" s="27"/>
      <c r="D491" s="54"/>
      <c r="E491" s="54"/>
      <c r="F491" s="54"/>
      <c r="G491" s="54"/>
      <c r="H491" s="54"/>
      <c r="I491" s="54"/>
      <c r="J491" s="54" t="str">
        <f ca="1">IF(F491="","",OFFSET(分類!$B$29,MATCH(F491,分類!$A$30:$A$46,0),0))</f>
        <v/>
      </c>
      <c r="K491" s="69"/>
      <c r="L491" s="69">
        <v>487</v>
      </c>
      <c r="M491" s="54">
        <f t="shared" si="14"/>
        <v>487</v>
      </c>
    </row>
    <row r="492" spans="2:13">
      <c r="B492" s="27">
        <f t="shared" si="15"/>
        <v>488</v>
      </c>
      <c r="C492" s="27"/>
      <c r="D492" s="54"/>
      <c r="E492" s="54"/>
      <c r="F492" s="54"/>
      <c r="G492" s="54"/>
      <c r="H492" s="54"/>
      <c r="I492" s="54"/>
      <c r="J492" s="54" t="str">
        <f ca="1">IF(F492="","",OFFSET(分類!$B$29,MATCH(F492,分類!$A$30:$A$46,0),0))</f>
        <v/>
      </c>
      <c r="K492" s="69"/>
      <c r="L492" s="69">
        <v>488</v>
      </c>
      <c r="M492" s="54">
        <f t="shared" si="14"/>
        <v>488</v>
      </c>
    </row>
    <row r="493" spans="2:13">
      <c r="B493" s="27">
        <f t="shared" si="15"/>
        <v>489</v>
      </c>
      <c r="C493" s="27"/>
      <c r="D493" s="54"/>
      <c r="E493" s="54"/>
      <c r="F493" s="54"/>
      <c r="G493" s="54"/>
      <c r="H493" s="54"/>
      <c r="I493" s="54"/>
      <c r="J493" s="54" t="str">
        <f ca="1">IF(F493="","",OFFSET(分類!$B$29,MATCH(F493,分類!$A$30:$A$46,0),0))</f>
        <v/>
      </c>
      <c r="K493" s="69"/>
      <c r="L493" s="69">
        <v>489</v>
      </c>
      <c r="M493" s="54">
        <f t="shared" si="14"/>
        <v>489</v>
      </c>
    </row>
    <row r="494" spans="2:13">
      <c r="B494" s="27">
        <f t="shared" si="15"/>
        <v>490</v>
      </c>
      <c r="C494" s="27"/>
      <c r="D494" s="54"/>
      <c r="E494" s="54"/>
      <c r="F494" s="54"/>
      <c r="G494" s="54"/>
      <c r="H494" s="54"/>
      <c r="I494" s="54"/>
      <c r="J494" s="54" t="str">
        <f ca="1">IF(F494="","",OFFSET(分類!$B$29,MATCH(F494,分類!$A$30:$A$46,0),0))</f>
        <v/>
      </c>
      <c r="K494" s="69"/>
      <c r="L494" s="69">
        <v>490</v>
      </c>
      <c r="M494" s="54">
        <f t="shared" si="14"/>
        <v>490</v>
      </c>
    </row>
    <row r="495" spans="2:13">
      <c r="B495" s="27">
        <f t="shared" si="15"/>
        <v>491</v>
      </c>
      <c r="C495" s="27"/>
      <c r="D495" s="54"/>
      <c r="E495" s="54"/>
      <c r="F495" s="54"/>
      <c r="G495" s="54"/>
      <c r="H495" s="54"/>
      <c r="I495" s="54"/>
      <c r="J495" s="54" t="str">
        <f ca="1">IF(F495="","",OFFSET(分類!$B$29,MATCH(F495,分類!$A$30:$A$46,0),0))</f>
        <v/>
      </c>
      <c r="K495" s="69"/>
      <c r="L495" s="69">
        <v>491</v>
      </c>
      <c r="M495" s="54">
        <f t="shared" si="14"/>
        <v>491</v>
      </c>
    </row>
    <row r="496" spans="2:13">
      <c r="B496" s="27">
        <f t="shared" si="15"/>
        <v>492</v>
      </c>
      <c r="C496" s="27"/>
      <c r="D496" s="54"/>
      <c r="E496" s="54"/>
      <c r="F496" s="54"/>
      <c r="G496" s="54"/>
      <c r="H496" s="54"/>
      <c r="I496" s="54"/>
      <c r="J496" s="54" t="str">
        <f ca="1">IF(F496="","",OFFSET(分類!$B$29,MATCH(F496,分類!$A$30:$A$46,0),0))</f>
        <v/>
      </c>
      <c r="K496" s="69"/>
      <c r="L496" s="69">
        <v>492</v>
      </c>
      <c r="M496" s="54">
        <f t="shared" si="14"/>
        <v>492</v>
      </c>
    </row>
    <row r="497" spans="2:13">
      <c r="B497" s="27">
        <f t="shared" si="15"/>
        <v>493</v>
      </c>
      <c r="C497" s="27"/>
      <c r="D497" s="54"/>
      <c r="E497" s="54"/>
      <c r="F497" s="54"/>
      <c r="G497" s="54"/>
      <c r="H497" s="54"/>
      <c r="I497" s="54"/>
      <c r="J497" s="54" t="str">
        <f ca="1">IF(F497="","",OFFSET(分類!$B$29,MATCH(F497,分類!$A$30:$A$46,0),0))</f>
        <v/>
      </c>
      <c r="K497" s="69"/>
      <c r="L497" s="69">
        <v>493</v>
      </c>
      <c r="M497" s="54">
        <f t="shared" si="14"/>
        <v>493</v>
      </c>
    </row>
    <row r="498" spans="2:13">
      <c r="B498" s="27">
        <f t="shared" si="15"/>
        <v>494</v>
      </c>
      <c r="C498" s="27"/>
      <c r="D498" s="54"/>
      <c r="E498" s="54"/>
      <c r="F498" s="54"/>
      <c r="G498" s="54"/>
      <c r="H498" s="54"/>
      <c r="I498" s="54"/>
      <c r="J498" s="54" t="str">
        <f ca="1">IF(F498="","",OFFSET(分類!$B$29,MATCH(F498,分類!$A$30:$A$46,0),0))</f>
        <v/>
      </c>
      <c r="K498" s="69"/>
      <c r="L498" s="69">
        <v>494</v>
      </c>
      <c r="M498" s="54">
        <f t="shared" si="14"/>
        <v>494</v>
      </c>
    </row>
    <row r="499" spans="2:13">
      <c r="B499" s="27">
        <f t="shared" si="15"/>
        <v>495</v>
      </c>
      <c r="C499" s="27"/>
      <c r="D499" s="54"/>
      <c r="E499" s="54"/>
      <c r="F499" s="54"/>
      <c r="G499" s="54"/>
      <c r="H499" s="54"/>
      <c r="I499" s="54"/>
      <c r="J499" s="54" t="str">
        <f ca="1">IF(F499="","",OFFSET(分類!$B$29,MATCH(F499,分類!$A$30:$A$46,0),0))</f>
        <v/>
      </c>
      <c r="K499" s="69"/>
      <c r="L499" s="69">
        <v>495</v>
      </c>
      <c r="M499" s="54">
        <f t="shared" si="14"/>
        <v>495</v>
      </c>
    </row>
    <row r="500" spans="2:13">
      <c r="B500" s="27">
        <f t="shared" si="15"/>
        <v>496</v>
      </c>
      <c r="C500" s="27"/>
      <c r="D500" s="54"/>
      <c r="E500" s="54"/>
      <c r="F500" s="54"/>
      <c r="G500" s="54"/>
      <c r="H500" s="54"/>
      <c r="I500" s="54"/>
      <c r="J500" s="54" t="str">
        <f ca="1">IF(F500="","",OFFSET(分類!$B$29,MATCH(F500,分類!$A$30:$A$46,0),0))</f>
        <v/>
      </c>
      <c r="K500" s="69"/>
      <c r="L500" s="69">
        <v>496</v>
      </c>
      <c r="M500" s="54">
        <f t="shared" si="14"/>
        <v>496</v>
      </c>
    </row>
    <row r="501" spans="2:13">
      <c r="B501" s="27">
        <f t="shared" si="15"/>
        <v>497</v>
      </c>
      <c r="C501" s="27"/>
      <c r="D501" s="54"/>
      <c r="E501" s="54"/>
      <c r="F501" s="54"/>
      <c r="G501" s="54"/>
      <c r="H501" s="54"/>
      <c r="I501" s="54"/>
      <c r="J501" s="54" t="str">
        <f ca="1">IF(F501="","",OFFSET(分類!$B$29,MATCH(F501,分類!$A$30:$A$46,0),0))</f>
        <v/>
      </c>
      <c r="K501" s="69"/>
      <c r="L501" s="69">
        <v>497</v>
      </c>
      <c r="M501" s="54">
        <f t="shared" si="14"/>
        <v>497</v>
      </c>
    </row>
    <row r="502" spans="2:13">
      <c r="B502" s="27">
        <f t="shared" si="15"/>
        <v>498</v>
      </c>
      <c r="C502" s="27"/>
      <c r="D502" s="54"/>
      <c r="E502" s="54"/>
      <c r="F502" s="54"/>
      <c r="G502" s="54"/>
      <c r="H502" s="54"/>
      <c r="I502" s="54"/>
      <c r="J502" s="54" t="str">
        <f ca="1">IF(F502="","",OFFSET(分類!$B$29,MATCH(F502,分類!$A$30:$A$46,0),0))</f>
        <v/>
      </c>
      <c r="K502" s="69"/>
      <c r="L502" s="69">
        <v>498</v>
      </c>
      <c r="M502" s="54">
        <f t="shared" si="14"/>
        <v>498</v>
      </c>
    </row>
    <row r="503" spans="2:13">
      <c r="B503" s="27">
        <f t="shared" si="15"/>
        <v>499</v>
      </c>
      <c r="C503" s="27"/>
      <c r="D503" s="54"/>
      <c r="E503" s="54"/>
      <c r="F503" s="54"/>
      <c r="G503" s="54"/>
      <c r="H503" s="54"/>
      <c r="I503" s="54"/>
      <c r="J503" s="54" t="str">
        <f ca="1">IF(F503="","",OFFSET(分類!$B$29,MATCH(F503,分類!$A$30:$A$46,0),0))</f>
        <v/>
      </c>
      <c r="K503" s="69"/>
      <c r="L503" s="69">
        <v>499</v>
      </c>
      <c r="M503" s="54">
        <f t="shared" si="14"/>
        <v>499</v>
      </c>
    </row>
    <row r="504" spans="2:13">
      <c r="B504" s="27">
        <f t="shared" si="15"/>
        <v>500</v>
      </c>
      <c r="C504" s="27"/>
      <c r="D504" s="54"/>
      <c r="E504" s="54"/>
      <c r="F504" s="54"/>
      <c r="G504" s="54"/>
      <c r="H504" s="54"/>
      <c r="I504" s="54"/>
      <c r="J504" s="54" t="str">
        <f ca="1">IF(F504="","",OFFSET(分類!$B$29,MATCH(F504,分類!$A$30:$A$46,0),0))</f>
        <v/>
      </c>
      <c r="K504" s="69"/>
      <c r="L504" s="69">
        <v>500</v>
      </c>
      <c r="M504" s="54">
        <f t="shared" si="14"/>
        <v>500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B2:L304"/>
  <sheetViews>
    <sheetView workbookViewId="0">
      <selection activeCell="N13" sqref="N13"/>
    </sheetView>
  </sheetViews>
  <sheetFormatPr defaultRowHeight="13.2"/>
  <cols>
    <col min="1" max="1" width="8.88671875" style="29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2.33203125" style="29" customWidth="1"/>
    <col min="9" max="9" width="5.77734375" style="29" customWidth="1"/>
    <col min="10" max="10" width="20.109375" style="29" bestFit="1" customWidth="1"/>
    <col min="11" max="11" width="12.6640625" style="29" customWidth="1"/>
    <col min="12" max="16384" width="8.88671875" style="29"/>
  </cols>
  <sheetData>
    <row r="2" spans="2:12" ht="16.2">
      <c r="B2" s="28" t="str" cm="1">
        <f t="array" aca="1" ref="B2" ca="1">RIGHT(CELL("filename",A1),LEN(CELL("filename",A1))-FIND("]",CELL("filename",A1)))</f>
        <v>注射</v>
      </c>
      <c r="C2" s="28"/>
    </row>
    <row r="4" spans="2:12" s="62" customFormat="1" ht="52.8">
      <c r="B4" s="61" t="s">
        <v>4038</v>
      </c>
      <c r="C4" s="61" t="s">
        <v>4228</v>
      </c>
      <c r="D4" s="61" t="s">
        <v>4039</v>
      </c>
      <c r="E4" s="61" t="s">
        <v>4040</v>
      </c>
      <c r="F4" s="61" t="s">
        <v>4061</v>
      </c>
      <c r="G4" s="61" t="s">
        <v>4063</v>
      </c>
      <c r="H4" s="61" t="s">
        <v>4064</v>
      </c>
      <c r="I4" s="61" t="s">
        <v>4219</v>
      </c>
      <c r="J4" s="61" t="s">
        <v>4100</v>
      </c>
      <c r="K4" s="61" t="s">
        <v>4227</v>
      </c>
      <c r="L4" s="61" t="s">
        <v>4226</v>
      </c>
    </row>
    <row r="5" spans="2:12">
      <c r="B5" s="27">
        <v>1</v>
      </c>
      <c r="C5" s="27" cm="1">
        <f t="array" aca="1" ref="C5:I89" ca="1">_xlfn._xlws.SORT(_xlfn.CHOOSECOLS(_xlfn._xlws.FILTER(IFERROR(統合マスタ!B2:Z1500,""),IFERROR(統合マスタ!R2:R1500=1,FALSE)*IFERROR(ISNUMBER(MATCH(統合マスタ!V2:V1500,分類!Q8:Q15,0)),FALSE)),1,2,23,25,4,5,10),2,1)</f>
        <v>31</v>
      </c>
      <c r="D5" s="27" t="str">
        <f ca="1"/>
        <v>アキネトン注射液５ｍｇ　　　　　　　　　</v>
      </c>
      <c r="E5" s="27">
        <f ca="1"/>
        <v>2</v>
      </c>
      <c r="F5" s="54">
        <f ca="1"/>
        <v>9</v>
      </c>
      <c r="G5" s="54" t="str">
        <f ca="1"/>
        <v/>
      </c>
      <c r="H5" s="54" t="str">
        <f ca="1"/>
        <v>１ｍＬ×５０Ａ</v>
      </c>
      <c r="I5" s="54" t="str">
        <f ca="1"/>
        <v>A</v>
      </c>
      <c r="J5" s="54" t="str">
        <f ca="1">IF(F5="","",OFFSET(分類!$B$29,MATCH(F5,分類!$A$30:$A$46,0),0))</f>
        <v>注射</v>
      </c>
      <c r="K5" s="69"/>
      <c r="L5" s="54"/>
    </row>
    <row r="6" spans="2:12">
      <c r="B6" s="27">
        <f>B5+1</f>
        <v>2</v>
      </c>
      <c r="C6" s="27">
        <f ca="1"/>
        <v>33</v>
      </c>
      <c r="D6" s="27" t="str">
        <f ca="1"/>
        <v>アクチット輸液　　　　　　　　　　　　　　</v>
      </c>
      <c r="E6" s="27">
        <f ca="1"/>
        <v>0</v>
      </c>
      <c r="F6" s="54">
        <f ca="1"/>
        <v>10</v>
      </c>
      <c r="G6" s="54" t="str">
        <f ca="1"/>
        <v/>
      </c>
      <c r="H6" s="54" t="str">
        <f ca="1"/>
        <v>５００ｍｌｘ２０袋</v>
      </c>
      <c r="I6" s="54" t="str">
        <f ca="1"/>
        <v>袋</v>
      </c>
      <c r="J6" s="54" t="str">
        <f ca="1">IF(F6="","",OFFSET(分類!$B$29,MATCH(F6,分類!$A$30:$A$46,0),0))</f>
        <v>輸液</v>
      </c>
      <c r="K6" s="69"/>
      <c r="L6" s="54"/>
    </row>
    <row r="7" spans="2:12">
      <c r="B7" s="27">
        <f t="shared" ref="B7:B70" si="0">B6+1</f>
        <v>3</v>
      </c>
      <c r="C7" s="27">
        <f ca="1"/>
        <v>40</v>
      </c>
      <c r="D7" s="27" t="str">
        <f ca="1"/>
        <v>アスコルビン酸注５００ｍｇ「イセイ」　</v>
      </c>
      <c r="E7" s="27">
        <f ca="1"/>
        <v>0</v>
      </c>
      <c r="F7" s="54">
        <f ca="1"/>
        <v>11</v>
      </c>
      <c r="G7" s="54" t="str">
        <f ca="1"/>
        <v/>
      </c>
      <c r="H7" s="54" t="str">
        <f ca="1"/>
        <v>２ｍｌｘ５０Ａ</v>
      </c>
      <c r="I7" s="54" t="str">
        <f ca="1"/>
        <v>A</v>
      </c>
      <c r="J7" s="54" t="str">
        <f ca="1">IF(F7="","",OFFSET(分類!$B$29,MATCH(F7,分類!$A$30:$A$46,0),0))</f>
        <v>冷蔵庫</v>
      </c>
      <c r="K7" s="69"/>
      <c r="L7" s="54"/>
    </row>
    <row r="8" spans="2:12">
      <c r="B8" s="27">
        <f t="shared" si="0"/>
        <v>4</v>
      </c>
      <c r="C8" s="27">
        <f ca="1"/>
        <v>48</v>
      </c>
      <c r="D8" s="27" t="str">
        <f ca="1"/>
        <v>アスパラギン酸カリウム注　１０ＭＥＱキット「テルモ」</v>
      </c>
      <c r="E8" s="27">
        <f ca="1"/>
        <v>0</v>
      </c>
      <c r="F8" s="54">
        <f ca="1"/>
        <v>9</v>
      </c>
      <c r="G8" s="54" t="str">
        <f ca="1"/>
        <v/>
      </c>
      <c r="H8" s="54" t="str">
        <f ca="1"/>
        <v>１０ｍｌｘ１０</v>
      </c>
      <c r="I8" s="54" t="str">
        <f ca="1"/>
        <v>10ｍｌ</v>
      </c>
      <c r="J8" s="54" t="str">
        <f ca="1">IF(F8="","",OFFSET(分類!$B$29,MATCH(F8,分類!$A$30:$A$46,0),0))</f>
        <v>注射</v>
      </c>
      <c r="K8" s="69"/>
      <c r="L8" s="54"/>
    </row>
    <row r="9" spans="2:12">
      <c r="B9" s="27">
        <f t="shared" si="0"/>
        <v>5</v>
      </c>
      <c r="C9" s="27">
        <f ca="1"/>
        <v>60</v>
      </c>
      <c r="D9" s="27" t="str">
        <f ca="1"/>
        <v>アドナ注（静脈用）５０ｍｇ　　　　　　　</v>
      </c>
      <c r="E9" s="27">
        <f ca="1"/>
        <v>0</v>
      </c>
      <c r="F9" s="54">
        <f ca="1"/>
        <v>9</v>
      </c>
      <c r="G9" s="54" t="str">
        <f ca="1"/>
        <v/>
      </c>
      <c r="H9" s="54" t="str">
        <f ca="1"/>
        <v>１０ｍｌ×１０Ａ</v>
      </c>
      <c r="I9" s="54" t="str">
        <f ca="1"/>
        <v>A</v>
      </c>
      <c r="J9" s="54" t="str">
        <f ca="1">IF(F9="","",OFFSET(分類!$B$29,MATCH(F9,分類!$A$30:$A$46,0),0))</f>
        <v>注射</v>
      </c>
      <c r="K9" s="69"/>
      <c r="L9" s="54"/>
    </row>
    <row r="10" spans="2:12">
      <c r="B10" s="27">
        <f t="shared" si="0"/>
        <v>6</v>
      </c>
      <c r="C10" s="27">
        <f ca="1"/>
        <v>61</v>
      </c>
      <c r="D10" s="27" t="str">
        <f ca="1"/>
        <v>アドナ注（静脈用）５０ｍｇ　　　　　　　</v>
      </c>
      <c r="E10" s="27">
        <f ca="1"/>
        <v>0</v>
      </c>
      <c r="F10" s="54">
        <f ca="1"/>
        <v>9</v>
      </c>
      <c r="G10" s="54" t="str">
        <f ca="1"/>
        <v/>
      </c>
      <c r="H10" s="54" t="str">
        <f ca="1"/>
        <v>１０ｍｌ×５０Ａ</v>
      </c>
      <c r="I10" s="54" t="str">
        <f ca="1"/>
        <v>A</v>
      </c>
      <c r="J10" s="54" t="str">
        <f ca="1">IF(F10="","",OFFSET(分類!$B$29,MATCH(F10,分類!$A$30:$A$46,0),0))</f>
        <v>注射</v>
      </c>
      <c r="K10" s="69"/>
      <c r="L10" s="54"/>
    </row>
    <row r="11" spans="2:12">
      <c r="B11" s="27">
        <f t="shared" si="0"/>
        <v>7</v>
      </c>
      <c r="C11" s="27">
        <f ca="1"/>
        <v>69</v>
      </c>
      <c r="D11" s="27" t="str">
        <f ca="1"/>
        <v>アトロピン硫酸塩注０．５ｍｇ「ニプロ」</v>
      </c>
      <c r="E11" s="27">
        <f ca="1"/>
        <v>2</v>
      </c>
      <c r="F11" s="54">
        <f ca="1"/>
        <v>9</v>
      </c>
      <c r="G11" s="54" t="str">
        <f ca="1"/>
        <v/>
      </c>
      <c r="H11" s="54" t="str">
        <f ca="1"/>
        <v>１ｍｌｘ１０Ａ</v>
      </c>
      <c r="I11" s="54" t="str">
        <f ca="1"/>
        <v>A</v>
      </c>
      <c r="J11" s="54" t="str">
        <f ca="1">IF(F11="","",OFFSET(分類!$B$29,MATCH(F11,分類!$A$30:$A$46,0),0))</f>
        <v>注射</v>
      </c>
      <c r="K11" s="69"/>
      <c r="L11" s="54"/>
    </row>
    <row r="12" spans="2:12">
      <c r="B12" s="27">
        <f t="shared" si="0"/>
        <v>8</v>
      </c>
      <c r="C12" s="27">
        <f ca="1"/>
        <v>72</v>
      </c>
      <c r="D12" s="27" t="str">
        <f ca="1"/>
        <v>アネキセート注射液０．５ＭＧ</v>
      </c>
      <c r="E12" s="27">
        <f ca="1"/>
        <v>2</v>
      </c>
      <c r="F12" s="54">
        <f ca="1"/>
        <v>9</v>
      </c>
      <c r="G12" s="54" t="str">
        <f ca="1"/>
        <v/>
      </c>
      <c r="H12" s="54" t="str">
        <f ca="1"/>
        <v>５ＭＬＸ５Ａ</v>
      </c>
      <c r="I12" s="54" t="str">
        <f ca="1"/>
        <v>A</v>
      </c>
      <c r="J12" s="54" t="str">
        <f ca="1">IF(F12="","",OFFSET(分類!$B$29,MATCH(F12,分類!$A$30:$A$46,0),0))</f>
        <v>注射</v>
      </c>
      <c r="K12" s="69"/>
      <c r="L12" s="54"/>
    </row>
    <row r="13" spans="2:12">
      <c r="B13" s="27">
        <f t="shared" si="0"/>
        <v>9</v>
      </c>
      <c r="C13" s="27">
        <f ca="1"/>
        <v>92</v>
      </c>
      <c r="D13" s="27" t="str">
        <f ca="1"/>
        <v>アルブミナー２５％静注１２．５ｇ／５０ｍｌ</v>
      </c>
      <c r="E13" s="27">
        <f ca="1"/>
        <v>0</v>
      </c>
      <c r="F13" s="54">
        <f ca="1"/>
        <v>6</v>
      </c>
      <c r="G13" s="54" t="str">
        <f ca="1"/>
        <v/>
      </c>
      <c r="H13" s="54" t="str">
        <f ca="1"/>
        <v>５０ｍｌｘ１Ｖ</v>
      </c>
      <c r="I13" s="54" t="str">
        <f ca="1"/>
        <v>V</v>
      </c>
      <c r="J13" s="54" t="str">
        <f ca="1">IF(F13="","",OFFSET(分類!$B$29,MATCH(F13,分類!$A$30:$A$46,0),0))</f>
        <v>劇薬バラ</v>
      </c>
      <c r="K13" s="69"/>
      <c r="L13" s="54"/>
    </row>
    <row r="14" spans="2:12">
      <c r="B14" s="27">
        <f t="shared" si="0"/>
        <v>10</v>
      </c>
      <c r="C14" s="27">
        <f ca="1"/>
        <v>97</v>
      </c>
      <c r="D14" s="27" t="str">
        <f ca="1"/>
        <v>アレビアチン注２５０ｍｇ</v>
      </c>
      <c r="E14" s="27">
        <f ca="1"/>
        <v>2</v>
      </c>
      <c r="F14" s="54">
        <f ca="1"/>
        <v>9</v>
      </c>
      <c r="G14" s="54" t="str">
        <f ca="1"/>
        <v/>
      </c>
      <c r="H14" s="54" t="str">
        <f ca="1"/>
        <v>５ｍＬＸ１０管</v>
      </c>
      <c r="I14" s="54" t="str">
        <f ca="1"/>
        <v>A</v>
      </c>
      <c r="J14" s="54" t="str">
        <f ca="1">IF(F14="","",OFFSET(分類!$B$29,MATCH(F14,分類!$A$30:$A$46,0),0))</f>
        <v>注射</v>
      </c>
      <c r="K14" s="69"/>
      <c r="L14" s="54"/>
    </row>
    <row r="15" spans="2:12">
      <c r="B15" s="27">
        <f t="shared" si="0"/>
        <v>11</v>
      </c>
      <c r="C15" s="27">
        <f ca="1"/>
        <v>105</v>
      </c>
      <c r="D15" s="27" t="str">
        <f ca="1"/>
        <v>イバンドロン酸静注１ｍｇシリンジ「トーワ」</v>
      </c>
      <c r="E15" s="27">
        <f ca="1"/>
        <v>2</v>
      </c>
      <c r="F15" s="54">
        <f ca="1"/>
        <v>9</v>
      </c>
      <c r="G15" s="54" t="str">
        <f ca="1"/>
        <v/>
      </c>
      <c r="H15" s="54" t="str">
        <f ca="1"/>
        <v>１０シリンジ</v>
      </c>
      <c r="I15" s="54" t="str">
        <f ca="1"/>
        <v>ｼﾘﾝｼﾞ</v>
      </c>
      <c r="J15" s="54" t="str">
        <f ca="1">IF(F15="","",OFFSET(分類!$B$29,MATCH(F15,分類!$A$30:$A$46,0),0))</f>
        <v>注射</v>
      </c>
      <c r="K15" s="69"/>
      <c r="L15" s="54"/>
    </row>
    <row r="16" spans="2:12">
      <c r="B16" s="27">
        <f t="shared" si="0"/>
        <v>12</v>
      </c>
      <c r="C16" s="27">
        <f ca="1"/>
        <v>106</v>
      </c>
      <c r="D16" s="27" t="str">
        <f ca="1"/>
        <v>イバンドロン酸静注１ｍｇシリンジ「トーワ」</v>
      </c>
      <c r="E16" s="27">
        <f ca="1"/>
        <v>2</v>
      </c>
      <c r="F16" s="54">
        <f ca="1"/>
        <v>9</v>
      </c>
      <c r="G16" s="54" t="str">
        <f ca="1"/>
        <v/>
      </c>
      <c r="H16" s="54" t="str">
        <f ca="1"/>
        <v>１シリンジ</v>
      </c>
      <c r="I16" s="54" t="str">
        <f ca="1"/>
        <v>ｼﾘﾝｼﾞ</v>
      </c>
      <c r="J16" s="54" t="str">
        <f ca="1">IF(F16="","",OFFSET(分類!$B$29,MATCH(F16,分類!$A$30:$A$46,0),0))</f>
        <v>注射</v>
      </c>
      <c r="K16" s="69"/>
      <c r="L16" s="54"/>
    </row>
    <row r="17" spans="2:12">
      <c r="B17" s="27">
        <f t="shared" si="0"/>
        <v>13</v>
      </c>
      <c r="C17" s="27">
        <f ca="1"/>
        <v>109</v>
      </c>
      <c r="D17" s="27" t="str">
        <f ca="1"/>
        <v>イベニティ皮下注１０５ｍｇシリンジ</v>
      </c>
      <c r="E17" s="27">
        <f ca="1"/>
        <v>0</v>
      </c>
      <c r="F17" s="54">
        <f ca="1"/>
        <v>11</v>
      </c>
      <c r="G17" s="54" t="str">
        <f ca="1"/>
        <v/>
      </c>
      <c r="H17" s="54" t="str">
        <f ca="1"/>
        <v>２筒</v>
      </c>
      <c r="I17" s="54" t="str">
        <f ca="1"/>
        <v>本</v>
      </c>
      <c r="J17" s="54" t="str">
        <f ca="1">IF(F17="","",OFFSET(分類!$B$29,MATCH(F17,分類!$A$30:$A$46,0),0))</f>
        <v>冷蔵庫</v>
      </c>
      <c r="K17" s="69"/>
      <c r="L17" s="54"/>
    </row>
    <row r="18" spans="2:12">
      <c r="B18" s="27">
        <f t="shared" si="0"/>
        <v>14</v>
      </c>
      <c r="C18" s="27">
        <f ca="1"/>
        <v>139</v>
      </c>
      <c r="D18" s="27" t="str">
        <f ca="1"/>
        <v>エビリファイ持続性水懸筋注用３００ｍｇ　シリンジ</v>
      </c>
      <c r="E18" s="27">
        <f ca="1"/>
        <v>2</v>
      </c>
      <c r="F18" s="54">
        <f ca="1"/>
        <v>9</v>
      </c>
      <c r="G18" s="54" t="str">
        <f ca="1"/>
        <v/>
      </c>
      <c r="H18" s="54" t="str">
        <f ca="1"/>
        <v>１キット</v>
      </c>
      <c r="I18" s="54" t="str">
        <f ca="1"/>
        <v>kit</v>
      </c>
      <c r="J18" s="54" t="str">
        <f ca="1">IF(F18="","",OFFSET(分類!$B$29,MATCH(F18,分類!$A$30:$A$46,0),0))</f>
        <v>注射</v>
      </c>
      <c r="K18" s="69"/>
      <c r="L18" s="54"/>
    </row>
    <row r="19" spans="2:12">
      <c r="B19" s="27">
        <f t="shared" si="0"/>
        <v>15</v>
      </c>
      <c r="C19" s="27">
        <f ca="1"/>
        <v>140</v>
      </c>
      <c r="D19" s="27" t="str">
        <f ca="1"/>
        <v>エビリファイ持続性水懸筋注用４００ｍｇ　シリンジ</v>
      </c>
      <c r="E19" s="27">
        <f ca="1"/>
        <v>2</v>
      </c>
      <c r="F19" s="54">
        <f ca="1"/>
        <v>9</v>
      </c>
      <c r="G19" s="54" t="str">
        <f ca="1"/>
        <v/>
      </c>
      <c r="H19" s="54" t="str">
        <f ca="1"/>
        <v>１キット</v>
      </c>
      <c r="I19" s="54" t="str">
        <f ca="1"/>
        <v>kit</v>
      </c>
      <c r="J19" s="54" t="str">
        <f ca="1">IF(F19="","",OFFSET(分類!$B$29,MATCH(F19,分類!$A$30:$A$46,0),0))</f>
        <v>注射</v>
      </c>
      <c r="K19" s="69"/>
      <c r="L19" s="54"/>
    </row>
    <row r="20" spans="2:12">
      <c r="B20" s="27">
        <f t="shared" si="0"/>
        <v>16</v>
      </c>
      <c r="C20" s="27">
        <f ca="1"/>
        <v>147</v>
      </c>
      <c r="D20" s="27" t="str">
        <f ca="1"/>
        <v>エホチール注１０ｍｇ</v>
      </c>
      <c r="E20" s="27">
        <f ca="1"/>
        <v>2</v>
      </c>
      <c r="F20" s="54">
        <f ca="1"/>
        <v>9</v>
      </c>
      <c r="G20" s="54" t="str">
        <f ca="1"/>
        <v/>
      </c>
      <c r="H20" s="54" t="str">
        <f ca="1"/>
        <v>１ｍｌｘ１０Ａ</v>
      </c>
      <c r="I20" s="54" t="str">
        <f ca="1"/>
        <v>A</v>
      </c>
      <c r="J20" s="54" t="str">
        <f ca="1">IF(F20="","",OFFSET(分類!$B$29,MATCH(F20,分類!$A$30:$A$46,0),0))</f>
        <v>注射</v>
      </c>
      <c r="K20" s="69"/>
      <c r="L20" s="54"/>
    </row>
    <row r="21" spans="2:12">
      <c r="B21" s="27">
        <f t="shared" si="0"/>
        <v>17</v>
      </c>
      <c r="C21" s="27">
        <f ca="1"/>
        <v>181</v>
      </c>
      <c r="D21" s="27" t="str">
        <f ca="1"/>
        <v>キシロカイン注シリンジ０．５％　　</v>
      </c>
      <c r="E21" s="27">
        <f ca="1"/>
        <v>2</v>
      </c>
      <c r="F21" s="54">
        <f ca="1"/>
        <v>9</v>
      </c>
      <c r="G21" s="54" t="str">
        <f ca="1"/>
        <v/>
      </c>
      <c r="H21" s="54" t="str">
        <f ca="1"/>
        <v>１０ｍｌｘ１０</v>
      </c>
      <c r="I21" s="54" t="str">
        <f ca="1"/>
        <v>10ｍｌ</v>
      </c>
      <c r="J21" s="54" t="str">
        <f ca="1">IF(F21="","",OFFSET(分類!$B$29,MATCH(F21,分類!$A$30:$A$46,0),0))</f>
        <v>注射</v>
      </c>
      <c r="K21" s="69"/>
      <c r="L21" s="54"/>
    </row>
    <row r="22" spans="2:12">
      <c r="B22" s="27">
        <f t="shared" si="0"/>
        <v>18</v>
      </c>
      <c r="C22" s="27">
        <f ca="1"/>
        <v>207</v>
      </c>
      <c r="D22" s="27" t="str">
        <f ca="1"/>
        <v>グリセオール注</v>
      </c>
      <c r="E22" s="27">
        <f ca="1"/>
        <v>0</v>
      </c>
      <c r="F22" s="54">
        <f ca="1"/>
        <v>9</v>
      </c>
      <c r="G22" s="54" t="str">
        <f ca="1"/>
        <v/>
      </c>
      <c r="H22" s="54" t="str">
        <f ca="1"/>
        <v>２００ｍｌｘ１０</v>
      </c>
      <c r="I22" s="54" t="str">
        <f ca="1"/>
        <v>袋</v>
      </c>
      <c r="J22" s="54" t="str">
        <f ca="1">IF(F22="","",OFFSET(分類!$B$29,MATCH(F22,分類!$A$30:$A$46,0),0))</f>
        <v>注射</v>
      </c>
      <c r="K22" s="69"/>
      <c r="L22" s="54"/>
    </row>
    <row r="23" spans="2:12">
      <c r="B23" s="27">
        <f t="shared" si="0"/>
        <v>19</v>
      </c>
      <c r="C23" s="27">
        <f ca="1"/>
        <v>221</v>
      </c>
      <c r="D23" s="27" t="str">
        <f ca="1"/>
        <v>ケイツーＮ静注１０ｍｇ</v>
      </c>
      <c r="E23" s="27">
        <f ca="1"/>
        <v>0</v>
      </c>
      <c r="F23" s="54">
        <f ca="1"/>
        <v>9</v>
      </c>
      <c r="G23" s="54" t="str">
        <f ca="1"/>
        <v/>
      </c>
      <c r="H23" s="54" t="str">
        <f ca="1"/>
        <v>２ｍｌｘ１０管</v>
      </c>
      <c r="I23" s="54" t="str">
        <f ca="1"/>
        <v>A</v>
      </c>
      <c r="J23" s="54" t="str">
        <f ca="1">IF(F23="","",OFFSET(分類!$B$29,MATCH(F23,分類!$A$30:$A$46,0),0))</f>
        <v>注射</v>
      </c>
      <c r="K23" s="69"/>
      <c r="L23" s="54"/>
    </row>
    <row r="24" spans="2:12">
      <c r="B24" s="27">
        <f t="shared" si="0"/>
        <v>20</v>
      </c>
      <c r="C24" s="27">
        <f ca="1"/>
        <v>246</v>
      </c>
      <c r="D24" s="27" t="str">
        <f ca="1"/>
        <v>ジアゼパム注射液５ｍｇ「ＮＩＧ」</v>
      </c>
      <c r="E24" s="27">
        <f ca="1"/>
        <v>0</v>
      </c>
      <c r="F24" s="54">
        <f ca="1"/>
        <v>9</v>
      </c>
      <c r="G24" s="54" t="str">
        <f ca="1"/>
        <v/>
      </c>
      <c r="H24" s="54" t="str">
        <f ca="1"/>
        <v>１ｍｌｘ１０Ａ</v>
      </c>
      <c r="I24" s="54" t="str">
        <f ca="1"/>
        <v>管</v>
      </c>
      <c r="J24" s="54" t="str">
        <f ca="1">IF(F24="","",OFFSET(分類!$B$29,MATCH(F24,分類!$A$30:$A$46,0),0))</f>
        <v>注射</v>
      </c>
      <c r="K24" s="69"/>
      <c r="L24" s="54"/>
    </row>
    <row r="25" spans="2:12">
      <c r="B25" s="27">
        <f t="shared" si="0"/>
        <v>21</v>
      </c>
      <c r="C25" s="27">
        <f ca="1"/>
        <v>251</v>
      </c>
      <c r="D25" s="27" t="str">
        <f ca="1"/>
        <v>ジギラノゲン注０．４ｍｇ　０．０２％</v>
      </c>
      <c r="E25" s="27">
        <f ca="1"/>
        <v>2</v>
      </c>
      <c r="F25" s="54">
        <f ca="1"/>
        <v>9</v>
      </c>
      <c r="G25" s="54" t="str">
        <f ca="1"/>
        <v/>
      </c>
      <c r="H25" s="54" t="str">
        <f ca="1"/>
        <v>２ｍＬＸ１０管</v>
      </c>
      <c r="I25" s="54" t="str">
        <f ca="1"/>
        <v>A</v>
      </c>
      <c r="J25" s="54" t="str">
        <f ca="1">IF(F25="","",OFFSET(分類!$B$29,MATCH(F25,分類!$A$30:$A$46,0),0))</f>
        <v>注射</v>
      </c>
      <c r="K25" s="69"/>
      <c r="L25" s="54"/>
    </row>
    <row r="26" spans="2:12">
      <c r="B26" s="27">
        <f t="shared" si="0"/>
        <v>22</v>
      </c>
      <c r="C26" s="27">
        <f ca="1"/>
        <v>277</v>
      </c>
      <c r="D26" s="27" t="str">
        <f ca="1"/>
        <v>スルバシリン静注用１．５ｇ</v>
      </c>
      <c r="E26" s="27">
        <f ca="1"/>
        <v>0</v>
      </c>
      <c r="F26" s="54">
        <f ca="1"/>
        <v>8</v>
      </c>
      <c r="G26" s="54" t="str">
        <f ca="1"/>
        <v/>
      </c>
      <c r="H26" s="54" t="str">
        <f ca="1"/>
        <v>１０瓶</v>
      </c>
      <c r="I26" s="54" t="str">
        <f ca="1"/>
        <v>V</v>
      </c>
      <c r="J26" s="54" t="str">
        <f ca="1">IF(F26="","",OFFSET(分類!$B$29,MATCH(F26,分類!$A$30:$A$46,0),0))</f>
        <v>抗生剤.小輸液</v>
      </c>
      <c r="K26" s="69"/>
      <c r="L26" s="54"/>
    </row>
    <row r="27" spans="2:12">
      <c r="B27" s="27">
        <f t="shared" si="0"/>
        <v>23</v>
      </c>
      <c r="C27" s="27">
        <f ca="1"/>
        <v>290</v>
      </c>
      <c r="D27" s="27" t="str">
        <f ca="1"/>
        <v>セフェピム塩酸塩静注用１ｇ「サンド」</v>
      </c>
      <c r="E27" s="27">
        <f ca="1"/>
        <v>0</v>
      </c>
      <c r="F27" s="54">
        <f ca="1"/>
        <v>8</v>
      </c>
      <c r="G27" s="54" t="str">
        <f ca="1"/>
        <v/>
      </c>
      <c r="H27" s="54" t="str">
        <f ca="1"/>
        <v>１０Ｖ</v>
      </c>
      <c r="I27" s="54" t="str">
        <f ca="1"/>
        <v>瓶</v>
      </c>
      <c r="J27" s="54" t="str">
        <f ca="1">IF(F27="","",OFFSET(分類!$B$29,MATCH(F27,分類!$A$30:$A$46,0),0))</f>
        <v>抗生剤.小輸液</v>
      </c>
      <c r="K27" s="69"/>
      <c r="L27" s="54"/>
    </row>
    <row r="28" spans="2:12">
      <c r="B28" s="27">
        <f t="shared" si="0"/>
        <v>24</v>
      </c>
      <c r="C28" s="27">
        <f ca="1"/>
        <v>291</v>
      </c>
      <c r="D28" s="27" t="str">
        <f ca="1"/>
        <v>セフタジジム静注用１ｇ「ＶＴＲＳ」</v>
      </c>
      <c r="E28" s="27">
        <f ca="1"/>
        <v>0</v>
      </c>
      <c r="F28" s="54">
        <f ca="1"/>
        <v>8</v>
      </c>
      <c r="G28" s="54" t="str">
        <f ca="1"/>
        <v/>
      </c>
      <c r="H28" s="54" t="str">
        <f ca="1"/>
        <v>１０Ｖ</v>
      </c>
      <c r="I28" s="54" t="str">
        <f ca="1"/>
        <v>V</v>
      </c>
      <c r="J28" s="54" t="str">
        <f ca="1">IF(F28="","",OFFSET(分類!$B$29,MATCH(F28,分類!$A$30:$A$46,0),0))</f>
        <v>抗生剤.小輸液</v>
      </c>
      <c r="K28" s="69"/>
      <c r="L28" s="54"/>
    </row>
    <row r="29" spans="2:12">
      <c r="B29" s="27">
        <f t="shared" si="0"/>
        <v>25</v>
      </c>
      <c r="C29" s="27">
        <f ca="1"/>
        <v>292</v>
      </c>
      <c r="D29" s="27" t="str">
        <f ca="1"/>
        <v>セフトリアキソンＮａ静注１Ｇ「ニチイコウ」</v>
      </c>
      <c r="E29" s="27">
        <f ca="1"/>
        <v>0</v>
      </c>
      <c r="F29" s="54">
        <f ca="1"/>
        <v>8</v>
      </c>
      <c r="G29" s="54" t="str">
        <f ca="1"/>
        <v/>
      </c>
      <c r="H29" s="54" t="str">
        <f ca="1"/>
        <v>１Ｇ　　　１０Ｖ</v>
      </c>
      <c r="I29" s="54" t="str">
        <f ca="1"/>
        <v>V</v>
      </c>
      <c r="J29" s="54" t="str">
        <f ca="1">IF(F29="","",OFFSET(分類!$B$29,MATCH(F29,分類!$A$30:$A$46,0),0))</f>
        <v>抗生剤.小輸液</v>
      </c>
      <c r="K29" s="69"/>
      <c r="L29" s="54"/>
    </row>
    <row r="30" spans="2:12">
      <c r="B30" s="27">
        <f t="shared" si="0"/>
        <v>26</v>
      </c>
      <c r="C30" s="27">
        <f ca="1"/>
        <v>293</v>
      </c>
      <c r="D30" s="27" t="str">
        <f ca="1"/>
        <v>ゼプリオン水懸筋注１００ｍｇ　シリンジ</v>
      </c>
      <c r="E30" s="27">
        <f ca="1"/>
        <v>2</v>
      </c>
      <c r="F30" s="54">
        <f ca="1"/>
        <v>9</v>
      </c>
      <c r="G30" s="54" t="str">
        <f ca="1"/>
        <v/>
      </c>
      <c r="H30" s="54" t="str">
        <f ca="1"/>
        <v>１本</v>
      </c>
      <c r="I30" s="54" t="str">
        <f ca="1"/>
        <v>ｼﾘﾝｼﾞ</v>
      </c>
      <c r="J30" s="54" t="str">
        <f ca="1">IF(F30="","",OFFSET(分類!$B$29,MATCH(F30,分類!$A$30:$A$46,0),0))</f>
        <v>注射</v>
      </c>
      <c r="K30" s="69"/>
      <c r="L30" s="54"/>
    </row>
    <row r="31" spans="2:12">
      <c r="B31" s="27">
        <f t="shared" si="0"/>
        <v>27</v>
      </c>
      <c r="C31" s="27">
        <f ca="1"/>
        <v>294</v>
      </c>
      <c r="D31" s="27" t="str">
        <f ca="1"/>
        <v>ゼプリオン水懸筋注１５０ｍｇ　シリンジ</v>
      </c>
      <c r="E31" s="27">
        <f ca="1"/>
        <v>2</v>
      </c>
      <c r="F31" s="54">
        <f ca="1"/>
        <v>9</v>
      </c>
      <c r="G31" s="54" t="str">
        <f ca="1"/>
        <v/>
      </c>
      <c r="H31" s="54" t="str">
        <f ca="1"/>
        <v>１本</v>
      </c>
      <c r="I31" s="54" t="str">
        <f ca="1"/>
        <v>ｼﾘﾝｼﾞ</v>
      </c>
      <c r="J31" s="54" t="str">
        <f ca="1">IF(F31="","",OFFSET(分類!$B$29,MATCH(F31,分類!$A$30:$A$46,0),0))</f>
        <v>注射</v>
      </c>
      <c r="K31" s="69"/>
      <c r="L31" s="54"/>
    </row>
    <row r="32" spans="2:12">
      <c r="B32" s="27">
        <f t="shared" si="0"/>
        <v>28</v>
      </c>
      <c r="C32" s="27">
        <f ca="1"/>
        <v>295</v>
      </c>
      <c r="D32" s="27" t="str">
        <f ca="1"/>
        <v>ゼプリオン水懸筋注５０ｍｇシリンジ</v>
      </c>
      <c r="E32" s="27">
        <f ca="1"/>
        <v>2</v>
      </c>
      <c r="F32" s="54">
        <f ca="1"/>
        <v>9</v>
      </c>
      <c r="G32" s="54" t="str">
        <f ca="1"/>
        <v/>
      </c>
      <c r="H32" s="54" t="str">
        <f ca="1"/>
        <v>１シリンジ</v>
      </c>
      <c r="I32" s="54" t="str">
        <f ca="1"/>
        <v>kit</v>
      </c>
      <c r="J32" s="54" t="str">
        <f ca="1">IF(F32="","",OFFSET(分類!$B$29,MATCH(F32,分類!$A$30:$A$46,0),0))</f>
        <v>注射</v>
      </c>
      <c r="K32" s="69"/>
      <c r="L32" s="54"/>
    </row>
    <row r="33" spans="2:12">
      <c r="B33" s="27">
        <f t="shared" si="0"/>
        <v>29</v>
      </c>
      <c r="C33" s="27">
        <f ca="1"/>
        <v>296</v>
      </c>
      <c r="D33" s="27" t="str">
        <f ca="1"/>
        <v>ゼプリオン水懸筋注７５ｍｇシリンジ</v>
      </c>
      <c r="E33" s="27">
        <f ca="1"/>
        <v>2</v>
      </c>
      <c r="F33" s="54">
        <f ca="1"/>
        <v>9</v>
      </c>
      <c r="G33" s="54" t="str">
        <f ca="1"/>
        <v/>
      </c>
      <c r="H33" s="54" t="str">
        <f ca="1"/>
        <v>１シリンジ</v>
      </c>
      <c r="I33" s="54" t="str">
        <f ca="1"/>
        <v>kit</v>
      </c>
      <c r="J33" s="54" t="str">
        <f ca="1">IF(F33="","",OFFSET(分類!$B$29,MATCH(F33,分類!$A$30:$A$46,0),0))</f>
        <v>注射</v>
      </c>
      <c r="K33" s="69"/>
      <c r="L33" s="54"/>
    </row>
    <row r="34" spans="2:12">
      <c r="B34" s="27">
        <f t="shared" si="0"/>
        <v>30</v>
      </c>
      <c r="C34" s="27">
        <f ca="1"/>
        <v>304</v>
      </c>
      <c r="D34" s="27" t="str">
        <f ca="1"/>
        <v>セレネース注５ｍｇ</v>
      </c>
      <c r="E34" s="27">
        <f ca="1"/>
        <v>2</v>
      </c>
      <c r="F34" s="54">
        <f ca="1"/>
        <v>5</v>
      </c>
      <c r="G34" s="54" t="str">
        <f ca="1"/>
        <v/>
      </c>
      <c r="H34" s="54" t="str">
        <f ca="1"/>
        <v>１ｍＬＸ５０管</v>
      </c>
      <c r="I34" s="54" t="str">
        <f ca="1"/>
        <v>A</v>
      </c>
      <c r="J34" s="54" t="str">
        <f ca="1">IF(F34="","",OFFSET(分類!$B$29,MATCH(F34,分類!$A$30:$A$46,0),0))</f>
        <v>普通薬バラ</v>
      </c>
      <c r="K34" s="69"/>
      <c r="L34" s="54"/>
    </row>
    <row r="35" spans="2:12">
      <c r="B35" s="27">
        <f t="shared" si="0"/>
        <v>31</v>
      </c>
      <c r="C35" s="27">
        <f ca="1"/>
        <v>309</v>
      </c>
      <c r="D35" s="27" t="str">
        <f ca="1"/>
        <v>ゾシン静注用４．５</v>
      </c>
      <c r="E35" s="27">
        <f ca="1"/>
        <v>0</v>
      </c>
      <c r="F35" s="54">
        <f ca="1"/>
        <v>8</v>
      </c>
      <c r="G35" s="54" t="str">
        <f ca="1"/>
        <v/>
      </c>
      <c r="H35" s="54" t="str">
        <f ca="1"/>
        <v>１０Ｖ</v>
      </c>
      <c r="I35" s="54" t="str">
        <f ca="1"/>
        <v>V</v>
      </c>
      <c r="J35" s="54" t="str">
        <f ca="1">IF(F35="","",OFFSET(分類!$B$29,MATCH(F35,分類!$A$30:$A$46,0),0))</f>
        <v>抗生剤.小輸液</v>
      </c>
      <c r="K35" s="69"/>
      <c r="L35" s="54"/>
    </row>
    <row r="36" spans="2:12">
      <c r="B36" s="27">
        <f t="shared" si="0"/>
        <v>32</v>
      </c>
      <c r="C36" s="27">
        <f ca="1"/>
        <v>323</v>
      </c>
      <c r="D36" s="27" t="str">
        <f ca="1"/>
        <v>ソルデム－１輸液　２００ｍｌ</v>
      </c>
      <c r="E36" s="27">
        <f ca="1"/>
        <v>0</v>
      </c>
      <c r="F36" s="54">
        <f ca="1"/>
        <v>10</v>
      </c>
      <c r="G36" s="54" t="str">
        <f ca="1"/>
        <v/>
      </c>
      <c r="H36" s="54" t="str">
        <f ca="1"/>
        <v>２００ＭＬＸ３０</v>
      </c>
      <c r="I36" s="54" t="str">
        <f ca="1"/>
        <v>袋</v>
      </c>
      <c r="J36" s="54" t="str">
        <f ca="1">IF(F36="","",OFFSET(分類!$B$29,MATCH(F36,分類!$A$30:$A$46,0),0))</f>
        <v>輸液</v>
      </c>
      <c r="K36" s="69"/>
      <c r="L36" s="54"/>
    </row>
    <row r="37" spans="2:12">
      <c r="B37" s="27">
        <f t="shared" si="0"/>
        <v>33</v>
      </c>
      <c r="C37" s="27">
        <f ca="1"/>
        <v>324</v>
      </c>
      <c r="D37" s="27" t="str">
        <f ca="1"/>
        <v>ソルデム１輸液　５００ｍｌ</v>
      </c>
      <c r="E37" s="27">
        <f ca="1"/>
        <v>0</v>
      </c>
      <c r="F37" s="54">
        <f ca="1"/>
        <v>10</v>
      </c>
      <c r="G37" s="54" t="str">
        <f ca="1"/>
        <v/>
      </c>
      <c r="H37" s="54" t="str">
        <f ca="1"/>
        <v>２０袋</v>
      </c>
      <c r="I37" s="54" t="str">
        <f ca="1"/>
        <v>袋</v>
      </c>
      <c r="J37" s="54" t="str">
        <f ca="1">IF(F37="","",OFFSET(分類!$B$29,MATCH(F37,分類!$A$30:$A$46,0),0))</f>
        <v>輸液</v>
      </c>
      <c r="K37" s="69"/>
      <c r="L37" s="54"/>
    </row>
    <row r="38" spans="2:12">
      <c r="B38" s="27">
        <f t="shared" si="0"/>
        <v>34</v>
      </c>
      <c r="C38" s="27">
        <f ca="1"/>
        <v>327</v>
      </c>
      <c r="D38" s="27" t="str">
        <f ca="1"/>
        <v>ダイビタミックス注</v>
      </c>
      <c r="E38" s="27">
        <f ca="1"/>
        <v>0</v>
      </c>
      <c r="F38" s="54">
        <f ca="1"/>
        <v>11</v>
      </c>
      <c r="G38" s="54" t="str">
        <f ca="1"/>
        <v/>
      </c>
      <c r="H38" s="54" t="str">
        <f ca="1"/>
        <v>２ｍｌｘ５０管</v>
      </c>
      <c r="I38" s="54" t="str">
        <f ca="1"/>
        <v>管</v>
      </c>
      <c r="J38" s="54" t="str">
        <f ca="1">IF(F38="","",OFFSET(分類!$B$29,MATCH(F38,分類!$A$30:$A$46,0),0))</f>
        <v>冷蔵庫</v>
      </c>
      <c r="K38" s="69"/>
      <c r="L38" s="54"/>
    </row>
    <row r="39" spans="2:12">
      <c r="B39" s="27">
        <f t="shared" si="0"/>
        <v>35</v>
      </c>
      <c r="C39" s="27">
        <f ca="1"/>
        <v>333</v>
      </c>
      <c r="D39" s="27" t="str">
        <f ca="1"/>
        <v>タケプロン静注用３０ｍｇ</v>
      </c>
      <c r="E39" s="27">
        <f ca="1"/>
        <v>0</v>
      </c>
      <c r="F39" s="54">
        <f ca="1"/>
        <v>9</v>
      </c>
      <c r="G39" s="54" t="str">
        <f ca="1"/>
        <v/>
      </c>
      <c r="H39" s="54" t="str">
        <f ca="1"/>
        <v>１Ｖｘ１０</v>
      </c>
      <c r="I39" s="54" t="str">
        <f ca="1"/>
        <v>V</v>
      </c>
      <c r="J39" s="54" t="str">
        <f ca="1">IF(F39="","",OFFSET(分類!$B$29,MATCH(F39,分類!$A$30:$A$46,0),0))</f>
        <v>注射</v>
      </c>
      <c r="K39" s="69"/>
      <c r="L39" s="54"/>
    </row>
    <row r="40" spans="2:12">
      <c r="B40" s="27">
        <f t="shared" si="0"/>
        <v>36</v>
      </c>
      <c r="C40" s="27">
        <f ca="1"/>
        <v>345</v>
      </c>
      <c r="D40" s="27" t="str">
        <f ca="1"/>
        <v>ダントリウム静注用２０ＭＧ</v>
      </c>
      <c r="E40" s="27">
        <f ca="1"/>
        <v>0</v>
      </c>
      <c r="F40" s="54">
        <f ca="1"/>
        <v>9</v>
      </c>
      <c r="G40" s="54" t="str">
        <f ca="1"/>
        <v/>
      </c>
      <c r="H40" s="54" t="str">
        <f ca="1"/>
        <v>５Ｖ</v>
      </c>
      <c r="I40" s="54" t="str">
        <f ca="1"/>
        <v>V</v>
      </c>
      <c r="J40" s="54" t="str">
        <f ca="1">IF(F40="","",OFFSET(分類!$B$29,MATCH(F40,分類!$A$30:$A$46,0),0))</f>
        <v>注射</v>
      </c>
      <c r="K40" s="69"/>
      <c r="L40" s="54"/>
    </row>
    <row r="41" spans="2:12">
      <c r="B41" s="27">
        <f t="shared" si="0"/>
        <v>37</v>
      </c>
      <c r="C41" s="27">
        <f ca="1"/>
        <v>363</v>
      </c>
      <c r="D41" s="27" t="str">
        <f ca="1"/>
        <v>デカドロン注射液３．３ｍｇ</v>
      </c>
      <c r="E41" s="27">
        <f ca="1"/>
        <v>0</v>
      </c>
      <c r="F41" s="54">
        <f ca="1"/>
        <v>11</v>
      </c>
      <c r="G41" s="54" t="str">
        <f ca="1"/>
        <v/>
      </c>
      <c r="H41" s="54" t="str">
        <f ca="1"/>
        <v>１ｍｌｘ１０Ａ</v>
      </c>
      <c r="I41" s="54" t="str">
        <f ca="1"/>
        <v>管</v>
      </c>
      <c r="J41" s="54" t="str">
        <f ca="1">IF(F41="","",OFFSET(分類!$B$29,MATCH(F41,分類!$A$30:$A$46,0),0))</f>
        <v>冷蔵庫</v>
      </c>
      <c r="K41" s="69"/>
      <c r="L41" s="54"/>
    </row>
    <row r="42" spans="2:12">
      <c r="B42" s="27">
        <f t="shared" si="0"/>
        <v>38</v>
      </c>
      <c r="C42" s="27">
        <f ca="1"/>
        <v>398</v>
      </c>
      <c r="D42" s="27" t="str">
        <f ca="1"/>
        <v>ドパミン塩酸塩点滴静注１００ｍｇ「ＮＰ」</v>
      </c>
      <c r="E42" s="27">
        <f ca="1"/>
        <v>2</v>
      </c>
      <c r="F42" s="54">
        <f ca="1"/>
        <v>9</v>
      </c>
      <c r="G42" s="54" t="str">
        <f ca="1"/>
        <v/>
      </c>
      <c r="H42" s="54" t="str">
        <f ca="1"/>
        <v>５ｍｌｘ１０Ａ</v>
      </c>
      <c r="I42" s="54" t="str">
        <f ca="1"/>
        <v>A</v>
      </c>
      <c r="J42" s="54" t="str">
        <f ca="1">IF(F42="","",OFFSET(分類!$B$29,MATCH(F42,分類!$A$30:$A$46,0),0))</f>
        <v>注射</v>
      </c>
      <c r="K42" s="69"/>
      <c r="L42" s="54"/>
    </row>
    <row r="43" spans="2:12">
      <c r="B43" s="27">
        <f t="shared" si="0"/>
        <v>39</v>
      </c>
      <c r="C43" s="27">
        <f ca="1"/>
        <v>408</v>
      </c>
      <c r="D43" s="27" t="str">
        <f ca="1"/>
        <v>トランサミン注５％　　　　　　　　　　</v>
      </c>
      <c r="E43" s="27">
        <f ca="1"/>
        <v>0</v>
      </c>
      <c r="F43" s="54">
        <f ca="1"/>
        <v>9</v>
      </c>
      <c r="G43" s="54" t="str">
        <f ca="1"/>
        <v/>
      </c>
      <c r="H43" s="54" t="str">
        <f ca="1"/>
        <v>５ｍｌ×１０Ａ</v>
      </c>
      <c r="I43" s="54" t="str">
        <f ca="1"/>
        <v>A</v>
      </c>
      <c r="J43" s="54" t="str">
        <f ca="1">IF(F43="","",OFFSET(分類!$B$29,MATCH(F43,分類!$A$30:$A$46,0),0))</f>
        <v>注射</v>
      </c>
      <c r="K43" s="69"/>
      <c r="L43" s="54"/>
    </row>
    <row r="44" spans="2:12">
      <c r="B44" s="27">
        <f t="shared" si="0"/>
        <v>40</v>
      </c>
      <c r="C44" s="27">
        <f ca="1"/>
        <v>413</v>
      </c>
      <c r="D44" s="27" t="str">
        <f ca="1"/>
        <v>トリフリード輸液（１）</v>
      </c>
      <c r="E44" s="27">
        <f ca="1"/>
        <v>0</v>
      </c>
      <c r="F44" s="54">
        <f ca="1"/>
        <v>10</v>
      </c>
      <c r="G44" s="54" t="str">
        <f ca="1"/>
        <v/>
      </c>
      <c r="H44" s="54" t="str">
        <f ca="1"/>
        <v>５００ｍｌｘ２０</v>
      </c>
      <c r="I44" s="54" t="str">
        <f ca="1"/>
        <v>袋</v>
      </c>
      <c r="J44" s="54" t="str">
        <f ca="1">IF(F44="","",OFFSET(分類!$B$29,MATCH(F44,分類!$A$30:$A$46,0),0))</f>
        <v>輸液</v>
      </c>
      <c r="K44" s="69"/>
      <c r="L44" s="54"/>
    </row>
    <row r="45" spans="2:12">
      <c r="B45" s="27">
        <f t="shared" si="0"/>
        <v>41</v>
      </c>
      <c r="C45" s="27">
        <f ca="1"/>
        <v>442</v>
      </c>
      <c r="D45" s="27" t="str">
        <f ca="1"/>
        <v>ネオファーゲン静注２０ｍｌ</v>
      </c>
      <c r="E45" s="27">
        <f ca="1"/>
        <v>0</v>
      </c>
      <c r="F45" s="54">
        <f ca="1"/>
        <v>8</v>
      </c>
      <c r="G45" s="54" t="str">
        <f ca="1"/>
        <v/>
      </c>
      <c r="H45" s="54" t="str">
        <f ca="1"/>
        <v>２０ｍｌｘ５０Ａ</v>
      </c>
      <c r="I45" s="54" t="str">
        <f ca="1"/>
        <v>A</v>
      </c>
      <c r="J45" s="54" t="str">
        <f ca="1">IF(F45="","",OFFSET(分類!$B$29,MATCH(F45,分類!$A$30:$A$46,0),0))</f>
        <v>抗生剤.小輸液</v>
      </c>
      <c r="K45" s="69"/>
      <c r="L45" s="54"/>
    </row>
    <row r="46" spans="2:12">
      <c r="B46" s="27">
        <f t="shared" si="0"/>
        <v>42</v>
      </c>
      <c r="C46" s="27">
        <f ca="1"/>
        <v>443</v>
      </c>
      <c r="D46" s="27" t="str">
        <f ca="1"/>
        <v>ネオフィリン注２５０ｍｇ</v>
      </c>
      <c r="E46" s="27">
        <f ca="1"/>
        <v>0</v>
      </c>
      <c r="F46" s="54">
        <f ca="1"/>
        <v>15</v>
      </c>
      <c r="G46" s="54" t="str">
        <f ca="1"/>
        <v/>
      </c>
      <c r="H46" s="54" t="str">
        <f ca="1"/>
        <v>１０ｍｌｘ１０</v>
      </c>
      <c r="I46" s="54" t="str">
        <f ca="1"/>
        <v>管</v>
      </c>
      <c r="J46" s="54" t="str">
        <f ca="1">IF(F46="","",OFFSET(分類!$B$29,MATCH(F46,分類!$A$30:$A$46,0),0))</f>
        <v>不良在庫</v>
      </c>
      <c r="K46" s="69"/>
      <c r="L46" s="54"/>
    </row>
    <row r="47" spans="2:12">
      <c r="B47" s="27">
        <f t="shared" si="0"/>
        <v>43</v>
      </c>
      <c r="C47" s="27">
        <f ca="1"/>
        <v>450</v>
      </c>
      <c r="D47" s="27" t="str">
        <f ca="1"/>
        <v>ノルアドリナリン注１ｍｇ</v>
      </c>
      <c r="E47" s="27">
        <f ca="1"/>
        <v>2</v>
      </c>
      <c r="F47" s="54">
        <f ca="1"/>
        <v>9</v>
      </c>
      <c r="G47" s="54" t="str">
        <f ca="1"/>
        <v/>
      </c>
      <c r="H47" s="54" t="str">
        <f ca="1"/>
        <v>１ｍＬＸ１０管</v>
      </c>
      <c r="I47" s="54" t="str">
        <f ca="1"/>
        <v>A</v>
      </c>
      <c r="J47" s="54" t="str">
        <f ca="1">IF(F47="","",OFFSET(分類!$B$29,MATCH(F47,分類!$A$30:$A$46,0),0))</f>
        <v>注射</v>
      </c>
      <c r="K47" s="69"/>
      <c r="L47" s="54"/>
    </row>
    <row r="48" spans="2:12">
      <c r="B48" s="27">
        <f t="shared" si="0"/>
        <v>44</v>
      </c>
      <c r="C48" s="27">
        <f ca="1"/>
        <v>457</v>
      </c>
      <c r="D48" s="27" t="str">
        <f ca="1"/>
        <v>ハベカシン注射液７５ｍｇ</v>
      </c>
      <c r="E48" s="27">
        <f ca="1"/>
        <v>2</v>
      </c>
      <c r="F48" s="54">
        <f ca="1"/>
        <v>8</v>
      </c>
      <c r="G48" s="54" t="str">
        <f ca="1"/>
        <v/>
      </c>
      <c r="H48" s="54" t="str">
        <f ca="1"/>
        <v>１．５ｍｌｘ１０Ａ</v>
      </c>
      <c r="I48" s="54" t="str">
        <f ca="1"/>
        <v>Ａ</v>
      </c>
      <c r="J48" s="54" t="str">
        <f ca="1">IF(F48="","",OFFSET(分類!$B$29,MATCH(F48,分類!$A$30:$A$46,0),0))</f>
        <v>抗生剤.小輸液</v>
      </c>
      <c r="K48" s="69"/>
      <c r="L48" s="54"/>
    </row>
    <row r="49" spans="2:12">
      <c r="B49" s="27">
        <f t="shared" si="0"/>
        <v>45</v>
      </c>
      <c r="C49" s="27">
        <f ca="1"/>
        <v>462</v>
      </c>
      <c r="D49" s="27" t="str">
        <f ca="1"/>
        <v>パレプラス輸液</v>
      </c>
      <c r="E49" s="27">
        <f ca="1"/>
        <v>0</v>
      </c>
      <c r="F49" s="54">
        <f ca="1"/>
        <v>10</v>
      </c>
      <c r="G49" s="54" t="str">
        <f ca="1"/>
        <v/>
      </c>
      <c r="H49" s="54" t="str">
        <f ca="1"/>
        <v>５００ｍｌｘ２０</v>
      </c>
      <c r="I49" s="54" t="str">
        <f ca="1"/>
        <v>袋</v>
      </c>
      <c r="J49" s="54" t="str">
        <f ca="1">IF(F49="","",OFFSET(分類!$B$29,MATCH(F49,分類!$A$30:$A$46,0),0))</f>
        <v>輸液</v>
      </c>
      <c r="K49" s="69"/>
      <c r="L49" s="54"/>
    </row>
    <row r="50" spans="2:12">
      <c r="B50" s="27">
        <f t="shared" si="0"/>
        <v>46</v>
      </c>
      <c r="C50" s="27">
        <f ca="1"/>
        <v>471</v>
      </c>
      <c r="D50" s="27" t="str">
        <f ca="1"/>
        <v>ハロマンス注１００ｍｇ</v>
      </c>
      <c r="E50" s="27">
        <f ca="1"/>
        <v>2</v>
      </c>
      <c r="F50" s="54">
        <f ca="1"/>
        <v>9</v>
      </c>
      <c r="G50" s="54" t="str">
        <f ca="1"/>
        <v/>
      </c>
      <c r="H50" s="54" t="str">
        <f ca="1"/>
        <v>１ｍｌｘ１０</v>
      </c>
      <c r="I50" s="54" t="str">
        <f ca="1"/>
        <v>A</v>
      </c>
      <c r="J50" s="54" t="str">
        <f ca="1">IF(F50="","",OFFSET(分類!$B$29,MATCH(F50,分類!$A$30:$A$46,0),0))</f>
        <v>注射</v>
      </c>
      <c r="K50" s="69"/>
      <c r="L50" s="54"/>
    </row>
    <row r="51" spans="2:12">
      <c r="B51" s="27">
        <f t="shared" si="0"/>
        <v>47</v>
      </c>
      <c r="C51" s="27">
        <f ca="1"/>
        <v>472</v>
      </c>
      <c r="D51" s="27" t="str">
        <f ca="1"/>
        <v>ハロマンス注５０ｍｇ</v>
      </c>
      <c r="E51" s="27">
        <f ca="1"/>
        <v>2</v>
      </c>
      <c r="F51" s="54">
        <f ca="1"/>
        <v>9</v>
      </c>
      <c r="G51" s="54" t="str">
        <f ca="1"/>
        <v/>
      </c>
      <c r="H51" s="54" t="str">
        <f ca="1"/>
        <v>１ｍｌｘ１０</v>
      </c>
      <c r="I51" s="54" t="str">
        <f ca="1"/>
        <v>A</v>
      </c>
      <c r="J51" s="54" t="str">
        <f ca="1">IF(F51="","",OFFSET(分類!$B$29,MATCH(F51,分類!$A$30:$A$46,0),0))</f>
        <v>注射</v>
      </c>
      <c r="K51" s="69"/>
      <c r="L51" s="54"/>
    </row>
    <row r="52" spans="2:12">
      <c r="B52" s="27">
        <f t="shared" si="0"/>
        <v>48</v>
      </c>
      <c r="C52" s="27">
        <f ca="1"/>
        <v>473</v>
      </c>
      <c r="D52" s="27" t="str">
        <f ca="1"/>
        <v>バンコマイシン塩酸塩点滴静注用０．５ｇ「ＶＴＲＳ」</v>
      </c>
      <c r="E52" s="27">
        <f ca="1"/>
        <v>0</v>
      </c>
      <c r="F52" s="54">
        <f ca="1"/>
        <v>8</v>
      </c>
      <c r="G52" s="54" t="str">
        <f ca="1"/>
        <v/>
      </c>
      <c r="H52" s="54" t="str">
        <f ca="1"/>
        <v>１０Ｖ</v>
      </c>
      <c r="I52" s="54" t="str">
        <f ca="1"/>
        <v>V</v>
      </c>
      <c r="J52" s="54" t="str">
        <f ca="1">IF(F52="","",OFFSET(分類!$B$29,MATCH(F52,分類!$A$30:$A$46,0),0))</f>
        <v>抗生剤.小輸液</v>
      </c>
      <c r="K52" s="69"/>
      <c r="L52" s="54"/>
    </row>
    <row r="53" spans="2:12">
      <c r="B53" s="27">
        <f t="shared" si="0"/>
        <v>49</v>
      </c>
      <c r="C53" s="27">
        <f ca="1"/>
        <v>474</v>
      </c>
      <c r="D53" s="27" t="str">
        <f ca="1"/>
        <v>パントール注射液５００ＭＧ</v>
      </c>
      <c r="E53" s="27">
        <f ca="1"/>
        <v>0</v>
      </c>
      <c r="F53" s="54">
        <f ca="1"/>
        <v>9</v>
      </c>
      <c r="G53" s="54" t="str">
        <f ca="1"/>
        <v/>
      </c>
      <c r="H53" s="54" t="str">
        <f ca="1"/>
        <v>２ｍｌｘ５０Ａ</v>
      </c>
      <c r="I53" s="54" t="str">
        <f ca="1"/>
        <v>A</v>
      </c>
      <c r="J53" s="54" t="str">
        <f ca="1">IF(F53="","",OFFSET(分類!$B$29,MATCH(F53,分類!$A$30:$A$46,0),0))</f>
        <v>注射</v>
      </c>
      <c r="K53" s="69"/>
      <c r="L53" s="54"/>
    </row>
    <row r="54" spans="2:12">
      <c r="B54" s="27">
        <f t="shared" si="0"/>
        <v>50</v>
      </c>
      <c r="C54" s="27">
        <f ca="1"/>
        <v>510</v>
      </c>
      <c r="D54" s="27" t="str">
        <f ca="1"/>
        <v>ヒューマリンＲ注Ｕ１００単位／ｍｌ　１０ｍｌ</v>
      </c>
      <c r="E54" s="27">
        <f ca="1"/>
        <v>2</v>
      </c>
      <c r="F54" s="54">
        <f ca="1"/>
        <v>11</v>
      </c>
      <c r="G54" s="54" t="str">
        <f ca="1"/>
        <v/>
      </c>
      <c r="H54" s="54" t="str">
        <f ca="1"/>
        <v>１０ＭＬＸ１Ｖ</v>
      </c>
      <c r="I54" s="54" t="str">
        <f ca="1"/>
        <v>V</v>
      </c>
      <c r="J54" s="54" t="str">
        <f ca="1">IF(F54="","",OFFSET(分類!$B$29,MATCH(F54,分類!$A$30:$A$46,0),0))</f>
        <v>冷蔵庫</v>
      </c>
      <c r="K54" s="69"/>
      <c r="L54" s="54"/>
    </row>
    <row r="55" spans="2:12">
      <c r="B55" s="27">
        <f t="shared" si="0"/>
        <v>51</v>
      </c>
      <c r="C55" s="27">
        <f ca="1"/>
        <v>526</v>
      </c>
      <c r="D55" s="27" t="str">
        <f ca="1"/>
        <v>ファモチジン静注液２０ｍｇ「サワイ」</v>
      </c>
      <c r="E55" s="27">
        <f ca="1"/>
        <v>0</v>
      </c>
      <c r="F55" s="54">
        <f ca="1"/>
        <v>9</v>
      </c>
      <c r="G55" s="54" t="str">
        <f ca="1"/>
        <v/>
      </c>
      <c r="H55" s="54" t="str">
        <f ca="1"/>
        <v>２０ｍｇｘ１０Ａ</v>
      </c>
      <c r="I55" s="54" t="str">
        <f ca="1"/>
        <v>A</v>
      </c>
      <c r="J55" s="54" t="str">
        <f ca="1">IF(F55="","",OFFSET(分類!$B$29,MATCH(F55,分類!$A$30:$A$46,0),0))</f>
        <v>注射</v>
      </c>
      <c r="K55" s="69"/>
      <c r="L55" s="54"/>
    </row>
    <row r="56" spans="2:12">
      <c r="B56" s="27">
        <f t="shared" si="0"/>
        <v>52</v>
      </c>
      <c r="C56" s="27">
        <f ca="1"/>
        <v>529</v>
      </c>
      <c r="D56" s="27" t="str">
        <f ca="1"/>
        <v>フェジン静注４０ｍｇ</v>
      </c>
      <c r="E56" s="27">
        <f ca="1"/>
        <v>0</v>
      </c>
      <c r="F56" s="54">
        <f ca="1"/>
        <v>9</v>
      </c>
      <c r="G56" s="54" t="str">
        <f ca="1"/>
        <v/>
      </c>
      <c r="H56" s="54" t="str">
        <f ca="1"/>
        <v>　２ＭＬＸ１０Ａ</v>
      </c>
      <c r="I56" s="54" t="str">
        <f ca="1"/>
        <v>Ａ</v>
      </c>
      <c r="J56" s="54" t="str">
        <f ca="1">IF(F56="","",OFFSET(分類!$B$29,MATCH(F56,分類!$A$30:$A$46,0),0))</f>
        <v>注射</v>
      </c>
      <c r="K56" s="69"/>
      <c r="L56" s="54"/>
    </row>
    <row r="57" spans="2:12">
      <c r="B57" s="27">
        <f t="shared" si="0"/>
        <v>53</v>
      </c>
      <c r="C57" s="27">
        <f ca="1"/>
        <v>531</v>
      </c>
      <c r="D57" s="27" t="str">
        <f ca="1"/>
        <v>フェノバール注射液１００ｍｇ</v>
      </c>
      <c r="E57" s="27">
        <f ca="1"/>
        <v>2</v>
      </c>
      <c r="F57" s="54">
        <f ca="1"/>
        <v>9</v>
      </c>
      <c r="G57" s="54" t="str">
        <f ca="1"/>
        <v/>
      </c>
      <c r="H57" s="54" t="str">
        <f ca="1"/>
        <v>１ｍｌｘ１０Ａ</v>
      </c>
      <c r="I57" s="54" t="str">
        <f ca="1"/>
        <v>A</v>
      </c>
      <c r="J57" s="54" t="str">
        <f ca="1">IF(F57="","",OFFSET(分類!$B$29,MATCH(F57,分類!$A$30:$A$46,0),0))</f>
        <v>注射</v>
      </c>
      <c r="K57" s="69"/>
      <c r="L57" s="54"/>
    </row>
    <row r="58" spans="2:12">
      <c r="B58" s="27">
        <f t="shared" si="0"/>
        <v>54</v>
      </c>
      <c r="C58" s="27">
        <f ca="1"/>
        <v>543</v>
      </c>
      <c r="D58" s="27" t="str">
        <f ca="1"/>
        <v>ブドウ糖注５％ＰＬ「フソー」　　　　　　</v>
      </c>
      <c r="E58" s="27">
        <f ca="1"/>
        <v>0</v>
      </c>
      <c r="F58" s="54">
        <f ca="1"/>
        <v>8</v>
      </c>
      <c r="G58" s="54" t="str">
        <f ca="1"/>
        <v/>
      </c>
      <c r="H58" s="54" t="str">
        <f ca="1"/>
        <v>１００ｍｌ×１０Ｐ</v>
      </c>
      <c r="I58" s="54" t="str">
        <f ca="1"/>
        <v>瓶</v>
      </c>
      <c r="J58" s="54" t="str">
        <f ca="1">IF(F58="","",OFFSET(分類!$B$29,MATCH(F58,分類!$A$30:$A$46,0),0))</f>
        <v>抗生剤.小輸液</v>
      </c>
      <c r="K58" s="69"/>
      <c r="L58" s="54"/>
    </row>
    <row r="59" spans="2:12">
      <c r="B59" s="27">
        <f t="shared" si="0"/>
        <v>55</v>
      </c>
      <c r="C59" s="27">
        <f ca="1"/>
        <v>544</v>
      </c>
      <c r="D59" s="27" t="str">
        <f ca="1"/>
        <v>ブドウ糖注５％ＰＬ「フソー」２０ｍｌ</v>
      </c>
      <c r="E59" s="27">
        <f ca="1"/>
        <v>0</v>
      </c>
      <c r="F59" s="54">
        <f ca="1"/>
        <v>8</v>
      </c>
      <c r="G59" s="54" t="str">
        <f ca="1"/>
        <v/>
      </c>
      <c r="H59" s="54" t="str">
        <f ca="1"/>
        <v>２０ｍｌｘ１０</v>
      </c>
      <c r="I59" s="54" t="str">
        <f ca="1"/>
        <v>筒</v>
      </c>
      <c r="J59" s="54" t="str">
        <f ca="1">IF(F59="","",OFFSET(分類!$B$29,MATCH(F59,分類!$A$30:$A$46,0),0))</f>
        <v>抗生剤.小輸液</v>
      </c>
      <c r="K59" s="69"/>
      <c r="L59" s="54"/>
    </row>
    <row r="60" spans="2:12">
      <c r="B60" s="27">
        <f t="shared" si="0"/>
        <v>56</v>
      </c>
      <c r="C60" s="27">
        <f ca="1"/>
        <v>551</v>
      </c>
      <c r="D60" s="27" t="str">
        <f ca="1"/>
        <v>プリンペラン注射液１０ｍｇ</v>
      </c>
      <c r="E60" s="27">
        <f ca="1"/>
        <v>0</v>
      </c>
      <c r="F60" s="54">
        <f ca="1"/>
        <v>9</v>
      </c>
      <c r="G60" s="54" t="str">
        <f ca="1"/>
        <v/>
      </c>
      <c r="H60" s="54" t="str">
        <f ca="1"/>
        <v>２ｍｌｘ１０Ａ</v>
      </c>
      <c r="I60" s="54" t="str">
        <f ca="1"/>
        <v>A</v>
      </c>
      <c r="J60" s="54" t="str">
        <f ca="1">IF(F60="","",OFFSET(分類!$B$29,MATCH(F60,分類!$A$30:$A$46,0),0))</f>
        <v>注射</v>
      </c>
      <c r="K60" s="69"/>
      <c r="L60" s="54"/>
    </row>
    <row r="61" spans="2:12">
      <c r="B61" s="27">
        <f t="shared" si="0"/>
        <v>57</v>
      </c>
      <c r="C61" s="27">
        <f ca="1"/>
        <v>554</v>
      </c>
      <c r="D61" s="27" t="str">
        <f ca="1"/>
        <v>フルデカシン筋注２５ｍｇ</v>
      </c>
      <c r="E61" s="27">
        <f ca="1"/>
        <v>2</v>
      </c>
      <c r="F61" s="54">
        <f ca="1"/>
        <v>15</v>
      </c>
      <c r="G61" s="54" t="str">
        <f ca="1"/>
        <v/>
      </c>
      <c r="H61" s="54" t="str">
        <f ca="1"/>
        <v>１ｍＬＸ５瓶</v>
      </c>
      <c r="I61" s="54" t="str">
        <f ca="1"/>
        <v>V</v>
      </c>
      <c r="J61" s="54" t="str">
        <f ca="1">IF(F61="","",OFFSET(分類!$B$29,MATCH(F61,分類!$A$30:$A$46,0),0))</f>
        <v>不良在庫</v>
      </c>
      <c r="K61" s="69"/>
      <c r="L61" s="54"/>
    </row>
    <row r="62" spans="2:12">
      <c r="B62" s="27">
        <f t="shared" si="0"/>
        <v>58</v>
      </c>
      <c r="C62" s="27">
        <f ca="1"/>
        <v>567</v>
      </c>
      <c r="D62" s="27" t="str">
        <f ca="1"/>
        <v>フロセミド注２０ｍｇ「トーワ」</v>
      </c>
      <c r="E62" s="27">
        <f ca="1"/>
        <v>0</v>
      </c>
      <c r="F62" s="54">
        <f ca="1"/>
        <v>9</v>
      </c>
      <c r="G62" s="54" t="str">
        <f ca="1"/>
        <v/>
      </c>
      <c r="H62" s="54" t="str">
        <f ca="1"/>
        <v>２ｍｌｘ５０管</v>
      </c>
      <c r="I62" s="54" t="str">
        <f ca="1"/>
        <v>A</v>
      </c>
      <c r="J62" s="54" t="str">
        <f ca="1">IF(F62="","",OFFSET(分類!$B$29,MATCH(F62,分類!$A$30:$A$46,0),0))</f>
        <v>注射</v>
      </c>
      <c r="K62" s="69"/>
      <c r="L62" s="54"/>
    </row>
    <row r="63" spans="2:12">
      <c r="B63" s="27">
        <f t="shared" si="0"/>
        <v>59</v>
      </c>
      <c r="C63" s="27">
        <f ca="1"/>
        <v>582</v>
      </c>
      <c r="D63" s="27" t="str">
        <f ca="1"/>
        <v>ブロムヘキシン塩酸塩注射液４ｍｇ「タイヨー」</v>
      </c>
      <c r="E63" s="27">
        <f ca="1"/>
        <v>0</v>
      </c>
      <c r="F63" s="54">
        <f ca="1"/>
        <v>9</v>
      </c>
      <c r="G63" s="54" t="str">
        <f ca="1"/>
        <v/>
      </c>
      <c r="H63" s="54" t="str">
        <f ca="1"/>
        <v>２ｍｌｘ５０Ａ</v>
      </c>
      <c r="I63" s="54" t="str">
        <f ca="1"/>
        <v>A</v>
      </c>
      <c r="J63" s="54" t="str">
        <f ca="1">IF(F63="","",OFFSET(分類!$B$29,MATCH(F63,分類!$A$30:$A$46,0),0))</f>
        <v>注射</v>
      </c>
      <c r="K63" s="69"/>
      <c r="L63" s="54"/>
    </row>
    <row r="64" spans="2:12">
      <c r="B64" s="27">
        <f t="shared" si="0"/>
        <v>60</v>
      </c>
      <c r="C64" s="27">
        <f ca="1"/>
        <v>585</v>
      </c>
      <c r="D64" s="27" t="str">
        <f ca="1"/>
        <v>ベクルリー点滴静注用１００ｍｇ</v>
      </c>
      <c r="E64" s="27">
        <f ca="1"/>
        <v>0</v>
      </c>
      <c r="F64" s="54">
        <f ca="1"/>
        <v>6</v>
      </c>
      <c r="G64" s="54" t="str">
        <f ca="1"/>
        <v/>
      </c>
      <c r="H64" s="54" t="str">
        <f ca="1"/>
        <v>１Ｖ</v>
      </c>
      <c r="I64" s="54" t="str">
        <f ca="1"/>
        <v>瓶</v>
      </c>
      <c r="J64" s="54" t="str">
        <f ca="1">IF(F64="","",OFFSET(分類!$B$29,MATCH(F64,分類!$A$30:$A$46,0),0))</f>
        <v>劇薬バラ</v>
      </c>
      <c r="K64" s="69"/>
      <c r="L64" s="54"/>
    </row>
    <row r="65" spans="2:12">
      <c r="B65" s="27">
        <f t="shared" si="0"/>
        <v>61</v>
      </c>
      <c r="C65" s="27">
        <f ca="1"/>
        <v>591</v>
      </c>
      <c r="D65" s="27" t="str">
        <f ca="1"/>
        <v>ヘパリンＮＡロック用１０単位／ｍｌ「オーツカ」　１００単位</v>
      </c>
      <c r="E65" s="27">
        <f ca="1"/>
        <v>0</v>
      </c>
      <c r="F65" s="54">
        <f ca="1"/>
        <v>8</v>
      </c>
      <c r="G65" s="54" t="str">
        <f ca="1"/>
        <v/>
      </c>
      <c r="H65" s="54" t="str">
        <f ca="1"/>
        <v>１０ｍｌｘ１０</v>
      </c>
      <c r="I65" s="54" t="str">
        <f ca="1"/>
        <v>10ｍｌ</v>
      </c>
      <c r="J65" s="54" t="str">
        <f ca="1">IF(F65="","",OFFSET(分類!$B$29,MATCH(F65,分類!$A$30:$A$46,0),0))</f>
        <v>抗生剤.小輸液</v>
      </c>
      <c r="K65" s="69"/>
      <c r="L65" s="54"/>
    </row>
    <row r="66" spans="2:12">
      <c r="B66" s="27">
        <f t="shared" si="0"/>
        <v>62</v>
      </c>
      <c r="C66" s="27">
        <f ca="1"/>
        <v>592</v>
      </c>
      <c r="D66" s="27" t="str">
        <f ca="1"/>
        <v>ヘパリンＮａ注５千単位／５ｍｌ「モチダ」</v>
      </c>
      <c r="E66" s="27">
        <f ca="1"/>
        <v>0</v>
      </c>
      <c r="F66" s="54">
        <f ca="1"/>
        <v>9</v>
      </c>
      <c r="G66" s="54" t="str">
        <f ca="1"/>
        <v/>
      </c>
      <c r="H66" s="54" t="str">
        <f ca="1"/>
        <v>５ｍｌｘ５Ｖ</v>
      </c>
      <c r="I66" s="54" t="str">
        <f ca="1"/>
        <v>V</v>
      </c>
      <c r="J66" s="54" t="str">
        <f ca="1">IF(F66="","",OFFSET(分類!$B$29,MATCH(F66,分類!$A$30:$A$46,0),0))</f>
        <v>注射</v>
      </c>
      <c r="K66" s="69"/>
      <c r="L66" s="54"/>
    </row>
    <row r="67" spans="2:12">
      <c r="B67" s="27">
        <f t="shared" si="0"/>
        <v>63</v>
      </c>
      <c r="C67" s="27">
        <f ca="1"/>
        <v>596</v>
      </c>
      <c r="D67" s="27" t="str">
        <f ca="1"/>
        <v>ヘブスブリンＩＨ静注１０００単位</v>
      </c>
      <c r="E67" s="27">
        <f ca="1"/>
        <v>0</v>
      </c>
      <c r="F67" s="54">
        <f ca="1"/>
        <v>11</v>
      </c>
      <c r="G67" s="54" t="str">
        <f ca="1"/>
        <v/>
      </c>
      <c r="H67" s="54" t="str">
        <f ca="1"/>
        <v>５ｍｌｘ１Ｖ</v>
      </c>
      <c r="I67" s="54" t="str">
        <f ca="1"/>
        <v>V</v>
      </c>
      <c r="J67" s="54" t="str">
        <f ca="1">IF(F67="","",OFFSET(分類!$B$29,MATCH(F67,分類!$A$30:$A$46,0),0))</f>
        <v>冷蔵庫</v>
      </c>
      <c r="K67" s="69"/>
      <c r="L67" s="54"/>
    </row>
    <row r="68" spans="2:12">
      <c r="B68" s="27">
        <f t="shared" si="0"/>
        <v>64</v>
      </c>
      <c r="C68" s="27">
        <f ca="1"/>
        <v>603</v>
      </c>
      <c r="D68" s="27" t="str">
        <f ca="1"/>
        <v>ヘルベッサー注射用５０</v>
      </c>
      <c r="E68" s="27">
        <f ca="1"/>
        <v>2</v>
      </c>
      <c r="F68" s="54">
        <f ca="1"/>
        <v>9</v>
      </c>
      <c r="G68" s="54" t="str">
        <f ca="1"/>
        <v/>
      </c>
      <c r="H68" s="54" t="str">
        <f ca="1"/>
        <v>１０瓶</v>
      </c>
      <c r="I68" s="54" t="str">
        <f ca="1"/>
        <v>瓶</v>
      </c>
      <c r="J68" s="54" t="str">
        <f ca="1">IF(F68="","",OFFSET(分類!$B$29,MATCH(F68,分類!$A$30:$A$46,0),0))</f>
        <v>注射</v>
      </c>
      <c r="K68" s="69"/>
      <c r="L68" s="54"/>
    </row>
    <row r="69" spans="2:12">
      <c r="B69" s="27">
        <f t="shared" si="0"/>
        <v>65</v>
      </c>
      <c r="C69" s="27">
        <f ca="1"/>
        <v>608</v>
      </c>
      <c r="D69" s="27" t="str">
        <f ca="1"/>
        <v>ペントシリン注射用１ｇ　　　　　　　　　</v>
      </c>
      <c r="E69" s="27">
        <f ca="1"/>
        <v>0</v>
      </c>
      <c r="F69" s="54">
        <f ca="1"/>
        <v>8</v>
      </c>
      <c r="G69" s="54" t="str">
        <f ca="1"/>
        <v/>
      </c>
      <c r="H69" s="54" t="str">
        <f ca="1"/>
        <v>１０Ｖ</v>
      </c>
      <c r="I69" s="54" t="str">
        <f ca="1"/>
        <v>V</v>
      </c>
      <c r="J69" s="54" t="str">
        <f ca="1">IF(F69="","",OFFSET(分類!$B$29,MATCH(F69,分類!$A$30:$A$46,0),0))</f>
        <v>抗生剤.小輸液</v>
      </c>
      <c r="K69" s="69"/>
      <c r="L69" s="54"/>
    </row>
    <row r="70" spans="2:12">
      <c r="B70" s="27">
        <f t="shared" si="0"/>
        <v>66</v>
      </c>
      <c r="C70" s="27">
        <f ca="1"/>
        <v>613</v>
      </c>
      <c r="D70" s="27" t="str">
        <f ca="1"/>
        <v>ホスホマイシンナトリウム静注用２ｇ「日医工」</v>
      </c>
      <c r="E70" s="27">
        <f ca="1"/>
        <v>0</v>
      </c>
      <c r="F70" s="54">
        <f ca="1"/>
        <v>8</v>
      </c>
      <c r="G70" s="54" t="str">
        <f ca="1"/>
        <v/>
      </c>
      <c r="H70" s="54" t="str">
        <f ca="1"/>
        <v>２ｇ×１０Ｖ</v>
      </c>
      <c r="I70" s="54" t="str">
        <f ca="1"/>
        <v>V</v>
      </c>
      <c r="J70" s="54" t="str">
        <f ca="1">IF(F70="","",OFFSET(分類!$B$29,MATCH(F70,分類!$A$30:$A$46,0),0))</f>
        <v>抗生剤.小輸液</v>
      </c>
      <c r="K70" s="69"/>
      <c r="L70" s="54"/>
    </row>
    <row r="71" spans="2:12">
      <c r="B71" s="27">
        <f t="shared" ref="B71:B134" si="1">B70+1</f>
        <v>67</v>
      </c>
      <c r="C71" s="27">
        <f ca="1"/>
        <v>614</v>
      </c>
      <c r="D71" s="27" t="str">
        <f ca="1"/>
        <v>ボスミン注１ｍｇ　０．１％</v>
      </c>
      <c r="E71" s="27">
        <f ca="1"/>
        <v>2</v>
      </c>
      <c r="F71" s="54">
        <f ca="1"/>
        <v>9</v>
      </c>
      <c r="G71" s="54" t="str">
        <f ca="1"/>
        <v/>
      </c>
      <c r="H71" s="54" t="str">
        <f ca="1"/>
        <v>１ｍｌｘ１０管</v>
      </c>
      <c r="I71" s="54" t="str">
        <f ca="1"/>
        <v>A</v>
      </c>
      <c r="J71" s="54" t="str">
        <f ca="1">IF(F71="","",OFFSET(分類!$B$29,MATCH(F71,分類!$A$30:$A$46,0),0))</f>
        <v>注射</v>
      </c>
      <c r="K71" s="69"/>
      <c r="L71" s="54"/>
    </row>
    <row r="72" spans="2:12">
      <c r="B72" s="27">
        <f t="shared" si="1"/>
        <v>68</v>
      </c>
      <c r="C72" s="27">
        <f ca="1"/>
        <v>616</v>
      </c>
      <c r="D72" s="27" t="str">
        <f ca="1"/>
        <v>ポタコールＲ輸液　２５０ｍｌ</v>
      </c>
      <c r="E72" s="27">
        <f ca="1"/>
        <v>0</v>
      </c>
      <c r="F72" s="54">
        <f ca="1"/>
        <v>10</v>
      </c>
      <c r="G72" s="54" t="str">
        <f ca="1"/>
        <v/>
      </c>
      <c r="H72" s="54" t="str">
        <f ca="1"/>
        <v>２５０ｍｌＸ２０Ｂ</v>
      </c>
      <c r="I72" s="54" t="str">
        <f ca="1"/>
        <v>袋</v>
      </c>
      <c r="J72" s="54" t="str">
        <f ca="1">IF(F72="","",OFFSET(分類!$B$29,MATCH(F72,分類!$A$30:$A$46,0),0))</f>
        <v>輸液</v>
      </c>
      <c r="K72" s="69"/>
      <c r="L72" s="54"/>
    </row>
    <row r="73" spans="2:12">
      <c r="B73" s="27">
        <f t="shared" si="1"/>
        <v>69</v>
      </c>
      <c r="C73" s="27">
        <f ca="1"/>
        <v>617</v>
      </c>
      <c r="D73" s="27" t="str">
        <f ca="1"/>
        <v>ポタコールＲ輸液　５００ｍｌ</v>
      </c>
      <c r="E73" s="27">
        <f ca="1"/>
        <v>0</v>
      </c>
      <c r="F73" s="54">
        <f ca="1"/>
        <v>10</v>
      </c>
      <c r="G73" s="54" t="str">
        <f ca="1"/>
        <v/>
      </c>
      <c r="H73" s="54" t="str">
        <f ca="1"/>
        <v>５００ｍｌｘ２０</v>
      </c>
      <c r="I73" s="54" t="str">
        <f ca="1"/>
        <v>袋</v>
      </c>
      <c r="J73" s="54" t="str">
        <f ca="1">IF(F73="","",OFFSET(分類!$B$29,MATCH(F73,分類!$A$30:$A$46,0),0))</f>
        <v>輸液</v>
      </c>
      <c r="K73" s="69"/>
      <c r="L73" s="54"/>
    </row>
    <row r="74" spans="2:12">
      <c r="B74" s="27">
        <f t="shared" si="1"/>
        <v>70</v>
      </c>
      <c r="C74" s="27">
        <f ca="1"/>
        <v>640</v>
      </c>
      <c r="D74" s="27" t="str">
        <f ca="1"/>
        <v>ミノサイクリン塩酸塩点滴静注用１００ｍｇ「日医工」</v>
      </c>
      <c r="E74" s="27">
        <f ca="1"/>
        <v>0</v>
      </c>
      <c r="F74" s="54">
        <f ca="1"/>
        <v>8</v>
      </c>
      <c r="G74" s="54" t="str">
        <f ca="1"/>
        <v/>
      </c>
      <c r="H74" s="54" t="str">
        <f ca="1"/>
        <v>１０Ｖ</v>
      </c>
      <c r="I74" s="54" t="str">
        <f ca="1"/>
        <v>V</v>
      </c>
      <c r="J74" s="54" t="str">
        <f ca="1">IF(F74="","",OFFSET(分類!$B$29,MATCH(F74,分類!$A$30:$A$46,0),0))</f>
        <v>抗生剤.小輸液</v>
      </c>
      <c r="K74" s="69"/>
      <c r="L74" s="54"/>
    </row>
    <row r="75" spans="2:12">
      <c r="B75" s="27">
        <f t="shared" si="1"/>
        <v>71</v>
      </c>
      <c r="C75" s="27">
        <f ca="1"/>
        <v>646</v>
      </c>
      <c r="D75" s="27" t="str">
        <f ca="1"/>
        <v>メイロン静注７％　プラアンプル</v>
      </c>
      <c r="E75" s="27">
        <f ca="1"/>
        <v>0</v>
      </c>
      <c r="F75" s="54">
        <f ca="1"/>
        <v>9</v>
      </c>
      <c r="G75" s="54" t="str">
        <f ca="1"/>
        <v/>
      </c>
      <c r="H75" s="54" t="str">
        <f ca="1"/>
        <v>２０ＭＬＸ１０Ａ</v>
      </c>
      <c r="I75" s="54" t="str">
        <f ca="1"/>
        <v>A</v>
      </c>
      <c r="J75" s="54" t="str">
        <f ca="1">IF(F75="","",OFFSET(分類!$B$29,MATCH(F75,分類!$A$30:$A$46,0),0))</f>
        <v>注射</v>
      </c>
      <c r="K75" s="69"/>
      <c r="L75" s="54"/>
    </row>
    <row r="76" spans="2:12">
      <c r="B76" s="27">
        <f t="shared" si="1"/>
        <v>72</v>
      </c>
      <c r="C76" s="27">
        <f ca="1"/>
        <v>659</v>
      </c>
      <c r="D76" s="27" t="str">
        <f ca="1"/>
        <v>メロペネム点滴静注用０．５ｇ「サワイ」</v>
      </c>
      <c r="E76" s="27">
        <f ca="1"/>
        <v>0</v>
      </c>
      <c r="F76" s="54">
        <f ca="1"/>
        <v>8</v>
      </c>
      <c r="G76" s="54" t="str">
        <f ca="1"/>
        <v/>
      </c>
      <c r="H76" s="54" t="str">
        <f ca="1"/>
        <v>５００ｍｇｘ１０Ｖ</v>
      </c>
      <c r="I76" s="54" t="str">
        <f ca="1"/>
        <v>V</v>
      </c>
      <c r="J76" s="54" t="str">
        <f ca="1">IF(F76="","",OFFSET(分類!$B$29,MATCH(F76,分類!$A$30:$A$46,0),0))</f>
        <v>抗生剤.小輸液</v>
      </c>
      <c r="K76" s="69"/>
      <c r="L76" s="54"/>
    </row>
    <row r="77" spans="2:12">
      <c r="B77" s="27">
        <f t="shared" si="1"/>
        <v>73</v>
      </c>
      <c r="C77" s="27">
        <f ca="1"/>
        <v>677</v>
      </c>
      <c r="D77" s="27" t="str">
        <f ca="1"/>
        <v>ラスビック点滴静注キット１５０ｍｇ</v>
      </c>
      <c r="E77" s="27">
        <f ca="1"/>
        <v>2</v>
      </c>
      <c r="F77" s="54">
        <f ca="1"/>
        <v>8</v>
      </c>
      <c r="G77" s="54" t="str">
        <f ca="1"/>
        <v/>
      </c>
      <c r="H77" s="54" t="str">
        <f ca="1"/>
        <v>１キット</v>
      </c>
      <c r="I77" s="54" t="str">
        <f ca="1"/>
        <v>kit</v>
      </c>
      <c r="J77" s="54" t="str">
        <f ca="1">IF(F77="","",OFFSET(分類!$B$29,MATCH(F77,分類!$A$30:$A$46,0),0))</f>
        <v>抗生剤.小輸液</v>
      </c>
      <c r="K77" s="69"/>
      <c r="L77" s="54"/>
    </row>
    <row r="78" spans="2:12">
      <c r="B78" s="27">
        <f t="shared" si="1"/>
        <v>74</v>
      </c>
      <c r="C78" s="27">
        <f ca="1"/>
        <v>698</v>
      </c>
      <c r="D78" s="27" t="str">
        <f ca="1"/>
        <v>リスパダールコンスタ筋注用２５ｍｇ</v>
      </c>
      <c r="E78" s="27">
        <f ca="1"/>
        <v>2</v>
      </c>
      <c r="F78" s="54">
        <f ca="1"/>
        <v>11</v>
      </c>
      <c r="G78" s="54" t="str">
        <f ca="1"/>
        <v/>
      </c>
      <c r="H78" s="54" t="str">
        <f ca="1"/>
        <v>１キット</v>
      </c>
      <c r="I78" s="54" t="str">
        <f ca="1"/>
        <v>kit</v>
      </c>
      <c r="J78" s="54" t="str">
        <f ca="1">IF(F78="","",OFFSET(分類!$B$29,MATCH(F78,分類!$A$30:$A$46,0),0))</f>
        <v>冷蔵庫</v>
      </c>
      <c r="K78" s="69"/>
      <c r="L78" s="54"/>
    </row>
    <row r="79" spans="2:12">
      <c r="B79" s="27">
        <f t="shared" si="1"/>
        <v>75</v>
      </c>
      <c r="C79" s="27">
        <f ca="1"/>
        <v>699</v>
      </c>
      <c r="D79" s="27" t="str">
        <f ca="1"/>
        <v>リスパダールコンスタ筋注用５０ｍｇ</v>
      </c>
      <c r="E79" s="27">
        <f ca="1"/>
        <v>2</v>
      </c>
      <c r="F79" s="54">
        <f ca="1"/>
        <v>11</v>
      </c>
      <c r="G79" s="54" t="str">
        <f ca="1"/>
        <v/>
      </c>
      <c r="H79" s="54" t="str">
        <f ca="1"/>
        <v>１　キット</v>
      </c>
      <c r="I79" s="54" t="str">
        <f ca="1"/>
        <v>kit</v>
      </c>
      <c r="J79" s="54" t="str">
        <f ca="1">IF(F79="","",OFFSET(分類!$B$29,MATCH(F79,分類!$A$30:$A$46,0),0))</f>
        <v>冷蔵庫</v>
      </c>
      <c r="K79" s="69"/>
      <c r="L79" s="54"/>
    </row>
    <row r="80" spans="2:12">
      <c r="B80" s="27">
        <f t="shared" si="1"/>
        <v>76</v>
      </c>
      <c r="C80" s="27">
        <f ca="1"/>
        <v>767</v>
      </c>
      <c r="D80" s="27" t="str">
        <f ca="1"/>
        <v>レベチラセタム点滴静注５００ｍｇ「明治」</v>
      </c>
      <c r="E80" s="27">
        <f ca="1"/>
        <v>0</v>
      </c>
      <c r="F80" s="54">
        <f ca="1"/>
        <v>9</v>
      </c>
      <c r="G80" s="54" t="str">
        <f ca="1"/>
        <v/>
      </c>
      <c r="H80" s="54" t="str">
        <f ca="1"/>
        <v>５ｍｌｘ１０Ａ</v>
      </c>
      <c r="I80" s="54" t="str">
        <f ca="1"/>
        <v>A</v>
      </c>
      <c r="J80" s="54" t="str">
        <f ca="1">IF(F80="","",OFFSET(分類!$B$29,MATCH(F80,分類!$A$30:$A$46,0),0))</f>
        <v>注射</v>
      </c>
      <c r="K80" s="69"/>
      <c r="L80" s="54"/>
    </row>
    <row r="81" spans="2:12">
      <c r="B81" s="27">
        <f t="shared" si="1"/>
        <v>77</v>
      </c>
      <c r="C81" s="27">
        <f ca="1"/>
        <v>772</v>
      </c>
      <c r="D81" s="27" t="str">
        <f ca="1"/>
        <v>レボフロキサシン点滴静注バッグ５００ｍｇ／１００ｍｌ「ＤＳＥＰ」</v>
      </c>
      <c r="E81" s="27">
        <f ca="1"/>
        <v>0</v>
      </c>
      <c r="F81" s="54">
        <f ca="1"/>
        <v>9</v>
      </c>
      <c r="G81" s="54" t="str">
        <f ca="1"/>
        <v/>
      </c>
      <c r="H81" s="54" t="str">
        <f ca="1"/>
        <v>１０袋</v>
      </c>
      <c r="I81" s="54" t="str">
        <f ca="1"/>
        <v>袋</v>
      </c>
      <c r="J81" s="54" t="str">
        <f ca="1">IF(F81="","",OFFSET(分類!$B$29,MATCH(F81,分類!$A$30:$A$46,0),0))</f>
        <v>注射</v>
      </c>
      <c r="K81" s="69"/>
      <c r="L81" s="54"/>
    </row>
    <row r="82" spans="2:12">
      <c r="B82" s="27">
        <f t="shared" si="1"/>
        <v>78</v>
      </c>
      <c r="C82" s="27">
        <f ca="1"/>
        <v>799</v>
      </c>
      <c r="D82" s="27" t="str">
        <f ca="1"/>
        <v>ワゴスチグミン注　０．５ｍｇ</v>
      </c>
      <c r="E82" s="27">
        <f ca="1"/>
        <v>2</v>
      </c>
      <c r="F82" s="54">
        <f ca="1"/>
        <v>15</v>
      </c>
      <c r="G82" s="54" t="str">
        <f ca="1"/>
        <v/>
      </c>
      <c r="H82" s="54" t="str">
        <f ca="1"/>
        <v>０．５ｍｇｘ１０Ａ</v>
      </c>
      <c r="I82" s="54" t="str">
        <f ca="1"/>
        <v>Ａ</v>
      </c>
      <c r="J82" s="54" t="str">
        <f ca="1">IF(F82="","",OFFSET(分類!$B$29,MATCH(F82,分類!$A$30:$A$46,0),0))</f>
        <v>不良在庫</v>
      </c>
      <c r="K82" s="69"/>
      <c r="L82" s="54"/>
    </row>
    <row r="83" spans="2:12">
      <c r="B83" s="27">
        <f t="shared" si="1"/>
        <v>79</v>
      </c>
      <c r="C83" s="27">
        <f ca="1"/>
        <v>801</v>
      </c>
      <c r="D83" s="27" t="str">
        <f ca="1"/>
        <v>ワソラン静注５ｍｇ</v>
      </c>
      <c r="E83" s="27">
        <f ca="1"/>
        <v>2</v>
      </c>
      <c r="F83" s="54">
        <f ca="1"/>
        <v>9</v>
      </c>
      <c r="G83" s="54" t="str">
        <f ca="1"/>
        <v/>
      </c>
      <c r="H83" s="54" t="str">
        <f ca="1"/>
        <v>２ｍｌｘ１０Ａ</v>
      </c>
      <c r="I83" s="54" t="str">
        <f ca="1"/>
        <v>A</v>
      </c>
      <c r="J83" s="54" t="str">
        <f ca="1">IF(F83="","",OFFSET(分類!$B$29,MATCH(F83,分類!$A$30:$A$46,0),0))</f>
        <v>注射</v>
      </c>
      <c r="K83" s="69"/>
      <c r="L83" s="54"/>
    </row>
    <row r="84" spans="2:12">
      <c r="B84" s="27">
        <f t="shared" si="1"/>
        <v>80</v>
      </c>
      <c r="C84" s="27">
        <f ca="1"/>
        <v>802</v>
      </c>
      <c r="D84" s="27" t="str">
        <f ca="1"/>
        <v>ワンパル２号輸液（１）</v>
      </c>
      <c r="E84" s="27">
        <f ca="1"/>
        <v>0</v>
      </c>
      <c r="F84" s="54">
        <f ca="1"/>
        <v>10</v>
      </c>
      <c r="G84" s="54" t="str">
        <f ca="1"/>
        <v/>
      </c>
      <c r="H84" s="54" t="str">
        <f ca="1"/>
        <v>８００ｍｌｘ１０袋</v>
      </c>
      <c r="I84" s="54" t="str">
        <f ca="1"/>
        <v>袋</v>
      </c>
      <c r="J84" s="54" t="str">
        <f ca="1">IF(F84="","",OFFSET(分類!$B$29,MATCH(F84,分類!$A$30:$A$46,0),0))</f>
        <v>輸液</v>
      </c>
      <c r="K84" s="69"/>
      <c r="L84" s="54"/>
    </row>
    <row r="85" spans="2:12">
      <c r="B85" s="27">
        <f t="shared" si="1"/>
        <v>81</v>
      </c>
      <c r="C85" s="27">
        <f ca="1"/>
        <v>803</v>
      </c>
      <c r="D85" s="27" t="str">
        <f ca="1"/>
        <v>ワンパル２号輸液１２００ｍｌ</v>
      </c>
      <c r="E85" s="27">
        <f ca="1"/>
        <v>0</v>
      </c>
      <c r="F85" s="54">
        <f ca="1"/>
        <v>10</v>
      </c>
      <c r="G85" s="54" t="str">
        <f ca="1"/>
        <v/>
      </c>
      <c r="H85" s="54" t="str">
        <f ca="1"/>
        <v>１２００ｍｌｘ７</v>
      </c>
      <c r="I85" s="54" t="str">
        <f ca="1"/>
        <v>袋</v>
      </c>
      <c r="J85" s="54" t="str">
        <f ca="1">IF(F85="","",OFFSET(分類!$B$29,MATCH(F85,分類!$A$30:$A$46,0),0))</f>
        <v>輸液</v>
      </c>
      <c r="K85" s="69"/>
      <c r="L85" s="54"/>
    </row>
    <row r="86" spans="2:12">
      <c r="B86" s="27">
        <f t="shared" si="1"/>
        <v>82</v>
      </c>
      <c r="C86" s="27">
        <f ca="1"/>
        <v>812</v>
      </c>
      <c r="D86" s="27" t="str">
        <f ca="1"/>
        <v>水溶性ハイドロコートン注射１００ｍｇ</v>
      </c>
      <c r="E86" s="27">
        <f ca="1"/>
        <v>0</v>
      </c>
      <c r="F86" s="54">
        <f ca="1"/>
        <v>9</v>
      </c>
      <c r="G86" s="54" t="str">
        <f ca="1"/>
        <v/>
      </c>
      <c r="H86" s="54" t="str">
        <f ca="1"/>
        <v>２ｍＬＸ１０瓶</v>
      </c>
      <c r="I86" s="54" t="str">
        <f ca="1"/>
        <v>A</v>
      </c>
      <c r="J86" s="54" t="str">
        <f ca="1">IF(F86="","",OFFSET(分類!$B$29,MATCH(F86,分類!$A$30:$A$46,0),0))</f>
        <v>注射</v>
      </c>
      <c r="K86" s="69"/>
      <c r="L86" s="54"/>
    </row>
    <row r="87" spans="2:12">
      <c r="B87" s="27">
        <f t="shared" si="1"/>
        <v>83</v>
      </c>
      <c r="C87" s="27">
        <f ca="1"/>
        <v>815</v>
      </c>
      <c r="D87" s="27" t="str">
        <f ca="1"/>
        <v>生食溶解液キットＨ（１）</v>
      </c>
      <c r="E87" s="27">
        <f ca="1"/>
        <v>0</v>
      </c>
      <c r="F87" s="54">
        <f ca="1"/>
        <v>9</v>
      </c>
      <c r="G87" s="54" t="str">
        <f ca="1"/>
        <v/>
      </c>
      <c r="H87" s="54" t="str">
        <f ca="1"/>
        <v>１００ｍｌｘ１０</v>
      </c>
      <c r="I87" s="54" t="str">
        <f ca="1"/>
        <v>瓶</v>
      </c>
      <c r="J87" s="54" t="str">
        <f ca="1">IF(F87="","",OFFSET(分類!$B$29,MATCH(F87,分類!$A$30:$A$46,0),0))</f>
        <v>注射</v>
      </c>
      <c r="K87" s="69"/>
      <c r="L87" s="54"/>
    </row>
    <row r="88" spans="2:12">
      <c r="B88" s="27">
        <f t="shared" si="1"/>
        <v>84</v>
      </c>
      <c r="C88" s="27">
        <f ca="1"/>
        <v>816</v>
      </c>
      <c r="D88" s="27" t="str">
        <f ca="1"/>
        <v>生理食塩液「ＶＴＲＳ」１００ｍｌ</v>
      </c>
      <c r="E88" s="27">
        <f ca="1"/>
        <v>0</v>
      </c>
      <c r="F88" s="54">
        <f ca="1"/>
        <v>9</v>
      </c>
      <c r="G88" s="54" t="str">
        <f ca="1"/>
        <v/>
      </c>
      <c r="H88" s="54" t="str">
        <f ca="1"/>
        <v>１００ｍｌｘ１０Ｖ</v>
      </c>
      <c r="I88" s="54" t="str">
        <f ca="1"/>
        <v>瓶</v>
      </c>
      <c r="J88" s="54" t="str">
        <f ca="1">IF(F88="","",OFFSET(分類!$B$29,MATCH(F88,分類!$A$30:$A$46,0),0))</f>
        <v>注射</v>
      </c>
      <c r="K88" s="69"/>
      <c r="L88" s="54"/>
    </row>
    <row r="89" spans="2:12">
      <c r="B89" s="27">
        <f t="shared" si="1"/>
        <v>85</v>
      </c>
      <c r="C89" s="27">
        <f ca="1"/>
        <v>822</v>
      </c>
      <c r="D89" s="27" t="str">
        <f ca="1"/>
        <v>大塚糖液５％　　　　　　　　　　　　　</v>
      </c>
      <c r="E89" s="27">
        <f ca="1"/>
        <v>0</v>
      </c>
      <c r="F89" s="54">
        <f ca="1"/>
        <v>10</v>
      </c>
      <c r="G89" s="54" t="str">
        <f ca="1"/>
        <v/>
      </c>
      <c r="H89" s="54" t="str">
        <f ca="1"/>
        <v>５００ｍｌｘ２０袋</v>
      </c>
      <c r="I89" s="54" t="str">
        <f ca="1"/>
        <v>袋</v>
      </c>
      <c r="J89" s="54" t="str">
        <f ca="1">IF(F89="","",OFFSET(分類!$B$29,MATCH(F89,分類!$A$30:$A$46,0),0))</f>
        <v>輸液</v>
      </c>
      <c r="K89" s="69"/>
      <c r="L89" s="54"/>
    </row>
    <row r="90" spans="2:12">
      <c r="B90" s="27">
        <f t="shared" si="1"/>
        <v>86</v>
      </c>
      <c r="C90" s="27"/>
      <c r="D90" s="27"/>
      <c r="E90" s="27"/>
      <c r="F90" s="54"/>
      <c r="G90" s="54"/>
      <c r="H90" s="54"/>
      <c r="I90" s="54"/>
      <c r="J90" s="54" t="str">
        <f ca="1">IF(F90="","",OFFSET(分類!$B$29,MATCH(F90,分類!$A$30:$A$46,0),0))</f>
        <v/>
      </c>
      <c r="K90" s="69"/>
      <c r="L90" s="54"/>
    </row>
    <row r="91" spans="2:12">
      <c r="B91" s="27">
        <f t="shared" si="1"/>
        <v>87</v>
      </c>
      <c r="C91" s="27"/>
      <c r="D91" s="27"/>
      <c r="E91" s="27"/>
      <c r="F91" s="54"/>
      <c r="G91" s="54"/>
      <c r="H91" s="54"/>
      <c r="I91" s="54"/>
      <c r="J91" s="54" t="str">
        <f ca="1">IF(F91="","",OFFSET(分類!$B$29,MATCH(F91,分類!$A$30:$A$46,0),0))</f>
        <v/>
      </c>
      <c r="K91" s="69"/>
      <c r="L91" s="54"/>
    </row>
    <row r="92" spans="2:12">
      <c r="B92" s="27">
        <f t="shared" si="1"/>
        <v>88</v>
      </c>
      <c r="C92" s="27"/>
      <c r="D92" s="27"/>
      <c r="E92" s="27"/>
      <c r="F92" s="54"/>
      <c r="G92" s="54"/>
      <c r="H92" s="54"/>
      <c r="I92" s="54"/>
      <c r="J92" s="54" t="str">
        <f ca="1">IF(F92="","",OFFSET(分類!$B$29,MATCH(F92,分類!$A$30:$A$46,0),0))</f>
        <v/>
      </c>
      <c r="K92" s="69"/>
      <c r="L92" s="54"/>
    </row>
    <row r="93" spans="2:12">
      <c r="B93" s="27">
        <f t="shared" si="1"/>
        <v>89</v>
      </c>
      <c r="C93" s="27"/>
      <c r="D93" s="27"/>
      <c r="E93" s="27"/>
      <c r="F93" s="54"/>
      <c r="G93" s="54"/>
      <c r="H93" s="54"/>
      <c r="I93" s="54"/>
      <c r="J93" s="54" t="str">
        <f ca="1">IF(F93="","",OFFSET(分類!$B$29,MATCH(F93,分類!$A$30:$A$46,0),0))</f>
        <v/>
      </c>
      <c r="K93" s="69"/>
      <c r="L93" s="54"/>
    </row>
    <row r="94" spans="2:12">
      <c r="B94" s="27">
        <f t="shared" si="1"/>
        <v>90</v>
      </c>
      <c r="C94" s="27"/>
      <c r="D94" s="27"/>
      <c r="E94" s="27"/>
      <c r="F94" s="54"/>
      <c r="G94" s="54"/>
      <c r="H94" s="54"/>
      <c r="I94" s="54"/>
      <c r="J94" s="54" t="str">
        <f ca="1">IF(F94="","",OFFSET(分類!$B$29,MATCH(F94,分類!$A$30:$A$46,0),0))</f>
        <v/>
      </c>
      <c r="K94" s="69"/>
      <c r="L94" s="54"/>
    </row>
    <row r="95" spans="2:12">
      <c r="B95" s="27">
        <f t="shared" si="1"/>
        <v>91</v>
      </c>
      <c r="C95" s="27"/>
      <c r="D95" s="27"/>
      <c r="E95" s="27"/>
      <c r="F95" s="54"/>
      <c r="G95" s="54"/>
      <c r="H95" s="54"/>
      <c r="I95" s="54"/>
      <c r="J95" s="54" t="str">
        <f ca="1">IF(F95="","",OFFSET(分類!$B$29,MATCH(F95,分類!$A$30:$A$46,0),0))</f>
        <v/>
      </c>
      <c r="K95" s="69"/>
      <c r="L95" s="54"/>
    </row>
    <row r="96" spans="2:12">
      <c r="B96" s="27">
        <f t="shared" si="1"/>
        <v>92</v>
      </c>
      <c r="C96" s="27"/>
      <c r="D96" s="27"/>
      <c r="E96" s="27"/>
      <c r="F96" s="54"/>
      <c r="G96" s="54"/>
      <c r="H96" s="54"/>
      <c r="I96" s="54"/>
      <c r="J96" s="54" t="str">
        <f ca="1">IF(F96="","",OFFSET(分類!$B$29,MATCH(F96,分類!$A$30:$A$46,0),0))</f>
        <v/>
      </c>
      <c r="K96" s="69"/>
      <c r="L96" s="54"/>
    </row>
    <row r="97" spans="2:12">
      <c r="B97" s="27">
        <f t="shared" si="1"/>
        <v>93</v>
      </c>
      <c r="C97" s="27"/>
      <c r="D97" s="27"/>
      <c r="E97" s="27"/>
      <c r="F97" s="54"/>
      <c r="G97" s="54"/>
      <c r="H97" s="54"/>
      <c r="I97" s="54"/>
      <c r="J97" s="54" t="str">
        <f ca="1">IF(F97="","",OFFSET(分類!$B$29,MATCH(F97,分類!$A$30:$A$46,0),0))</f>
        <v/>
      </c>
      <c r="K97" s="69"/>
      <c r="L97" s="54"/>
    </row>
    <row r="98" spans="2:12">
      <c r="B98" s="27">
        <f t="shared" si="1"/>
        <v>94</v>
      </c>
      <c r="C98" s="27"/>
      <c r="D98" s="27"/>
      <c r="E98" s="27"/>
      <c r="F98" s="54"/>
      <c r="G98" s="54"/>
      <c r="H98" s="54"/>
      <c r="I98" s="54"/>
      <c r="J98" s="54" t="str">
        <f ca="1">IF(F98="","",OFFSET(分類!$B$29,MATCH(F98,分類!$A$30:$A$46,0),0))</f>
        <v/>
      </c>
      <c r="K98" s="69"/>
      <c r="L98" s="54"/>
    </row>
    <row r="99" spans="2:12">
      <c r="B99" s="27">
        <f t="shared" si="1"/>
        <v>95</v>
      </c>
      <c r="C99" s="27"/>
      <c r="D99" s="27"/>
      <c r="E99" s="27"/>
      <c r="F99" s="54"/>
      <c r="G99" s="54"/>
      <c r="H99" s="54"/>
      <c r="I99" s="54"/>
      <c r="J99" s="54" t="str">
        <f ca="1">IF(F99="","",OFFSET(分類!$B$29,MATCH(F99,分類!$A$30:$A$46,0),0))</f>
        <v/>
      </c>
      <c r="K99" s="69"/>
      <c r="L99" s="54"/>
    </row>
    <row r="100" spans="2:12">
      <c r="B100" s="27">
        <f t="shared" si="1"/>
        <v>96</v>
      </c>
      <c r="C100" s="27"/>
      <c r="D100" s="27"/>
      <c r="E100" s="27"/>
      <c r="F100" s="54"/>
      <c r="G100" s="54"/>
      <c r="H100" s="54"/>
      <c r="I100" s="54"/>
      <c r="J100" s="54" t="str">
        <f ca="1">IF(F100="","",OFFSET(分類!$B$29,MATCH(F100,分類!$A$30:$A$46,0),0))</f>
        <v/>
      </c>
      <c r="K100" s="69"/>
      <c r="L100" s="54"/>
    </row>
    <row r="101" spans="2:12">
      <c r="B101" s="27">
        <f t="shared" si="1"/>
        <v>97</v>
      </c>
      <c r="C101" s="27"/>
      <c r="D101" s="27"/>
      <c r="E101" s="27"/>
      <c r="F101" s="54"/>
      <c r="G101" s="54"/>
      <c r="H101" s="54"/>
      <c r="I101" s="54"/>
      <c r="J101" s="54" t="str">
        <f ca="1">IF(F101="","",OFFSET(分類!$B$29,MATCH(F101,分類!$A$30:$A$46,0),0))</f>
        <v/>
      </c>
      <c r="K101" s="69"/>
      <c r="L101" s="54"/>
    </row>
    <row r="102" spans="2:12">
      <c r="B102" s="27">
        <f t="shared" si="1"/>
        <v>98</v>
      </c>
      <c r="C102" s="27"/>
      <c r="D102" s="27"/>
      <c r="E102" s="27"/>
      <c r="F102" s="54"/>
      <c r="G102" s="54"/>
      <c r="H102" s="54"/>
      <c r="I102" s="54"/>
      <c r="J102" s="54" t="str">
        <f ca="1">IF(F102="","",OFFSET(分類!$B$29,MATCH(F102,分類!$A$30:$A$46,0),0))</f>
        <v/>
      </c>
      <c r="K102" s="69"/>
      <c r="L102" s="54"/>
    </row>
    <row r="103" spans="2:12">
      <c r="B103" s="27">
        <f t="shared" si="1"/>
        <v>99</v>
      </c>
      <c r="C103" s="27"/>
      <c r="D103" s="27"/>
      <c r="E103" s="27"/>
      <c r="F103" s="54"/>
      <c r="G103" s="54"/>
      <c r="H103" s="54"/>
      <c r="I103" s="54"/>
      <c r="J103" s="54" t="str">
        <f ca="1">IF(F103="","",OFFSET(分類!$B$29,MATCH(F103,分類!$A$30:$A$46,0),0))</f>
        <v/>
      </c>
      <c r="K103" s="69"/>
      <c r="L103" s="54"/>
    </row>
    <row r="104" spans="2:12">
      <c r="B104" s="27">
        <f t="shared" si="1"/>
        <v>100</v>
      </c>
      <c r="C104" s="27"/>
      <c r="D104" s="27"/>
      <c r="E104" s="27"/>
      <c r="F104" s="54"/>
      <c r="G104" s="54"/>
      <c r="H104" s="54"/>
      <c r="I104" s="54"/>
      <c r="J104" s="54" t="str">
        <f ca="1">IF(F104="","",OFFSET(分類!$B$29,MATCH(F104,分類!$A$30:$A$46,0),0))</f>
        <v/>
      </c>
      <c r="K104" s="69"/>
      <c r="L104" s="54"/>
    </row>
    <row r="105" spans="2:12">
      <c r="B105" s="27">
        <f t="shared" si="1"/>
        <v>101</v>
      </c>
      <c r="C105" s="27"/>
      <c r="D105" s="27"/>
      <c r="E105" s="27"/>
      <c r="F105" s="54"/>
      <c r="G105" s="54"/>
      <c r="H105" s="54"/>
      <c r="I105" s="54"/>
      <c r="J105" s="54" t="str">
        <f ca="1">IF(F105="","",OFFSET(分類!$B$29,MATCH(F105,分類!$A$30:$A$46,0),0))</f>
        <v/>
      </c>
      <c r="K105" s="69"/>
      <c r="L105" s="54"/>
    </row>
    <row r="106" spans="2:12">
      <c r="B106" s="27">
        <f t="shared" si="1"/>
        <v>102</v>
      </c>
      <c r="C106" s="27"/>
      <c r="D106" s="27"/>
      <c r="E106" s="27"/>
      <c r="F106" s="54"/>
      <c r="G106" s="54"/>
      <c r="H106" s="54"/>
      <c r="I106" s="54"/>
      <c r="J106" s="54" t="str">
        <f ca="1">IF(F106="","",OFFSET(分類!$B$29,MATCH(F106,分類!$A$30:$A$46,0),0))</f>
        <v/>
      </c>
      <c r="K106" s="69"/>
      <c r="L106" s="54"/>
    </row>
    <row r="107" spans="2:12">
      <c r="B107" s="27">
        <f t="shared" si="1"/>
        <v>103</v>
      </c>
      <c r="C107" s="27"/>
      <c r="D107" s="27"/>
      <c r="E107" s="27"/>
      <c r="F107" s="54"/>
      <c r="G107" s="54"/>
      <c r="H107" s="54"/>
      <c r="I107" s="54"/>
      <c r="J107" s="54" t="str">
        <f ca="1">IF(F107="","",OFFSET(分類!$B$29,MATCH(F107,分類!$A$30:$A$46,0),0))</f>
        <v/>
      </c>
      <c r="K107" s="69"/>
      <c r="L107" s="54"/>
    </row>
    <row r="108" spans="2:12">
      <c r="B108" s="27">
        <f t="shared" si="1"/>
        <v>104</v>
      </c>
      <c r="C108" s="27"/>
      <c r="D108" s="27"/>
      <c r="E108" s="27"/>
      <c r="F108" s="54"/>
      <c r="G108" s="54"/>
      <c r="H108" s="54"/>
      <c r="I108" s="54"/>
      <c r="J108" s="54" t="str">
        <f ca="1">IF(F108="","",OFFSET(分類!$B$29,MATCH(F108,分類!$A$30:$A$46,0),0))</f>
        <v/>
      </c>
      <c r="K108" s="69"/>
      <c r="L108" s="54"/>
    </row>
    <row r="109" spans="2:12">
      <c r="B109" s="27">
        <f t="shared" si="1"/>
        <v>105</v>
      </c>
      <c r="C109" s="27"/>
      <c r="D109" s="27"/>
      <c r="E109" s="27"/>
      <c r="F109" s="54"/>
      <c r="G109" s="54"/>
      <c r="H109" s="54"/>
      <c r="I109" s="54"/>
      <c r="J109" s="54" t="str">
        <f ca="1">IF(F109="","",OFFSET(分類!$B$29,MATCH(F109,分類!$A$30:$A$46,0),0))</f>
        <v/>
      </c>
      <c r="K109" s="69"/>
      <c r="L109" s="54"/>
    </row>
    <row r="110" spans="2:12">
      <c r="B110" s="27">
        <f t="shared" si="1"/>
        <v>106</v>
      </c>
      <c r="C110" s="27"/>
      <c r="D110" s="27"/>
      <c r="E110" s="27"/>
      <c r="F110" s="54"/>
      <c r="G110" s="54"/>
      <c r="H110" s="54"/>
      <c r="I110" s="54"/>
      <c r="J110" s="54" t="str">
        <f ca="1">IF(F110="","",OFFSET(分類!$B$29,MATCH(F110,分類!$A$30:$A$46,0),0))</f>
        <v/>
      </c>
      <c r="K110" s="69"/>
      <c r="L110" s="54"/>
    </row>
    <row r="111" spans="2:12">
      <c r="B111" s="27">
        <f t="shared" si="1"/>
        <v>107</v>
      </c>
      <c r="C111" s="27"/>
      <c r="D111" s="27"/>
      <c r="E111" s="27"/>
      <c r="F111" s="54"/>
      <c r="G111" s="54"/>
      <c r="H111" s="54"/>
      <c r="I111" s="54"/>
      <c r="J111" s="54" t="str">
        <f ca="1">IF(F111="","",OFFSET(分類!$B$29,MATCH(F111,分類!$A$30:$A$46,0),0))</f>
        <v/>
      </c>
      <c r="K111" s="69"/>
      <c r="L111" s="54"/>
    </row>
    <row r="112" spans="2:12">
      <c r="B112" s="27">
        <f t="shared" si="1"/>
        <v>108</v>
      </c>
      <c r="C112" s="27"/>
      <c r="D112" s="27"/>
      <c r="E112" s="27"/>
      <c r="F112" s="54"/>
      <c r="G112" s="54"/>
      <c r="H112" s="54"/>
      <c r="I112" s="54"/>
      <c r="J112" s="54" t="str">
        <f ca="1">IF(F112="","",OFFSET(分類!$B$29,MATCH(F112,分類!$A$30:$A$46,0),0))</f>
        <v/>
      </c>
      <c r="K112" s="69"/>
      <c r="L112" s="54"/>
    </row>
    <row r="113" spans="2:12">
      <c r="B113" s="27">
        <f t="shared" si="1"/>
        <v>109</v>
      </c>
      <c r="C113" s="27"/>
      <c r="D113" s="27"/>
      <c r="E113" s="27"/>
      <c r="F113" s="54"/>
      <c r="G113" s="54"/>
      <c r="H113" s="54"/>
      <c r="I113" s="54"/>
      <c r="J113" s="54" t="str">
        <f ca="1">IF(F113="","",OFFSET(分類!$B$29,MATCH(F113,分類!$A$30:$A$46,0),0))</f>
        <v/>
      </c>
      <c r="K113" s="69"/>
      <c r="L113" s="54"/>
    </row>
    <row r="114" spans="2:12">
      <c r="B114" s="27">
        <f t="shared" si="1"/>
        <v>110</v>
      </c>
      <c r="C114" s="27"/>
      <c r="D114" s="27"/>
      <c r="E114" s="27"/>
      <c r="F114" s="54"/>
      <c r="G114" s="54"/>
      <c r="H114" s="54"/>
      <c r="I114" s="54"/>
      <c r="J114" s="54" t="str">
        <f ca="1">IF(F114="","",OFFSET(分類!$B$29,MATCH(F114,分類!$A$30:$A$46,0),0))</f>
        <v/>
      </c>
      <c r="K114" s="69"/>
      <c r="L114" s="54"/>
    </row>
    <row r="115" spans="2:12">
      <c r="B115" s="27">
        <f t="shared" si="1"/>
        <v>111</v>
      </c>
      <c r="C115" s="27"/>
      <c r="D115" s="27"/>
      <c r="E115" s="27"/>
      <c r="F115" s="54"/>
      <c r="G115" s="54"/>
      <c r="H115" s="54"/>
      <c r="I115" s="54"/>
      <c r="J115" s="54" t="str">
        <f ca="1">IF(F115="","",OFFSET(分類!$B$29,MATCH(F115,分類!$A$30:$A$46,0),0))</f>
        <v/>
      </c>
      <c r="K115" s="69"/>
      <c r="L115" s="54"/>
    </row>
    <row r="116" spans="2:12">
      <c r="B116" s="27">
        <f t="shared" si="1"/>
        <v>112</v>
      </c>
      <c r="C116" s="27"/>
      <c r="D116" s="27"/>
      <c r="E116" s="27"/>
      <c r="F116" s="54"/>
      <c r="G116" s="54"/>
      <c r="H116" s="54"/>
      <c r="I116" s="54"/>
      <c r="J116" s="54" t="str">
        <f ca="1">IF(F116="","",OFFSET(分類!$B$29,MATCH(F116,分類!$A$30:$A$46,0),0))</f>
        <v/>
      </c>
      <c r="K116" s="69"/>
      <c r="L116" s="54"/>
    </row>
    <row r="117" spans="2:12">
      <c r="B117" s="27">
        <f t="shared" si="1"/>
        <v>113</v>
      </c>
      <c r="C117" s="27"/>
      <c r="D117" s="27"/>
      <c r="E117" s="27"/>
      <c r="F117" s="54"/>
      <c r="G117" s="54"/>
      <c r="H117" s="54"/>
      <c r="I117" s="54"/>
      <c r="J117" s="54" t="str">
        <f ca="1">IF(F117="","",OFFSET(分類!$B$29,MATCH(F117,分類!$A$30:$A$46,0),0))</f>
        <v/>
      </c>
      <c r="K117" s="69"/>
      <c r="L117" s="54"/>
    </row>
    <row r="118" spans="2:12">
      <c r="B118" s="27">
        <f t="shared" si="1"/>
        <v>114</v>
      </c>
      <c r="C118" s="27"/>
      <c r="D118" s="27"/>
      <c r="E118" s="27"/>
      <c r="F118" s="54"/>
      <c r="G118" s="54"/>
      <c r="H118" s="54"/>
      <c r="I118" s="54"/>
      <c r="J118" s="54" t="str">
        <f ca="1">IF(F118="","",OFFSET(分類!$B$29,MATCH(F118,分類!$A$30:$A$46,0),0))</f>
        <v/>
      </c>
      <c r="K118" s="69"/>
      <c r="L118" s="54"/>
    </row>
    <row r="119" spans="2:12">
      <c r="B119" s="27">
        <f t="shared" si="1"/>
        <v>115</v>
      </c>
      <c r="C119" s="27"/>
      <c r="D119" s="27"/>
      <c r="E119" s="27"/>
      <c r="F119" s="54"/>
      <c r="G119" s="54"/>
      <c r="H119" s="54"/>
      <c r="I119" s="54"/>
      <c r="J119" s="54" t="str">
        <f ca="1">IF(F119="","",OFFSET(分類!$B$29,MATCH(F119,分類!$A$30:$A$46,0),0))</f>
        <v/>
      </c>
      <c r="K119" s="69"/>
      <c r="L119" s="54"/>
    </row>
    <row r="120" spans="2:12">
      <c r="B120" s="27">
        <f t="shared" si="1"/>
        <v>116</v>
      </c>
      <c r="C120" s="27"/>
      <c r="D120" s="27"/>
      <c r="E120" s="27"/>
      <c r="F120" s="54"/>
      <c r="G120" s="54"/>
      <c r="H120" s="54"/>
      <c r="I120" s="54"/>
      <c r="J120" s="54" t="str">
        <f ca="1">IF(F120="","",OFFSET(分類!$B$29,MATCH(F120,分類!$A$30:$A$46,0),0))</f>
        <v/>
      </c>
      <c r="K120" s="69"/>
      <c r="L120" s="54"/>
    </row>
    <row r="121" spans="2:12">
      <c r="B121" s="27">
        <f t="shared" si="1"/>
        <v>117</v>
      </c>
      <c r="C121" s="27"/>
      <c r="D121" s="27"/>
      <c r="E121" s="27"/>
      <c r="F121" s="54"/>
      <c r="G121" s="54"/>
      <c r="H121" s="54"/>
      <c r="I121" s="54"/>
      <c r="J121" s="54" t="str">
        <f ca="1">IF(F121="","",OFFSET(分類!$B$29,MATCH(F121,分類!$A$30:$A$46,0),0))</f>
        <v/>
      </c>
      <c r="K121" s="69"/>
      <c r="L121" s="54"/>
    </row>
    <row r="122" spans="2:12">
      <c r="B122" s="27">
        <f t="shared" si="1"/>
        <v>118</v>
      </c>
      <c r="C122" s="27"/>
      <c r="D122" s="27"/>
      <c r="E122" s="27"/>
      <c r="F122" s="54"/>
      <c r="G122" s="54"/>
      <c r="H122" s="54"/>
      <c r="I122" s="54"/>
      <c r="J122" s="54" t="str">
        <f ca="1">IF(F122="","",OFFSET(分類!$B$29,MATCH(F122,分類!$A$30:$A$46,0),0))</f>
        <v/>
      </c>
      <c r="K122" s="69"/>
      <c r="L122" s="54"/>
    </row>
    <row r="123" spans="2:12">
      <c r="B123" s="27">
        <f t="shared" si="1"/>
        <v>119</v>
      </c>
      <c r="C123" s="27"/>
      <c r="D123" s="27"/>
      <c r="E123" s="27"/>
      <c r="F123" s="54"/>
      <c r="G123" s="54"/>
      <c r="H123" s="54"/>
      <c r="I123" s="54"/>
      <c r="J123" s="54" t="str">
        <f ca="1">IF(F123="","",OFFSET(分類!$B$29,MATCH(F123,分類!$A$30:$A$46,0),0))</f>
        <v/>
      </c>
      <c r="K123" s="69"/>
      <c r="L123" s="54"/>
    </row>
    <row r="124" spans="2:12">
      <c r="B124" s="27">
        <f t="shared" si="1"/>
        <v>120</v>
      </c>
      <c r="C124" s="27"/>
      <c r="D124" s="27"/>
      <c r="E124" s="27"/>
      <c r="F124" s="54"/>
      <c r="G124" s="54"/>
      <c r="H124" s="54"/>
      <c r="I124" s="54"/>
      <c r="J124" s="54" t="str">
        <f ca="1">IF(F124="","",OFFSET(分類!$B$29,MATCH(F124,分類!$A$30:$A$46,0),0))</f>
        <v/>
      </c>
      <c r="K124" s="69"/>
      <c r="L124" s="54"/>
    </row>
    <row r="125" spans="2:12">
      <c r="B125" s="27">
        <f t="shared" si="1"/>
        <v>121</v>
      </c>
      <c r="C125" s="27"/>
      <c r="D125" s="27"/>
      <c r="E125" s="27"/>
      <c r="F125" s="54"/>
      <c r="G125" s="54"/>
      <c r="H125" s="54"/>
      <c r="I125" s="54"/>
      <c r="J125" s="54" t="str">
        <f ca="1">IF(F125="","",OFFSET(分類!$B$29,MATCH(F125,分類!$A$30:$A$46,0),0))</f>
        <v/>
      </c>
      <c r="K125" s="69"/>
      <c r="L125" s="54"/>
    </row>
    <row r="126" spans="2:12">
      <c r="B126" s="27">
        <f t="shared" si="1"/>
        <v>122</v>
      </c>
      <c r="C126" s="27"/>
      <c r="D126" s="27"/>
      <c r="E126" s="27"/>
      <c r="F126" s="54"/>
      <c r="G126" s="54"/>
      <c r="H126" s="54"/>
      <c r="I126" s="54"/>
      <c r="J126" s="54" t="str">
        <f ca="1">IF(F126="","",OFFSET(分類!$B$29,MATCH(F126,分類!$A$30:$A$46,0),0))</f>
        <v/>
      </c>
      <c r="K126" s="69"/>
      <c r="L126" s="54"/>
    </row>
    <row r="127" spans="2:12">
      <c r="B127" s="27">
        <f t="shared" si="1"/>
        <v>123</v>
      </c>
      <c r="C127" s="27"/>
      <c r="D127" s="27"/>
      <c r="E127" s="27"/>
      <c r="F127" s="54"/>
      <c r="G127" s="54"/>
      <c r="H127" s="54"/>
      <c r="I127" s="54"/>
      <c r="J127" s="54" t="str">
        <f ca="1">IF(F127="","",OFFSET(分類!$B$29,MATCH(F127,分類!$A$30:$A$46,0),0))</f>
        <v/>
      </c>
      <c r="K127" s="69"/>
      <c r="L127" s="54"/>
    </row>
    <row r="128" spans="2:12">
      <c r="B128" s="27">
        <f t="shared" si="1"/>
        <v>124</v>
      </c>
      <c r="C128" s="27"/>
      <c r="D128" s="27"/>
      <c r="E128" s="27"/>
      <c r="F128" s="54"/>
      <c r="G128" s="54"/>
      <c r="H128" s="54"/>
      <c r="I128" s="54"/>
      <c r="J128" s="54" t="str">
        <f ca="1">IF(F128="","",OFFSET(分類!$B$29,MATCH(F128,分類!$A$30:$A$46,0),0))</f>
        <v/>
      </c>
      <c r="K128" s="69"/>
      <c r="L128" s="54"/>
    </row>
    <row r="129" spans="2:12">
      <c r="B129" s="27">
        <f t="shared" si="1"/>
        <v>125</v>
      </c>
      <c r="C129" s="27"/>
      <c r="D129" s="27"/>
      <c r="E129" s="27"/>
      <c r="F129" s="54"/>
      <c r="G129" s="54"/>
      <c r="H129" s="54"/>
      <c r="I129" s="54"/>
      <c r="J129" s="54" t="str">
        <f ca="1">IF(F129="","",OFFSET(分類!$B$29,MATCH(F129,分類!$A$30:$A$46,0),0))</f>
        <v/>
      </c>
      <c r="K129" s="69"/>
      <c r="L129" s="54"/>
    </row>
    <row r="130" spans="2:12">
      <c r="B130" s="27">
        <f t="shared" si="1"/>
        <v>126</v>
      </c>
      <c r="C130" s="27"/>
      <c r="D130" s="27"/>
      <c r="E130" s="27"/>
      <c r="F130" s="54"/>
      <c r="G130" s="54"/>
      <c r="H130" s="54"/>
      <c r="I130" s="54"/>
      <c r="J130" s="54" t="str">
        <f ca="1">IF(F130="","",OFFSET(分類!$B$29,MATCH(F130,分類!$A$30:$A$46,0),0))</f>
        <v/>
      </c>
      <c r="K130" s="69"/>
      <c r="L130" s="54"/>
    </row>
    <row r="131" spans="2:12">
      <c r="B131" s="27">
        <f t="shared" si="1"/>
        <v>127</v>
      </c>
      <c r="C131" s="27"/>
      <c r="D131" s="27"/>
      <c r="E131" s="27"/>
      <c r="F131" s="54"/>
      <c r="G131" s="54"/>
      <c r="H131" s="54"/>
      <c r="I131" s="54"/>
      <c r="J131" s="54" t="str">
        <f ca="1">IF(F131="","",OFFSET(分類!$B$29,MATCH(F131,分類!$A$30:$A$46,0),0))</f>
        <v/>
      </c>
      <c r="K131" s="69"/>
      <c r="L131" s="54"/>
    </row>
    <row r="132" spans="2:12">
      <c r="B132" s="27">
        <f t="shared" si="1"/>
        <v>128</v>
      </c>
      <c r="C132" s="27"/>
      <c r="D132" s="27"/>
      <c r="E132" s="27"/>
      <c r="F132" s="54"/>
      <c r="G132" s="54"/>
      <c r="H132" s="54"/>
      <c r="I132" s="54"/>
      <c r="J132" s="54" t="str">
        <f ca="1">IF(F132="","",OFFSET(分類!$B$29,MATCH(F132,分類!$A$30:$A$46,0),0))</f>
        <v/>
      </c>
      <c r="K132" s="69"/>
      <c r="L132" s="54"/>
    </row>
    <row r="133" spans="2:12">
      <c r="B133" s="27">
        <f t="shared" si="1"/>
        <v>129</v>
      </c>
      <c r="C133" s="27"/>
      <c r="D133" s="27"/>
      <c r="E133" s="27"/>
      <c r="F133" s="54"/>
      <c r="G133" s="54"/>
      <c r="H133" s="54"/>
      <c r="I133" s="54"/>
      <c r="J133" s="54" t="str">
        <f ca="1">IF(F133="","",OFFSET(分類!$B$29,MATCH(F133,分類!$A$30:$A$46,0),0))</f>
        <v/>
      </c>
      <c r="K133" s="69"/>
      <c r="L133" s="54"/>
    </row>
    <row r="134" spans="2:12">
      <c r="B134" s="27">
        <f t="shared" si="1"/>
        <v>130</v>
      </c>
      <c r="C134" s="27"/>
      <c r="D134" s="27"/>
      <c r="E134" s="27"/>
      <c r="F134" s="54"/>
      <c r="G134" s="54"/>
      <c r="H134" s="54"/>
      <c r="I134" s="54"/>
      <c r="J134" s="54" t="str">
        <f ca="1">IF(F134="","",OFFSET(分類!$B$29,MATCH(F134,分類!$A$30:$A$46,0),0))</f>
        <v/>
      </c>
      <c r="K134" s="69"/>
      <c r="L134" s="54"/>
    </row>
    <row r="135" spans="2:12">
      <c r="B135" s="27">
        <f t="shared" ref="B135:B198" si="2">B134+1</f>
        <v>131</v>
      </c>
      <c r="C135" s="27"/>
      <c r="D135" s="27"/>
      <c r="E135" s="27"/>
      <c r="F135" s="54"/>
      <c r="G135" s="54"/>
      <c r="H135" s="54"/>
      <c r="I135" s="54"/>
      <c r="J135" s="54" t="str">
        <f ca="1">IF(F135="","",OFFSET(分類!$B$29,MATCH(F135,分類!$A$30:$A$46,0),0))</f>
        <v/>
      </c>
      <c r="K135" s="69"/>
      <c r="L135" s="54"/>
    </row>
    <row r="136" spans="2:12">
      <c r="B136" s="27">
        <f t="shared" si="2"/>
        <v>132</v>
      </c>
      <c r="C136" s="27"/>
      <c r="D136" s="27"/>
      <c r="E136" s="27"/>
      <c r="F136" s="54"/>
      <c r="G136" s="54"/>
      <c r="H136" s="54"/>
      <c r="I136" s="54"/>
      <c r="J136" s="54" t="str">
        <f ca="1">IF(F136="","",OFFSET(分類!$B$29,MATCH(F136,分類!$A$30:$A$46,0),0))</f>
        <v/>
      </c>
      <c r="K136" s="69"/>
      <c r="L136" s="54"/>
    </row>
    <row r="137" spans="2:12">
      <c r="B137" s="27">
        <f t="shared" si="2"/>
        <v>133</v>
      </c>
      <c r="C137" s="27"/>
      <c r="D137" s="27"/>
      <c r="E137" s="27"/>
      <c r="F137" s="54"/>
      <c r="G137" s="54"/>
      <c r="H137" s="54"/>
      <c r="I137" s="54"/>
      <c r="J137" s="54" t="str">
        <f ca="1">IF(F137="","",OFFSET(分類!$B$29,MATCH(F137,分類!$A$30:$A$46,0),0))</f>
        <v/>
      </c>
      <c r="K137" s="69"/>
      <c r="L137" s="54"/>
    </row>
    <row r="138" spans="2:12">
      <c r="B138" s="27">
        <f t="shared" si="2"/>
        <v>134</v>
      </c>
      <c r="C138" s="27"/>
      <c r="D138" s="27"/>
      <c r="E138" s="27"/>
      <c r="F138" s="54"/>
      <c r="G138" s="54"/>
      <c r="H138" s="54"/>
      <c r="I138" s="54"/>
      <c r="J138" s="54" t="str">
        <f ca="1">IF(F138="","",OFFSET(分類!$B$29,MATCH(F138,分類!$A$30:$A$46,0),0))</f>
        <v/>
      </c>
      <c r="K138" s="69"/>
      <c r="L138" s="54"/>
    </row>
    <row r="139" spans="2:12">
      <c r="B139" s="27">
        <f t="shared" si="2"/>
        <v>135</v>
      </c>
      <c r="C139" s="27"/>
      <c r="D139" s="27"/>
      <c r="E139" s="27"/>
      <c r="F139" s="54"/>
      <c r="G139" s="54"/>
      <c r="H139" s="54"/>
      <c r="I139" s="54"/>
      <c r="J139" s="54" t="str">
        <f ca="1">IF(F139="","",OFFSET(分類!$B$29,MATCH(F139,分類!$A$30:$A$46,0),0))</f>
        <v/>
      </c>
      <c r="K139" s="69"/>
      <c r="L139" s="54"/>
    </row>
    <row r="140" spans="2:12">
      <c r="B140" s="27">
        <f t="shared" si="2"/>
        <v>136</v>
      </c>
      <c r="C140" s="27"/>
      <c r="D140" s="27"/>
      <c r="E140" s="27"/>
      <c r="F140" s="54"/>
      <c r="G140" s="54"/>
      <c r="H140" s="54"/>
      <c r="I140" s="54"/>
      <c r="J140" s="54" t="str">
        <f ca="1">IF(F140="","",OFFSET(分類!$B$29,MATCH(F140,分類!$A$30:$A$46,0),0))</f>
        <v/>
      </c>
      <c r="K140" s="69"/>
      <c r="L140" s="54"/>
    </row>
    <row r="141" spans="2:12">
      <c r="B141" s="27">
        <f t="shared" si="2"/>
        <v>137</v>
      </c>
      <c r="C141" s="27"/>
      <c r="D141" s="27"/>
      <c r="E141" s="27"/>
      <c r="F141" s="54"/>
      <c r="G141" s="54"/>
      <c r="H141" s="54"/>
      <c r="I141" s="54"/>
      <c r="J141" s="54" t="str">
        <f ca="1">IF(F141="","",OFFSET(分類!$B$29,MATCH(F141,分類!$A$30:$A$46,0),0))</f>
        <v/>
      </c>
      <c r="K141" s="69"/>
      <c r="L141" s="54"/>
    </row>
    <row r="142" spans="2:12">
      <c r="B142" s="27">
        <f t="shared" si="2"/>
        <v>138</v>
      </c>
      <c r="C142" s="27"/>
      <c r="D142" s="27"/>
      <c r="E142" s="27"/>
      <c r="F142" s="54"/>
      <c r="G142" s="54"/>
      <c r="H142" s="54"/>
      <c r="I142" s="54"/>
      <c r="J142" s="54" t="str">
        <f ca="1">IF(F142="","",OFFSET(分類!$B$29,MATCH(F142,分類!$A$30:$A$46,0),0))</f>
        <v/>
      </c>
      <c r="K142" s="69"/>
      <c r="L142" s="54"/>
    </row>
    <row r="143" spans="2:12">
      <c r="B143" s="27">
        <f t="shared" si="2"/>
        <v>139</v>
      </c>
      <c r="C143" s="27"/>
      <c r="D143" s="27"/>
      <c r="E143" s="27"/>
      <c r="F143" s="54"/>
      <c r="G143" s="54"/>
      <c r="H143" s="54"/>
      <c r="I143" s="54"/>
      <c r="J143" s="54" t="str">
        <f ca="1">IF(F143="","",OFFSET(分類!$B$29,MATCH(F143,分類!$A$30:$A$46,0),0))</f>
        <v/>
      </c>
      <c r="K143" s="69"/>
      <c r="L143" s="54"/>
    </row>
    <row r="144" spans="2:12">
      <c r="B144" s="27">
        <f t="shared" si="2"/>
        <v>140</v>
      </c>
      <c r="C144" s="27"/>
      <c r="D144" s="27"/>
      <c r="E144" s="27"/>
      <c r="F144" s="54"/>
      <c r="G144" s="54"/>
      <c r="H144" s="54"/>
      <c r="I144" s="54"/>
      <c r="J144" s="54" t="str">
        <f ca="1">IF(F144="","",OFFSET(分類!$B$29,MATCH(F144,分類!$A$30:$A$46,0),0))</f>
        <v/>
      </c>
      <c r="K144" s="69"/>
      <c r="L144" s="54"/>
    </row>
    <row r="145" spans="2:12">
      <c r="B145" s="27">
        <f t="shared" si="2"/>
        <v>141</v>
      </c>
      <c r="C145" s="27"/>
      <c r="D145" s="27"/>
      <c r="E145" s="27"/>
      <c r="F145" s="54"/>
      <c r="G145" s="54"/>
      <c r="H145" s="54"/>
      <c r="I145" s="54"/>
      <c r="J145" s="54" t="str">
        <f ca="1">IF(F145="","",OFFSET(分類!$B$29,MATCH(F145,分類!$A$30:$A$46,0),0))</f>
        <v/>
      </c>
      <c r="K145" s="69"/>
      <c r="L145" s="54"/>
    </row>
    <row r="146" spans="2:12">
      <c r="B146" s="27">
        <f t="shared" si="2"/>
        <v>142</v>
      </c>
      <c r="C146" s="27"/>
      <c r="D146" s="27"/>
      <c r="E146" s="27"/>
      <c r="F146" s="54"/>
      <c r="G146" s="54"/>
      <c r="H146" s="54"/>
      <c r="I146" s="54"/>
      <c r="J146" s="54" t="str">
        <f ca="1">IF(F146="","",OFFSET(分類!$B$29,MATCH(F146,分類!$A$30:$A$46,0),0))</f>
        <v/>
      </c>
      <c r="K146" s="69"/>
      <c r="L146" s="54"/>
    </row>
    <row r="147" spans="2:12">
      <c r="B147" s="27">
        <f t="shared" si="2"/>
        <v>143</v>
      </c>
      <c r="C147" s="27"/>
      <c r="D147" s="27"/>
      <c r="E147" s="27"/>
      <c r="F147" s="54"/>
      <c r="G147" s="54"/>
      <c r="H147" s="54"/>
      <c r="I147" s="54"/>
      <c r="J147" s="54" t="str">
        <f ca="1">IF(F147="","",OFFSET(分類!$B$29,MATCH(F147,分類!$A$30:$A$46,0),0))</f>
        <v/>
      </c>
      <c r="K147" s="69"/>
      <c r="L147" s="54"/>
    </row>
    <row r="148" spans="2:12">
      <c r="B148" s="27">
        <f t="shared" si="2"/>
        <v>144</v>
      </c>
      <c r="C148" s="27"/>
      <c r="D148" s="27"/>
      <c r="E148" s="27"/>
      <c r="F148" s="54"/>
      <c r="G148" s="54"/>
      <c r="H148" s="54"/>
      <c r="I148" s="54"/>
      <c r="J148" s="54" t="str">
        <f ca="1">IF(F148="","",OFFSET(分類!$B$29,MATCH(F148,分類!$A$30:$A$46,0),0))</f>
        <v/>
      </c>
      <c r="K148" s="69"/>
      <c r="L148" s="54"/>
    </row>
    <row r="149" spans="2:12">
      <c r="B149" s="27">
        <f t="shared" si="2"/>
        <v>145</v>
      </c>
      <c r="C149" s="27"/>
      <c r="D149" s="27"/>
      <c r="E149" s="27"/>
      <c r="F149" s="54"/>
      <c r="G149" s="54"/>
      <c r="H149" s="54"/>
      <c r="I149" s="54"/>
      <c r="J149" s="54" t="str">
        <f ca="1">IF(F149="","",OFFSET(分類!$B$29,MATCH(F149,分類!$A$30:$A$46,0),0))</f>
        <v/>
      </c>
      <c r="K149" s="69"/>
      <c r="L149" s="54"/>
    </row>
    <row r="150" spans="2:12">
      <c r="B150" s="27">
        <f t="shared" si="2"/>
        <v>146</v>
      </c>
      <c r="C150" s="27"/>
      <c r="D150" s="27"/>
      <c r="E150" s="27"/>
      <c r="F150" s="54"/>
      <c r="G150" s="54"/>
      <c r="H150" s="54"/>
      <c r="I150" s="54"/>
      <c r="J150" s="54" t="str">
        <f ca="1">IF(F150="","",OFFSET(分類!$B$29,MATCH(F150,分類!$A$30:$A$46,0),0))</f>
        <v/>
      </c>
      <c r="K150" s="69"/>
      <c r="L150" s="54"/>
    </row>
    <row r="151" spans="2:12">
      <c r="B151" s="27">
        <f t="shared" si="2"/>
        <v>147</v>
      </c>
      <c r="C151" s="27"/>
      <c r="D151" s="27"/>
      <c r="E151" s="27"/>
      <c r="F151" s="54"/>
      <c r="G151" s="54"/>
      <c r="H151" s="54"/>
      <c r="I151" s="54"/>
      <c r="J151" s="54" t="str">
        <f ca="1">IF(F151="","",OFFSET(分類!$B$29,MATCH(F151,分類!$A$30:$A$46,0),0))</f>
        <v/>
      </c>
      <c r="K151" s="69"/>
      <c r="L151" s="54"/>
    </row>
    <row r="152" spans="2:12">
      <c r="B152" s="27">
        <f t="shared" si="2"/>
        <v>148</v>
      </c>
      <c r="C152" s="27"/>
      <c r="D152" s="27"/>
      <c r="E152" s="27"/>
      <c r="F152" s="54"/>
      <c r="G152" s="54"/>
      <c r="H152" s="54"/>
      <c r="I152" s="54"/>
      <c r="J152" s="54" t="str">
        <f ca="1">IF(F152="","",OFFSET(分類!$B$29,MATCH(F152,分類!$A$30:$A$46,0),0))</f>
        <v/>
      </c>
      <c r="K152" s="69"/>
      <c r="L152" s="54"/>
    </row>
    <row r="153" spans="2:12">
      <c r="B153" s="27">
        <f t="shared" si="2"/>
        <v>149</v>
      </c>
      <c r="C153" s="27"/>
      <c r="D153" s="27"/>
      <c r="E153" s="27"/>
      <c r="F153" s="54"/>
      <c r="G153" s="54"/>
      <c r="H153" s="54"/>
      <c r="I153" s="54"/>
      <c r="J153" s="54" t="str">
        <f ca="1">IF(F153="","",OFFSET(分類!$B$29,MATCH(F153,分類!$A$30:$A$46,0),0))</f>
        <v/>
      </c>
      <c r="K153" s="69"/>
      <c r="L153" s="54"/>
    </row>
    <row r="154" spans="2:12">
      <c r="B154" s="27">
        <f t="shared" si="2"/>
        <v>150</v>
      </c>
      <c r="C154" s="27"/>
      <c r="D154" s="27"/>
      <c r="E154" s="27"/>
      <c r="F154" s="54"/>
      <c r="G154" s="54"/>
      <c r="H154" s="54"/>
      <c r="I154" s="54"/>
      <c r="J154" s="54" t="str">
        <f ca="1">IF(F154="","",OFFSET(分類!$B$29,MATCH(F154,分類!$A$30:$A$46,0),0))</f>
        <v/>
      </c>
      <c r="K154" s="69"/>
      <c r="L154" s="54"/>
    </row>
    <row r="155" spans="2:12">
      <c r="B155" s="27">
        <f t="shared" si="2"/>
        <v>151</v>
      </c>
      <c r="C155" s="27"/>
      <c r="D155" s="27"/>
      <c r="E155" s="27"/>
      <c r="F155" s="54"/>
      <c r="G155" s="54"/>
      <c r="H155" s="54"/>
      <c r="I155" s="54"/>
      <c r="J155" s="54" t="str">
        <f ca="1">IF(F155="","",OFFSET(分類!$B$29,MATCH(F155,分類!$A$30:$A$46,0),0))</f>
        <v/>
      </c>
      <c r="K155" s="69"/>
      <c r="L155" s="54"/>
    </row>
    <row r="156" spans="2:12">
      <c r="B156" s="27">
        <f t="shared" si="2"/>
        <v>152</v>
      </c>
      <c r="C156" s="27"/>
      <c r="D156" s="27"/>
      <c r="E156" s="27"/>
      <c r="F156" s="54"/>
      <c r="G156" s="54"/>
      <c r="H156" s="54"/>
      <c r="I156" s="54"/>
      <c r="J156" s="54" t="str">
        <f ca="1">IF(F156="","",OFFSET(分類!$B$29,MATCH(F156,分類!$A$30:$A$46,0),0))</f>
        <v/>
      </c>
      <c r="K156" s="69"/>
      <c r="L156" s="54"/>
    </row>
    <row r="157" spans="2:12">
      <c r="B157" s="27">
        <f t="shared" si="2"/>
        <v>153</v>
      </c>
      <c r="C157" s="27"/>
      <c r="D157" s="27"/>
      <c r="E157" s="27"/>
      <c r="F157" s="54"/>
      <c r="G157" s="54"/>
      <c r="H157" s="54"/>
      <c r="I157" s="54"/>
      <c r="J157" s="54" t="str">
        <f ca="1">IF(F157="","",OFFSET(分類!$B$29,MATCH(F157,分類!$A$30:$A$46,0),0))</f>
        <v/>
      </c>
      <c r="K157" s="69"/>
      <c r="L157" s="54"/>
    </row>
    <row r="158" spans="2:12">
      <c r="B158" s="27">
        <f t="shared" si="2"/>
        <v>154</v>
      </c>
      <c r="C158" s="27"/>
      <c r="D158" s="27"/>
      <c r="E158" s="27"/>
      <c r="F158" s="54"/>
      <c r="G158" s="54"/>
      <c r="H158" s="54"/>
      <c r="I158" s="54"/>
      <c r="J158" s="54" t="str">
        <f ca="1">IF(F158="","",OFFSET(分類!$B$29,MATCH(F158,分類!$A$30:$A$46,0),0))</f>
        <v/>
      </c>
      <c r="K158" s="69"/>
      <c r="L158" s="54"/>
    </row>
    <row r="159" spans="2:12">
      <c r="B159" s="27">
        <f t="shared" si="2"/>
        <v>155</v>
      </c>
      <c r="C159" s="27"/>
      <c r="D159" s="27"/>
      <c r="E159" s="27"/>
      <c r="F159" s="54"/>
      <c r="G159" s="54"/>
      <c r="H159" s="54"/>
      <c r="I159" s="54"/>
      <c r="J159" s="54" t="str">
        <f ca="1">IF(F159="","",OFFSET(分類!$B$29,MATCH(F159,分類!$A$30:$A$46,0),0))</f>
        <v/>
      </c>
      <c r="K159" s="69"/>
      <c r="L159" s="54"/>
    </row>
    <row r="160" spans="2:12">
      <c r="B160" s="27">
        <f t="shared" si="2"/>
        <v>156</v>
      </c>
      <c r="C160" s="27"/>
      <c r="D160" s="27"/>
      <c r="E160" s="27"/>
      <c r="F160" s="54"/>
      <c r="G160" s="54"/>
      <c r="H160" s="54"/>
      <c r="I160" s="54"/>
      <c r="J160" s="54" t="str">
        <f ca="1">IF(F160="","",OFFSET(分類!$B$29,MATCH(F160,分類!$A$30:$A$46,0),0))</f>
        <v/>
      </c>
      <c r="K160" s="69"/>
      <c r="L160" s="54"/>
    </row>
    <row r="161" spans="2:12">
      <c r="B161" s="27">
        <f t="shared" si="2"/>
        <v>157</v>
      </c>
      <c r="C161" s="27"/>
      <c r="D161" s="27"/>
      <c r="E161" s="27"/>
      <c r="F161" s="54"/>
      <c r="G161" s="54"/>
      <c r="H161" s="54"/>
      <c r="I161" s="54"/>
      <c r="J161" s="54" t="str">
        <f ca="1">IF(F161="","",OFFSET(分類!$B$29,MATCH(F161,分類!$A$30:$A$46,0),0))</f>
        <v/>
      </c>
      <c r="K161" s="69"/>
      <c r="L161" s="54"/>
    </row>
    <row r="162" spans="2:12">
      <c r="B162" s="27">
        <f t="shared" si="2"/>
        <v>158</v>
      </c>
      <c r="C162" s="27"/>
      <c r="D162" s="27"/>
      <c r="E162" s="27"/>
      <c r="F162" s="54"/>
      <c r="G162" s="54"/>
      <c r="H162" s="54"/>
      <c r="I162" s="54"/>
      <c r="J162" s="54" t="str">
        <f ca="1">IF(F162="","",OFFSET(分類!$B$29,MATCH(F162,分類!$A$30:$A$46,0),0))</f>
        <v/>
      </c>
      <c r="K162" s="69"/>
      <c r="L162" s="54"/>
    </row>
    <row r="163" spans="2:12">
      <c r="B163" s="27">
        <f t="shared" si="2"/>
        <v>159</v>
      </c>
      <c r="C163" s="27"/>
      <c r="D163" s="27"/>
      <c r="E163" s="27"/>
      <c r="F163" s="54"/>
      <c r="G163" s="54"/>
      <c r="H163" s="54"/>
      <c r="I163" s="54"/>
      <c r="J163" s="54" t="str">
        <f ca="1">IF(F163="","",OFFSET(分類!$B$29,MATCH(F163,分類!$A$30:$A$46,0),0))</f>
        <v/>
      </c>
      <c r="K163" s="69"/>
      <c r="L163" s="54"/>
    </row>
    <row r="164" spans="2:12">
      <c r="B164" s="27">
        <f t="shared" si="2"/>
        <v>160</v>
      </c>
      <c r="C164" s="27"/>
      <c r="D164" s="27"/>
      <c r="E164" s="27"/>
      <c r="F164" s="54"/>
      <c r="G164" s="54"/>
      <c r="H164" s="54"/>
      <c r="I164" s="54"/>
      <c r="J164" s="54" t="str">
        <f ca="1">IF(F164="","",OFFSET(分類!$B$29,MATCH(F164,分類!$A$30:$A$46,0),0))</f>
        <v/>
      </c>
      <c r="K164" s="69"/>
      <c r="L164" s="54"/>
    </row>
    <row r="165" spans="2:12">
      <c r="B165" s="27">
        <f t="shared" si="2"/>
        <v>161</v>
      </c>
      <c r="C165" s="27"/>
      <c r="D165" s="27"/>
      <c r="E165" s="27"/>
      <c r="F165" s="54"/>
      <c r="G165" s="54"/>
      <c r="H165" s="54"/>
      <c r="I165" s="54"/>
      <c r="J165" s="54" t="str">
        <f ca="1">IF(F165="","",OFFSET(分類!$B$29,MATCH(F165,分類!$A$30:$A$46,0),0))</f>
        <v/>
      </c>
      <c r="K165" s="69"/>
      <c r="L165" s="54"/>
    </row>
    <row r="166" spans="2:12">
      <c r="B166" s="27">
        <f t="shared" si="2"/>
        <v>162</v>
      </c>
      <c r="C166" s="27"/>
      <c r="D166" s="27"/>
      <c r="E166" s="27"/>
      <c r="F166" s="54"/>
      <c r="G166" s="54"/>
      <c r="H166" s="54"/>
      <c r="I166" s="54"/>
      <c r="J166" s="54" t="str">
        <f ca="1">IF(F166="","",OFFSET(分類!$B$29,MATCH(F166,分類!$A$30:$A$46,0),0))</f>
        <v/>
      </c>
      <c r="K166" s="69"/>
      <c r="L166" s="54"/>
    </row>
    <row r="167" spans="2:12">
      <c r="B167" s="27">
        <f t="shared" si="2"/>
        <v>163</v>
      </c>
      <c r="C167" s="27"/>
      <c r="D167" s="27"/>
      <c r="E167" s="27"/>
      <c r="F167" s="54"/>
      <c r="G167" s="54"/>
      <c r="H167" s="54"/>
      <c r="I167" s="54"/>
      <c r="J167" s="54" t="str">
        <f ca="1">IF(F167="","",OFFSET(分類!$B$29,MATCH(F167,分類!$A$30:$A$46,0),0))</f>
        <v/>
      </c>
      <c r="K167" s="69"/>
      <c r="L167" s="54"/>
    </row>
    <row r="168" spans="2:12">
      <c r="B168" s="27">
        <f t="shared" si="2"/>
        <v>164</v>
      </c>
      <c r="C168" s="27"/>
      <c r="D168" s="27"/>
      <c r="E168" s="27"/>
      <c r="F168" s="54"/>
      <c r="G168" s="54"/>
      <c r="H168" s="54"/>
      <c r="I168" s="54"/>
      <c r="J168" s="54" t="str">
        <f ca="1">IF(F168="","",OFFSET(分類!$B$29,MATCH(F168,分類!$A$30:$A$46,0),0))</f>
        <v/>
      </c>
      <c r="K168" s="69"/>
      <c r="L168" s="54"/>
    </row>
    <row r="169" spans="2:12">
      <c r="B169" s="27">
        <f t="shared" si="2"/>
        <v>165</v>
      </c>
      <c r="C169" s="27"/>
      <c r="D169" s="27"/>
      <c r="E169" s="27"/>
      <c r="F169" s="54"/>
      <c r="G169" s="54"/>
      <c r="H169" s="54"/>
      <c r="I169" s="54"/>
      <c r="J169" s="54" t="str">
        <f ca="1">IF(F169="","",OFFSET(分類!$B$29,MATCH(F169,分類!$A$30:$A$46,0),0))</f>
        <v/>
      </c>
      <c r="K169" s="69"/>
      <c r="L169" s="54"/>
    </row>
    <row r="170" spans="2:12">
      <c r="B170" s="27">
        <f t="shared" si="2"/>
        <v>166</v>
      </c>
      <c r="C170" s="27"/>
      <c r="D170" s="27"/>
      <c r="E170" s="27"/>
      <c r="F170" s="54"/>
      <c r="G170" s="54"/>
      <c r="H170" s="54"/>
      <c r="I170" s="54"/>
      <c r="J170" s="54" t="str">
        <f ca="1">IF(F170="","",OFFSET(分類!$B$29,MATCH(F170,分類!$A$30:$A$46,0),0))</f>
        <v/>
      </c>
      <c r="K170" s="69"/>
      <c r="L170" s="54"/>
    </row>
    <row r="171" spans="2:12">
      <c r="B171" s="27">
        <f t="shared" si="2"/>
        <v>167</v>
      </c>
      <c r="C171" s="27"/>
      <c r="D171" s="27"/>
      <c r="E171" s="27"/>
      <c r="F171" s="54"/>
      <c r="G171" s="54"/>
      <c r="H171" s="54"/>
      <c r="I171" s="54"/>
      <c r="J171" s="54" t="str">
        <f ca="1">IF(F171="","",OFFSET(分類!$B$29,MATCH(F171,分類!$A$30:$A$46,0),0))</f>
        <v/>
      </c>
      <c r="K171" s="69"/>
      <c r="L171" s="54"/>
    </row>
    <row r="172" spans="2:12">
      <c r="B172" s="27">
        <f t="shared" si="2"/>
        <v>168</v>
      </c>
      <c r="C172" s="27"/>
      <c r="D172" s="27"/>
      <c r="E172" s="27"/>
      <c r="F172" s="54"/>
      <c r="G172" s="54"/>
      <c r="H172" s="54"/>
      <c r="I172" s="54"/>
      <c r="J172" s="54" t="str">
        <f ca="1">IF(F172="","",OFFSET(分類!$B$29,MATCH(F172,分類!$A$30:$A$46,0),0))</f>
        <v/>
      </c>
      <c r="K172" s="69"/>
      <c r="L172" s="54"/>
    </row>
    <row r="173" spans="2:12">
      <c r="B173" s="27">
        <f t="shared" si="2"/>
        <v>169</v>
      </c>
      <c r="C173" s="27"/>
      <c r="D173" s="27"/>
      <c r="E173" s="27"/>
      <c r="F173" s="54"/>
      <c r="G173" s="54"/>
      <c r="H173" s="54"/>
      <c r="I173" s="54"/>
      <c r="J173" s="54" t="str">
        <f ca="1">IF(F173="","",OFFSET(分類!$B$29,MATCH(F173,分類!$A$30:$A$46,0),0))</f>
        <v/>
      </c>
      <c r="K173" s="69"/>
      <c r="L173" s="54"/>
    </row>
    <row r="174" spans="2:12">
      <c r="B174" s="27">
        <f t="shared" si="2"/>
        <v>170</v>
      </c>
      <c r="C174" s="27"/>
      <c r="D174" s="27"/>
      <c r="E174" s="27"/>
      <c r="F174" s="54"/>
      <c r="G174" s="54"/>
      <c r="H174" s="54"/>
      <c r="I174" s="54"/>
      <c r="J174" s="54" t="str">
        <f ca="1">IF(F174="","",OFFSET(分類!$B$29,MATCH(F174,分類!$A$30:$A$46,0),0))</f>
        <v/>
      </c>
      <c r="K174" s="69"/>
      <c r="L174" s="54"/>
    </row>
    <row r="175" spans="2:12">
      <c r="B175" s="27">
        <f t="shared" si="2"/>
        <v>171</v>
      </c>
      <c r="C175" s="27"/>
      <c r="D175" s="27"/>
      <c r="E175" s="27"/>
      <c r="F175" s="54"/>
      <c r="G175" s="54"/>
      <c r="H175" s="54"/>
      <c r="I175" s="54"/>
      <c r="J175" s="54" t="str">
        <f ca="1">IF(F175="","",OFFSET(分類!$B$29,MATCH(F175,分類!$A$30:$A$46,0),0))</f>
        <v/>
      </c>
      <c r="K175" s="69"/>
      <c r="L175" s="54"/>
    </row>
    <row r="176" spans="2:12">
      <c r="B176" s="27">
        <f t="shared" si="2"/>
        <v>172</v>
      </c>
      <c r="C176" s="27"/>
      <c r="D176" s="27"/>
      <c r="E176" s="27"/>
      <c r="F176" s="54"/>
      <c r="G176" s="54"/>
      <c r="H176" s="54"/>
      <c r="I176" s="54"/>
      <c r="J176" s="54" t="str">
        <f ca="1">IF(F176="","",OFFSET(分類!$B$29,MATCH(F176,分類!$A$30:$A$46,0),0))</f>
        <v/>
      </c>
      <c r="K176" s="69"/>
      <c r="L176" s="54"/>
    </row>
    <row r="177" spans="2:12">
      <c r="B177" s="27">
        <f t="shared" si="2"/>
        <v>173</v>
      </c>
      <c r="C177" s="27"/>
      <c r="D177" s="27"/>
      <c r="E177" s="27"/>
      <c r="F177" s="54"/>
      <c r="G177" s="54"/>
      <c r="H177" s="54"/>
      <c r="I177" s="54"/>
      <c r="J177" s="54" t="str">
        <f ca="1">IF(F177="","",OFFSET(分類!$B$29,MATCH(F177,分類!$A$30:$A$46,0),0))</f>
        <v/>
      </c>
      <c r="K177" s="69"/>
      <c r="L177" s="54"/>
    </row>
    <row r="178" spans="2:12">
      <c r="B178" s="27">
        <f t="shared" si="2"/>
        <v>174</v>
      </c>
      <c r="C178" s="27"/>
      <c r="D178" s="27"/>
      <c r="E178" s="27"/>
      <c r="F178" s="54"/>
      <c r="G178" s="54"/>
      <c r="H178" s="54"/>
      <c r="I178" s="54"/>
      <c r="J178" s="54" t="str">
        <f ca="1">IF(F178="","",OFFSET(分類!$B$29,MATCH(F178,分類!$A$30:$A$46,0),0))</f>
        <v/>
      </c>
      <c r="K178" s="69"/>
      <c r="L178" s="54"/>
    </row>
    <row r="179" spans="2:12">
      <c r="B179" s="27">
        <f t="shared" si="2"/>
        <v>175</v>
      </c>
      <c r="C179" s="27"/>
      <c r="D179" s="27"/>
      <c r="E179" s="27"/>
      <c r="F179" s="54"/>
      <c r="G179" s="54"/>
      <c r="H179" s="54"/>
      <c r="I179" s="54"/>
      <c r="J179" s="54" t="str">
        <f ca="1">IF(F179="","",OFFSET(分類!$B$29,MATCH(F179,分類!$A$30:$A$46,0),0))</f>
        <v/>
      </c>
      <c r="K179" s="69"/>
      <c r="L179" s="54"/>
    </row>
    <row r="180" spans="2:12">
      <c r="B180" s="27">
        <f t="shared" si="2"/>
        <v>176</v>
      </c>
      <c r="C180" s="27"/>
      <c r="D180" s="27"/>
      <c r="E180" s="27"/>
      <c r="F180" s="54"/>
      <c r="G180" s="54"/>
      <c r="H180" s="54"/>
      <c r="I180" s="54"/>
      <c r="J180" s="54" t="str">
        <f ca="1">IF(F180="","",OFFSET(分類!$B$29,MATCH(F180,分類!$A$30:$A$46,0),0))</f>
        <v/>
      </c>
      <c r="K180" s="69"/>
      <c r="L180" s="54"/>
    </row>
    <row r="181" spans="2:12">
      <c r="B181" s="27">
        <f t="shared" si="2"/>
        <v>177</v>
      </c>
      <c r="C181" s="27"/>
      <c r="D181" s="27"/>
      <c r="E181" s="27"/>
      <c r="F181" s="54"/>
      <c r="G181" s="54"/>
      <c r="H181" s="54"/>
      <c r="I181" s="54"/>
      <c r="J181" s="54" t="str">
        <f ca="1">IF(F181="","",OFFSET(分類!$B$29,MATCH(F181,分類!$A$30:$A$46,0),0))</f>
        <v/>
      </c>
      <c r="K181" s="69"/>
      <c r="L181" s="54"/>
    </row>
    <row r="182" spans="2:12">
      <c r="B182" s="27">
        <f t="shared" si="2"/>
        <v>178</v>
      </c>
      <c r="C182" s="27"/>
      <c r="D182" s="27"/>
      <c r="E182" s="27"/>
      <c r="F182" s="54"/>
      <c r="G182" s="54"/>
      <c r="H182" s="54"/>
      <c r="I182" s="54"/>
      <c r="J182" s="54" t="str">
        <f ca="1">IF(F182="","",OFFSET(分類!$B$29,MATCH(F182,分類!$A$30:$A$46,0),0))</f>
        <v/>
      </c>
      <c r="K182" s="69"/>
      <c r="L182" s="54"/>
    </row>
    <row r="183" spans="2:12">
      <c r="B183" s="27">
        <f t="shared" si="2"/>
        <v>179</v>
      </c>
      <c r="C183" s="27"/>
      <c r="D183" s="27"/>
      <c r="E183" s="27"/>
      <c r="F183" s="54"/>
      <c r="G183" s="54"/>
      <c r="H183" s="54"/>
      <c r="I183" s="54"/>
      <c r="J183" s="54" t="str">
        <f ca="1">IF(F183="","",OFFSET(分類!$B$29,MATCH(F183,分類!$A$30:$A$46,0),0))</f>
        <v/>
      </c>
      <c r="K183" s="69"/>
      <c r="L183" s="54"/>
    </row>
    <row r="184" spans="2:12">
      <c r="B184" s="27">
        <f t="shared" si="2"/>
        <v>180</v>
      </c>
      <c r="C184" s="27"/>
      <c r="D184" s="27"/>
      <c r="E184" s="27"/>
      <c r="F184" s="54"/>
      <c r="G184" s="54"/>
      <c r="H184" s="54"/>
      <c r="I184" s="54"/>
      <c r="J184" s="54" t="str">
        <f ca="1">IF(F184="","",OFFSET(分類!$B$29,MATCH(F184,分類!$A$30:$A$46,0),0))</f>
        <v/>
      </c>
      <c r="K184" s="69"/>
      <c r="L184" s="54"/>
    </row>
    <row r="185" spans="2:12">
      <c r="B185" s="27">
        <f t="shared" si="2"/>
        <v>181</v>
      </c>
      <c r="C185" s="27"/>
      <c r="D185" s="27"/>
      <c r="E185" s="27"/>
      <c r="F185" s="54"/>
      <c r="G185" s="54"/>
      <c r="H185" s="54"/>
      <c r="I185" s="54"/>
      <c r="J185" s="54" t="str">
        <f ca="1">IF(F185="","",OFFSET(分類!$B$29,MATCH(F185,分類!$A$30:$A$46,0),0))</f>
        <v/>
      </c>
      <c r="K185" s="69"/>
      <c r="L185" s="54"/>
    </row>
    <row r="186" spans="2:12">
      <c r="B186" s="27">
        <f t="shared" si="2"/>
        <v>182</v>
      </c>
      <c r="C186" s="27"/>
      <c r="D186" s="27"/>
      <c r="E186" s="27"/>
      <c r="F186" s="54"/>
      <c r="G186" s="54"/>
      <c r="H186" s="54"/>
      <c r="I186" s="54"/>
      <c r="J186" s="54" t="str">
        <f ca="1">IF(F186="","",OFFSET(分類!$B$29,MATCH(F186,分類!$A$30:$A$46,0),0))</f>
        <v/>
      </c>
      <c r="K186" s="69"/>
      <c r="L186" s="54"/>
    </row>
    <row r="187" spans="2:12">
      <c r="B187" s="27">
        <f t="shared" si="2"/>
        <v>183</v>
      </c>
      <c r="C187" s="27"/>
      <c r="D187" s="27"/>
      <c r="E187" s="27"/>
      <c r="F187" s="54"/>
      <c r="G187" s="54"/>
      <c r="H187" s="54"/>
      <c r="I187" s="54"/>
      <c r="J187" s="54" t="str">
        <f ca="1">IF(F187="","",OFFSET(分類!$B$29,MATCH(F187,分類!$A$30:$A$46,0),0))</f>
        <v/>
      </c>
      <c r="K187" s="69"/>
      <c r="L187" s="54"/>
    </row>
    <row r="188" spans="2:12">
      <c r="B188" s="27">
        <f t="shared" si="2"/>
        <v>184</v>
      </c>
      <c r="C188" s="27"/>
      <c r="D188" s="27"/>
      <c r="E188" s="27"/>
      <c r="F188" s="54"/>
      <c r="G188" s="54"/>
      <c r="H188" s="54"/>
      <c r="I188" s="54"/>
      <c r="J188" s="54" t="str">
        <f ca="1">IF(F188="","",OFFSET(分類!$B$29,MATCH(F188,分類!$A$30:$A$46,0),0))</f>
        <v/>
      </c>
      <c r="K188" s="69"/>
      <c r="L188" s="54"/>
    </row>
    <row r="189" spans="2:12">
      <c r="B189" s="27">
        <f t="shared" si="2"/>
        <v>185</v>
      </c>
      <c r="C189" s="27"/>
      <c r="D189" s="27"/>
      <c r="E189" s="27"/>
      <c r="F189" s="54"/>
      <c r="G189" s="54"/>
      <c r="H189" s="54"/>
      <c r="I189" s="54"/>
      <c r="J189" s="54" t="str">
        <f ca="1">IF(F189="","",OFFSET(分類!$B$29,MATCH(F189,分類!$A$30:$A$46,0),0))</f>
        <v/>
      </c>
      <c r="K189" s="69"/>
      <c r="L189" s="54"/>
    </row>
    <row r="190" spans="2:12">
      <c r="B190" s="27">
        <f t="shared" si="2"/>
        <v>186</v>
      </c>
      <c r="C190" s="27"/>
      <c r="D190" s="27"/>
      <c r="E190" s="27"/>
      <c r="F190" s="54"/>
      <c r="G190" s="54"/>
      <c r="H190" s="54"/>
      <c r="I190" s="54"/>
      <c r="J190" s="54" t="str">
        <f ca="1">IF(F190="","",OFFSET(分類!$B$29,MATCH(F190,分類!$A$30:$A$46,0),0))</f>
        <v/>
      </c>
      <c r="K190" s="69"/>
      <c r="L190" s="54"/>
    </row>
    <row r="191" spans="2:12">
      <c r="B191" s="27">
        <f t="shared" si="2"/>
        <v>187</v>
      </c>
      <c r="C191" s="27"/>
      <c r="D191" s="27"/>
      <c r="E191" s="27"/>
      <c r="F191" s="54"/>
      <c r="G191" s="54"/>
      <c r="H191" s="54"/>
      <c r="I191" s="54"/>
      <c r="J191" s="54" t="str">
        <f ca="1">IF(F191="","",OFFSET(分類!$B$29,MATCH(F191,分類!$A$30:$A$46,0),0))</f>
        <v/>
      </c>
      <c r="K191" s="69"/>
      <c r="L191" s="54"/>
    </row>
    <row r="192" spans="2:12">
      <c r="B192" s="27">
        <f t="shared" si="2"/>
        <v>188</v>
      </c>
      <c r="C192" s="27"/>
      <c r="D192" s="27"/>
      <c r="E192" s="27"/>
      <c r="F192" s="54"/>
      <c r="G192" s="54"/>
      <c r="H192" s="54"/>
      <c r="I192" s="54"/>
      <c r="J192" s="54" t="str">
        <f ca="1">IF(F192="","",OFFSET(分類!$B$29,MATCH(F192,分類!$A$30:$A$46,0),0))</f>
        <v/>
      </c>
      <c r="K192" s="69"/>
      <c r="L192" s="54"/>
    </row>
    <row r="193" spans="2:12">
      <c r="B193" s="27">
        <f t="shared" si="2"/>
        <v>189</v>
      </c>
      <c r="C193" s="27"/>
      <c r="D193" s="27"/>
      <c r="E193" s="27"/>
      <c r="F193" s="54"/>
      <c r="G193" s="54"/>
      <c r="H193" s="54"/>
      <c r="I193" s="54"/>
      <c r="J193" s="54" t="str">
        <f ca="1">IF(F193="","",OFFSET(分類!$B$29,MATCH(F193,分類!$A$30:$A$46,0),0))</f>
        <v/>
      </c>
      <c r="K193" s="69"/>
      <c r="L193" s="54"/>
    </row>
    <row r="194" spans="2:12">
      <c r="B194" s="27">
        <f t="shared" si="2"/>
        <v>190</v>
      </c>
      <c r="C194" s="27"/>
      <c r="D194" s="27"/>
      <c r="E194" s="27"/>
      <c r="F194" s="54"/>
      <c r="G194" s="54"/>
      <c r="H194" s="54"/>
      <c r="I194" s="54"/>
      <c r="J194" s="54" t="str">
        <f ca="1">IF(F194="","",OFFSET(分類!$B$29,MATCH(F194,分類!$A$30:$A$46,0),0))</f>
        <v/>
      </c>
      <c r="K194" s="69"/>
      <c r="L194" s="54"/>
    </row>
    <row r="195" spans="2:12">
      <c r="B195" s="27">
        <f t="shared" si="2"/>
        <v>191</v>
      </c>
      <c r="C195" s="27"/>
      <c r="D195" s="27"/>
      <c r="E195" s="27"/>
      <c r="F195" s="54"/>
      <c r="G195" s="54"/>
      <c r="H195" s="54"/>
      <c r="I195" s="54"/>
      <c r="J195" s="54" t="str">
        <f ca="1">IF(F195="","",OFFSET(分類!$B$29,MATCH(F195,分類!$A$30:$A$46,0),0))</f>
        <v/>
      </c>
      <c r="K195" s="69"/>
      <c r="L195" s="54"/>
    </row>
    <row r="196" spans="2:12">
      <c r="B196" s="27">
        <f t="shared" si="2"/>
        <v>192</v>
      </c>
      <c r="C196" s="27"/>
      <c r="D196" s="27"/>
      <c r="E196" s="27"/>
      <c r="F196" s="54"/>
      <c r="G196" s="54"/>
      <c r="H196" s="54"/>
      <c r="I196" s="54"/>
      <c r="J196" s="54" t="str">
        <f ca="1">IF(F196="","",OFFSET(分類!$B$29,MATCH(F196,分類!$A$30:$A$46,0),0))</f>
        <v/>
      </c>
      <c r="K196" s="69"/>
      <c r="L196" s="54"/>
    </row>
    <row r="197" spans="2:12">
      <c r="B197" s="27">
        <f t="shared" si="2"/>
        <v>193</v>
      </c>
      <c r="C197" s="27"/>
      <c r="D197" s="27"/>
      <c r="E197" s="27"/>
      <c r="F197" s="54"/>
      <c r="G197" s="54"/>
      <c r="H197" s="54"/>
      <c r="I197" s="54"/>
      <c r="J197" s="54" t="str">
        <f ca="1">IF(F197="","",OFFSET(分類!$B$29,MATCH(F197,分類!$A$30:$A$46,0),0))</f>
        <v/>
      </c>
      <c r="K197" s="69"/>
      <c r="L197" s="54"/>
    </row>
    <row r="198" spans="2:12">
      <c r="B198" s="27">
        <f t="shared" si="2"/>
        <v>194</v>
      </c>
      <c r="C198" s="27"/>
      <c r="D198" s="27"/>
      <c r="E198" s="27"/>
      <c r="F198" s="54"/>
      <c r="G198" s="54"/>
      <c r="H198" s="54"/>
      <c r="I198" s="54"/>
      <c r="J198" s="54" t="str">
        <f ca="1">IF(F198="","",OFFSET(分類!$B$29,MATCH(F198,分類!$A$30:$A$46,0),0))</f>
        <v/>
      </c>
      <c r="K198" s="69"/>
      <c r="L198" s="54"/>
    </row>
    <row r="199" spans="2:12">
      <c r="B199" s="27">
        <f t="shared" ref="B199:B262" si="3">B198+1</f>
        <v>195</v>
      </c>
      <c r="C199" s="27"/>
      <c r="D199" s="27"/>
      <c r="E199" s="27"/>
      <c r="F199" s="54"/>
      <c r="G199" s="54"/>
      <c r="H199" s="54"/>
      <c r="I199" s="54"/>
      <c r="J199" s="54" t="str">
        <f ca="1">IF(F199="","",OFFSET(分類!$B$29,MATCH(F199,分類!$A$30:$A$46,0),0))</f>
        <v/>
      </c>
      <c r="K199" s="69"/>
      <c r="L199" s="54"/>
    </row>
    <row r="200" spans="2:12">
      <c r="B200" s="27">
        <f t="shared" si="3"/>
        <v>196</v>
      </c>
      <c r="C200" s="27"/>
      <c r="D200" s="27"/>
      <c r="E200" s="27"/>
      <c r="F200" s="54"/>
      <c r="G200" s="54"/>
      <c r="H200" s="54"/>
      <c r="I200" s="54"/>
      <c r="J200" s="54" t="str">
        <f ca="1">IF(F200="","",OFFSET(分類!$B$29,MATCH(F200,分類!$A$30:$A$46,0),0))</f>
        <v/>
      </c>
      <c r="K200" s="69"/>
      <c r="L200" s="54"/>
    </row>
    <row r="201" spans="2:12">
      <c r="B201" s="27">
        <f t="shared" si="3"/>
        <v>197</v>
      </c>
      <c r="C201" s="27"/>
      <c r="D201" s="27"/>
      <c r="E201" s="27"/>
      <c r="F201" s="54"/>
      <c r="G201" s="54"/>
      <c r="H201" s="54"/>
      <c r="I201" s="54"/>
      <c r="J201" s="54" t="str">
        <f ca="1">IF(F201="","",OFFSET(分類!$B$29,MATCH(F201,分類!$A$30:$A$46,0),0))</f>
        <v/>
      </c>
      <c r="K201" s="69"/>
      <c r="L201" s="54"/>
    </row>
    <row r="202" spans="2:12">
      <c r="B202" s="27">
        <f t="shared" si="3"/>
        <v>198</v>
      </c>
      <c r="C202" s="27"/>
      <c r="D202" s="27"/>
      <c r="E202" s="27"/>
      <c r="F202" s="54"/>
      <c r="G202" s="54"/>
      <c r="H202" s="54"/>
      <c r="I202" s="54"/>
      <c r="J202" s="54" t="str">
        <f ca="1">IF(F202="","",OFFSET(分類!$B$29,MATCH(F202,分類!$A$30:$A$46,0),0))</f>
        <v/>
      </c>
      <c r="K202" s="69"/>
      <c r="L202" s="54"/>
    </row>
    <row r="203" spans="2:12">
      <c r="B203" s="27">
        <f t="shared" si="3"/>
        <v>199</v>
      </c>
      <c r="C203" s="27"/>
      <c r="D203" s="27"/>
      <c r="E203" s="27"/>
      <c r="F203" s="54"/>
      <c r="G203" s="54"/>
      <c r="H203" s="54"/>
      <c r="I203" s="54"/>
      <c r="J203" s="54" t="str">
        <f ca="1">IF(F203="","",OFFSET(分類!$B$29,MATCH(F203,分類!$A$30:$A$46,0),0))</f>
        <v/>
      </c>
      <c r="K203" s="69"/>
      <c r="L203" s="54"/>
    </row>
    <row r="204" spans="2:12">
      <c r="B204" s="27">
        <f t="shared" si="3"/>
        <v>200</v>
      </c>
      <c r="C204" s="27"/>
      <c r="D204" s="27"/>
      <c r="E204" s="27"/>
      <c r="F204" s="54"/>
      <c r="G204" s="54"/>
      <c r="H204" s="54"/>
      <c r="I204" s="54"/>
      <c r="J204" s="54" t="str">
        <f ca="1">IF(F204="","",OFFSET(分類!$B$29,MATCH(F204,分類!$A$30:$A$46,0),0))</f>
        <v/>
      </c>
      <c r="K204" s="69"/>
      <c r="L204" s="54"/>
    </row>
    <row r="205" spans="2:12">
      <c r="B205" s="27">
        <f t="shared" si="3"/>
        <v>201</v>
      </c>
      <c r="C205" s="27"/>
      <c r="D205" s="27"/>
      <c r="E205" s="27"/>
      <c r="F205" s="54"/>
      <c r="G205" s="54"/>
      <c r="H205" s="54"/>
      <c r="I205" s="54"/>
      <c r="J205" s="54" t="str">
        <f ca="1">IF(F205="","",OFFSET(分類!$B$29,MATCH(F205,分類!$A$30:$A$46,0),0))</f>
        <v/>
      </c>
      <c r="K205" s="69"/>
      <c r="L205" s="54"/>
    </row>
    <row r="206" spans="2:12">
      <c r="B206" s="27">
        <f t="shared" si="3"/>
        <v>202</v>
      </c>
      <c r="C206" s="27"/>
      <c r="D206" s="27"/>
      <c r="E206" s="27"/>
      <c r="F206" s="54"/>
      <c r="G206" s="54"/>
      <c r="H206" s="54"/>
      <c r="I206" s="54"/>
      <c r="J206" s="54" t="str">
        <f ca="1">IF(F206="","",OFFSET(分類!$B$29,MATCH(F206,分類!$A$30:$A$46,0),0))</f>
        <v/>
      </c>
      <c r="K206" s="69"/>
      <c r="L206" s="54"/>
    </row>
    <row r="207" spans="2:12">
      <c r="B207" s="27">
        <f t="shared" si="3"/>
        <v>203</v>
      </c>
      <c r="C207" s="27"/>
      <c r="D207" s="27"/>
      <c r="E207" s="27"/>
      <c r="F207" s="54"/>
      <c r="G207" s="54"/>
      <c r="H207" s="54"/>
      <c r="I207" s="54"/>
      <c r="J207" s="54" t="str">
        <f ca="1">IF(F207="","",OFFSET(分類!$B$29,MATCH(F207,分類!$A$30:$A$46,0),0))</f>
        <v/>
      </c>
      <c r="K207" s="69"/>
      <c r="L207" s="54"/>
    </row>
    <row r="208" spans="2:12">
      <c r="B208" s="27">
        <f t="shared" si="3"/>
        <v>204</v>
      </c>
      <c r="C208" s="27"/>
      <c r="D208" s="27"/>
      <c r="E208" s="27"/>
      <c r="F208" s="54"/>
      <c r="G208" s="54"/>
      <c r="H208" s="54"/>
      <c r="I208" s="54"/>
      <c r="J208" s="54" t="str">
        <f ca="1">IF(F208="","",OFFSET(分類!$B$29,MATCH(F208,分類!$A$30:$A$46,0),0))</f>
        <v/>
      </c>
      <c r="K208" s="69"/>
      <c r="L208" s="54"/>
    </row>
    <row r="209" spans="2:12">
      <c r="B209" s="27">
        <f t="shared" si="3"/>
        <v>205</v>
      </c>
      <c r="C209" s="27"/>
      <c r="D209" s="27"/>
      <c r="E209" s="27"/>
      <c r="F209" s="54"/>
      <c r="G209" s="54"/>
      <c r="H209" s="54"/>
      <c r="I209" s="54"/>
      <c r="J209" s="54" t="str">
        <f ca="1">IF(F209="","",OFFSET(分類!$B$29,MATCH(F209,分類!$A$30:$A$46,0),0))</f>
        <v/>
      </c>
      <c r="K209" s="69"/>
      <c r="L209" s="54"/>
    </row>
    <row r="210" spans="2:12">
      <c r="B210" s="27">
        <f t="shared" si="3"/>
        <v>206</v>
      </c>
      <c r="C210" s="27"/>
      <c r="D210" s="27"/>
      <c r="E210" s="27"/>
      <c r="F210" s="54"/>
      <c r="G210" s="54"/>
      <c r="H210" s="54"/>
      <c r="I210" s="54"/>
      <c r="J210" s="54" t="str">
        <f ca="1">IF(F210="","",OFFSET(分類!$B$29,MATCH(F210,分類!$A$30:$A$46,0),0))</f>
        <v/>
      </c>
      <c r="K210" s="69"/>
      <c r="L210" s="54"/>
    </row>
    <row r="211" spans="2:12">
      <c r="B211" s="27">
        <f t="shared" si="3"/>
        <v>207</v>
      </c>
      <c r="C211" s="27"/>
      <c r="D211" s="27"/>
      <c r="E211" s="27"/>
      <c r="F211" s="54"/>
      <c r="G211" s="54"/>
      <c r="H211" s="54"/>
      <c r="I211" s="54"/>
      <c r="J211" s="54" t="str">
        <f ca="1">IF(F211="","",OFFSET(分類!$B$29,MATCH(F211,分類!$A$30:$A$46,0),0))</f>
        <v/>
      </c>
      <c r="K211" s="69"/>
      <c r="L211" s="54"/>
    </row>
    <row r="212" spans="2:12">
      <c r="B212" s="27">
        <f t="shared" si="3"/>
        <v>208</v>
      </c>
      <c r="C212" s="27"/>
      <c r="D212" s="27"/>
      <c r="E212" s="27"/>
      <c r="F212" s="54"/>
      <c r="G212" s="54"/>
      <c r="H212" s="54"/>
      <c r="I212" s="54"/>
      <c r="J212" s="54" t="str">
        <f ca="1">IF(F212="","",OFFSET(分類!$B$29,MATCH(F212,分類!$A$30:$A$46,0),0))</f>
        <v/>
      </c>
      <c r="K212" s="69"/>
      <c r="L212" s="54"/>
    </row>
    <row r="213" spans="2:12">
      <c r="B213" s="27">
        <f t="shared" si="3"/>
        <v>209</v>
      </c>
      <c r="C213" s="27"/>
      <c r="D213" s="27"/>
      <c r="E213" s="27"/>
      <c r="F213" s="54"/>
      <c r="G213" s="54"/>
      <c r="H213" s="54"/>
      <c r="I213" s="54"/>
      <c r="J213" s="54" t="str">
        <f ca="1">IF(F213="","",OFFSET(分類!$B$29,MATCH(F213,分類!$A$30:$A$46,0),0))</f>
        <v/>
      </c>
      <c r="K213" s="69"/>
      <c r="L213" s="54"/>
    </row>
    <row r="214" spans="2:12">
      <c r="B214" s="27">
        <f t="shared" si="3"/>
        <v>210</v>
      </c>
      <c r="C214" s="27"/>
      <c r="D214" s="27"/>
      <c r="E214" s="27"/>
      <c r="F214" s="54"/>
      <c r="G214" s="54"/>
      <c r="H214" s="54"/>
      <c r="I214" s="54"/>
      <c r="J214" s="54" t="str">
        <f ca="1">IF(F214="","",OFFSET(分類!$B$29,MATCH(F214,分類!$A$30:$A$46,0),0))</f>
        <v/>
      </c>
      <c r="K214" s="69"/>
      <c r="L214" s="54"/>
    </row>
    <row r="215" spans="2:12">
      <c r="B215" s="27">
        <f t="shared" si="3"/>
        <v>211</v>
      </c>
      <c r="C215" s="27"/>
      <c r="D215" s="27"/>
      <c r="E215" s="27"/>
      <c r="F215" s="54"/>
      <c r="G215" s="54"/>
      <c r="H215" s="54"/>
      <c r="I215" s="54"/>
      <c r="J215" s="54" t="str">
        <f ca="1">IF(F215="","",OFFSET(分類!$B$29,MATCH(F215,分類!$A$30:$A$46,0),0))</f>
        <v/>
      </c>
      <c r="K215" s="69"/>
      <c r="L215" s="54"/>
    </row>
    <row r="216" spans="2:12">
      <c r="B216" s="27">
        <f t="shared" si="3"/>
        <v>212</v>
      </c>
      <c r="C216" s="27"/>
      <c r="D216" s="27"/>
      <c r="E216" s="27"/>
      <c r="F216" s="54"/>
      <c r="G216" s="54"/>
      <c r="H216" s="54"/>
      <c r="I216" s="54"/>
      <c r="J216" s="54" t="str">
        <f ca="1">IF(F216="","",OFFSET(分類!$B$29,MATCH(F216,分類!$A$30:$A$46,0),0))</f>
        <v/>
      </c>
      <c r="K216" s="69"/>
      <c r="L216" s="54"/>
    </row>
    <row r="217" spans="2:12">
      <c r="B217" s="27">
        <f t="shared" si="3"/>
        <v>213</v>
      </c>
      <c r="C217" s="27"/>
      <c r="D217" s="27"/>
      <c r="E217" s="27"/>
      <c r="F217" s="54"/>
      <c r="G217" s="54"/>
      <c r="H217" s="54"/>
      <c r="I217" s="54"/>
      <c r="J217" s="54" t="str">
        <f ca="1">IF(F217="","",OFFSET(分類!$B$29,MATCH(F217,分類!$A$30:$A$46,0),0))</f>
        <v/>
      </c>
      <c r="K217" s="69"/>
      <c r="L217" s="54"/>
    </row>
    <row r="218" spans="2:12">
      <c r="B218" s="27">
        <f t="shared" si="3"/>
        <v>214</v>
      </c>
      <c r="C218" s="27"/>
      <c r="D218" s="27"/>
      <c r="E218" s="27"/>
      <c r="F218" s="54"/>
      <c r="G218" s="54"/>
      <c r="H218" s="54"/>
      <c r="I218" s="54"/>
      <c r="J218" s="54" t="str">
        <f ca="1">IF(F218="","",OFFSET(分類!$B$29,MATCH(F218,分類!$A$30:$A$46,0),0))</f>
        <v/>
      </c>
      <c r="K218" s="69"/>
      <c r="L218" s="54"/>
    </row>
    <row r="219" spans="2:12">
      <c r="B219" s="27">
        <f t="shared" si="3"/>
        <v>215</v>
      </c>
      <c r="C219" s="27"/>
      <c r="D219" s="27"/>
      <c r="E219" s="27"/>
      <c r="F219" s="54"/>
      <c r="G219" s="54"/>
      <c r="H219" s="54"/>
      <c r="I219" s="54"/>
      <c r="J219" s="54" t="str">
        <f ca="1">IF(F219="","",OFFSET(分類!$B$29,MATCH(F219,分類!$A$30:$A$46,0),0))</f>
        <v/>
      </c>
      <c r="K219" s="69"/>
      <c r="L219" s="54"/>
    </row>
    <row r="220" spans="2:12">
      <c r="B220" s="27">
        <f t="shared" si="3"/>
        <v>216</v>
      </c>
      <c r="C220" s="27"/>
      <c r="D220" s="27"/>
      <c r="E220" s="27"/>
      <c r="F220" s="54"/>
      <c r="G220" s="54"/>
      <c r="H220" s="54"/>
      <c r="I220" s="54"/>
      <c r="J220" s="54" t="str">
        <f ca="1">IF(F220="","",OFFSET(分類!$B$29,MATCH(F220,分類!$A$30:$A$46,0),0))</f>
        <v/>
      </c>
      <c r="K220" s="69"/>
      <c r="L220" s="54"/>
    </row>
    <row r="221" spans="2:12">
      <c r="B221" s="27">
        <f t="shared" si="3"/>
        <v>217</v>
      </c>
      <c r="C221" s="27"/>
      <c r="D221" s="27"/>
      <c r="E221" s="27"/>
      <c r="F221" s="54"/>
      <c r="G221" s="54"/>
      <c r="H221" s="54"/>
      <c r="I221" s="54"/>
      <c r="J221" s="54" t="str">
        <f ca="1">IF(F221="","",OFFSET(分類!$B$29,MATCH(F221,分類!$A$30:$A$46,0),0))</f>
        <v/>
      </c>
      <c r="K221" s="69"/>
      <c r="L221" s="54"/>
    </row>
    <row r="222" spans="2:12">
      <c r="B222" s="27">
        <f t="shared" si="3"/>
        <v>218</v>
      </c>
      <c r="C222" s="27"/>
      <c r="D222" s="27"/>
      <c r="E222" s="27"/>
      <c r="F222" s="54"/>
      <c r="G222" s="54"/>
      <c r="H222" s="54"/>
      <c r="I222" s="54"/>
      <c r="J222" s="54" t="str">
        <f ca="1">IF(F222="","",OFFSET(分類!$B$29,MATCH(F222,分類!$A$30:$A$46,0),0))</f>
        <v/>
      </c>
      <c r="K222" s="69"/>
      <c r="L222" s="54"/>
    </row>
    <row r="223" spans="2:12">
      <c r="B223" s="27">
        <f t="shared" si="3"/>
        <v>219</v>
      </c>
      <c r="C223" s="27"/>
      <c r="D223" s="27"/>
      <c r="E223" s="27"/>
      <c r="F223" s="54"/>
      <c r="G223" s="54"/>
      <c r="H223" s="54"/>
      <c r="I223" s="54"/>
      <c r="J223" s="54" t="str">
        <f ca="1">IF(F223="","",OFFSET(分類!$B$29,MATCH(F223,分類!$A$30:$A$46,0),0))</f>
        <v/>
      </c>
      <c r="K223" s="69"/>
      <c r="L223" s="54"/>
    </row>
    <row r="224" spans="2:12">
      <c r="B224" s="27">
        <f t="shared" si="3"/>
        <v>220</v>
      </c>
      <c r="C224" s="27"/>
      <c r="D224" s="27"/>
      <c r="E224" s="27"/>
      <c r="F224" s="54"/>
      <c r="G224" s="54"/>
      <c r="H224" s="54"/>
      <c r="I224" s="54"/>
      <c r="J224" s="54" t="str">
        <f ca="1">IF(F224="","",OFFSET(分類!$B$29,MATCH(F224,分類!$A$30:$A$46,0),0))</f>
        <v/>
      </c>
      <c r="K224" s="69"/>
      <c r="L224" s="54"/>
    </row>
    <row r="225" spans="2:12">
      <c r="B225" s="27">
        <f t="shared" si="3"/>
        <v>221</v>
      </c>
      <c r="C225" s="27"/>
      <c r="D225" s="27"/>
      <c r="E225" s="27"/>
      <c r="F225" s="54"/>
      <c r="G225" s="54"/>
      <c r="H225" s="54"/>
      <c r="I225" s="54"/>
      <c r="J225" s="54" t="str">
        <f ca="1">IF(F225="","",OFFSET(分類!$B$29,MATCH(F225,分類!$A$30:$A$46,0),0))</f>
        <v/>
      </c>
      <c r="K225" s="69"/>
      <c r="L225" s="54"/>
    </row>
    <row r="226" spans="2:12">
      <c r="B226" s="27">
        <f t="shared" si="3"/>
        <v>222</v>
      </c>
      <c r="C226" s="27"/>
      <c r="D226" s="27"/>
      <c r="E226" s="27"/>
      <c r="F226" s="54"/>
      <c r="G226" s="54"/>
      <c r="H226" s="54"/>
      <c r="I226" s="54"/>
      <c r="J226" s="54" t="str">
        <f ca="1">IF(F226="","",OFFSET(分類!$B$29,MATCH(F226,分類!$A$30:$A$46,0),0))</f>
        <v/>
      </c>
      <c r="K226" s="69"/>
      <c r="L226" s="54"/>
    </row>
    <row r="227" spans="2:12">
      <c r="B227" s="27">
        <f t="shared" si="3"/>
        <v>223</v>
      </c>
      <c r="C227" s="27"/>
      <c r="D227" s="27"/>
      <c r="E227" s="27"/>
      <c r="F227" s="54"/>
      <c r="G227" s="54"/>
      <c r="H227" s="54"/>
      <c r="I227" s="54"/>
      <c r="J227" s="54" t="str">
        <f ca="1">IF(F227="","",OFFSET(分類!$B$29,MATCH(F227,分類!$A$30:$A$46,0),0))</f>
        <v/>
      </c>
      <c r="K227" s="69"/>
      <c r="L227" s="54"/>
    </row>
    <row r="228" spans="2:12">
      <c r="B228" s="27">
        <f t="shared" si="3"/>
        <v>224</v>
      </c>
      <c r="C228" s="27"/>
      <c r="D228" s="27"/>
      <c r="E228" s="27"/>
      <c r="F228" s="54"/>
      <c r="G228" s="54"/>
      <c r="H228" s="54"/>
      <c r="I228" s="54"/>
      <c r="J228" s="54" t="str">
        <f ca="1">IF(F228="","",OFFSET(分類!$B$29,MATCH(F228,分類!$A$30:$A$46,0),0))</f>
        <v/>
      </c>
      <c r="K228" s="69"/>
      <c r="L228" s="54"/>
    </row>
    <row r="229" spans="2:12">
      <c r="B229" s="27">
        <f t="shared" si="3"/>
        <v>225</v>
      </c>
      <c r="C229" s="27"/>
      <c r="D229" s="27"/>
      <c r="E229" s="27"/>
      <c r="F229" s="54"/>
      <c r="G229" s="54"/>
      <c r="H229" s="54"/>
      <c r="I229" s="54"/>
      <c r="J229" s="54" t="str">
        <f ca="1">IF(F229="","",OFFSET(分類!$B$29,MATCH(F229,分類!$A$30:$A$46,0),0))</f>
        <v/>
      </c>
      <c r="K229" s="69"/>
      <c r="L229" s="54"/>
    </row>
    <row r="230" spans="2:12">
      <c r="B230" s="27">
        <f t="shared" si="3"/>
        <v>226</v>
      </c>
      <c r="C230" s="27"/>
      <c r="D230" s="27"/>
      <c r="E230" s="27"/>
      <c r="F230" s="54"/>
      <c r="G230" s="54"/>
      <c r="H230" s="54"/>
      <c r="I230" s="54"/>
      <c r="J230" s="54" t="str">
        <f ca="1">IF(F230="","",OFFSET(分類!$B$29,MATCH(F230,分類!$A$30:$A$46,0),0))</f>
        <v/>
      </c>
      <c r="K230" s="69"/>
      <c r="L230" s="54"/>
    </row>
    <row r="231" spans="2:12">
      <c r="B231" s="27">
        <f t="shared" si="3"/>
        <v>227</v>
      </c>
      <c r="C231" s="27"/>
      <c r="D231" s="27"/>
      <c r="E231" s="27"/>
      <c r="F231" s="54"/>
      <c r="G231" s="54"/>
      <c r="H231" s="54"/>
      <c r="I231" s="54"/>
      <c r="J231" s="54" t="str">
        <f ca="1">IF(F231="","",OFFSET(分類!$B$29,MATCH(F231,分類!$A$30:$A$46,0),0))</f>
        <v/>
      </c>
      <c r="K231" s="69"/>
      <c r="L231" s="54"/>
    </row>
    <row r="232" spans="2:12">
      <c r="B232" s="27">
        <f t="shared" si="3"/>
        <v>228</v>
      </c>
      <c r="C232" s="27"/>
      <c r="D232" s="27"/>
      <c r="E232" s="27"/>
      <c r="F232" s="54"/>
      <c r="G232" s="54"/>
      <c r="H232" s="54"/>
      <c r="I232" s="54"/>
      <c r="J232" s="54" t="str">
        <f ca="1">IF(F232="","",OFFSET(分類!$B$29,MATCH(F232,分類!$A$30:$A$46,0),0))</f>
        <v/>
      </c>
      <c r="K232" s="69"/>
      <c r="L232" s="54"/>
    </row>
    <row r="233" spans="2:12">
      <c r="B233" s="27">
        <f t="shared" si="3"/>
        <v>229</v>
      </c>
      <c r="C233" s="27"/>
      <c r="D233" s="27"/>
      <c r="E233" s="27"/>
      <c r="F233" s="54"/>
      <c r="G233" s="54"/>
      <c r="H233" s="54"/>
      <c r="I233" s="54"/>
      <c r="J233" s="54" t="str">
        <f ca="1">IF(F233="","",OFFSET(分類!$B$29,MATCH(F233,分類!$A$30:$A$46,0),0))</f>
        <v/>
      </c>
      <c r="K233" s="69"/>
      <c r="L233" s="54"/>
    </row>
    <row r="234" spans="2:12">
      <c r="B234" s="27">
        <f t="shared" si="3"/>
        <v>230</v>
      </c>
      <c r="C234" s="27"/>
      <c r="D234" s="27"/>
      <c r="E234" s="27"/>
      <c r="F234" s="54"/>
      <c r="G234" s="54"/>
      <c r="H234" s="54"/>
      <c r="I234" s="54"/>
      <c r="J234" s="54" t="str">
        <f ca="1">IF(F234="","",OFFSET(分類!$B$29,MATCH(F234,分類!$A$30:$A$46,0),0))</f>
        <v/>
      </c>
      <c r="K234" s="69"/>
      <c r="L234" s="54"/>
    </row>
    <row r="235" spans="2:12">
      <c r="B235" s="27">
        <f t="shared" si="3"/>
        <v>231</v>
      </c>
      <c r="C235" s="27"/>
      <c r="D235" s="27"/>
      <c r="E235" s="27"/>
      <c r="F235" s="54"/>
      <c r="G235" s="54"/>
      <c r="H235" s="54"/>
      <c r="I235" s="54"/>
      <c r="J235" s="54" t="str">
        <f ca="1">IF(F235="","",OFFSET(分類!$B$29,MATCH(F235,分類!$A$30:$A$46,0),0))</f>
        <v/>
      </c>
      <c r="K235" s="69"/>
      <c r="L235" s="54"/>
    </row>
    <row r="236" spans="2:12">
      <c r="B236" s="27">
        <f t="shared" si="3"/>
        <v>232</v>
      </c>
      <c r="C236" s="27"/>
      <c r="D236" s="27"/>
      <c r="E236" s="27"/>
      <c r="F236" s="54"/>
      <c r="G236" s="54"/>
      <c r="H236" s="54"/>
      <c r="I236" s="54"/>
      <c r="J236" s="54" t="str">
        <f ca="1">IF(F236="","",OFFSET(分類!$B$29,MATCH(F236,分類!$A$30:$A$46,0),0))</f>
        <v/>
      </c>
      <c r="K236" s="69"/>
      <c r="L236" s="54"/>
    </row>
    <row r="237" spans="2:12">
      <c r="B237" s="27">
        <f t="shared" si="3"/>
        <v>233</v>
      </c>
      <c r="C237" s="27"/>
      <c r="D237" s="27"/>
      <c r="E237" s="27"/>
      <c r="F237" s="54"/>
      <c r="G237" s="54"/>
      <c r="H237" s="54"/>
      <c r="I237" s="54"/>
      <c r="J237" s="54" t="str">
        <f ca="1">IF(F237="","",OFFSET(分類!$B$29,MATCH(F237,分類!$A$30:$A$46,0),0))</f>
        <v/>
      </c>
      <c r="K237" s="69"/>
      <c r="L237" s="54"/>
    </row>
    <row r="238" spans="2:12">
      <c r="B238" s="27">
        <f t="shared" si="3"/>
        <v>234</v>
      </c>
      <c r="C238" s="27"/>
      <c r="D238" s="27"/>
      <c r="E238" s="27"/>
      <c r="F238" s="54"/>
      <c r="G238" s="54"/>
      <c r="H238" s="54"/>
      <c r="I238" s="54"/>
      <c r="J238" s="54" t="str">
        <f ca="1">IF(F238="","",OFFSET(分類!$B$29,MATCH(F238,分類!$A$30:$A$46,0),0))</f>
        <v/>
      </c>
      <c r="K238" s="69"/>
      <c r="L238" s="54"/>
    </row>
    <row r="239" spans="2:12">
      <c r="B239" s="27">
        <f t="shared" si="3"/>
        <v>235</v>
      </c>
      <c r="C239" s="27"/>
      <c r="D239" s="27"/>
      <c r="E239" s="27"/>
      <c r="F239" s="54"/>
      <c r="G239" s="54"/>
      <c r="H239" s="54"/>
      <c r="I239" s="54"/>
      <c r="J239" s="54" t="str">
        <f ca="1">IF(F239="","",OFFSET(分類!$B$29,MATCH(F239,分類!$A$30:$A$46,0),0))</f>
        <v/>
      </c>
      <c r="K239" s="69"/>
      <c r="L239" s="54"/>
    </row>
    <row r="240" spans="2:12">
      <c r="B240" s="27">
        <f t="shared" si="3"/>
        <v>236</v>
      </c>
      <c r="C240" s="27"/>
      <c r="D240" s="27"/>
      <c r="E240" s="27"/>
      <c r="F240" s="54"/>
      <c r="G240" s="54"/>
      <c r="H240" s="54"/>
      <c r="I240" s="54"/>
      <c r="J240" s="54" t="str">
        <f ca="1">IF(F240="","",OFFSET(分類!$B$29,MATCH(F240,分類!$A$30:$A$46,0),0))</f>
        <v/>
      </c>
      <c r="K240" s="69"/>
      <c r="L240" s="54"/>
    </row>
    <row r="241" spans="2:12">
      <c r="B241" s="27">
        <f t="shared" si="3"/>
        <v>237</v>
      </c>
      <c r="C241" s="27"/>
      <c r="D241" s="27"/>
      <c r="E241" s="27"/>
      <c r="F241" s="54"/>
      <c r="G241" s="54"/>
      <c r="H241" s="54"/>
      <c r="I241" s="54"/>
      <c r="J241" s="54" t="str">
        <f ca="1">IF(F241="","",OFFSET(分類!$B$29,MATCH(F241,分類!$A$30:$A$46,0),0))</f>
        <v/>
      </c>
      <c r="K241" s="69"/>
      <c r="L241" s="54"/>
    </row>
    <row r="242" spans="2:12">
      <c r="B242" s="27">
        <f t="shared" si="3"/>
        <v>238</v>
      </c>
      <c r="C242" s="27"/>
      <c r="D242" s="27"/>
      <c r="E242" s="27"/>
      <c r="F242" s="54"/>
      <c r="G242" s="54"/>
      <c r="H242" s="54"/>
      <c r="I242" s="54"/>
      <c r="J242" s="54" t="str">
        <f ca="1">IF(F242="","",OFFSET(分類!$B$29,MATCH(F242,分類!$A$30:$A$46,0),0))</f>
        <v/>
      </c>
      <c r="K242" s="69"/>
      <c r="L242" s="54"/>
    </row>
    <row r="243" spans="2:12">
      <c r="B243" s="27">
        <f t="shared" si="3"/>
        <v>239</v>
      </c>
      <c r="C243" s="27"/>
      <c r="D243" s="27"/>
      <c r="E243" s="27"/>
      <c r="F243" s="54"/>
      <c r="G243" s="54"/>
      <c r="H243" s="54"/>
      <c r="I243" s="54"/>
      <c r="J243" s="54" t="str">
        <f ca="1">IF(F243="","",OFFSET(分類!$B$29,MATCH(F243,分類!$A$30:$A$46,0),0))</f>
        <v/>
      </c>
      <c r="K243" s="69"/>
      <c r="L243" s="54"/>
    </row>
    <row r="244" spans="2:12">
      <c r="B244" s="27">
        <f t="shared" si="3"/>
        <v>240</v>
      </c>
      <c r="C244" s="27"/>
      <c r="D244" s="27"/>
      <c r="E244" s="27"/>
      <c r="F244" s="54"/>
      <c r="G244" s="54"/>
      <c r="H244" s="54"/>
      <c r="I244" s="54"/>
      <c r="J244" s="54" t="str">
        <f ca="1">IF(F244="","",OFFSET(分類!$B$29,MATCH(F244,分類!$A$30:$A$46,0),0))</f>
        <v/>
      </c>
      <c r="K244" s="69"/>
      <c r="L244" s="54"/>
    </row>
    <row r="245" spans="2:12">
      <c r="B245" s="27">
        <f t="shared" si="3"/>
        <v>241</v>
      </c>
      <c r="C245" s="27"/>
      <c r="D245" s="27"/>
      <c r="E245" s="27"/>
      <c r="F245" s="54"/>
      <c r="G245" s="54"/>
      <c r="H245" s="54"/>
      <c r="I245" s="54"/>
      <c r="J245" s="54" t="str">
        <f ca="1">IF(F245="","",OFFSET(分類!$B$29,MATCH(F245,分類!$A$30:$A$46,0),0))</f>
        <v/>
      </c>
      <c r="K245" s="69"/>
      <c r="L245" s="54"/>
    </row>
    <row r="246" spans="2:12">
      <c r="B246" s="27">
        <f t="shared" si="3"/>
        <v>242</v>
      </c>
      <c r="C246" s="27"/>
      <c r="D246" s="27"/>
      <c r="E246" s="27"/>
      <c r="F246" s="54"/>
      <c r="G246" s="54"/>
      <c r="H246" s="54"/>
      <c r="I246" s="54"/>
      <c r="J246" s="54" t="str">
        <f ca="1">IF(F246="","",OFFSET(分類!$B$29,MATCH(F246,分類!$A$30:$A$46,0),0))</f>
        <v/>
      </c>
      <c r="K246" s="69"/>
      <c r="L246" s="54"/>
    </row>
    <row r="247" spans="2:12">
      <c r="B247" s="27">
        <f t="shared" si="3"/>
        <v>243</v>
      </c>
      <c r="C247" s="27"/>
      <c r="D247" s="27"/>
      <c r="E247" s="27"/>
      <c r="F247" s="54"/>
      <c r="G247" s="54"/>
      <c r="H247" s="54"/>
      <c r="I247" s="54"/>
      <c r="J247" s="54" t="str">
        <f ca="1">IF(F247="","",OFFSET(分類!$B$29,MATCH(F247,分類!$A$30:$A$46,0),0))</f>
        <v/>
      </c>
      <c r="K247" s="69"/>
      <c r="L247" s="54"/>
    </row>
    <row r="248" spans="2:12">
      <c r="B248" s="27">
        <f t="shared" si="3"/>
        <v>244</v>
      </c>
      <c r="C248" s="27"/>
      <c r="D248" s="27"/>
      <c r="E248" s="27"/>
      <c r="F248" s="54"/>
      <c r="G248" s="54"/>
      <c r="H248" s="54"/>
      <c r="I248" s="54"/>
      <c r="J248" s="54" t="str">
        <f ca="1">IF(F248="","",OFFSET(分類!$B$29,MATCH(F248,分類!$A$30:$A$46,0),0))</f>
        <v/>
      </c>
      <c r="K248" s="69"/>
      <c r="L248" s="54"/>
    </row>
    <row r="249" spans="2:12">
      <c r="B249" s="27">
        <f t="shared" si="3"/>
        <v>245</v>
      </c>
      <c r="C249" s="27"/>
      <c r="D249" s="27"/>
      <c r="E249" s="27"/>
      <c r="F249" s="54"/>
      <c r="G249" s="54"/>
      <c r="H249" s="54"/>
      <c r="I249" s="54"/>
      <c r="J249" s="54" t="str">
        <f ca="1">IF(F249="","",OFFSET(分類!$B$29,MATCH(F249,分類!$A$30:$A$46,0),0))</f>
        <v/>
      </c>
      <c r="K249" s="69"/>
      <c r="L249" s="54"/>
    </row>
    <row r="250" spans="2:12">
      <c r="B250" s="27">
        <f t="shared" si="3"/>
        <v>246</v>
      </c>
      <c r="C250" s="27"/>
      <c r="D250" s="27"/>
      <c r="E250" s="27"/>
      <c r="F250" s="54"/>
      <c r="G250" s="54"/>
      <c r="H250" s="54"/>
      <c r="I250" s="54"/>
      <c r="J250" s="54" t="str">
        <f ca="1">IF(F250="","",OFFSET(分類!$B$29,MATCH(F250,分類!$A$30:$A$46,0),0))</f>
        <v/>
      </c>
      <c r="K250" s="69"/>
      <c r="L250" s="54"/>
    </row>
    <row r="251" spans="2:12">
      <c r="B251" s="27">
        <f t="shared" si="3"/>
        <v>247</v>
      </c>
      <c r="C251" s="27"/>
      <c r="D251" s="27"/>
      <c r="E251" s="27"/>
      <c r="F251" s="54"/>
      <c r="G251" s="54"/>
      <c r="H251" s="54"/>
      <c r="I251" s="54"/>
      <c r="J251" s="54" t="str">
        <f ca="1">IF(F251="","",OFFSET(分類!$B$29,MATCH(F251,分類!$A$30:$A$46,0),0))</f>
        <v/>
      </c>
      <c r="K251" s="69"/>
      <c r="L251" s="54"/>
    </row>
    <row r="252" spans="2:12">
      <c r="B252" s="27">
        <f t="shared" si="3"/>
        <v>248</v>
      </c>
      <c r="C252" s="27"/>
      <c r="D252" s="27"/>
      <c r="E252" s="27"/>
      <c r="F252" s="54"/>
      <c r="G252" s="54"/>
      <c r="H252" s="54"/>
      <c r="I252" s="54"/>
      <c r="J252" s="54" t="str">
        <f ca="1">IF(F252="","",OFFSET(分類!$B$29,MATCH(F252,分類!$A$30:$A$46,0),0))</f>
        <v/>
      </c>
      <c r="K252" s="69"/>
      <c r="L252" s="54"/>
    </row>
    <row r="253" spans="2:12">
      <c r="B253" s="27">
        <f t="shared" si="3"/>
        <v>249</v>
      </c>
      <c r="C253" s="27"/>
      <c r="D253" s="27"/>
      <c r="E253" s="27"/>
      <c r="F253" s="54"/>
      <c r="G253" s="54"/>
      <c r="H253" s="54"/>
      <c r="I253" s="54"/>
      <c r="J253" s="54" t="str">
        <f ca="1">IF(F253="","",OFFSET(分類!$B$29,MATCH(F253,分類!$A$30:$A$46,0),0))</f>
        <v/>
      </c>
      <c r="K253" s="69"/>
      <c r="L253" s="54"/>
    </row>
    <row r="254" spans="2:12">
      <c r="B254" s="27">
        <f t="shared" si="3"/>
        <v>250</v>
      </c>
      <c r="C254" s="27"/>
      <c r="D254" s="27"/>
      <c r="E254" s="27"/>
      <c r="F254" s="54"/>
      <c r="G254" s="54"/>
      <c r="H254" s="54"/>
      <c r="I254" s="54"/>
      <c r="J254" s="54" t="str">
        <f ca="1">IF(F254="","",OFFSET(分類!$B$29,MATCH(F254,分類!$A$30:$A$46,0),0))</f>
        <v/>
      </c>
      <c r="K254" s="69"/>
      <c r="L254" s="54"/>
    </row>
    <row r="255" spans="2:12">
      <c r="B255" s="27">
        <f t="shared" si="3"/>
        <v>251</v>
      </c>
      <c r="C255" s="27"/>
      <c r="D255" s="27"/>
      <c r="E255" s="27"/>
      <c r="F255" s="54"/>
      <c r="G255" s="54"/>
      <c r="H255" s="54"/>
      <c r="I255" s="54"/>
      <c r="J255" s="54" t="str">
        <f ca="1">IF(F255="","",OFFSET(分類!$B$29,MATCH(F255,分類!$A$30:$A$46,0),0))</f>
        <v/>
      </c>
      <c r="K255" s="69"/>
      <c r="L255" s="54"/>
    </row>
    <row r="256" spans="2:12">
      <c r="B256" s="27">
        <f t="shared" si="3"/>
        <v>252</v>
      </c>
      <c r="C256" s="27"/>
      <c r="D256" s="27"/>
      <c r="E256" s="27"/>
      <c r="F256" s="54"/>
      <c r="G256" s="54"/>
      <c r="H256" s="54"/>
      <c r="I256" s="54"/>
      <c r="J256" s="54" t="str">
        <f ca="1">IF(F256="","",OFFSET(分類!$B$29,MATCH(F256,分類!$A$30:$A$46,0),0))</f>
        <v/>
      </c>
      <c r="K256" s="69"/>
      <c r="L256" s="54"/>
    </row>
    <row r="257" spans="2:12">
      <c r="B257" s="27">
        <f t="shared" si="3"/>
        <v>253</v>
      </c>
      <c r="C257" s="27"/>
      <c r="D257" s="27"/>
      <c r="E257" s="27"/>
      <c r="F257" s="54"/>
      <c r="G257" s="54"/>
      <c r="H257" s="54"/>
      <c r="I257" s="54"/>
      <c r="J257" s="54" t="str">
        <f ca="1">IF(F257="","",OFFSET(分類!$B$29,MATCH(F257,分類!$A$30:$A$46,0),0))</f>
        <v/>
      </c>
      <c r="K257" s="69"/>
      <c r="L257" s="54"/>
    </row>
    <row r="258" spans="2:12">
      <c r="B258" s="27">
        <f t="shared" si="3"/>
        <v>254</v>
      </c>
      <c r="C258" s="27"/>
      <c r="D258" s="27"/>
      <c r="E258" s="27"/>
      <c r="F258" s="54"/>
      <c r="G258" s="54"/>
      <c r="H258" s="54"/>
      <c r="I258" s="54"/>
      <c r="J258" s="54" t="str">
        <f ca="1">IF(F258="","",OFFSET(分類!$B$29,MATCH(F258,分類!$A$30:$A$46,0),0))</f>
        <v/>
      </c>
      <c r="K258" s="69"/>
      <c r="L258" s="54"/>
    </row>
    <row r="259" spans="2:12">
      <c r="B259" s="27">
        <f t="shared" si="3"/>
        <v>255</v>
      </c>
      <c r="C259" s="27"/>
      <c r="D259" s="27"/>
      <c r="E259" s="27"/>
      <c r="F259" s="54"/>
      <c r="G259" s="54"/>
      <c r="H259" s="54"/>
      <c r="I259" s="54"/>
      <c r="J259" s="54" t="str">
        <f ca="1">IF(F259="","",OFFSET(分類!$B$29,MATCH(F259,分類!$A$30:$A$46,0),0))</f>
        <v/>
      </c>
      <c r="K259" s="69"/>
      <c r="L259" s="54"/>
    </row>
    <row r="260" spans="2:12">
      <c r="B260" s="27">
        <f t="shared" si="3"/>
        <v>256</v>
      </c>
      <c r="C260" s="27"/>
      <c r="D260" s="27"/>
      <c r="E260" s="27"/>
      <c r="F260" s="54"/>
      <c r="G260" s="54"/>
      <c r="H260" s="54"/>
      <c r="I260" s="54"/>
      <c r="J260" s="54" t="str">
        <f ca="1">IF(F260="","",OFFSET(分類!$B$29,MATCH(F260,分類!$A$30:$A$46,0),0))</f>
        <v/>
      </c>
      <c r="K260" s="69"/>
      <c r="L260" s="54"/>
    </row>
    <row r="261" spans="2:12">
      <c r="B261" s="27">
        <f t="shared" si="3"/>
        <v>257</v>
      </c>
      <c r="C261" s="27"/>
      <c r="D261" s="27"/>
      <c r="E261" s="27"/>
      <c r="F261" s="54"/>
      <c r="G261" s="54"/>
      <c r="H261" s="54"/>
      <c r="I261" s="54"/>
      <c r="J261" s="54" t="str">
        <f ca="1">IF(F261="","",OFFSET(分類!$B$29,MATCH(F261,分類!$A$30:$A$46,0),0))</f>
        <v/>
      </c>
      <c r="K261" s="69"/>
      <c r="L261" s="54"/>
    </row>
    <row r="262" spans="2:12">
      <c r="B262" s="27">
        <f t="shared" si="3"/>
        <v>258</v>
      </c>
      <c r="C262" s="27"/>
      <c r="D262" s="27"/>
      <c r="E262" s="27"/>
      <c r="F262" s="54"/>
      <c r="G262" s="54"/>
      <c r="H262" s="54"/>
      <c r="I262" s="54"/>
      <c r="J262" s="54" t="str">
        <f ca="1">IF(F262="","",OFFSET(分類!$B$29,MATCH(F262,分類!$A$30:$A$46,0),0))</f>
        <v/>
      </c>
      <c r="K262" s="69"/>
      <c r="L262" s="54"/>
    </row>
    <row r="263" spans="2:12">
      <c r="B263" s="27">
        <f t="shared" ref="B263:B304" si="4">B262+1</f>
        <v>259</v>
      </c>
      <c r="C263" s="27"/>
      <c r="D263" s="27"/>
      <c r="E263" s="27"/>
      <c r="F263" s="54"/>
      <c r="G263" s="54"/>
      <c r="H263" s="54"/>
      <c r="I263" s="54"/>
      <c r="J263" s="54" t="str">
        <f ca="1">IF(F263="","",OFFSET(分類!$B$29,MATCH(F263,分類!$A$30:$A$46,0),0))</f>
        <v/>
      </c>
      <c r="K263" s="69"/>
      <c r="L263" s="54"/>
    </row>
    <row r="264" spans="2:12">
      <c r="B264" s="27">
        <f t="shared" si="4"/>
        <v>260</v>
      </c>
      <c r="C264" s="27"/>
      <c r="D264" s="27"/>
      <c r="E264" s="27"/>
      <c r="F264" s="54"/>
      <c r="G264" s="54"/>
      <c r="H264" s="54"/>
      <c r="I264" s="54"/>
      <c r="J264" s="54" t="str">
        <f ca="1">IF(F264="","",OFFSET(分類!$B$29,MATCH(F264,分類!$A$30:$A$46,0),0))</f>
        <v/>
      </c>
      <c r="K264" s="69"/>
      <c r="L264" s="54"/>
    </row>
    <row r="265" spans="2:12">
      <c r="B265" s="27">
        <f t="shared" si="4"/>
        <v>261</v>
      </c>
      <c r="C265" s="27"/>
      <c r="D265" s="27"/>
      <c r="E265" s="27"/>
      <c r="F265" s="54"/>
      <c r="G265" s="54"/>
      <c r="H265" s="54"/>
      <c r="I265" s="54"/>
      <c r="J265" s="54" t="str">
        <f ca="1">IF(F265="","",OFFSET(分類!$B$29,MATCH(F265,分類!$A$30:$A$46,0),0))</f>
        <v/>
      </c>
      <c r="K265" s="69"/>
      <c r="L265" s="54"/>
    </row>
    <row r="266" spans="2:12">
      <c r="B266" s="27">
        <f t="shared" si="4"/>
        <v>262</v>
      </c>
      <c r="C266" s="27"/>
      <c r="D266" s="27"/>
      <c r="E266" s="27"/>
      <c r="F266" s="54"/>
      <c r="G266" s="54"/>
      <c r="H266" s="54"/>
      <c r="I266" s="54"/>
      <c r="J266" s="54" t="str">
        <f ca="1">IF(F266="","",OFFSET(分類!$B$29,MATCH(F266,分類!$A$30:$A$46,0),0))</f>
        <v/>
      </c>
      <c r="K266" s="69"/>
      <c r="L266" s="54"/>
    </row>
    <row r="267" spans="2:12">
      <c r="B267" s="27">
        <f t="shared" si="4"/>
        <v>263</v>
      </c>
      <c r="C267" s="27"/>
      <c r="D267" s="27"/>
      <c r="E267" s="27"/>
      <c r="F267" s="54"/>
      <c r="G267" s="54"/>
      <c r="H267" s="54"/>
      <c r="I267" s="54"/>
      <c r="J267" s="54" t="str">
        <f ca="1">IF(F267="","",OFFSET(分類!$B$29,MATCH(F267,分類!$A$30:$A$46,0),0))</f>
        <v/>
      </c>
      <c r="K267" s="69"/>
      <c r="L267" s="54"/>
    </row>
    <row r="268" spans="2:12">
      <c r="B268" s="27">
        <f t="shared" si="4"/>
        <v>264</v>
      </c>
      <c r="C268" s="27"/>
      <c r="D268" s="27"/>
      <c r="E268" s="27"/>
      <c r="F268" s="54"/>
      <c r="G268" s="54"/>
      <c r="H268" s="54"/>
      <c r="I268" s="54"/>
      <c r="J268" s="54" t="str">
        <f ca="1">IF(F268="","",OFFSET(分類!$B$29,MATCH(F268,分類!$A$30:$A$46,0),0))</f>
        <v/>
      </c>
      <c r="K268" s="69"/>
      <c r="L268" s="54"/>
    </row>
    <row r="269" spans="2:12">
      <c r="B269" s="27">
        <f t="shared" si="4"/>
        <v>265</v>
      </c>
      <c r="C269" s="27"/>
      <c r="D269" s="27"/>
      <c r="E269" s="27"/>
      <c r="F269" s="54"/>
      <c r="G269" s="54"/>
      <c r="H269" s="54"/>
      <c r="I269" s="54"/>
      <c r="J269" s="54" t="str">
        <f ca="1">IF(F269="","",OFFSET(分類!$B$29,MATCH(F269,分類!$A$30:$A$46,0),0))</f>
        <v/>
      </c>
      <c r="K269" s="69"/>
      <c r="L269" s="54"/>
    </row>
    <row r="270" spans="2:12">
      <c r="B270" s="27">
        <f t="shared" si="4"/>
        <v>266</v>
      </c>
      <c r="C270" s="27"/>
      <c r="D270" s="27"/>
      <c r="E270" s="27"/>
      <c r="F270" s="54"/>
      <c r="G270" s="54"/>
      <c r="H270" s="54"/>
      <c r="I270" s="54"/>
      <c r="J270" s="54" t="str">
        <f ca="1">IF(F270="","",OFFSET(分類!$B$29,MATCH(F270,分類!$A$30:$A$46,0),0))</f>
        <v/>
      </c>
      <c r="K270" s="69"/>
      <c r="L270" s="54"/>
    </row>
    <row r="271" spans="2:12">
      <c r="B271" s="27">
        <f t="shared" si="4"/>
        <v>267</v>
      </c>
      <c r="C271" s="27"/>
      <c r="D271" s="27"/>
      <c r="E271" s="27"/>
      <c r="F271" s="54"/>
      <c r="G271" s="54"/>
      <c r="H271" s="54"/>
      <c r="I271" s="54"/>
      <c r="J271" s="54" t="str">
        <f ca="1">IF(F271="","",OFFSET(分類!$B$29,MATCH(F271,分類!$A$30:$A$46,0),0))</f>
        <v/>
      </c>
      <c r="K271" s="69"/>
      <c r="L271" s="54"/>
    </row>
    <row r="272" spans="2:12">
      <c r="B272" s="27">
        <f t="shared" si="4"/>
        <v>268</v>
      </c>
      <c r="C272" s="27"/>
      <c r="D272" s="27"/>
      <c r="E272" s="27"/>
      <c r="F272" s="54"/>
      <c r="G272" s="54"/>
      <c r="H272" s="54"/>
      <c r="I272" s="54"/>
      <c r="J272" s="54" t="str">
        <f ca="1">IF(F272="","",OFFSET(分類!$B$29,MATCH(F272,分類!$A$30:$A$46,0),0))</f>
        <v/>
      </c>
      <c r="K272" s="69"/>
      <c r="L272" s="54"/>
    </row>
    <row r="273" spans="2:12">
      <c r="B273" s="27">
        <f t="shared" si="4"/>
        <v>269</v>
      </c>
      <c r="C273" s="27"/>
      <c r="D273" s="27"/>
      <c r="E273" s="27"/>
      <c r="F273" s="54"/>
      <c r="G273" s="54"/>
      <c r="H273" s="54"/>
      <c r="I273" s="54"/>
      <c r="J273" s="54" t="str">
        <f ca="1">IF(F273="","",OFFSET(分類!$B$29,MATCH(F273,分類!$A$30:$A$46,0),0))</f>
        <v/>
      </c>
      <c r="K273" s="69"/>
      <c r="L273" s="54"/>
    </row>
    <row r="274" spans="2:12">
      <c r="B274" s="27">
        <f t="shared" si="4"/>
        <v>270</v>
      </c>
      <c r="C274" s="27"/>
      <c r="D274" s="27"/>
      <c r="E274" s="27"/>
      <c r="F274" s="54"/>
      <c r="G274" s="54"/>
      <c r="H274" s="54"/>
      <c r="I274" s="54"/>
      <c r="J274" s="54" t="str">
        <f ca="1">IF(F274="","",OFFSET(分類!$B$29,MATCH(F274,分類!$A$30:$A$46,0),0))</f>
        <v/>
      </c>
      <c r="K274" s="69"/>
      <c r="L274" s="54"/>
    </row>
    <row r="275" spans="2:12">
      <c r="B275" s="27">
        <f t="shared" si="4"/>
        <v>271</v>
      </c>
      <c r="C275" s="27"/>
      <c r="D275" s="27"/>
      <c r="E275" s="27"/>
      <c r="F275" s="54"/>
      <c r="G275" s="54"/>
      <c r="H275" s="54"/>
      <c r="I275" s="54"/>
      <c r="J275" s="54" t="str">
        <f ca="1">IF(F275="","",OFFSET(分類!$B$29,MATCH(F275,分類!$A$30:$A$46,0),0))</f>
        <v/>
      </c>
      <c r="K275" s="69"/>
      <c r="L275" s="54"/>
    </row>
    <row r="276" spans="2:12">
      <c r="B276" s="27">
        <f t="shared" si="4"/>
        <v>272</v>
      </c>
      <c r="C276" s="27"/>
      <c r="D276" s="27"/>
      <c r="E276" s="27"/>
      <c r="F276" s="54"/>
      <c r="G276" s="54"/>
      <c r="H276" s="54"/>
      <c r="I276" s="54"/>
      <c r="J276" s="54" t="str">
        <f ca="1">IF(F276="","",OFFSET(分類!$B$29,MATCH(F276,分類!$A$30:$A$46,0),0))</f>
        <v/>
      </c>
      <c r="K276" s="69"/>
      <c r="L276" s="54"/>
    </row>
    <row r="277" spans="2:12">
      <c r="B277" s="27">
        <f t="shared" si="4"/>
        <v>273</v>
      </c>
      <c r="C277" s="27"/>
      <c r="D277" s="27"/>
      <c r="E277" s="27"/>
      <c r="F277" s="54"/>
      <c r="G277" s="54"/>
      <c r="H277" s="54"/>
      <c r="I277" s="54"/>
      <c r="J277" s="54" t="str">
        <f ca="1">IF(F277="","",OFFSET(分類!$B$29,MATCH(F277,分類!$A$30:$A$46,0),0))</f>
        <v/>
      </c>
      <c r="K277" s="69"/>
      <c r="L277" s="54"/>
    </row>
    <row r="278" spans="2:12">
      <c r="B278" s="27">
        <f t="shared" si="4"/>
        <v>274</v>
      </c>
      <c r="C278" s="27"/>
      <c r="D278" s="27"/>
      <c r="E278" s="27"/>
      <c r="F278" s="54"/>
      <c r="G278" s="54"/>
      <c r="H278" s="54"/>
      <c r="I278" s="54"/>
      <c r="J278" s="54" t="str">
        <f ca="1">IF(F278="","",OFFSET(分類!$B$29,MATCH(F278,分類!$A$30:$A$46,0),0))</f>
        <v/>
      </c>
      <c r="K278" s="69"/>
      <c r="L278" s="54"/>
    </row>
    <row r="279" spans="2:12">
      <c r="B279" s="27">
        <f t="shared" si="4"/>
        <v>275</v>
      </c>
      <c r="C279" s="27"/>
      <c r="D279" s="27"/>
      <c r="E279" s="27"/>
      <c r="F279" s="54"/>
      <c r="G279" s="54"/>
      <c r="H279" s="54"/>
      <c r="I279" s="54"/>
      <c r="J279" s="54" t="str">
        <f ca="1">IF(F279="","",OFFSET(分類!$B$29,MATCH(F279,分類!$A$30:$A$46,0),0))</f>
        <v/>
      </c>
      <c r="K279" s="69"/>
      <c r="L279" s="54"/>
    </row>
    <row r="280" spans="2:12">
      <c r="B280" s="27">
        <f t="shared" si="4"/>
        <v>276</v>
      </c>
      <c r="C280" s="27"/>
      <c r="D280" s="27"/>
      <c r="E280" s="27"/>
      <c r="F280" s="54"/>
      <c r="G280" s="54"/>
      <c r="H280" s="54"/>
      <c r="I280" s="54"/>
      <c r="J280" s="54" t="str">
        <f ca="1">IF(F280="","",OFFSET(分類!$B$29,MATCH(F280,分類!$A$30:$A$46,0),0))</f>
        <v/>
      </c>
      <c r="K280" s="69"/>
      <c r="L280" s="54"/>
    </row>
    <row r="281" spans="2:12">
      <c r="B281" s="27">
        <f t="shared" si="4"/>
        <v>277</v>
      </c>
      <c r="C281" s="27"/>
      <c r="D281" s="27"/>
      <c r="E281" s="27"/>
      <c r="F281" s="54"/>
      <c r="G281" s="54"/>
      <c r="H281" s="54"/>
      <c r="I281" s="54"/>
      <c r="J281" s="54" t="str">
        <f ca="1">IF(F281="","",OFFSET(分類!$B$29,MATCH(F281,分類!$A$30:$A$46,0),0))</f>
        <v/>
      </c>
      <c r="K281" s="69"/>
      <c r="L281" s="54"/>
    </row>
    <row r="282" spans="2:12">
      <c r="B282" s="27">
        <f t="shared" si="4"/>
        <v>278</v>
      </c>
      <c r="C282" s="27"/>
      <c r="D282" s="27"/>
      <c r="E282" s="27"/>
      <c r="F282" s="54"/>
      <c r="G282" s="54"/>
      <c r="H282" s="54"/>
      <c r="I282" s="54"/>
      <c r="J282" s="54" t="str">
        <f ca="1">IF(F282="","",OFFSET(分類!$B$29,MATCH(F282,分類!$A$30:$A$46,0),0))</f>
        <v/>
      </c>
      <c r="K282" s="69"/>
      <c r="L282" s="54"/>
    </row>
    <row r="283" spans="2:12">
      <c r="B283" s="27">
        <f t="shared" si="4"/>
        <v>279</v>
      </c>
      <c r="C283" s="27"/>
      <c r="D283" s="27"/>
      <c r="E283" s="27"/>
      <c r="F283" s="54"/>
      <c r="G283" s="54"/>
      <c r="H283" s="54"/>
      <c r="I283" s="54"/>
      <c r="J283" s="54" t="str">
        <f ca="1">IF(F283="","",OFFSET(分類!$B$29,MATCH(F283,分類!$A$30:$A$46,0),0))</f>
        <v/>
      </c>
      <c r="K283" s="69"/>
      <c r="L283" s="54"/>
    </row>
    <row r="284" spans="2:12">
      <c r="B284" s="27">
        <f t="shared" si="4"/>
        <v>280</v>
      </c>
      <c r="C284" s="27"/>
      <c r="D284" s="27"/>
      <c r="E284" s="27"/>
      <c r="F284" s="54"/>
      <c r="G284" s="54"/>
      <c r="H284" s="54"/>
      <c r="I284" s="54"/>
      <c r="J284" s="54" t="str">
        <f ca="1">IF(F284="","",OFFSET(分類!$B$29,MATCH(F284,分類!$A$30:$A$46,0),0))</f>
        <v/>
      </c>
      <c r="K284" s="69"/>
      <c r="L284" s="54"/>
    </row>
    <row r="285" spans="2:12">
      <c r="B285" s="27">
        <f t="shared" si="4"/>
        <v>281</v>
      </c>
      <c r="C285" s="27"/>
      <c r="D285" s="27"/>
      <c r="E285" s="27"/>
      <c r="F285" s="54"/>
      <c r="G285" s="54"/>
      <c r="H285" s="54"/>
      <c r="I285" s="54"/>
      <c r="J285" s="54" t="str">
        <f ca="1">IF(F285="","",OFFSET(分類!$B$29,MATCH(F285,分類!$A$30:$A$46,0),0))</f>
        <v/>
      </c>
      <c r="K285" s="69"/>
      <c r="L285" s="54"/>
    </row>
    <row r="286" spans="2:12">
      <c r="B286" s="27">
        <f t="shared" si="4"/>
        <v>282</v>
      </c>
      <c r="C286" s="27"/>
      <c r="D286" s="27"/>
      <c r="E286" s="27"/>
      <c r="F286" s="54"/>
      <c r="G286" s="54"/>
      <c r="H286" s="54"/>
      <c r="I286" s="54"/>
      <c r="J286" s="54" t="str">
        <f ca="1">IF(F286="","",OFFSET(分類!$B$29,MATCH(F286,分類!$A$30:$A$46,0),0))</f>
        <v/>
      </c>
      <c r="K286" s="69"/>
      <c r="L286" s="54"/>
    </row>
    <row r="287" spans="2:12">
      <c r="B287" s="27">
        <f t="shared" si="4"/>
        <v>283</v>
      </c>
      <c r="C287" s="27"/>
      <c r="D287" s="27"/>
      <c r="E287" s="27"/>
      <c r="F287" s="54"/>
      <c r="G287" s="54"/>
      <c r="H287" s="54"/>
      <c r="I287" s="54"/>
      <c r="J287" s="54" t="str">
        <f ca="1">IF(F287="","",OFFSET(分類!$B$29,MATCH(F287,分類!$A$30:$A$46,0),0))</f>
        <v/>
      </c>
      <c r="K287" s="69"/>
      <c r="L287" s="54"/>
    </row>
    <row r="288" spans="2:12">
      <c r="B288" s="27">
        <f t="shared" si="4"/>
        <v>284</v>
      </c>
      <c r="C288" s="27"/>
      <c r="D288" s="27"/>
      <c r="E288" s="27"/>
      <c r="F288" s="54"/>
      <c r="G288" s="54"/>
      <c r="H288" s="54"/>
      <c r="I288" s="54"/>
      <c r="J288" s="54" t="str">
        <f ca="1">IF(F288="","",OFFSET(分類!$B$29,MATCH(F288,分類!$A$30:$A$46,0),0))</f>
        <v/>
      </c>
      <c r="K288" s="69"/>
      <c r="L288" s="54"/>
    </row>
    <row r="289" spans="2:12">
      <c r="B289" s="27">
        <f t="shared" si="4"/>
        <v>285</v>
      </c>
      <c r="C289" s="27"/>
      <c r="D289" s="27"/>
      <c r="E289" s="27"/>
      <c r="F289" s="54"/>
      <c r="G289" s="54"/>
      <c r="H289" s="54"/>
      <c r="I289" s="54"/>
      <c r="J289" s="54" t="str">
        <f ca="1">IF(F289="","",OFFSET(分類!$B$29,MATCH(F289,分類!$A$30:$A$46,0),0))</f>
        <v/>
      </c>
      <c r="K289" s="69"/>
      <c r="L289" s="54"/>
    </row>
    <row r="290" spans="2:12">
      <c r="B290" s="27">
        <f t="shared" si="4"/>
        <v>286</v>
      </c>
      <c r="C290" s="27"/>
      <c r="D290" s="27"/>
      <c r="E290" s="27"/>
      <c r="F290" s="54"/>
      <c r="G290" s="54"/>
      <c r="H290" s="54"/>
      <c r="I290" s="54"/>
      <c r="J290" s="54" t="str">
        <f ca="1">IF(F290="","",OFFSET(分類!$B$29,MATCH(F290,分類!$A$30:$A$46,0),0))</f>
        <v/>
      </c>
      <c r="K290" s="69"/>
      <c r="L290" s="54"/>
    </row>
    <row r="291" spans="2:12">
      <c r="B291" s="27">
        <f t="shared" si="4"/>
        <v>287</v>
      </c>
      <c r="C291" s="27"/>
      <c r="D291" s="27"/>
      <c r="E291" s="27"/>
      <c r="F291" s="54"/>
      <c r="G291" s="54"/>
      <c r="H291" s="54"/>
      <c r="I291" s="54"/>
      <c r="J291" s="54" t="str">
        <f ca="1">IF(F291="","",OFFSET(分類!$B$29,MATCH(F291,分類!$A$30:$A$46,0),0))</f>
        <v/>
      </c>
      <c r="K291" s="69"/>
      <c r="L291" s="54"/>
    </row>
    <row r="292" spans="2:12">
      <c r="B292" s="27">
        <f t="shared" si="4"/>
        <v>288</v>
      </c>
      <c r="C292" s="27"/>
      <c r="D292" s="27"/>
      <c r="E292" s="27"/>
      <c r="F292" s="54"/>
      <c r="G292" s="54"/>
      <c r="H292" s="54"/>
      <c r="I292" s="54"/>
      <c r="J292" s="54" t="str">
        <f ca="1">IF(F292="","",OFFSET(分類!$B$29,MATCH(F292,分類!$A$30:$A$46,0),0))</f>
        <v/>
      </c>
      <c r="K292" s="69"/>
      <c r="L292" s="54"/>
    </row>
    <row r="293" spans="2:12">
      <c r="B293" s="27">
        <f t="shared" si="4"/>
        <v>289</v>
      </c>
      <c r="C293" s="27"/>
      <c r="D293" s="27"/>
      <c r="E293" s="27"/>
      <c r="F293" s="54"/>
      <c r="G293" s="54"/>
      <c r="H293" s="54"/>
      <c r="I293" s="54"/>
      <c r="J293" s="54" t="str">
        <f ca="1">IF(F293="","",OFFSET(分類!$B$29,MATCH(F293,分類!$A$30:$A$46,0),0))</f>
        <v/>
      </c>
      <c r="K293" s="69"/>
      <c r="L293" s="54"/>
    </row>
    <row r="294" spans="2:12">
      <c r="B294" s="27">
        <f t="shared" si="4"/>
        <v>290</v>
      </c>
      <c r="C294" s="27"/>
      <c r="D294" s="27"/>
      <c r="E294" s="27"/>
      <c r="F294" s="54"/>
      <c r="G294" s="54"/>
      <c r="H294" s="54"/>
      <c r="I294" s="54"/>
      <c r="J294" s="54" t="str">
        <f ca="1">IF(F294="","",OFFSET(分類!$B$29,MATCH(F294,分類!$A$30:$A$46,0),0))</f>
        <v/>
      </c>
      <c r="K294" s="69"/>
      <c r="L294" s="54"/>
    </row>
    <row r="295" spans="2:12">
      <c r="B295" s="27">
        <f t="shared" si="4"/>
        <v>291</v>
      </c>
      <c r="C295" s="27"/>
      <c r="D295" s="27"/>
      <c r="E295" s="27"/>
      <c r="F295" s="54"/>
      <c r="G295" s="54"/>
      <c r="H295" s="54"/>
      <c r="I295" s="54"/>
      <c r="J295" s="54" t="str">
        <f ca="1">IF(F295="","",OFFSET(分類!$B$29,MATCH(F295,分類!$A$30:$A$46,0),0))</f>
        <v/>
      </c>
      <c r="K295" s="69"/>
      <c r="L295" s="54"/>
    </row>
    <row r="296" spans="2:12">
      <c r="B296" s="27">
        <f t="shared" si="4"/>
        <v>292</v>
      </c>
      <c r="C296" s="27"/>
      <c r="D296" s="27"/>
      <c r="E296" s="27"/>
      <c r="F296" s="54"/>
      <c r="G296" s="54"/>
      <c r="H296" s="54"/>
      <c r="I296" s="54"/>
      <c r="J296" s="54" t="str">
        <f ca="1">IF(F296="","",OFFSET(分類!$B$29,MATCH(F296,分類!$A$30:$A$46,0),0))</f>
        <v/>
      </c>
      <c r="K296" s="69"/>
      <c r="L296" s="54"/>
    </row>
    <row r="297" spans="2:12">
      <c r="B297" s="27">
        <f t="shared" si="4"/>
        <v>293</v>
      </c>
      <c r="C297" s="27"/>
      <c r="D297" s="27"/>
      <c r="E297" s="27"/>
      <c r="F297" s="54"/>
      <c r="G297" s="54"/>
      <c r="H297" s="54"/>
      <c r="I297" s="54"/>
      <c r="J297" s="54" t="str">
        <f ca="1">IF(F297="","",OFFSET(分類!$B$29,MATCH(F297,分類!$A$30:$A$46,0),0))</f>
        <v/>
      </c>
      <c r="K297" s="69"/>
      <c r="L297" s="54"/>
    </row>
    <row r="298" spans="2:12">
      <c r="B298" s="27">
        <f t="shared" si="4"/>
        <v>294</v>
      </c>
      <c r="C298" s="27"/>
      <c r="D298" s="27"/>
      <c r="E298" s="27"/>
      <c r="F298" s="54"/>
      <c r="G298" s="54"/>
      <c r="H298" s="54"/>
      <c r="I298" s="54"/>
      <c r="J298" s="54" t="str">
        <f ca="1">IF(F298="","",OFFSET(分類!$B$29,MATCH(F298,分類!$A$30:$A$46,0),0))</f>
        <v/>
      </c>
      <c r="K298" s="69"/>
      <c r="L298" s="54"/>
    </row>
    <row r="299" spans="2:12">
      <c r="B299" s="27">
        <f t="shared" si="4"/>
        <v>295</v>
      </c>
      <c r="C299" s="27"/>
      <c r="D299" s="27"/>
      <c r="E299" s="27"/>
      <c r="F299" s="54"/>
      <c r="G299" s="54"/>
      <c r="H299" s="54"/>
      <c r="I299" s="54"/>
      <c r="J299" s="54" t="str">
        <f ca="1">IF(F299="","",OFFSET(分類!$B$29,MATCH(F299,分類!$A$30:$A$46,0),0))</f>
        <v/>
      </c>
      <c r="K299" s="69"/>
      <c r="L299" s="54"/>
    </row>
    <row r="300" spans="2:12">
      <c r="B300" s="27">
        <f t="shared" si="4"/>
        <v>296</v>
      </c>
      <c r="C300" s="27"/>
      <c r="D300" s="27"/>
      <c r="E300" s="27"/>
      <c r="F300" s="54"/>
      <c r="G300" s="54"/>
      <c r="H300" s="54"/>
      <c r="I300" s="54"/>
      <c r="J300" s="54" t="str">
        <f ca="1">IF(F300="","",OFFSET(分類!$B$29,MATCH(F300,分類!$A$30:$A$46,0),0))</f>
        <v/>
      </c>
      <c r="K300" s="69"/>
      <c r="L300" s="54"/>
    </row>
    <row r="301" spans="2:12">
      <c r="B301" s="27">
        <f t="shared" si="4"/>
        <v>297</v>
      </c>
      <c r="C301" s="27"/>
      <c r="D301" s="27"/>
      <c r="E301" s="27"/>
      <c r="F301" s="54"/>
      <c r="G301" s="54"/>
      <c r="H301" s="54"/>
      <c r="I301" s="54"/>
      <c r="J301" s="54" t="str">
        <f ca="1">IF(F301="","",OFFSET(分類!$B$29,MATCH(F301,分類!$A$30:$A$46,0),0))</f>
        <v/>
      </c>
      <c r="K301" s="69"/>
      <c r="L301" s="54"/>
    </row>
    <row r="302" spans="2:12">
      <c r="B302" s="27">
        <f t="shared" si="4"/>
        <v>298</v>
      </c>
      <c r="C302" s="27"/>
      <c r="D302" s="27"/>
      <c r="E302" s="27"/>
      <c r="F302" s="54"/>
      <c r="G302" s="54"/>
      <c r="H302" s="54"/>
      <c r="I302" s="54"/>
      <c r="J302" s="54" t="str">
        <f ca="1">IF(F302="","",OFFSET(分類!$B$29,MATCH(F302,分類!$A$30:$A$46,0),0))</f>
        <v/>
      </c>
      <c r="K302" s="69"/>
      <c r="L302" s="54"/>
    </row>
    <row r="303" spans="2:12">
      <c r="B303" s="27">
        <f t="shared" si="4"/>
        <v>299</v>
      </c>
      <c r="C303" s="27"/>
      <c r="D303" s="27"/>
      <c r="E303" s="27"/>
      <c r="F303" s="54"/>
      <c r="G303" s="54"/>
      <c r="H303" s="54"/>
      <c r="I303" s="54"/>
      <c r="J303" s="54" t="str">
        <f ca="1">IF(F303="","",OFFSET(分類!$B$29,MATCH(F303,分類!$A$30:$A$46,0),0))</f>
        <v/>
      </c>
      <c r="K303" s="69"/>
      <c r="L303" s="54"/>
    </row>
    <row r="304" spans="2:12">
      <c r="B304" s="27">
        <f t="shared" si="4"/>
        <v>300</v>
      </c>
      <c r="C304" s="27"/>
      <c r="D304" s="27"/>
      <c r="E304" s="27"/>
      <c r="F304" s="54"/>
      <c r="G304" s="54"/>
      <c r="H304" s="54"/>
      <c r="I304" s="54"/>
      <c r="J304" s="54" t="str">
        <f ca="1">IF(F304="","",OFFSET(分類!$B$29,MATCH(F304,分類!$A$30:$A$46,0),0))</f>
        <v/>
      </c>
      <c r="K304" s="69"/>
      <c r="L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topLeftCell="O1" zoomScale="120" zoomScaleNormal="120" workbookViewId="0">
      <pane ySplit="1" topLeftCell="A2" activePane="bottomLeft" state="frozen"/>
      <selection pane="bottomLeft" activeCell="P2" sqref="P2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58" bestFit="1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4058</v>
      </c>
      <c r="U1" s="23" t="s">
        <v>4068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4062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4068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4068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4068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4068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4214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4068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4214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4214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4068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4068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4068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Q97" t="str">
        <f ca="1">OFFSET(マスタ非採用削除!$C$4,元データ!P97,0)</f>
        <v>名称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4214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4068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4062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Q139" t="str">
        <f ca="1">OFFSET(マスタ非採用削除!$C$4,元データ!P139,0)</f>
        <v>名称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4068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Q165" t="str">
        <f ca="1">OFFSET(マスタ非採用削除!$C$4,元データ!P165,0)</f>
        <v>名称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4062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4068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4068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64" t="s">
        <v>4062</v>
      </c>
      <c r="Q227" s="63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>非採用</v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4062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4068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4068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4068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Q365" t="str">
        <f ca="1">OFFSET(マスタ非採用削除!$C$4,元データ!P365,0)</f>
        <v>名称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4062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4062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4068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4062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4068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4062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4062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4068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4068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4068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>
      <c r="A533" s="6" t="s">
        <v>4102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>
        <f>統合マスタ!AA536</f>
        <v>0</v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4062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4062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8">
        <v>464</v>
      </c>
      <c r="Q545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>
        <f>統合マスタ!AA548</f>
        <v>0</v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>
      <c r="A565" s="6" t="s">
        <v>4101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4068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59"/>
      <c r="Q620" s="60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4062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4068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4068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4068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4068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4062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Q810" t="str">
        <f ca="1">OFFSET(マスタ非採用削除!$C$4,元データ!P810,0)</f>
        <v>名称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4068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87"/>
  <sheetViews>
    <sheetView topLeftCell="B653" workbookViewId="0">
      <selection activeCell="Q13" sqref="Q1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4222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</sheetData>
  <autoFilter ref="A4:N687" xr:uid="{D816E2D6-D25E-4978-9BBD-3340758407CB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F830" sqref="F83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A5CA-260D-4C96-8023-4C9DC6101AD9}">
  <dimension ref="A1:R56"/>
  <sheetViews>
    <sheetView workbookViewId="0">
      <selection activeCell="D26" sqref="D26"/>
    </sheetView>
  </sheetViews>
  <sheetFormatPr defaultRowHeight="13.2"/>
  <cols>
    <col min="3" max="3" width="42.88671875" bestFit="1" customWidth="1"/>
    <col min="4" max="4" width="38.88671875" bestFit="1" customWidth="1"/>
  </cols>
  <sheetData>
    <row r="1" spans="1:18">
      <c r="A1" t="s">
        <v>3774</v>
      </c>
      <c r="C1" t="s">
        <v>3775</v>
      </c>
      <c r="D1" t="s">
        <v>4069</v>
      </c>
      <c r="E1" t="s">
        <v>4070</v>
      </c>
      <c r="F1" t="s">
        <v>4071</v>
      </c>
      <c r="G1" t="s">
        <v>4072</v>
      </c>
      <c r="H1" t="s">
        <v>4073</v>
      </c>
      <c r="I1" t="s">
        <v>4074</v>
      </c>
      <c r="J1" t="s">
        <v>4075</v>
      </c>
      <c r="K1" t="s">
        <v>4076</v>
      </c>
      <c r="L1" t="s">
        <v>4077</v>
      </c>
      <c r="M1" t="s">
        <v>4078</v>
      </c>
      <c r="N1" t="s">
        <v>4079</v>
      </c>
      <c r="O1" t="s">
        <v>4080</v>
      </c>
      <c r="P1" t="s">
        <v>4081</v>
      </c>
      <c r="Q1" t="s">
        <v>4082</v>
      </c>
      <c r="R1" t="s">
        <v>4083</v>
      </c>
    </row>
    <row r="2" spans="1:18" s="63" customFormat="1">
      <c r="A2" s="63">
        <v>1</v>
      </c>
      <c r="B2" s="63">
        <f>MATCH(C2,統合マスタ!$C$5:$C$850,0)</f>
        <v>8</v>
      </c>
      <c r="C2" s="63" t="s">
        <v>3864</v>
      </c>
    </row>
    <row r="3" spans="1:18" s="63" customFormat="1">
      <c r="A3" s="63">
        <v>2</v>
      </c>
      <c r="B3" s="63">
        <f>MATCH(C3,統合マスタ!$C$5:$C$850,0)</f>
        <v>41</v>
      </c>
      <c r="C3" s="63" t="s">
        <v>3885</v>
      </c>
      <c r="D3" s="63" t="s">
        <v>4105</v>
      </c>
      <c r="E3" s="63">
        <v>7</v>
      </c>
      <c r="F3" s="63">
        <v>100</v>
      </c>
      <c r="G3" s="63" t="s">
        <v>4104</v>
      </c>
      <c r="H3" s="63">
        <v>6</v>
      </c>
      <c r="I3" s="63">
        <v>85</v>
      </c>
      <c r="J3" s="63" t="s">
        <v>4141</v>
      </c>
      <c r="K3" s="63">
        <v>129</v>
      </c>
      <c r="L3" s="63">
        <v>57.894736842105203</v>
      </c>
      <c r="M3" s="63" t="s">
        <v>4142</v>
      </c>
      <c r="N3" s="63">
        <v>130</v>
      </c>
      <c r="O3" s="63">
        <v>55</v>
      </c>
      <c r="P3" s="63" t="s">
        <v>4128</v>
      </c>
      <c r="Q3" s="63">
        <v>83</v>
      </c>
      <c r="R3" s="63">
        <v>52.631578947368403</v>
      </c>
    </row>
    <row r="4" spans="1:18">
      <c r="A4">
        <v>3</v>
      </c>
      <c r="B4">
        <f>MATCH(C4,統合マスタ!$C$5:$C$850,0)</f>
        <v>50</v>
      </c>
      <c r="C4" t="s">
        <v>3887</v>
      </c>
      <c r="D4" t="s">
        <v>4213</v>
      </c>
      <c r="E4">
        <v>267</v>
      </c>
      <c r="F4">
        <v>41.379310344827502</v>
      </c>
      <c r="G4" t="s">
        <v>1262</v>
      </c>
      <c r="H4">
        <v>12</v>
      </c>
      <c r="I4">
        <v>35.294117647058798</v>
      </c>
      <c r="J4" t="s">
        <v>4106</v>
      </c>
      <c r="K4">
        <v>11</v>
      </c>
      <c r="L4">
        <v>31.25</v>
      </c>
    </row>
    <row r="5" spans="1:18" s="63" customFormat="1">
      <c r="A5" s="63">
        <v>4</v>
      </c>
      <c r="B5" s="63">
        <f>MATCH(C5,統合マスタ!$C$5:$C$850,0)</f>
        <v>54</v>
      </c>
      <c r="C5" s="63" t="s">
        <v>1262</v>
      </c>
      <c r="D5" s="63" t="s">
        <v>1262</v>
      </c>
      <c r="E5" s="63">
        <v>12</v>
      </c>
      <c r="F5" s="63">
        <v>100</v>
      </c>
      <c r="G5" s="63" t="s">
        <v>4106</v>
      </c>
      <c r="H5" s="63">
        <v>11</v>
      </c>
      <c r="I5" s="63">
        <v>73.3333333333333</v>
      </c>
      <c r="J5" s="63" t="s">
        <v>4178</v>
      </c>
      <c r="K5" s="63">
        <v>238</v>
      </c>
      <c r="L5" s="63">
        <v>54.545454545454497</v>
      </c>
      <c r="M5" s="63" t="s">
        <v>4155</v>
      </c>
      <c r="N5" s="63">
        <v>165</v>
      </c>
      <c r="O5" s="63">
        <v>53.3333333333333</v>
      </c>
      <c r="P5" s="63" t="s">
        <v>4165</v>
      </c>
      <c r="Q5" s="63">
        <v>204</v>
      </c>
      <c r="R5" s="63">
        <v>48.484848484848399</v>
      </c>
    </row>
    <row r="6" spans="1:18">
      <c r="A6">
        <v>5</v>
      </c>
      <c r="B6">
        <f>MATCH(C6,統合マスタ!$C$5:$C$850,0)</f>
        <v>63</v>
      </c>
      <c r="C6" t="s">
        <v>3889</v>
      </c>
      <c r="D6" t="s">
        <v>4107</v>
      </c>
      <c r="E6">
        <v>13</v>
      </c>
      <c r="F6">
        <v>71.428571428571402</v>
      </c>
      <c r="G6" t="s">
        <v>4108</v>
      </c>
      <c r="H6">
        <v>14</v>
      </c>
      <c r="I6">
        <v>66.6666666666666</v>
      </c>
      <c r="J6" t="s">
        <v>4109</v>
      </c>
      <c r="K6">
        <v>15</v>
      </c>
      <c r="L6">
        <v>66.6666666666666</v>
      </c>
      <c r="M6" t="s">
        <v>4189</v>
      </c>
      <c r="N6">
        <v>268</v>
      </c>
      <c r="O6">
        <v>50</v>
      </c>
      <c r="P6" t="s">
        <v>4203</v>
      </c>
      <c r="Q6">
        <v>322</v>
      </c>
      <c r="R6">
        <v>48.648648648648603</v>
      </c>
    </row>
    <row r="7" spans="1:18" s="63" customFormat="1">
      <c r="A7" s="63">
        <v>6</v>
      </c>
      <c r="B7" s="63">
        <f>MATCH(C7,統合マスタ!$C$5:$C$850,0)</f>
        <v>66</v>
      </c>
      <c r="C7" s="63" t="s">
        <v>3892</v>
      </c>
      <c r="D7" s="63" t="s">
        <v>4108</v>
      </c>
      <c r="E7" s="63">
        <v>14</v>
      </c>
      <c r="F7" s="63">
        <v>73.170731707317003</v>
      </c>
      <c r="G7" s="63" t="s">
        <v>4109</v>
      </c>
      <c r="H7" s="63">
        <v>15</v>
      </c>
      <c r="I7" s="63">
        <v>73.170731707317003</v>
      </c>
      <c r="J7" s="63" t="s">
        <v>4107</v>
      </c>
      <c r="K7" s="63">
        <v>13</v>
      </c>
      <c r="L7" s="63">
        <v>68.292682926829201</v>
      </c>
      <c r="M7" s="63" t="s">
        <v>1427</v>
      </c>
      <c r="N7" s="63">
        <v>124</v>
      </c>
      <c r="O7" s="63">
        <v>48.484848484848399</v>
      </c>
      <c r="P7" s="63" t="s">
        <v>4189</v>
      </c>
      <c r="Q7" s="63">
        <v>268</v>
      </c>
      <c r="R7" s="63">
        <v>45.714285714285701</v>
      </c>
    </row>
    <row r="8" spans="1:18">
      <c r="A8">
        <v>7</v>
      </c>
      <c r="B8">
        <f>MATCH(C8,統合マスタ!$C$5:$C$850,0)</f>
        <v>71</v>
      </c>
      <c r="C8" t="s">
        <v>198</v>
      </c>
      <c r="D8" t="s">
        <v>4110</v>
      </c>
      <c r="E8">
        <v>18</v>
      </c>
      <c r="F8">
        <v>83.3333333333333</v>
      </c>
      <c r="G8" t="s">
        <v>4103</v>
      </c>
      <c r="H8">
        <v>4</v>
      </c>
      <c r="I8">
        <v>66.6666666666666</v>
      </c>
      <c r="J8" t="s">
        <v>1411</v>
      </c>
      <c r="K8">
        <v>115</v>
      </c>
      <c r="L8">
        <v>63.636363636363598</v>
      </c>
      <c r="M8" t="s">
        <v>4202</v>
      </c>
      <c r="N8">
        <v>315</v>
      </c>
      <c r="O8">
        <v>60.869565217391298</v>
      </c>
      <c r="P8" t="s">
        <v>4164</v>
      </c>
      <c r="Q8">
        <v>202</v>
      </c>
      <c r="R8">
        <v>58.3333333333333</v>
      </c>
    </row>
    <row r="9" spans="1:18">
      <c r="A9">
        <v>8</v>
      </c>
      <c r="B9">
        <f>MATCH(C9,統合マスタ!$C$5:$C$850,0)</f>
        <v>96</v>
      </c>
      <c r="C9" t="s">
        <v>3897</v>
      </c>
      <c r="D9" t="s">
        <v>4113</v>
      </c>
      <c r="E9">
        <v>42</v>
      </c>
      <c r="F9">
        <v>69.565217391304301</v>
      </c>
      <c r="G9" t="s">
        <v>4136</v>
      </c>
      <c r="H9">
        <v>119</v>
      </c>
      <c r="I9">
        <v>63.636363636363598</v>
      </c>
      <c r="J9" t="s">
        <v>4114</v>
      </c>
      <c r="K9">
        <v>43</v>
      </c>
      <c r="L9">
        <v>60.869565217391298</v>
      </c>
      <c r="M9" t="s">
        <v>1639</v>
      </c>
      <c r="N9">
        <v>249</v>
      </c>
      <c r="O9">
        <v>60.869565217391298</v>
      </c>
      <c r="P9" t="s">
        <v>4201</v>
      </c>
      <c r="Q9">
        <v>308</v>
      </c>
      <c r="R9">
        <v>60.869565217391298</v>
      </c>
    </row>
    <row r="10" spans="1:18" s="63" customFormat="1">
      <c r="A10" s="63">
        <v>9</v>
      </c>
      <c r="B10" s="63">
        <f>MATCH(C10,統合マスタ!$C$5:$C$850,0)</f>
        <v>100</v>
      </c>
      <c r="C10" s="63" t="s">
        <v>1297</v>
      </c>
      <c r="D10" s="63" t="s">
        <v>1297</v>
      </c>
      <c r="E10" s="63">
        <v>35</v>
      </c>
      <c r="F10" s="63">
        <v>100</v>
      </c>
      <c r="G10" s="63" t="s">
        <v>1547</v>
      </c>
      <c r="H10" s="63">
        <v>189</v>
      </c>
      <c r="I10" s="63">
        <v>76.923076923076906</v>
      </c>
      <c r="J10" s="63" t="s">
        <v>4127</v>
      </c>
      <c r="K10" s="63">
        <v>82</v>
      </c>
      <c r="L10" s="63">
        <v>56</v>
      </c>
      <c r="M10" s="63" t="s">
        <v>4193</v>
      </c>
      <c r="N10" s="63">
        <v>278</v>
      </c>
      <c r="O10" s="63">
        <v>48</v>
      </c>
      <c r="P10" s="63" t="s">
        <v>4117</v>
      </c>
      <c r="Q10" s="63">
        <v>47</v>
      </c>
      <c r="R10" s="63">
        <v>45.454545454545404</v>
      </c>
    </row>
    <row r="11" spans="1:18">
      <c r="A11">
        <v>10</v>
      </c>
      <c r="B11">
        <f>MATCH(C11,統合マスタ!$C$5:$C$850,0)</f>
        <v>102</v>
      </c>
      <c r="C11" t="s">
        <v>3898</v>
      </c>
      <c r="D11" t="s">
        <v>4174</v>
      </c>
      <c r="E11">
        <v>229</v>
      </c>
      <c r="F11">
        <v>37.837837837837803</v>
      </c>
      <c r="G11" t="s">
        <v>4171</v>
      </c>
      <c r="H11">
        <v>219</v>
      </c>
      <c r="I11">
        <v>34.146341463414601</v>
      </c>
      <c r="J11" t="s">
        <v>4119</v>
      </c>
      <c r="K11">
        <v>49</v>
      </c>
      <c r="L11">
        <v>31.25</v>
      </c>
      <c r="M11" t="s">
        <v>4180</v>
      </c>
      <c r="N11">
        <v>243</v>
      </c>
      <c r="O11">
        <v>31.25</v>
      </c>
      <c r="P11" t="s">
        <v>4191</v>
      </c>
      <c r="Q11">
        <v>276</v>
      </c>
      <c r="R11">
        <v>31.25</v>
      </c>
    </row>
    <row r="12" spans="1:18" s="63" customFormat="1">
      <c r="A12" s="63">
        <v>11</v>
      </c>
      <c r="B12" s="63">
        <f>MATCH(C12,統合マスタ!$C$5:$C$850,0)</f>
        <v>120</v>
      </c>
      <c r="C12" s="63" t="s">
        <v>3900</v>
      </c>
      <c r="D12" s="63" t="s">
        <v>4118</v>
      </c>
      <c r="E12" s="63">
        <v>48</v>
      </c>
      <c r="F12" s="63">
        <v>75.862068965517196</v>
      </c>
      <c r="G12" s="63" t="s">
        <v>4211</v>
      </c>
      <c r="H12" s="63">
        <v>341</v>
      </c>
      <c r="I12" s="63">
        <v>46.153846153846096</v>
      </c>
      <c r="J12" s="63" t="s">
        <v>1244</v>
      </c>
      <c r="K12" s="63">
        <v>3</v>
      </c>
      <c r="L12" s="63">
        <v>40</v>
      </c>
      <c r="M12" s="63" t="s">
        <v>4117</v>
      </c>
      <c r="N12" s="63">
        <v>47</v>
      </c>
      <c r="O12" s="63">
        <v>40</v>
      </c>
      <c r="P12" s="63" t="s">
        <v>4126</v>
      </c>
      <c r="Q12" s="63">
        <v>80</v>
      </c>
      <c r="R12" s="63">
        <v>40</v>
      </c>
    </row>
    <row r="13" spans="1:18">
      <c r="A13">
        <v>12</v>
      </c>
      <c r="B13">
        <f>MATCH(C13,統合マスタ!$C$5:$C$850,0)</f>
        <v>138</v>
      </c>
      <c r="C13" t="s">
        <v>3901</v>
      </c>
      <c r="D13" t="s">
        <v>4146</v>
      </c>
      <c r="E13">
        <v>142</v>
      </c>
      <c r="F13">
        <v>60.869565217391298</v>
      </c>
      <c r="G13" t="s">
        <v>4195</v>
      </c>
      <c r="H13">
        <v>289</v>
      </c>
      <c r="I13">
        <v>60.869565217391298</v>
      </c>
      <c r="J13" t="s">
        <v>4139</v>
      </c>
      <c r="K13">
        <v>125</v>
      </c>
      <c r="L13">
        <v>50</v>
      </c>
      <c r="M13" t="s">
        <v>4140</v>
      </c>
      <c r="N13">
        <v>126</v>
      </c>
      <c r="O13">
        <v>48</v>
      </c>
      <c r="P13" t="s">
        <v>4167</v>
      </c>
      <c r="Q13">
        <v>211</v>
      </c>
      <c r="R13">
        <v>47.619047619047599</v>
      </c>
    </row>
    <row r="14" spans="1:18">
      <c r="A14">
        <v>13</v>
      </c>
      <c r="B14">
        <f>MATCH(C14,統合マスタ!$C$5:$C$850,0)</f>
        <v>164</v>
      </c>
      <c r="C14" t="s">
        <v>365</v>
      </c>
    </row>
    <row r="15" spans="1:18">
      <c r="A15">
        <v>14</v>
      </c>
      <c r="B15">
        <f>MATCH(C15,統合マスタ!$C$5:$C$850,0)</f>
        <v>182</v>
      </c>
      <c r="C15" t="s">
        <v>3912</v>
      </c>
      <c r="D15" t="s">
        <v>1198</v>
      </c>
      <c r="E15">
        <v>94</v>
      </c>
      <c r="F15">
        <v>51.851851851851798</v>
      </c>
      <c r="G15" t="s">
        <v>4132</v>
      </c>
      <c r="H15">
        <v>93</v>
      </c>
      <c r="I15">
        <v>50</v>
      </c>
      <c r="J15" t="s">
        <v>1297</v>
      </c>
      <c r="K15">
        <v>35</v>
      </c>
      <c r="L15">
        <v>41.379310344827502</v>
      </c>
      <c r="M15" t="s">
        <v>4200</v>
      </c>
      <c r="N15">
        <v>305</v>
      </c>
      <c r="O15">
        <v>38.709677419354797</v>
      </c>
      <c r="P15" t="s">
        <v>4158</v>
      </c>
      <c r="Q15">
        <v>180</v>
      </c>
      <c r="R15">
        <v>38.461538461538403</v>
      </c>
    </row>
    <row r="16" spans="1:18" s="63" customFormat="1">
      <c r="A16" s="63">
        <v>15</v>
      </c>
      <c r="B16" s="63">
        <f>MATCH(C16,統合マスタ!$C$5:$C$850,0)</f>
        <v>187</v>
      </c>
      <c r="C16" s="63" t="s">
        <v>1375</v>
      </c>
      <c r="D16" s="63" t="s">
        <v>1375</v>
      </c>
      <c r="E16" s="63">
        <v>97</v>
      </c>
      <c r="F16" s="63">
        <v>100</v>
      </c>
      <c r="G16" s="63" t="s">
        <v>4067</v>
      </c>
      <c r="H16" s="63">
        <v>248</v>
      </c>
      <c r="I16" s="63">
        <v>66.6666666666666</v>
      </c>
      <c r="J16" s="63" t="s">
        <v>4201</v>
      </c>
      <c r="K16" s="63">
        <v>308</v>
      </c>
      <c r="L16" s="63">
        <v>63.636363636363598</v>
      </c>
      <c r="M16" s="63" t="s">
        <v>4152</v>
      </c>
      <c r="N16" s="63">
        <v>152</v>
      </c>
      <c r="O16" s="63">
        <v>58.3333333333333</v>
      </c>
      <c r="P16" s="63" t="s">
        <v>4197</v>
      </c>
      <c r="Q16" s="63">
        <v>293</v>
      </c>
      <c r="R16" s="63">
        <v>57.142857142857103</v>
      </c>
    </row>
    <row r="17" spans="1:18" s="63" customFormat="1">
      <c r="A17" s="63">
        <v>16</v>
      </c>
      <c r="B17" s="63">
        <f>MATCH(C17,統合マスタ!$C$5:$C$850,0)</f>
        <v>226</v>
      </c>
      <c r="C17" s="63" t="s">
        <v>1406</v>
      </c>
      <c r="D17" s="63" t="s">
        <v>1406</v>
      </c>
      <c r="E17" s="63">
        <v>114</v>
      </c>
      <c r="F17" s="63">
        <v>100</v>
      </c>
      <c r="G17" s="63" t="s">
        <v>4203</v>
      </c>
      <c r="H17" s="63">
        <v>322</v>
      </c>
      <c r="I17" s="63">
        <v>60</v>
      </c>
      <c r="J17" s="63" t="s">
        <v>1427</v>
      </c>
      <c r="K17" s="63">
        <v>124</v>
      </c>
      <c r="L17" s="63">
        <v>59.259259259259203</v>
      </c>
      <c r="M17" s="63" t="s">
        <v>4152</v>
      </c>
      <c r="N17" s="63">
        <v>152</v>
      </c>
      <c r="O17" s="63">
        <v>57.142857142857103</v>
      </c>
      <c r="P17" s="63" t="s">
        <v>4112</v>
      </c>
      <c r="Q17" s="63">
        <v>39</v>
      </c>
      <c r="R17" s="63">
        <v>53.846153846153797</v>
      </c>
    </row>
    <row r="18" spans="1:18" s="63" customFormat="1">
      <c r="A18" s="63">
        <v>17</v>
      </c>
      <c r="B18" s="63">
        <f>MATCH(C18,統合マスタ!$C$5:$C$850,0)</f>
        <v>229</v>
      </c>
      <c r="C18" s="63" t="s">
        <v>1411</v>
      </c>
      <c r="D18" s="63" t="s">
        <v>1411</v>
      </c>
      <c r="E18" s="63">
        <v>115</v>
      </c>
      <c r="F18" s="63">
        <v>100</v>
      </c>
      <c r="G18" s="63" t="s">
        <v>4149</v>
      </c>
      <c r="H18" s="63">
        <v>146</v>
      </c>
      <c r="I18" s="63">
        <v>70</v>
      </c>
      <c r="J18" s="63" t="s">
        <v>4201</v>
      </c>
      <c r="K18" s="63">
        <v>308</v>
      </c>
      <c r="L18" s="63">
        <v>66.6666666666666</v>
      </c>
      <c r="M18" s="63" t="s">
        <v>4202</v>
      </c>
      <c r="N18" s="63">
        <v>315</v>
      </c>
      <c r="O18" s="63">
        <v>66.6666666666666</v>
      </c>
      <c r="P18" s="63" t="s">
        <v>4103</v>
      </c>
      <c r="Q18" s="63">
        <v>4</v>
      </c>
      <c r="R18" s="63">
        <v>63.157894736842103</v>
      </c>
    </row>
    <row r="19" spans="1:18">
      <c r="A19">
        <v>18</v>
      </c>
      <c r="B19">
        <f>MATCH(C19,統合マスタ!$C$5:$C$850,0)</f>
        <v>232</v>
      </c>
      <c r="C19" t="s">
        <v>3918</v>
      </c>
      <c r="D19" t="s">
        <v>4135</v>
      </c>
      <c r="E19">
        <v>117</v>
      </c>
      <c r="F19">
        <v>81.25</v>
      </c>
      <c r="G19" t="s">
        <v>4184</v>
      </c>
      <c r="H19">
        <v>256</v>
      </c>
      <c r="I19">
        <v>45.161290322580598</v>
      </c>
      <c r="J19" t="s">
        <v>4162</v>
      </c>
      <c r="K19">
        <v>186</v>
      </c>
      <c r="L19">
        <v>44.4444444444444</v>
      </c>
      <c r="M19" t="s">
        <v>4161</v>
      </c>
      <c r="N19">
        <v>185</v>
      </c>
      <c r="O19">
        <v>43.243243243243199</v>
      </c>
      <c r="P19" t="s">
        <v>4163</v>
      </c>
      <c r="Q19">
        <v>187</v>
      </c>
      <c r="R19">
        <v>41.176470588235198</v>
      </c>
    </row>
    <row r="20" spans="1:18">
      <c r="A20">
        <v>19</v>
      </c>
      <c r="B20">
        <f>MATCH(C20,統合マスタ!$C$5:$C$850,0)</f>
        <v>233</v>
      </c>
      <c r="C20" t="s">
        <v>470</v>
      </c>
      <c r="D20" t="s">
        <v>4123</v>
      </c>
      <c r="E20">
        <v>65</v>
      </c>
      <c r="F20">
        <v>41.6666666666666</v>
      </c>
      <c r="G20" t="s">
        <v>4172</v>
      </c>
      <c r="H20">
        <v>223</v>
      </c>
      <c r="I20">
        <v>37.037037037037003</v>
      </c>
      <c r="J20" t="s">
        <v>4143</v>
      </c>
      <c r="K20">
        <v>134</v>
      </c>
      <c r="L20">
        <v>35.714285714285701</v>
      </c>
      <c r="M20" t="s">
        <v>4173</v>
      </c>
      <c r="N20">
        <v>224</v>
      </c>
      <c r="O20">
        <v>35.714285714285701</v>
      </c>
      <c r="P20" t="s">
        <v>4190</v>
      </c>
      <c r="Q20">
        <v>270</v>
      </c>
      <c r="R20">
        <v>31.25</v>
      </c>
    </row>
    <row r="21" spans="1:18">
      <c r="A21">
        <v>20</v>
      </c>
      <c r="B21">
        <f>MATCH(C21,統合マスタ!$C$5:$C$850,0)</f>
        <v>282</v>
      </c>
      <c r="C21" t="s">
        <v>3925</v>
      </c>
    </row>
    <row r="22" spans="1:18">
      <c r="A22">
        <v>21</v>
      </c>
      <c r="B22">
        <f>MATCH(C22,統合マスタ!$C$5:$C$850,0)</f>
        <v>283</v>
      </c>
      <c r="C22" t="s">
        <v>3926</v>
      </c>
      <c r="D22" t="s">
        <v>4196</v>
      </c>
      <c r="E22">
        <v>292</v>
      </c>
      <c r="F22">
        <v>34.146341463414601</v>
      </c>
    </row>
    <row r="23" spans="1:18">
      <c r="A23">
        <v>22</v>
      </c>
      <c r="B23">
        <f>MATCH(C23,統合マスタ!$C$5:$C$850,0)</f>
        <v>362</v>
      </c>
      <c r="C23" t="s">
        <v>3940</v>
      </c>
      <c r="D23" t="s">
        <v>4159</v>
      </c>
      <c r="E23">
        <v>181</v>
      </c>
      <c r="F23">
        <v>70</v>
      </c>
      <c r="G23" t="s">
        <v>4175</v>
      </c>
      <c r="H23">
        <v>231</v>
      </c>
      <c r="I23">
        <v>60.869565217391298</v>
      </c>
      <c r="J23" t="s">
        <v>4130</v>
      </c>
      <c r="K23">
        <v>91</v>
      </c>
      <c r="L23">
        <v>57.142857142857103</v>
      </c>
      <c r="M23" t="s">
        <v>1800</v>
      </c>
      <c r="N23">
        <v>316</v>
      </c>
      <c r="O23">
        <v>57.142857142857103</v>
      </c>
      <c r="P23" t="s">
        <v>4138</v>
      </c>
      <c r="Q23">
        <v>121</v>
      </c>
      <c r="R23">
        <v>52.173913043478201</v>
      </c>
    </row>
    <row r="24" spans="1:18">
      <c r="A24">
        <v>23</v>
      </c>
      <c r="B24">
        <f>MATCH(C24,統合マスタ!$C$5:$C$850,0)</f>
        <v>364</v>
      </c>
      <c r="C24" t="s">
        <v>3941</v>
      </c>
      <c r="D24" t="s">
        <v>4146</v>
      </c>
      <c r="E24">
        <v>142</v>
      </c>
      <c r="F24">
        <v>50</v>
      </c>
      <c r="G24" t="s">
        <v>4195</v>
      </c>
      <c r="H24">
        <v>289</v>
      </c>
      <c r="I24">
        <v>50</v>
      </c>
      <c r="J24" t="s">
        <v>4139</v>
      </c>
      <c r="K24">
        <v>125</v>
      </c>
      <c r="L24">
        <v>48</v>
      </c>
      <c r="M24" t="s">
        <v>4140</v>
      </c>
      <c r="N24">
        <v>126</v>
      </c>
      <c r="O24">
        <v>46.153846153846096</v>
      </c>
      <c r="P24" t="s">
        <v>4104</v>
      </c>
      <c r="Q24">
        <v>6</v>
      </c>
      <c r="R24">
        <v>36.363636363636303</v>
      </c>
    </row>
    <row r="25" spans="1:18">
      <c r="A25">
        <v>24</v>
      </c>
      <c r="B25">
        <f>MATCH(C25,統合マスタ!$C$5:$C$850,0)</f>
        <v>370</v>
      </c>
      <c r="C25" t="s">
        <v>668</v>
      </c>
      <c r="D25" t="s">
        <v>668</v>
      </c>
      <c r="E25">
        <v>179</v>
      </c>
      <c r="F25">
        <v>100</v>
      </c>
      <c r="G25" t="s">
        <v>4115</v>
      </c>
      <c r="H25">
        <v>44</v>
      </c>
      <c r="I25">
        <v>36.363636363636303</v>
      </c>
      <c r="J25" t="s">
        <v>4116</v>
      </c>
      <c r="K25">
        <v>46</v>
      </c>
      <c r="L25">
        <v>36.363636363636303</v>
      </c>
      <c r="M25" t="s">
        <v>4160</v>
      </c>
      <c r="N25">
        <v>184</v>
      </c>
      <c r="O25">
        <v>34.782608695652101</v>
      </c>
      <c r="P25" t="s">
        <v>4122</v>
      </c>
      <c r="Q25">
        <v>58</v>
      </c>
      <c r="R25">
        <v>31.999999999999901</v>
      </c>
    </row>
    <row r="26" spans="1:18" s="63" customFormat="1">
      <c r="A26" s="63">
        <v>25</v>
      </c>
      <c r="B26" s="63">
        <f>MATCH(C26,統合マスタ!$C$5:$C$850,0)</f>
        <v>388</v>
      </c>
      <c r="C26" s="63" t="s">
        <v>1547</v>
      </c>
      <c r="D26" s="63" t="s">
        <v>1547</v>
      </c>
      <c r="E26" s="63">
        <v>189</v>
      </c>
      <c r="F26" s="63">
        <v>100</v>
      </c>
      <c r="G26" s="63" t="s">
        <v>1297</v>
      </c>
      <c r="H26" s="63">
        <v>35</v>
      </c>
      <c r="I26" s="63">
        <v>76.923076923076906</v>
      </c>
      <c r="J26" s="63" t="s">
        <v>4127</v>
      </c>
      <c r="K26" s="63">
        <v>82</v>
      </c>
      <c r="L26" s="63">
        <v>56</v>
      </c>
      <c r="M26" s="63" t="s">
        <v>4193</v>
      </c>
      <c r="N26" s="63">
        <v>278</v>
      </c>
      <c r="O26" s="63">
        <v>48</v>
      </c>
      <c r="P26" s="63" t="s">
        <v>4157</v>
      </c>
      <c r="Q26" s="63">
        <v>178</v>
      </c>
      <c r="R26" s="63">
        <v>44.4444444444444</v>
      </c>
    </row>
    <row r="27" spans="1:18">
      <c r="A27">
        <v>26</v>
      </c>
      <c r="B27">
        <f>MATCH(C27,統合マスタ!$C$5:$C$850,0)</f>
        <v>409</v>
      </c>
      <c r="C27" t="s">
        <v>3946</v>
      </c>
      <c r="D27" t="s">
        <v>4166</v>
      </c>
      <c r="E27">
        <v>205</v>
      </c>
      <c r="F27">
        <v>85</v>
      </c>
      <c r="G27" t="s">
        <v>4165</v>
      </c>
      <c r="H27">
        <v>204</v>
      </c>
      <c r="I27">
        <v>75</v>
      </c>
      <c r="J27" t="s">
        <v>4192</v>
      </c>
      <c r="K27">
        <v>277</v>
      </c>
      <c r="L27">
        <v>58.536585365853597</v>
      </c>
      <c r="M27" t="s">
        <v>1800</v>
      </c>
      <c r="N27">
        <v>316</v>
      </c>
      <c r="O27">
        <v>44.999999999999901</v>
      </c>
      <c r="P27" t="s">
        <v>4207</v>
      </c>
      <c r="Q27">
        <v>336</v>
      </c>
      <c r="R27">
        <v>44.999999999999901</v>
      </c>
    </row>
    <row r="28" spans="1:18" s="63" customFormat="1">
      <c r="A28" s="63">
        <v>27</v>
      </c>
      <c r="B28" s="63">
        <f>MATCH(C28,統合マスタ!$C$5:$C$850,0)</f>
        <v>410</v>
      </c>
      <c r="C28" s="63" t="s">
        <v>3947</v>
      </c>
      <c r="D28" s="63" t="s">
        <v>4166</v>
      </c>
      <c r="E28" s="63">
        <v>205</v>
      </c>
      <c r="F28" s="63">
        <v>87.179487179487097</v>
      </c>
      <c r="G28" s="63" t="s">
        <v>4165</v>
      </c>
      <c r="H28" s="63">
        <v>204</v>
      </c>
      <c r="I28" s="63">
        <v>76.923076923076906</v>
      </c>
      <c r="J28" s="63" t="s">
        <v>4192</v>
      </c>
      <c r="K28" s="63">
        <v>277</v>
      </c>
      <c r="L28" s="63">
        <v>60</v>
      </c>
      <c r="M28" s="63" t="s">
        <v>1800</v>
      </c>
      <c r="N28" s="63">
        <v>316</v>
      </c>
      <c r="O28" s="63">
        <v>46.153846153846096</v>
      </c>
      <c r="P28" s="63" t="s">
        <v>4207</v>
      </c>
      <c r="Q28" s="63">
        <v>336</v>
      </c>
      <c r="R28" s="63">
        <v>46.153846153846096</v>
      </c>
    </row>
    <row r="29" spans="1:18" s="63" customFormat="1">
      <c r="A29" s="63">
        <v>28</v>
      </c>
      <c r="B29" s="63">
        <f>MATCH(C29,統合マスタ!$C$5:$C$850,0)</f>
        <v>438</v>
      </c>
      <c r="C29" s="63" t="s">
        <v>753</v>
      </c>
      <c r="D29" s="63" t="s">
        <v>753</v>
      </c>
      <c r="E29" s="63">
        <v>221</v>
      </c>
      <c r="F29" s="63">
        <v>100</v>
      </c>
      <c r="G29" s="63" t="s">
        <v>4212</v>
      </c>
      <c r="H29" s="63">
        <v>347</v>
      </c>
      <c r="I29" s="63">
        <v>68.75</v>
      </c>
      <c r="J29" s="63" t="s">
        <v>4170</v>
      </c>
      <c r="K29" s="63">
        <v>217</v>
      </c>
      <c r="L29" s="63">
        <v>66.6666666666666</v>
      </c>
      <c r="M29" s="63" t="s">
        <v>4131</v>
      </c>
      <c r="N29" s="63">
        <v>92</v>
      </c>
      <c r="O29" s="63">
        <v>62.5</v>
      </c>
      <c r="P29" s="63" t="s">
        <v>4153</v>
      </c>
      <c r="Q29" s="63">
        <v>160</v>
      </c>
      <c r="R29" s="63">
        <v>62.5</v>
      </c>
    </row>
    <row r="30" spans="1:18" s="63" customFormat="1">
      <c r="A30" s="63">
        <v>29</v>
      </c>
      <c r="B30" s="63">
        <f>MATCH(C30,統合マスタ!$C$5:$C$850,0)</f>
        <v>481</v>
      </c>
      <c r="C30" s="63" t="s">
        <v>3963</v>
      </c>
      <c r="D30" s="63" t="s">
        <v>4177</v>
      </c>
      <c r="E30" s="63">
        <v>237</v>
      </c>
      <c r="F30" s="63">
        <v>94.736842105263094</v>
      </c>
      <c r="G30" s="63" t="s">
        <v>4204</v>
      </c>
      <c r="H30" s="63">
        <v>327</v>
      </c>
      <c r="I30" s="63">
        <v>66.6666666666666</v>
      </c>
      <c r="J30" s="63" t="s">
        <v>4133</v>
      </c>
      <c r="K30" s="63">
        <v>103</v>
      </c>
      <c r="L30" s="63">
        <v>64.705882352941103</v>
      </c>
      <c r="M30" s="63" t="s">
        <v>4169</v>
      </c>
      <c r="N30" s="63">
        <v>214</v>
      </c>
      <c r="O30" s="63">
        <v>62.857142857142797</v>
      </c>
      <c r="P30" s="63" t="s">
        <v>4142</v>
      </c>
      <c r="Q30" s="63">
        <v>130</v>
      </c>
      <c r="R30" s="63">
        <v>61.538461538461497</v>
      </c>
    </row>
    <row r="31" spans="1:18" s="63" customFormat="1">
      <c r="A31" s="63">
        <v>30</v>
      </c>
      <c r="B31" s="63">
        <f>MATCH(C31,統合マスタ!$C$5:$C$850,0)</f>
        <v>503</v>
      </c>
      <c r="C31" s="63" t="s">
        <v>1638</v>
      </c>
      <c r="D31" s="63" t="s">
        <v>1638</v>
      </c>
      <c r="E31" s="63">
        <v>247</v>
      </c>
      <c r="F31" s="63">
        <v>100</v>
      </c>
      <c r="G31" s="63" t="s">
        <v>4181</v>
      </c>
      <c r="H31" s="63">
        <v>245</v>
      </c>
      <c r="I31" s="63">
        <v>73.684210526315795</v>
      </c>
      <c r="J31" s="63" t="s">
        <v>4194</v>
      </c>
      <c r="K31" s="63">
        <v>288</v>
      </c>
      <c r="L31" s="63">
        <v>50</v>
      </c>
      <c r="M31" s="63" t="s">
        <v>4195</v>
      </c>
      <c r="N31" s="63">
        <v>289</v>
      </c>
      <c r="O31" s="63">
        <v>50</v>
      </c>
      <c r="P31" s="63" t="s">
        <v>4206</v>
      </c>
      <c r="Q31" s="63">
        <v>333</v>
      </c>
      <c r="R31" s="63">
        <v>50</v>
      </c>
    </row>
    <row r="32" spans="1:18">
      <c r="A32">
        <v>31</v>
      </c>
      <c r="B32">
        <f>MATCH(C32,統合マスタ!$C$5:$C$850,0)</f>
        <v>513</v>
      </c>
      <c r="C32" t="s">
        <v>3968</v>
      </c>
      <c r="D32" t="s">
        <v>4198</v>
      </c>
      <c r="E32">
        <v>296</v>
      </c>
      <c r="F32">
        <v>42.105263157894697</v>
      </c>
      <c r="G32" t="s">
        <v>4193</v>
      </c>
      <c r="H32">
        <v>278</v>
      </c>
      <c r="I32">
        <v>38.095238095238003</v>
      </c>
      <c r="J32" t="s">
        <v>4183</v>
      </c>
      <c r="K32">
        <v>252</v>
      </c>
      <c r="L32">
        <v>37.037037037037003</v>
      </c>
      <c r="M32" t="s">
        <v>1385</v>
      </c>
      <c r="N32">
        <v>101</v>
      </c>
      <c r="O32">
        <v>36.363636363636303</v>
      </c>
      <c r="P32" t="s">
        <v>4065</v>
      </c>
      <c r="Q32">
        <v>335</v>
      </c>
      <c r="R32">
        <v>35.294117647058798</v>
      </c>
    </row>
    <row r="33" spans="1:18">
      <c r="A33">
        <v>32</v>
      </c>
      <c r="B33">
        <f>MATCH(C33,統合マスタ!$C$5:$C$850,0)</f>
        <v>532</v>
      </c>
      <c r="C33" t="s">
        <v>1657</v>
      </c>
      <c r="D33" t="s">
        <v>4184</v>
      </c>
      <c r="E33">
        <v>256</v>
      </c>
      <c r="F33">
        <v>48.484848484848399</v>
      </c>
      <c r="G33" t="s">
        <v>4131</v>
      </c>
      <c r="H33">
        <v>92</v>
      </c>
      <c r="I33">
        <v>45.714285714285701</v>
      </c>
      <c r="J33" t="s">
        <v>4161</v>
      </c>
      <c r="K33">
        <v>185</v>
      </c>
      <c r="L33">
        <v>41.025641025641001</v>
      </c>
      <c r="M33" t="s">
        <v>4111</v>
      </c>
      <c r="N33">
        <v>28</v>
      </c>
      <c r="O33">
        <v>40</v>
      </c>
      <c r="P33" t="s">
        <v>4141</v>
      </c>
      <c r="Q33">
        <v>129</v>
      </c>
      <c r="R33">
        <v>38.8888888888888</v>
      </c>
    </row>
    <row r="34" spans="1:18" s="63" customFormat="1">
      <c r="A34" s="63">
        <v>33</v>
      </c>
      <c r="B34" s="63">
        <f>MATCH(C34,統合マスタ!$C$5:$C$850,0)</f>
        <v>537</v>
      </c>
      <c r="C34" s="63" t="s">
        <v>865</v>
      </c>
      <c r="D34" s="63" t="s">
        <v>4186</v>
      </c>
      <c r="E34" s="63">
        <v>263</v>
      </c>
      <c r="F34" s="63">
        <v>100</v>
      </c>
      <c r="G34" s="63" t="s">
        <v>4211</v>
      </c>
      <c r="H34" s="63">
        <v>341</v>
      </c>
      <c r="I34" s="63">
        <v>38.095238095238003</v>
      </c>
      <c r="J34" s="63" t="s">
        <v>4148</v>
      </c>
      <c r="K34" s="63">
        <v>145</v>
      </c>
      <c r="L34" s="63">
        <v>31.999999999999901</v>
      </c>
      <c r="M34" s="63" t="s">
        <v>1244</v>
      </c>
      <c r="N34" s="63">
        <v>3</v>
      </c>
      <c r="O34" s="63">
        <v>30</v>
      </c>
      <c r="P34" s="63" t="s">
        <v>4168</v>
      </c>
      <c r="Q34" s="63">
        <v>212</v>
      </c>
      <c r="R34" s="63">
        <v>30</v>
      </c>
    </row>
    <row r="35" spans="1:18">
      <c r="A35">
        <v>34</v>
      </c>
      <c r="B35">
        <f>MATCH(C35,統合マスタ!$C$5:$C$850,0)</f>
        <v>539</v>
      </c>
      <c r="C35" t="s">
        <v>867</v>
      </c>
      <c r="D35" t="s">
        <v>4137</v>
      </c>
      <c r="E35">
        <v>120</v>
      </c>
      <c r="F35">
        <v>73.684210526315795</v>
      </c>
      <c r="G35" t="s">
        <v>4134</v>
      </c>
      <c r="H35">
        <v>107</v>
      </c>
      <c r="I35">
        <v>63.157894736842103</v>
      </c>
      <c r="J35" t="s">
        <v>4208</v>
      </c>
      <c r="K35">
        <v>338</v>
      </c>
      <c r="L35">
        <v>63.157894736842103</v>
      </c>
      <c r="M35" t="s">
        <v>4209</v>
      </c>
      <c r="N35">
        <v>339</v>
      </c>
      <c r="O35">
        <v>60</v>
      </c>
      <c r="P35" t="s">
        <v>4210</v>
      </c>
      <c r="Q35">
        <v>340</v>
      </c>
      <c r="R35">
        <v>60</v>
      </c>
    </row>
    <row r="36" spans="1:18">
      <c r="A36">
        <v>35</v>
      </c>
      <c r="B36">
        <f>MATCH(C36,統合マスタ!$C$5:$C$850,0)</f>
        <v>540</v>
      </c>
      <c r="C36" t="s">
        <v>3971</v>
      </c>
      <c r="D36" t="s">
        <v>4187</v>
      </c>
      <c r="E36">
        <v>265</v>
      </c>
      <c r="F36">
        <v>69.565217391304301</v>
      </c>
      <c r="G36" t="s">
        <v>4114</v>
      </c>
      <c r="H36">
        <v>43</v>
      </c>
      <c r="I36">
        <v>58.3333333333333</v>
      </c>
      <c r="J36" t="s">
        <v>4129</v>
      </c>
      <c r="K36">
        <v>85</v>
      </c>
      <c r="L36">
        <v>54.545454545454497</v>
      </c>
      <c r="M36" t="s">
        <v>4113</v>
      </c>
      <c r="N36">
        <v>42</v>
      </c>
      <c r="O36">
        <v>50</v>
      </c>
      <c r="P36" t="s">
        <v>4182</v>
      </c>
      <c r="Q36">
        <v>250</v>
      </c>
      <c r="R36">
        <v>44.4444444444444</v>
      </c>
    </row>
    <row r="37" spans="1:18">
      <c r="A37">
        <v>36</v>
      </c>
      <c r="B37">
        <f>MATCH(C37,統合マスタ!$C$5:$C$850,0)</f>
        <v>541</v>
      </c>
      <c r="C37" t="s">
        <v>869</v>
      </c>
      <c r="D37" t="s">
        <v>4188</v>
      </c>
      <c r="E37">
        <v>266</v>
      </c>
      <c r="F37">
        <v>42.105263157894697</v>
      </c>
    </row>
    <row r="38" spans="1:18" s="63" customFormat="1">
      <c r="A38" s="63">
        <v>37</v>
      </c>
      <c r="B38" s="63">
        <f>MATCH(C38,統合マスタ!$C$5:$C$850,0)</f>
        <v>542</v>
      </c>
      <c r="C38" s="63" t="s">
        <v>3972</v>
      </c>
      <c r="D38" s="63" t="s">
        <v>4188</v>
      </c>
      <c r="E38" s="63">
        <v>266</v>
      </c>
      <c r="F38" s="63">
        <v>100</v>
      </c>
      <c r="G38" s="63" t="s">
        <v>4135</v>
      </c>
      <c r="H38" s="63">
        <v>117</v>
      </c>
      <c r="I38" s="63">
        <v>38.709677419354797</v>
      </c>
      <c r="J38" s="63" t="s">
        <v>4121</v>
      </c>
      <c r="K38" s="63">
        <v>52</v>
      </c>
      <c r="L38" s="63">
        <v>37.5</v>
      </c>
      <c r="M38" s="63" t="s">
        <v>4185</v>
      </c>
      <c r="N38" s="63">
        <v>257</v>
      </c>
      <c r="O38" s="63">
        <v>35.294117647058798</v>
      </c>
      <c r="P38" s="63" t="s">
        <v>4156</v>
      </c>
      <c r="Q38" s="63">
        <v>166</v>
      </c>
      <c r="R38" s="63">
        <v>34.482758620689602</v>
      </c>
    </row>
    <row r="39" spans="1:18">
      <c r="A39">
        <v>38</v>
      </c>
      <c r="B39">
        <f>MATCH(C39,統合マスタ!$C$5:$C$850,0)</f>
        <v>544</v>
      </c>
      <c r="C39" t="s">
        <v>3973</v>
      </c>
      <c r="D39" t="s">
        <v>4188</v>
      </c>
      <c r="E39">
        <v>266</v>
      </c>
      <c r="F39">
        <v>78.787878787878697</v>
      </c>
      <c r="G39" t="s">
        <v>4213</v>
      </c>
      <c r="H39">
        <v>267</v>
      </c>
      <c r="I39">
        <v>41.379310344827502</v>
      </c>
      <c r="J39" t="s">
        <v>4135</v>
      </c>
      <c r="K39">
        <v>117</v>
      </c>
      <c r="L39">
        <v>35.294117647058798</v>
      </c>
      <c r="M39" t="s">
        <v>4143</v>
      </c>
      <c r="N39">
        <v>134</v>
      </c>
      <c r="O39">
        <v>34.285714285714199</v>
      </c>
      <c r="P39" t="s">
        <v>4120</v>
      </c>
      <c r="Q39">
        <v>50</v>
      </c>
      <c r="R39">
        <v>32.258064516128997</v>
      </c>
    </row>
    <row r="40" spans="1:18">
      <c r="A40">
        <v>39</v>
      </c>
      <c r="B40">
        <f>MATCH(C40,統合マスタ!$C$5:$C$850,0)</f>
        <v>566</v>
      </c>
      <c r="C40" t="s">
        <v>3976</v>
      </c>
      <c r="D40" t="s">
        <v>4106</v>
      </c>
      <c r="E40">
        <v>11</v>
      </c>
      <c r="F40">
        <v>62.068965517241303</v>
      </c>
      <c r="G40" t="s">
        <v>1262</v>
      </c>
      <c r="H40">
        <v>12</v>
      </c>
      <c r="I40">
        <v>51.612903225806399</v>
      </c>
      <c r="J40" t="s">
        <v>1337</v>
      </c>
      <c r="K40">
        <v>67</v>
      </c>
      <c r="L40">
        <v>48.648648648648603</v>
      </c>
      <c r="M40" t="s">
        <v>4154</v>
      </c>
      <c r="N40">
        <v>164</v>
      </c>
      <c r="O40">
        <v>48.275862068965502</v>
      </c>
      <c r="P40" t="s">
        <v>4155</v>
      </c>
      <c r="Q40">
        <v>165</v>
      </c>
      <c r="R40">
        <v>48.275862068965502</v>
      </c>
    </row>
    <row r="41" spans="1:18">
      <c r="A41">
        <v>40</v>
      </c>
      <c r="B41">
        <f>MATCH(C41,統合マスタ!$C$5:$C$850,0)</f>
        <v>619</v>
      </c>
      <c r="C41" t="s">
        <v>3993</v>
      </c>
      <c r="D41" t="s">
        <v>4196</v>
      </c>
      <c r="E41">
        <v>292</v>
      </c>
      <c r="F41">
        <v>56.410256410256402</v>
      </c>
      <c r="G41" t="s">
        <v>4169</v>
      </c>
      <c r="H41">
        <v>214</v>
      </c>
      <c r="I41">
        <v>33.3333333333333</v>
      </c>
      <c r="J41" t="s">
        <v>1742</v>
      </c>
      <c r="K41">
        <v>297</v>
      </c>
      <c r="L41">
        <v>32.258064516128997</v>
      </c>
      <c r="M41" t="s">
        <v>4180</v>
      </c>
      <c r="N41">
        <v>243</v>
      </c>
      <c r="O41">
        <v>31.25</v>
      </c>
      <c r="P41" t="s">
        <v>4066</v>
      </c>
      <c r="Q41">
        <v>106</v>
      </c>
      <c r="R41">
        <v>30.303030303030202</v>
      </c>
    </row>
    <row r="42" spans="1:18" s="63" customFormat="1">
      <c r="A42" s="63">
        <v>41</v>
      </c>
      <c r="B42" s="63">
        <f>MATCH(C42,統合マスタ!$C$5:$C$850,0)</f>
        <v>634</v>
      </c>
      <c r="C42" s="63" t="s">
        <v>1742</v>
      </c>
      <c r="D42" s="63" t="s">
        <v>1742</v>
      </c>
      <c r="E42" s="63">
        <v>297</v>
      </c>
      <c r="F42" s="63">
        <v>100</v>
      </c>
      <c r="G42" s="63" t="s">
        <v>4199</v>
      </c>
      <c r="H42" s="63">
        <v>304</v>
      </c>
      <c r="I42" s="63">
        <v>54.545454545454497</v>
      </c>
      <c r="J42" s="63" t="s">
        <v>1639</v>
      </c>
      <c r="K42" s="63">
        <v>249</v>
      </c>
      <c r="L42" s="63">
        <v>45.454545454545404</v>
      </c>
      <c r="M42" s="63" t="s">
        <v>4201</v>
      </c>
      <c r="N42" s="63">
        <v>308</v>
      </c>
      <c r="O42" s="63">
        <v>45.454545454545404</v>
      </c>
      <c r="P42" s="63" t="s">
        <v>4144</v>
      </c>
      <c r="Q42" s="63">
        <v>135</v>
      </c>
      <c r="R42" s="63">
        <v>40</v>
      </c>
    </row>
    <row r="43" spans="1:18">
      <c r="A43">
        <v>42</v>
      </c>
      <c r="B43">
        <f>MATCH(C43,統合マスタ!$C$5:$C$850,0)</f>
        <v>777</v>
      </c>
      <c r="C43" t="s">
        <v>4021</v>
      </c>
      <c r="D43" t="s">
        <v>4114</v>
      </c>
      <c r="E43">
        <v>43</v>
      </c>
      <c r="F43">
        <v>57.142857142857103</v>
      </c>
      <c r="G43" t="s">
        <v>4167</v>
      </c>
      <c r="H43">
        <v>211</v>
      </c>
      <c r="I43">
        <v>52.631578947368403</v>
      </c>
      <c r="J43" t="s">
        <v>4179</v>
      </c>
      <c r="K43">
        <v>242</v>
      </c>
      <c r="L43">
        <v>52.631578947368403</v>
      </c>
      <c r="M43" t="s">
        <v>4116</v>
      </c>
      <c r="N43">
        <v>46</v>
      </c>
      <c r="O43">
        <v>50</v>
      </c>
      <c r="P43" t="s">
        <v>4113</v>
      </c>
      <c r="Q43">
        <v>42</v>
      </c>
      <c r="R43">
        <v>47.619047619047599</v>
      </c>
    </row>
    <row r="44" spans="1:18" s="63" customFormat="1">
      <c r="A44" s="63">
        <v>43</v>
      </c>
      <c r="B44" s="63">
        <f>MATCH(C44,統合マスタ!$C$5:$C$850,0)</f>
        <v>807</v>
      </c>
      <c r="C44" s="63" t="s">
        <v>1337</v>
      </c>
      <c r="D44" s="63" t="s">
        <v>1337</v>
      </c>
      <c r="E44" s="63">
        <v>67</v>
      </c>
      <c r="F44" s="63">
        <v>100</v>
      </c>
      <c r="G44" s="63" t="s">
        <v>4176</v>
      </c>
      <c r="H44" s="63">
        <v>235</v>
      </c>
      <c r="I44" s="63">
        <v>52.631578947368403</v>
      </c>
      <c r="J44" s="63" t="s">
        <v>4104</v>
      </c>
      <c r="K44" s="63">
        <v>6</v>
      </c>
      <c r="L44" s="63">
        <v>42.857142857142797</v>
      </c>
      <c r="M44" s="63" t="s">
        <v>4105</v>
      </c>
      <c r="N44" s="63">
        <v>7</v>
      </c>
      <c r="O44" s="63">
        <v>42.857142857142797</v>
      </c>
      <c r="P44" s="63" t="s">
        <v>4205</v>
      </c>
      <c r="Q44" s="63">
        <v>331</v>
      </c>
      <c r="R44" s="63">
        <v>42.857142857142797</v>
      </c>
    </row>
    <row r="45" spans="1:18">
      <c r="A45">
        <v>44</v>
      </c>
      <c r="B45">
        <f>MATCH(C45,統合マスタ!$C$5:$C$850,0)</f>
        <v>808</v>
      </c>
      <c r="C45" t="s">
        <v>4026</v>
      </c>
      <c r="D45" t="s">
        <v>4151</v>
      </c>
      <c r="E45">
        <v>149</v>
      </c>
      <c r="F45">
        <v>48.275862068965502</v>
      </c>
      <c r="G45" t="s">
        <v>4125</v>
      </c>
      <c r="H45">
        <v>76</v>
      </c>
      <c r="I45">
        <v>46.6666666666666</v>
      </c>
      <c r="J45" t="s">
        <v>4124</v>
      </c>
      <c r="K45">
        <v>75</v>
      </c>
      <c r="L45">
        <v>42.424242424242401</v>
      </c>
      <c r="M45" t="s">
        <v>4196</v>
      </c>
      <c r="N45">
        <v>292</v>
      </c>
      <c r="O45">
        <v>42.424242424242401</v>
      </c>
      <c r="P45" t="s">
        <v>4150</v>
      </c>
      <c r="Q45">
        <v>148</v>
      </c>
      <c r="R45">
        <v>41.379310344827502</v>
      </c>
    </row>
    <row r="46" spans="1:18">
      <c r="A46">
        <v>45</v>
      </c>
      <c r="B46">
        <f>MATCH(C46,統合マスタ!$C$5:$C$850,0)</f>
        <v>809</v>
      </c>
      <c r="C46" t="s">
        <v>1181</v>
      </c>
    </row>
    <row r="47" spans="1:18">
      <c r="A47">
        <v>46</v>
      </c>
      <c r="B47">
        <f>MATCH(C47,統合マスタ!$C$5:$C$850,0)</f>
        <v>814</v>
      </c>
      <c r="C47" t="s">
        <v>4027</v>
      </c>
      <c r="D47" t="s">
        <v>4143</v>
      </c>
      <c r="E47">
        <v>134</v>
      </c>
      <c r="F47">
        <v>70.588235294117595</v>
      </c>
      <c r="G47" t="s">
        <v>4123</v>
      </c>
      <c r="H47">
        <v>65</v>
      </c>
      <c r="I47">
        <v>40</v>
      </c>
      <c r="J47" t="s">
        <v>4145</v>
      </c>
      <c r="K47">
        <v>139</v>
      </c>
      <c r="L47">
        <v>37.037037037037003</v>
      </c>
      <c r="M47" t="s">
        <v>4146</v>
      </c>
      <c r="N47">
        <v>142</v>
      </c>
      <c r="O47">
        <v>35.714285714285701</v>
      </c>
      <c r="P47" t="s">
        <v>4126</v>
      </c>
      <c r="Q47">
        <v>80</v>
      </c>
      <c r="R47">
        <v>32.258064516128997</v>
      </c>
    </row>
    <row r="48" spans="1:18">
      <c r="A48">
        <v>47</v>
      </c>
      <c r="B48">
        <f>MATCH(C48,統合マスタ!$C$5:$C$850,0)</f>
        <v>817</v>
      </c>
      <c r="C48" t="s">
        <v>4030</v>
      </c>
      <c r="D48" t="s">
        <v>4196</v>
      </c>
      <c r="E48">
        <v>292</v>
      </c>
      <c r="F48">
        <v>41.176470588235198</v>
      </c>
      <c r="G48" t="s">
        <v>4143</v>
      </c>
      <c r="H48">
        <v>134</v>
      </c>
      <c r="I48">
        <v>37.5</v>
      </c>
      <c r="J48" t="s">
        <v>4178</v>
      </c>
      <c r="K48">
        <v>238</v>
      </c>
      <c r="L48">
        <v>37.5</v>
      </c>
      <c r="M48" t="s">
        <v>4213</v>
      </c>
      <c r="N48">
        <v>267</v>
      </c>
      <c r="O48">
        <v>30.769230769230699</v>
      </c>
    </row>
    <row r="49" spans="1:18">
      <c r="A49">
        <v>48</v>
      </c>
      <c r="B49">
        <f>MATCH(C49,統合マスタ!$C$5:$C$850,0)</f>
        <v>818</v>
      </c>
      <c r="C49" t="s">
        <v>1196</v>
      </c>
    </row>
    <row r="50" spans="1:18">
      <c r="A50">
        <v>49</v>
      </c>
      <c r="B50">
        <f>MATCH(C50,統合マスタ!$C$5:$C$850,0)</f>
        <v>820</v>
      </c>
      <c r="C50" t="s">
        <v>1240</v>
      </c>
    </row>
    <row r="51" spans="1:18">
      <c r="A51">
        <v>50</v>
      </c>
      <c r="B51">
        <f>MATCH(C51,統合マスタ!$C$5:$C$850,0)</f>
        <v>821</v>
      </c>
      <c r="C51" t="s">
        <v>1241</v>
      </c>
    </row>
    <row r="52" spans="1:18">
      <c r="A52">
        <v>51</v>
      </c>
      <c r="B52">
        <f>MATCH(C52,統合マスタ!$C$5:$C$850,0)</f>
        <v>822</v>
      </c>
      <c r="C52" t="s">
        <v>1202</v>
      </c>
      <c r="D52" t="s">
        <v>4213</v>
      </c>
      <c r="E52">
        <v>267</v>
      </c>
      <c r="F52">
        <v>70.588235294117595</v>
      </c>
    </row>
    <row r="53" spans="1:18">
      <c r="A53">
        <v>52</v>
      </c>
      <c r="B53">
        <f>MATCH(C53,統合マスタ!$C$5:$C$850,0)</f>
        <v>829</v>
      </c>
      <c r="C53" t="s">
        <v>4031</v>
      </c>
      <c r="D53" t="s">
        <v>4188</v>
      </c>
      <c r="E53">
        <v>266</v>
      </c>
      <c r="F53">
        <v>41.025641025641001</v>
      </c>
      <c r="G53" t="s">
        <v>4143</v>
      </c>
      <c r="H53">
        <v>134</v>
      </c>
      <c r="I53">
        <v>34.146341463414601</v>
      </c>
      <c r="J53" t="s">
        <v>1337</v>
      </c>
      <c r="K53">
        <v>67</v>
      </c>
      <c r="L53">
        <v>30.434782608695599</v>
      </c>
    </row>
    <row r="54" spans="1:18">
      <c r="A54">
        <v>53</v>
      </c>
      <c r="B54">
        <f>MATCH(C54,統合マスタ!$C$5:$C$850,0)</f>
        <v>830</v>
      </c>
      <c r="C54" t="s">
        <v>4032</v>
      </c>
      <c r="D54" t="s">
        <v>4188</v>
      </c>
      <c r="E54">
        <v>266</v>
      </c>
      <c r="F54">
        <v>43.243243243243199</v>
      </c>
      <c r="G54" t="s">
        <v>4185</v>
      </c>
      <c r="H54">
        <v>257</v>
      </c>
      <c r="I54">
        <v>34.146341463414601</v>
      </c>
      <c r="J54" t="s">
        <v>4143</v>
      </c>
      <c r="K54">
        <v>134</v>
      </c>
      <c r="L54">
        <v>30.769230769230699</v>
      </c>
    </row>
    <row r="55" spans="1:18">
      <c r="A55">
        <v>54</v>
      </c>
      <c r="B55">
        <f>MATCH(C55,統合マスタ!$C$5:$C$850,0)</f>
        <v>831</v>
      </c>
      <c r="C55" t="s">
        <v>1212</v>
      </c>
    </row>
    <row r="56" spans="1:18">
      <c r="A56">
        <v>55</v>
      </c>
      <c r="B56">
        <f>MATCH(C56,統合マスタ!$C$5:$C$850,0)</f>
        <v>833</v>
      </c>
      <c r="C56" t="s">
        <v>1217</v>
      </c>
      <c r="D56" t="s">
        <v>4147</v>
      </c>
      <c r="E56">
        <v>144</v>
      </c>
      <c r="F56">
        <v>37.037037037037003</v>
      </c>
      <c r="G56" t="s">
        <v>4135</v>
      </c>
      <c r="H56">
        <v>117</v>
      </c>
      <c r="I56">
        <v>35.714285714285701</v>
      </c>
      <c r="J56" t="s">
        <v>4169</v>
      </c>
      <c r="K56">
        <v>214</v>
      </c>
      <c r="L56">
        <v>35.714285714285701</v>
      </c>
      <c r="M56" t="s">
        <v>4143</v>
      </c>
      <c r="N56">
        <v>134</v>
      </c>
      <c r="O56">
        <v>34.482758620689602</v>
      </c>
      <c r="P56" t="s">
        <v>4177</v>
      </c>
      <c r="Q56">
        <v>237</v>
      </c>
      <c r="R56">
        <v>32.258064516128997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46"/>
  <sheetViews>
    <sheetView workbookViewId="0">
      <selection activeCell="Q34" sqref="Q34"/>
    </sheetView>
  </sheetViews>
  <sheetFormatPr defaultRowHeight="13.2"/>
  <sheetData>
    <row r="1" spans="1:18" ht="13.8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4045</v>
      </c>
      <c r="J7" s="30" t="s">
        <v>4046</v>
      </c>
      <c r="M7" s="30" t="s">
        <v>4047</v>
      </c>
      <c r="P7" s="30" t="s">
        <v>4048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4046</v>
      </c>
      <c r="K8">
        <v>3</v>
      </c>
      <c r="M8" s="27" t="s">
        <v>4047</v>
      </c>
      <c r="N8">
        <v>1</v>
      </c>
      <c r="P8" s="27" t="s">
        <v>4048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4049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4050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4051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4052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4053</v>
      </c>
      <c r="H15">
        <v>19</v>
      </c>
      <c r="J15" s="27"/>
      <c r="M15" s="27"/>
      <c r="P15" s="27"/>
      <c r="R15" s="35"/>
    </row>
    <row r="16" spans="1:18" ht="13.8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4084</v>
      </c>
    </row>
    <row r="30" spans="1:2">
      <c r="A30">
        <v>1</v>
      </c>
      <c r="B30" t="s">
        <v>4085</v>
      </c>
    </row>
    <row r="31" spans="1:2">
      <c r="A31">
        <f>A30+1</f>
        <v>2</v>
      </c>
      <c r="B31" t="s">
        <v>4086</v>
      </c>
    </row>
    <row r="32" spans="1:2">
      <c r="A32">
        <f t="shared" ref="A32:A43" si="0">A31+1</f>
        <v>3</v>
      </c>
      <c r="B32" t="s">
        <v>4087</v>
      </c>
    </row>
    <row r="33" spans="1:2">
      <c r="A33">
        <f t="shared" si="0"/>
        <v>4</v>
      </c>
      <c r="B33" t="s">
        <v>4088</v>
      </c>
    </row>
    <row r="34" spans="1:2">
      <c r="A34">
        <f t="shared" si="0"/>
        <v>5</v>
      </c>
      <c r="B34" t="s">
        <v>4089</v>
      </c>
    </row>
    <row r="35" spans="1:2">
      <c r="A35">
        <f t="shared" si="0"/>
        <v>6</v>
      </c>
      <c r="B35" t="s">
        <v>4090</v>
      </c>
    </row>
    <row r="36" spans="1:2">
      <c r="A36">
        <f t="shared" si="0"/>
        <v>7</v>
      </c>
      <c r="B36" t="s">
        <v>4091</v>
      </c>
    </row>
    <row r="37" spans="1:2">
      <c r="A37">
        <f t="shared" si="0"/>
        <v>8</v>
      </c>
      <c r="B37" t="s">
        <v>4092</v>
      </c>
    </row>
    <row r="38" spans="1:2">
      <c r="A38">
        <f t="shared" si="0"/>
        <v>9</v>
      </c>
      <c r="B38" t="s">
        <v>4093</v>
      </c>
    </row>
    <row r="39" spans="1:2">
      <c r="A39">
        <f t="shared" si="0"/>
        <v>10</v>
      </c>
      <c r="B39" t="s">
        <v>4094</v>
      </c>
    </row>
    <row r="40" spans="1:2">
      <c r="A40">
        <f t="shared" si="0"/>
        <v>11</v>
      </c>
      <c r="B40" t="s">
        <v>4095</v>
      </c>
    </row>
    <row r="41" spans="1:2">
      <c r="A41">
        <f t="shared" si="0"/>
        <v>12</v>
      </c>
      <c r="B41" t="s">
        <v>4096</v>
      </c>
    </row>
    <row r="42" spans="1:2">
      <c r="A42">
        <f t="shared" si="0"/>
        <v>13</v>
      </c>
      <c r="B42" t="s">
        <v>4097</v>
      </c>
    </row>
    <row r="43" spans="1:2">
      <c r="A43">
        <f t="shared" si="0"/>
        <v>14</v>
      </c>
      <c r="B43" t="s">
        <v>4098</v>
      </c>
    </row>
    <row r="44" spans="1:2">
      <c r="A44">
        <v>15</v>
      </c>
      <c r="B44" t="s">
        <v>4099</v>
      </c>
    </row>
    <row r="45" spans="1:2">
      <c r="A45">
        <v>25</v>
      </c>
      <c r="B45" t="s">
        <v>4217</v>
      </c>
    </row>
    <row r="46" spans="1:2">
      <c r="A46">
        <v>26</v>
      </c>
      <c r="B46" t="s">
        <v>4218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統合マスタ</vt:lpstr>
      <vt:lpstr>臨時</vt:lpstr>
      <vt:lpstr>外用</vt:lpstr>
      <vt:lpstr>散剤</vt:lpstr>
      <vt:lpstr>錠剤</vt:lpstr>
      <vt:lpstr>注射</vt:lpstr>
      <vt:lpstr>元データ</vt:lpstr>
      <vt:lpstr>マスタ非採用削除</vt:lpstr>
      <vt:lpstr>match_results</vt:lpstr>
      <vt:lpstr>非採用match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2026-03-11T08:02:10Z</dcterms:modified>
</cp:coreProperties>
</file>