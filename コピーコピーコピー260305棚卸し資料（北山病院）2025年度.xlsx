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0" yWindow="0" windowWidth="28800" windowHeight="11835" activeTab="1"/>
  </bookViews>
  <sheets>
    <sheet name="元データ" sheetId="1" r:id="rId1"/>
    <sheet name="マスタ非採用削除" sheetId="8" r:id="rId2"/>
    <sheet name="match_results" sheetId="9" r:id="rId3"/>
    <sheet name="Sheet2" sheetId="2" r:id="rId4"/>
    <sheet name="A_1" sheetId="3" r:id="rId5"/>
    <sheet name="B_1" sheetId="5" r:id="rId6"/>
    <sheet name="match_results_不採用" sheetId="10" r:id="rId7"/>
  </sheets>
  <definedNames>
    <definedName name="_xlnm._FilterDatabase" localSheetId="2" hidden="1">match_results!$A$1:$CE$834</definedName>
    <definedName name="_xlnm._FilterDatabase" localSheetId="1" hidden="1">マスタ非採用削除!$A$4:$L$687</definedName>
    <definedName name="_xlnm._FilterDatabase" localSheetId="0" hidden="1">元データ!$A$1:$M$834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2" i="1"/>
  <c r="C2" i="5"/>
  <c r="D2" i="5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C107" i="5"/>
  <c r="D107" i="5"/>
  <c r="C108" i="5"/>
  <c r="D108" i="5"/>
  <c r="C109" i="5"/>
  <c r="D109" i="5"/>
  <c r="C110" i="5"/>
  <c r="D110" i="5"/>
  <c r="C111" i="5"/>
  <c r="D111" i="5"/>
  <c r="C112" i="5"/>
  <c r="D112" i="5"/>
  <c r="C113" i="5"/>
  <c r="D113" i="5"/>
  <c r="C114" i="5"/>
  <c r="D114" i="5"/>
  <c r="C115" i="5"/>
  <c r="D115" i="5"/>
  <c r="C116" i="5"/>
  <c r="D116" i="5"/>
  <c r="C117" i="5"/>
  <c r="D117" i="5"/>
  <c r="C118" i="5"/>
  <c r="D118" i="5"/>
  <c r="C119" i="5"/>
  <c r="D119" i="5"/>
  <c r="C120" i="5"/>
  <c r="D120" i="5"/>
  <c r="C121" i="5"/>
  <c r="D121" i="5"/>
  <c r="C122" i="5"/>
  <c r="D122" i="5"/>
  <c r="C123" i="5"/>
  <c r="D123" i="5"/>
  <c r="C124" i="5"/>
  <c r="D124" i="5"/>
  <c r="C125" i="5"/>
  <c r="D125" i="5"/>
  <c r="C126" i="5"/>
  <c r="D126" i="5"/>
  <c r="C127" i="5"/>
  <c r="D127" i="5"/>
  <c r="C128" i="5"/>
  <c r="D128" i="5"/>
  <c r="C129" i="5"/>
  <c r="D129" i="5"/>
  <c r="C130" i="5"/>
  <c r="D130" i="5"/>
  <c r="C131" i="5"/>
  <c r="D131" i="5"/>
  <c r="C132" i="5"/>
  <c r="D132" i="5"/>
  <c r="C133" i="5"/>
  <c r="D133" i="5"/>
  <c r="C134" i="5"/>
  <c r="D134" i="5"/>
  <c r="C135" i="5"/>
  <c r="D135" i="5"/>
  <c r="C136" i="5"/>
  <c r="D136" i="5"/>
  <c r="C137" i="5"/>
  <c r="D137" i="5"/>
  <c r="C138" i="5"/>
  <c r="D138" i="5"/>
  <c r="C139" i="5"/>
  <c r="D139" i="5"/>
  <c r="C140" i="5"/>
  <c r="D140" i="5"/>
  <c r="C141" i="5"/>
  <c r="D141" i="5"/>
  <c r="C142" i="5"/>
  <c r="D142" i="5"/>
  <c r="C143" i="5"/>
  <c r="D143" i="5"/>
  <c r="C144" i="5"/>
  <c r="D144" i="5"/>
  <c r="C145" i="5"/>
  <c r="D145" i="5"/>
  <c r="C146" i="5"/>
  <c r="D146" i="5"/>
  <c r="C147" i="5"/>
  <c r="D147" i="5"/>
  <c r="C148" i="5"/>
  <c r="D148" i="5"/>
  <c r="C149" i="5"/>
  <c r="D149" i="5"/>
  <c r="C150" i="5"/>
  <c r="D150" i="5"/>
  <c r="C151" i="5"/>
  <c r="D151" i="5"/>
  <c r="C152" i="5"/>
  <c r="D152" i="5"/>
  <c r="C153" i="5"/>
  <c r="D153" i="5"/>
  <c r="C154" i="5"/>
  <c r="D154" i="5"/>
  <c r="C155" i="5"/>
  <c r="D155" i="5"/>
  <c r="C156" i="5"/>
  <c r="D156" i="5"/>
  <c r="C157" i="5"/>
  <c r="D157" i="5"/>
  <c r="C158" i="5"/>
  <c r="D158" i="5"/>
  <c r="C159" i="5"/>
  <c r="D159" i="5"/>
  <c r="C160" i="5"/>
  <c r="D160" i="5"/>
  <c r="C161" i="5"/>
  <c r="D161" i="5"/>
  <c r="C162" i="5"/>
  <c r="D162" i="5"/>
  <c r="C163" i="5"/>
  <c r="D163" i="5"/>
  <c r="C164" i="5"/>
  <c r="D164" i="5"/>
  <c r="C165" i="5"/>
  <c r="D165" i="5"/>
  <c r="C166" i="5"/>
  <c r="D166" i="5"/>
  <c r="C167" i="5"/>
  <c r="D167" i="5"/>
  <c r="C168" i="5"/>
  <c r="D168" i="5"/>
  <c r="C169" i="5"/>
  <c r="D169" i="5"/>
  <c r="C170" i="5"/>
  <c r="D170" i="5"/>
  <c r="C171" i="5"/>
  <c r="D171" i="5"/>
  <c r="C172" i="5"/>
  <c r="D172" i="5"/>
  <c r="C173" i="5"/>
  <c r="D173" i="5"/>
  <c r="C174" i="5"/>
  <c r="D174" i="5"/>
  <c r="C175" i="5"/>
  <c r="D175" i="5"/>
  <c r="C176" i="5"/>
  <c r="D176" i="5"/>
  <c r="C177" i="5"/>
  <c r="D177" i="5"/>
  <c r="C178" i="5"/>
  <c r="D178" i="5"/>
  <c r="C179" i="5"/>
  <c r="D179" i="5"/>
  <c r="C180" i="5"/>
  <c r="D180" i="5"/>
  <c r="C181" i="5"/>
  <c r="D181" i="5"/>
  <c r="C182" i="5"/>
  <c r="D182" i="5"/>
  <c r="C183" i="5"/>
  <c r="D183" i="5"/>
  <c r="C184" i="5"/>
  <c r="D184" i="5"/>
  <c r="C185" i="5"/>
  <c r="D185" i="5"/>
  <c r="C186" i="5"/>
  <c r="D186" i="5"/>
  <c r="C187" i="5"/>
  <c r="D187" i="5"/>
  <c r="C188" i="5"/>
  <c r="D188" i="5"/>
  <c r="C189" i="5"/>
  <c r="D189" i="5"/>
  <c r="C190" i="5"/>
  <c r="D190" i="5"/>
  <c r="C191" i="5"/>
  <c r="D191" i="5"/>
  <c r="C192" i="5"/>
  <c r="D192" i="5"/>
  <c r="C193" i="5"/>
  <c r="D193" i="5"/>
  <c r="C194" i="5"/>
  <c r="D194" i="5"/>
  <c r="C195" i="5"/>
  <c r="D195" i="5"/>
  <c r="C196" i="5"/>
  <c r="D196" i="5"/>
  <c r="C197" i="5"/>
  <c r="D197" i="5"/>
  <c r="C198" i="5"/>
  <c r="D198" i="5"/>
  <c r="C199" i="5"/>
  <c r="D199" i="5"/>
  <c r="C200" i="5"/>
  <c r="D200" i="5"/>
  <c r="C201" i="5"/>
  <c r="D201" i="5"/>
  <c r="C202" i="5"/>
  <c r="D202" i="5"/>
  <c r="C203" i="5"/>
  <c r="D203" i="5"/>
  <c r="C204" i="5"/>
  <c r="D204" i="5"/>
  <c r="C205" i="5"/>
  <c r="D205" i="5"/>
  <c r="C206" i="5"/>
  <c r="D206" i="5"/>
  <c r="C207" i="5"/>
  <c r="D207" i="5"/>
  <c r="C208" i="5"/>
  <c r="D208" i="5"/>
  <c r="C209" i="5"/>
  <c r="D209" i="5"/>
  <c r="C210" i="5"/>
  <c r="D210" i="5"/>
  <c r="C211" i="5"/>
  <c r="D211" i="5"/>
  <c r="C212" i="5"/>
  <c r="D212" i="5"/>
  <c r="C213" i="5"/>
  <c r="D213" i="5"/>
  <c r="C214" i="5"/>
  <c r="D214" i="5"/>
  <c r="C215" i="5"/>
  <c r="D215" i="5"/>
  <c r="C216" i="5"/>
  <c r="D216" i="5"/>
  <c r="C217" i="5"/>
  <c r="D217" i="5"/>
  <c r="C218" i="5"/>
  <c r="D218" i="5"/>
  <c r="C219" i="5"/>
  <c r="D219" i="5"/>
  <c r="C220" i="5"/>
  <c r="D220" i="5"/>
  <c r="C221" i="5"/>
  <c r="D221" i="5"/>
  <c r="C222" i="5"/>
  <c r="D222" i="5"/>
  <c r="C223" i="5"/>
  <c r="D223" i="5"/>
  <c r="C224" i="5"/>
  <c r="D224" i="5"/>
  <c r="C225" i="5"/>
  <c r="D225" i="5"/>
  <c r="C226" i="5"/>
  <c r="D226" i="5"/>
  <c r="C227" i="5"/>
  <c r="D227" i="5"/>
  <c r="C228" i="5"/>
  <c r="D228" i="5"/>
  <c r="C229" i="5"/>
  <c r="D229" i="5"/>
  <c r="C230" i="5"/>
  <c r="D230" i="5"/>
  <c r="C231" i="5"/>
  <c r="D231" i="5"/>
  <c r="C232" i="5"/>
  <c r="D232" i="5"/>
  <c r="C233" i="5"/>
  <c r="D233" i="5"/>
  <c r="C234" i="5"/>
  <c r="D234" i="5"/>
  <c r="C235" i="5"/>
  <c r="D235" i="5"/>
  <c r="C236" i="5"/>
  <c r="D236" i="5"/>
  <c r="C237" i="5"/>
  <c r="D237" i="5"/>
  <c r="C238" i="5"/>
  <c r="D238" i="5"/>
  <c r="C239" i="5"/>
  <c r="D239" i="5"/>
  <c r="C240" i="5"/>
  <c r="D240" i="5"/>
  <c r="C241" i="5"/>
  <c r="D241" i="5"/>
  <c r="C242" i="5"/>
  <c r="D242" i="5"/>
  <c r="C243" i="5"/>
  <c r="D243" i="5"/>
  <c r="C244" i="5"/>
  <c r="D244" i="5"/>
  <c r="C245" i="5"/>
  <c r="D245" i="5"/>
  <c r="C246" i="5"/>
  <c r="D246" i="5"/>
  <c r="C247" i="5"/>
  <c r="D247" i="5"/>
  <c r="C248" i="5"/>
  <c r="D248" i="5"/>
  <c r="C249" i="5"/>
  <c r="D249" i="5"/>
  <c r="C250" i="5"/>
  <c r="D250" i="5"/>
  <c r="C251" i="5"/>
  <c r="D251" i="5"/>
  <c r="C252" i="5"/>
  <c r="D252" i="5"/>
  <c r="C253" i="5"/>
  <c r="D253" i="5"/>
  <c r="C254" i="5"/>
  <c r="D254" i="5"/>
  <c r="C255" i="5"/>
  <c r="D255" i="5"/>
  <c r="C256" i="5"/>
  <c r="D256" i="5"/>
  <c r="C257" i="5"/>
  <c r="D257" i="5"/>
  <c r="C258" i="5"/>
  <c r="D258" i="5"/>
  <c r="C259" i="5"/>
  <c r="D259" i="5"/>
  <c r="C260" i="5"/>
  <c r="D260" i="5"/>
  <c r="C261" i="5"/>
  <c r="D261" i="5"/>
  <c r="C262" i="5"/>
  <c r="D262" i="5"/>
  <c r="C263" i="5"/>
  <c r="D263" i="5"/>
  <c r="C264" i="5"/>
  <c r="D264" i="5"/>
  <c r="C265" i="5"/>
  <c r="D265" i="5"/>
  <c r="C266" i="5"/>
  <c r="D266" i="5"/>
  <c r="C267" i="5"/>
  <c r="D267" i="5"/>
  <c r="C268" i="5"/>
  <c r="D268" i="5"/>
  <c r="C269" i="5"/>
  <c r="D269" i="5"/>
  <c r="C270" i="5"/>
  <c r="D270" i="5"/>
  <c r="C271" i="5"/>
  <c r="D271" i="5"/>
  <c r="C272" i="5"/>
  <c r="D272" i="5"/>
  <c r="C273" i="5"/>
  <c r="D273" i="5"/>
  <c r="C274" i="5"/>
  <c r="D274" i="5"/>
  <c r="C275" i="5"/>
  <c r="D275" i="5"/>
  <c r="C276" i="5"/>
  <c r="D276" i="5"/>
  <c r="C277" i="5"/>
  <c r="D277" i="5"/>
  <c r="C278" i="5"/>
  <c r="D278" i="5"/>
  <c r="C279" i="5"/>
  <c r="D279" i="5"/>
  <c r="C280" i="5"/>
  <c r="D280" i="5"/>
  <c r="C281" i="5"/>
  <c r="D281" i="5"/>
  <c r="C282" i="5"/>
  <c r="D282" i="5"/>
  <c r="C283" i="5"/>
  <c r="D283" i="5"/>
  <c r="C284" i="5"/>
  <c r="D284" i="5"/>
  <c r="C285" i="5"/>
  <c r="D285" i="5"/>
  <c r="C286" i="5"/>
  <c r="D286" i="5"/>
  <c r="C287" i="5"/>
  <c r="D287" i="5"/>
  <c r="C288" i="5"/>
  <c r="D288" i="5"/>
  <c r="C289" i="5"/>
  <c r="D289" i="5"/>
  <c r="C290" i="5"/>
  <c r="D290" i="5"/>
  <c r="C291" i="5"/>
  <c r="D291" i="5"/>
  <c r="C292" i="5"/>
  <c r="D292" i="5"/>
  <c r="C293" i="5"/>
  <c r="D293" i="5"/>
  <c r="C294" i="5"/>
  <c r="D294" i="5"/>
  <c r="C295" i="5"/>
  <c r="D295" i="5"/>
  <c r="C296" i="5"/>
  <c r="D296" i="5"/>
  <c r="C297" i="5"/>
  <c r="D297" i="5"/>
  <c r="C298" i="5"/>
  <c r="D298" i="5"/>
  <c r="C299" i="5"/>
  <c r="D299" i="5"/>
  <c r="C300" i="5"/>
  <c r="D300" i="5"/>
  <c r="C301" i="5"/>
  <c r="D301" i="5"/>
  <c r="C302" i="5"/>
  <c r="D302" i="5"/>
  <c r="C303" i="5"/>
  <c r="D303" i="5"/>
  <c r="C304" i="5"/>
  <c r="D304" i="5"/>
  <c r="C305" i="5"/>
  <c r="D305" i="5"/>
  <c r="C306" i="5"/>
  <c r="D306" i="5"/>
  <c r="C307" i="5"/>
  <c r="D307" i="5"/>
  <c r="C308" i="5"/>
  <c r="D308" i="5"/>
  <c r="C309" i="5"/>
  <c r="D309" i="5"/>
  <c r="C310" i="5"/>
  <c r="D310" i="5"/>
  <c r="C311" i="5"/>
  <c r="D311" i="5"/>
  <c r="C312" i="5"/>
  <c r="D312" i="5"/>
  <c r="C313" i="5"/>
  <c r="D313" i="5"/>
  <c r="C314" i="5"/>
  <c r="D314" i="5"/>
  <c r="C315" i="5"/>
  <c r="D315" i="5"/>
  <c r="C316" i="5"/>
  <c r="D316" i="5"/>
  <c r="C317" i="5"/>
  <c r="D317" i="5"/>
  <c r="C318" i="5"/>
  <c r="D318" i="5"/>
  <c r="C319" i="5"/>
  <c r="D319" i="5"/>
  <c r="C320" i="5"/>
  <c r="D320" i="5"/>
  <c r="C321" i="5"/>
  <c r="D321" i="5"/>
  <c r="C322" i="5"/>
  <c r="D322" i="5"/>
  <c r="C323" i="5"/>
  <c r="D323" i="5"/>
  <c r="C324" i="5"/>
  <c r="D324" i="5"/>
  <c r="C325" i="5"/>
  <c r="D325" i="5"/>
  <c r="C326" i="5"/>
  <c r="D326" i="5"/>
  <c r="C327" i="5"/>
  <c r="D327" i="5"/>
  <c r="C328" i="5"/>
  <c r="D328" i="5"/>
  <c r="C329" i="5"/>
  <c r="D329" i="5"/>
  <c r="C330" i="5"/>
  <c r="D330" i="5"/>
  <c r="C331" i="5"/>
  <c r="D331" i="5"/>
  <c r="C332" i="5"/>
  <c r="D332" i="5"/>
  <c r="C333" i="5"/>
  <c r="D333" i="5"/>
  <c r="C334" i="5"/>
  <c r="D334" i="5"/>
  <c r="C335" i="5"/>
  <c r="D335" i="5"/>
  <c r="C336" i="5"/>
  <c r="D336" i="5"/>
  <c r="C337" i="5"/>
  <c r="D337" i="5"/>
  <c r="C338" i="5"/>
  <c r="D338" i="5"/>
  <c r="C339" i="5"/>
  <c r="D339" i="5"/>
  <c r="C340" i="5"/>
  <c r="D340" i="5"/>
  <c r="C341" i="5"/>
  <c r="D341" i="5"/>
  <c r="C342" i="5"/>
  <c r="D342" i="5"/>
  <c r="C343" i="5"/>
  <c r="D343" i="5"/>
  <c r="C344" i="5"/>
  <c r="D344" i="5"/>
  <c r="C345" i="5"/>
  <c r="D345" i="5"/>
  <c r="C346" i="5"/>
  <c r="D346" i="5"/>
  <c r="C347" i="5"/>
  <c r="D347" i="5"/>
  <c r="C348" i="5"/>
  <c r="D348" i="5"/>
  <c r="C349" i="5"/>
  <c r="D349" i="5"/>
  <c r="C350" i="5"/>
  <c r="D350" i="5"/>
  <c r="C351" i="5"/>
  <c r="D351" i="5"/>
  <c r="C352" i="5"/>
  <c r="D352" i="5"/>
  <c r="C353" i="5"/>
  <c r="D353" i="5"/>
  <c r="C354" i="5"/>
  <c r="D354" i="5"/>
  <c r="C355" i="5"/>
  <c r="D355" i="5"/>
  <c r="C356" i="5"/>
  <c r="D356" i="5"/>
  <c r="C357" i="5"/>
  <c r="D357" i="5"/>
  <c r="C358" i="5"/>
  <c r="D358" i="5"/>
  <c r="C359" i="5"/>
  <c r="D359" i="5"/>
  <c r="C360" i="5"/>
  <c r="D360" i="5"/>
  <c r="C361" i="5"/>
  <c r="D361" i="5"/>
  <c r="C362" i="5"/>
  <c r="D362" i="5"/>
  <c r="C363" i="5"/>
  <c r="D363" i="5"/>
  <c r="C364" i="5"/>
  <c r="D364" i="5"/>
  <c r="C365" i="5"/>
  <c r="D365" i="5"/>
  <c r="C366" i="5"/>
  <c r="D366" i="5"/>
  <c r="C367" i="5"/>
  <c r="D367" i="5"/>
  <c r="C368" i="5"/>
  <c r="D368" i="5"/>
  <c r="C369" i="5"/>
  <c r="D369" i="5"/>
  <c r="C370" i="5"/>
  <c r="D370" i="5"/>
  <c r="C371" i="5"/>
  <c r="D371" i="5"/>
  <c r="C372" i="5"/>
  <c r="D372" i="5"/>
  <c r="C373" i="5"/>
  <c r="D373" i="5"/>
  <c r="C374" i="5"/>
  <c r="D374" i="5"/>
  <c r="C375" i="5"/>
  <c r="D375" i="5"/>
  <c r="C376" i="5"/>
  <c r="D376" i="5"/>
  <c r="C377" i="5"/>
  <c r="D377" i="5"/>
  <c r="C378" i="5"/>
  <c r="D378" i="5"/>
  <c r="C379" i="5"/>
  <c r="D379" i="5"/>
  <c r="C380" i="5"/>
  <c r="D380" i="5"/>
  <c r="C381" i="5"/>
  <c r="D381" i="5"/>
  <c r="C382" i="5"/>
  <c r="D382" i="5"/>
  <c r="C383" i="5"/>
  <c r="D383" i="5"/>
  <c r="C384" i="5"/>
  <c r="D384" i="5"/>
  <c r="C385" i="5"/>
  <c r="D385" i="5"/>
  <c r="C386" i="5"/>
  <c r="D386" i="5"/>
  <c r="C387" i="5"/>
  <c r="D387" i="5"/>
  <c r="C388" i="5"/>
  <c r="D388" i="5"/>
  <c r="C389" i="5"/>
  <c r="D389" i="5"/>
  <c r="C390" i="5"/>
  <c r="D390" i="5"/>
  <c r="C391" i="5"/>
  <c r="D391" i="5"/>
  <c r="C392" i="5"/>
  <c r="D392" i="5"/>
  <c r="C393" i="5"/>
  <c r="D393" i="5"/>
  <c r="C394" i="5"/>
  <c r="D394" i="5"/>
  <c r="C395" i="5"/>
  <c r="D395" i="5"/>
  <c r="C396" i="5"/>
  <c r="D396" i="5"/>
  <c r="C397" i="5"/>
  <c r="D397" i="5"/>
  <c r="C398" i="5"/>
  <c r="D398" i="5"/>
  <c r="C399" i="5"/>
  <c r="D399" i="5"/>
  <c r="C400" i="5"/>
  <c r="D400" i="5"/>
  <c r="C401" i="5"/>
  <c r="D401" i="5"/>
  <c r="C402" i="5"/>
  <c r="D402" i="5"/>
  <c r="C403" i="5"/>
  <c r="D403" i="5"/>
  <c r="C404" i="5"/>
  <c r="D404" i="5"/>
  <c r="C405" i="5"/>
  <c r="D405" i="5"/>
  <c r="C406" i="5"/>
  <c r="D406" i="5"/>
  <c r="C407" i="5"/>
  <c r="D407" i="5"/>
  <c r="C408" i="5"/>
  <c r="D408" i="5"/>
  <c r="C409" i="5"/>
  <c r="D409" i="5"/>
  <c r="C410" i="5"/>
  <c r="D410" i="5"/>
  <c r="C411" i="5"/>
  <c r="D411" i="5"/>
  <c r="C412" i="5"/>
  <c r="D412" i="5"/>
  <c r="C413" i="5"/>
  <c r="D413" i="5"/>
  <c r="C414" i="5"/>
  <c r="D414" i="5"/>
  <c r="C415" i="5"/>
  <c r="D415" i="5"/>
  <c r="C416" i="5"/>
  <c r="D416" i="5"/>
  <c r="C417" i="5"/>
  <c r="D417" i="5"/>
  <c r="C418" i="5"/>
  <c r="D418" i="5"/>
  <c r="C419" i="5"/>
  <c r="D419" i="5"/>
  <c r="C420" i="5"/>
  <c r="D420" i="5"/>
  <c r="C421" i="5"/>
  <c r="D421" i="5"/>
  <c r="C422" i="5"/>
  <c r="D422" i="5"/>
  <c r="C423" i="5"/>
  <c r="D423" i="5"/>
  <c r="C424" i="5"/>
  <c r="D424" i="5"/>
  <c r="C425" i="5"/>
  <c r="D425" i="5"/>
  <c r="C426" i="5"/>
  <c r="D426" i="5"/>
  <c r="C427" i="5"/>
  <c r="D427" i="5"/>
  <c r="C428" i="5"/>
  <c r="D428" i="5"/>
  <c r="C429" i="5"/>
  <c r="D429" i="5"/>
  <c r="C430" i="5"/>
  <c r="D430" i="5"/>
  <c r="C431" i="5"/>
  <c r="D431" i="5"/>
  <c r="C432" i="5"/>
  <c r="D432" i="5"/>
  <c r="C433" i="5"/>
  <c r="D433" i="5"/>
  <c r="C434" i="5"/>
  <c r="D434" i="5"/>
  <c r="C435" i="5"/>
  <c r="D435" i="5"/>
  <c r="C436" i="5"/>
  <c r="D436" i="5"/>
  <c r="C437" i="5"/>
  <c r="D437" i="5"/>
  <c r="C438" i="5"/>
  <c r="D438" i="5"/>
  <c r="C439" i="5"/>
  <c r="D439" i="5"/>
  <c r="C440" i="5"/>
  <c r="D440" i="5"/>
  <c r="C441" i="5"/>
  <c r="D441" i="5"/>
  <c r="C442" i="5"/>
  <c r="D442" i="5"/>
  <c r="C443" i="5"/>
  <c r="D443" i="5"/>
  <c r="C444" i="5"/>
  <c r="D444" i="5"/>
  <c r="C445" i="5"/>
  <c r="D445" i="5"/>
  <c r="C446" i="5"/>
  <c r="D446" i="5"/>
  <c r="C447" i="5"/>
  <c r="D447" i="5"/>
  <c r="C448" i="5"/>
  <c r="D448" i="5"/>
  <c r="C449" i="5"/>
  <c r="D449" i="5"/>
  <c r="C450" i="5"/>
  <c r="D450" i="5"/>
  <c r="C451" i="5"/>
  <c r="D451" i="5"/>
  <c r="C452" i="5"/>
  <c r="D452" i="5"/>
  <c r="C453" i="5"/>
  <c r="D453" i="5"/>
  <c r="C454" i="5"/>
  <c r="D454" i="5"/>
  <c r="C455" i="5"/>
  <c r="D455" i="5"/>
  <c r="C456" i="5"/>
  <c r="D456" i="5"/>
  <c r="C457" i="5"/>
  <c r="D457" i="5"/>
  <c r="C458" i="5"/>
  <c r="D458" i="5"/>
  <c r="C459" i="5"/>
  <c r="D459" i="5"/>
  <c r="C460" i="5"/>
  <c r="D460" i="5"/>
  <c r="C461" i="5"/>
  <c r="D461" i="5"/>
  <c r="C462" i="5"/>
  <c r="D462" i="5"/>
  <c r="C463" i="5"/>
  <c r="D463" i="5"/>
  <c r="C464" i="5"/>
  <c r="D464" i="5"/>
  <c r="C465" i="5"/>
  <c r="D465" i="5"/>
  <c r="C466" i="5"/>
  <c r="D466" i="5"/>
  <c r="C467" i="5"/>
  <c r="D467" i="5"/>
  <c r="C468" i="5"/>
  <c r="D468" i="5"/>
  <c r="C469" i="5"/>
  <c r="D469" i="5"/>
  <c r="C470" i="5"/>
  <c r="D470" i="5"/>
  <c r="C471" i="5"/>
  <c r="D471" i="5"/>
  <c r="C472" i="5"/>
  <c r="D472" i="5"/>
  <c r="C473" i="5"/>
  <c r="D473" i="5"/>
  <c r="C474" i="5"/>
  <c r="D474" i="5"/>
  <c r="C475" i="5"/>
  <c r="D475" i="5"/>
  <c r="C476" i="5"/>
  <c r="D476" i="5"/>
  <c r="C477" i="5"/>
  <c r="D477" i="5"/>
  <c r="C478" i="5"/>
  <c r="D478" i="5"/>
  <c r="C479" i="5"/>
  <c r="D479" i="5"/>
  <c r="C480" i="5"/>
  <c r="D480" i="5"/>
  <c r="C481" i="5"/>
  <c r="D481" i="5"/>
  <c r="C482" i="5"/>
  <c r="D482" i="5"/>
  <c r="C483" i="5"/>
  <c r="D483" i="5"/>
  <c r="C484" i="5"/>
  <c r="D484" i="5"/>
  <c r="C485" i="5"/>
  <c r="D485" i="5"/>
  <c r="C486" i="5"/>
  <c r="D486" i="5"/>
  <c r="C487" i="5"/>
  <c r="D487" i="5"/>
  <c r="C488" i="5"/>
  <c r="D488" i="5"/>
  <c r="C489" i="5"/>
  <c r="D489" i="5"/>
  <c r="C490" i="5"/>
  <c r="D490" i="5"/>
  <c r="C491" i="5"/>
  <c r="D491" i="5"/>
  <c r="C492" i="5"/>
  <c r="D492" i="5"/>
  <c r="C493" i="5"/>
  <c r="D493" i="5"/>
  <c r="C494" i="5"/>
  <c r="D494" i="5"/>
  <c r="C495" i="5"/>
  <c r="D495" i="5"/>
  <c r="C496" i="5"/>
  <c r="D496" i="5"/>
  <c r="C497" i="5"/>
  <c r="D497" i="5"/>
  <c r="C498" i="5"/>
  <c r="D498" i="5"/>
  <c r="C499" i="5"/>
  <c r="D499" i="5"/>
  <c r="C500" i="5"/>
  <c r="D500" i="5"/>
  <c r="C501" i="5"/>
  <c r="D501" i="5"/>
  <c r="C502" i="5"/>
  <c r="D502" i="5"/>
  <c r="C503" i="5"/>
  <c r="D503" i="5"/>
  <c r="C504" i="5"/>
  <c r="D504" i="5"/>
  <c r="C505" i="5"/>
  <c r="D505" i="5"/>
  <c r="C506" i="5"/>
  <c r="D506" i="5"/>
  <c r="C507" i="5"/>
  <c r="D507" i="5"/>
  <c r="C508" i="5"/>
  <c r="D508" i="5"/>
  <c r="C509" i="5"/>
  <c r="D509" i="5"/>
  <c r="C510" i="5"/>
  <c r="D510" i="5"/>
  <c r="C511" i="5"/>
  <c r="D511" i="5"/>
  <c r="C512" i="5"/>
  <c r="D512" i="5"/>
  <c r="C513" i="5"/>
  <c r="D513" i="5"/>
  <c r="C514" i="5"/>
  <c r="D514" i="5"/>
  <c r="C515" i="5"/>
  <c r="D515" i="5"/>
  <c r="C516" i="5"/>
  <c r="D516" i="5"/>
  <c r="C517" i="5"/>
  <c r="D517" i="5"/>
  <c r="C518" i="5"/>
  <c r="D518" i="5"/>
  <c r="C519" i="5"/>
  <c r="D519" i="5"/>
  <c r="C520" i="5"/>
  <c r="D520" i="5"/>
  <c r="C521" i="5"/>
  <c r="D521" i="5"/>
  <c r="C522" i="5"/>
  <c r="D522" i="5"/>
  <c r="C523" i="5"/>
  <c r="D523" i="5"/>
  <c r="C524" i="5"/>
  <c r="D524" i="5"/>
  <c r="C525" i="5"/>
  <c r="D525" i="5"/>
  <c r="C526" i="5"/>
  <c r="D526" i="5"/>
  <c r="C527" i="5"/>
  <c r="D527" i="5"/>
  <c r="C528" i="5"/>
  <c r="D528" i="5"/>
  <c r="C529" i="5"/>
  <c r="D529" i="5"/>
  <c r="C530" i="5"/>
  <c r="D530" i="5"/>
  <c r="C531" i="5"/>
  <c r="D531" i="5"/>
  <c r="C532" i="5"/>
  <c r="D532" i="5"/>
  <c r="C533" i="5"/>
  <c r="D533" i="5"/>
  <c r="C534" i="5"/>
  <c r="D534" i="5"/>
  <c r="C535" i="5"/>
  <c r="D535" i="5"/>
  <c r="C536" i="5"/>
  <c r="D536" i="5"/>
  <c r="C537" i="5"/>
  <c r="D537" i="5"/>
  <c r="C538" i="5"/>
  <c r="D538" i="5"/>
  <c r="C539" i="5"/>
  <c r="D539" i="5"/>
  <c r="C540" i="5"/>
  <c r="D540" i="5"/>
  <c r="C541" i="5"/>
  <c r="D541" i="5"/>
  <c r="C542" i="5"/>
  <c r="D542" i="5"/>
  <c r="C543" i="5"/>
  <c r="D543" i="5"/>
  <c r="C544" i="5"/>
  <c r="D544" i="5"/>
  <c r="C545" i="5"/>
  <c r="D545" i="5"/>
  <c r="C546" i="5"/>
  <c r="D546" i="5"/>
  <c r="C547" i="5"/>
  <c r="D547" i="5"/>
  <c r="C548" i="5"/>
  <c r="D548" i="5"/>
  <c r="C549" i="5"/>
  <c r="D549" i="5"/>
  <c r="C550" i="5"/>
  <c r="D550" i="5"/>
  <c r="C551" i="5"/>
  <c r="D551" i="5"/>
  <c r="C552" i="5"/>
  <c r="D552" i="5"/>
  <c r="C553" i="5"/>
  <c r="D553" i="5"/>
  <c r="C554" i="5"/>
  <c r="D554" i="5"/>
  <c r="C555" i="5"/>
  <c r="D555" i="5"/>
  <c r="C556" i="5"/>
  <c r="D556" i="5"/>
  <c r="C557" i="5"/>
  <c r="D557" i="5"/>
  <c r="C558" i="5"/>
  <c r="D558" i="5"/>
  <c r="C559" i="5"/>
  <c r="D559" i="5"/>
  <c r="C560" i="5"/>
  <c r="D560" i="5"/>
  <c r="C561" i="5"/>
  <c r="D561" i="5"/>
  <c r="C562" i="5"/>
  <c r="D562" i="5"/>
  <c r="C563" i="5"/>
  <c r="D563" i="5"/>
  <c r="C564" i="5"/>
  <c r="D564" i="5"/>
  <c r="C565" i="5"/>
  <c r="D565" i="5"/>
  <c r="C566" i="5"/>
  <c r="D566" i="5"/>
  <c r="C567" i="5"/>
  <c r="D567" i="5"/>
  <c r="C568" i="5"/>
  <c r="D568" i="5"/>
  <c r="C569" i="5"/>
  <c r="D569" i="5"/>
  <c r="C570" i="5"/>
  <c r="D570" i="5"/>
  <c r="C571" i="5"/>
  <c r="D571" i="5"/>
  <c r="C572" i="5"/>
  <c r="D572" i="5"/>
  <c r="C573" i="5"/>
  <c r="D573" i="5"/>
  <c r="C574" i="5"/>
  <c r="D574" i="5"/>
  <c r="C575" i="5"/>
  <c r="D575" i="5"/>
  <c r="C576" i="5"/>
  <c r="D576" i="5"/>
  <c r="C577" i="5"/>
  <c r="D577" i="5"/>
  <c r="C578" i="5"/>
  <c r="D578" i="5"/>
  <c r="C579" i="5"/>
  <c r="D579" i="5"/>
  <c r="C580" i="5"/>
  <c r="D580" i="5"/>
  <c r="C581" i="5"/>
  <c r="D581" i="5"/>
  <c r="C582" i="5"/>
  <c r="D582" i="5"/>
  <c r="C583" i="5"/>
  <c r="D583" i="5"/>
  <c r="C584" i="5"/>
  <c r="D584" i="5"/>
  <c r="C585" i="5"/>
  <c r="D585" i="5"/>
  <c r="C586" i="5"/>
  <c r="D586" i="5"/>
  <c r="C587" i="5"/>
  <c r="D587" i="5"/>
  <c r="C588" i="5"/>
  <c r="D588" i="5"/>
  <c r="C589" i="5"/>
  <c r="D589" i="5"/>
  <c r="C590" i="5"/>
  <c r="D590" i="5"/>
  <c r="C591" i="5"/>
  <c r="D591" i="5"/>
  <c r="C592" i="5"/>
  <c r="D592" i="5"/>
  <c r="C593" i="5"/>
  <c r="D593" i="5"/>
  <c r="C594" i="5"/>
  <c r="D594" i="5"/>
  <c r="C595" i="5"/>
  <c r="D595" i="5"/>
  <c r="C596" i="5"/>
  <c r="D596" i="5"/>
  <c r="C597" i="5"/>
  <c r="D597" i="5"/>
  <c r="C598" i="5"/>
  <c r="D598" i="5"/>
  <c r="C599" i="5"/>
  <c r="D599" i="5"/>
  <c r="C600" i="5"/>
  <c r="D600" i="5"/>
  <c r="C601" i="5"/>
  <c r="D601" i="5"/>
  <c r="C602" i="5"/>
  <c r="D602" i="5"/>
  <c r="C603" i="5"/>
  <c r="D603" i="5"/>
  <c r="C604" i="5"/>
  <c r="D604" i="5"/>
  <c r="C605" i="5"/>
  <c r="D605" i="5"/>
  <c r="C606" i="5"/>
  <c r="D606" i="5"/>
  <c r="C607" i="5"/>
  <c r="D607" i="5"/>
  <c r="C608" i="5"/>
  <c r="D608" i="5"/>
  <c r="C609" i="5"/>
  <c r="D609" i="5"/>
  <c r="C610" i="5"/>
  <c r="D610" i="5"/>
  <c r="C611" i="5"/>
  <c r="D611" i="5"/>
  <c r="C612" i="5"/>
  <c r="D612" i="5"/>
  <c r="C613" i="5"/>
  <c r="D613" i="5"/>
  <c r="C614" i="5"/>
  <c r="D614" i="5"/>
  <c r="C615" i="5"/>
  <c r="D615" i="5"/>
  <c r="C616" i="5"/>
  <c r="D616" i="5"/>
  <c r="C617" i="5"/>
  <c r="D617" i="5"/>
  <c r="C618" i="5"/>
  <c r="D618" i="5"/>
  <c r="C619" i="5"/>
  <c r="D619" i="5"/>
  <c r="C620" i="5"/>
  <c r="D620" i="5"/>
  <c r="C621" i="5"/>
  <c r="D621" i="5"/>
  <c r="C622" i="5"/>
  <c r="D622" i="5"/>
  <c r="C623" i="5"/>
  <c r="D623" i="5"/>
  <c r="C624" i="5"/>
  <c r="D624" i="5"/>
  <c r="C625" i="5"/>
  <c r="D625" i="5"/>
  <c r="C626" i="5"/>
  <c r="D626" i="5"/>
  <c r="C627" i="5"/>
  <c r="D627" i="5"/>
  <c r="C628" i="5"/>
  <c r="D628" i="5"/>
  <c r="C629" i="5"/>
  <c r="D629" i="5"/>
  <c r="C630" i="5"/>
  <c r="D630" i="5"/>
  <c r="C631" i="5"/>
  <c r="D631" i="5"/>
  <c r="C632" i="5"/>
  <c r="D632" i="5"/>
  <c r="C633" i="5"/>
  <c r="D633" i="5"/>
  <c r="C634" i="5"/>
  <c r="D634" i="5"/>
  <c r="C635" i="5"/>
  <c r="D635" i="5"/>
  <c r="C636" i="5"/>
  <c r="D636" i="5"/>
  <c r="C637" i="5"/>
  <c r="D637" i="5"/>
  <c r="C638" i="5"/>
  <c r="D638" i="5"/>
  <c r="C639" i="5"/>
  <c r="D639" i="5"/>
  <c r="C640" i="5"/>
  <c r="D640" i="5"/>
  <c r="C641" i="5"/>
  <c r="D641" i="5"/>
  <c r="C642" i="5"/>
  <c r="D642" i="5"/>
  <c r="C643" i="5"/>
  <c r="D643" i="5"/>
  <c r="C644" i="5"/>
  <c r="D644" i="5"/>
  <c r="C645" i="5"/>
  <c r="D645" i="5"/>
  <c r="C646" i="5"/>
  <c r="D646" i="5"/>
  <c r="C647" i="5"/>
  <c r="D647" i="5"/>
  <c r="C648" i="5"/>
  <c r="D648" i="5"/>
  <c r="C649" i="5"/>
  <c r="D649" i="5"/>
  <c r="C650" i="5"/>
  <c r="D650" i="5"/>
  <c r="C651" i="5"/>
  <c r="D651" i="5"/>
  <c r="C652" i="5"/>
  <c r="D652" i="5"/>
  <c r="C653" i="5"/>
  <c r="D653" i="5"/>
  <c r="C654" i="5"/>
  <c r="D654" i="5"/>
  <c r="C655" i="5"/>
  <c r="D655" i="5"/>
  <c r="C656" i="5"/>
  <c r="D656" i="5"/>
  <c r="C657" i="5"/>
  <c r="D657" i="5"/>
  <c r="C658" i="5"/>
  <c r="D658" i="5"/>
  <c r="C659" i="5"/>
  <c r="D659" i="5"/>
  <c r="C660" i="5"/>
  <c r="D660" i="5"/>
  <c r="C661" i="5"/>
  <c r="D661" i="5"/>
  <c r="C662" i="5"/>
  <c r="D662" i="5"/>
  <c r="C663" i="5"/>
  <c r="D663" i="5"/>
  <c r="C664" i="5"/>
  <c r="D664" i="5"/>
  <c r="C665" i="5"/>
  <c r="D665" i="5"/>
  <c r="C666" i="5"/>
  <c r="D666" i="5"/>
  <c r="C667" i="5"/>
  <c r="D667" i="5"/>
  <c r="C668" i="5"/>
  <c r="D668" i="5"/>
  <c r="C669" i="5"/>
  <c r="D669" i="5"/>
  <c r="C670" i="5"/>
  <c r="D670" i="5"/>
  <c r="C671" i="5"/>
  <c r="D671" i="5"/>
  <c r="C672" i="5"/>
  <c r="D672" i="5"/>
  <c r="C673" i="5"/>
  <c r="D673" i="5"/>
  <c r="C674" i="5"/>
  <c r="D674" i="5"/>
  <c r="C675" i="5"/>
  <c r="D675" i="5"/>
  <c r="C676" i="5"/>
  <c r="D676" i="5"/>
  <c r="C677" i="5"/>
  <c r="D677" i="5"/>
  <c r="C678" i="5"/>
  <c r="D678" i="5"/>
  <c r="C679" i="5"/>
  <c r="D679" i="5"/>
  <c r="C680" i="5"/>
  <c r="D680" i="5"/>
  <c r="C681" i="5"/>
  <c r="D681" i="5"/>
  <c r="C682" i="5"/>
  <c r="D682" i="5"/>
  <c r="C683" i="5"/>
  <c r="D683" i="5"/>
  <c r="D1" i="5"/>
  <c r="C1" i="5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1" i="3"/>
  <c r="H411" i="1"/>
  <c r="K411" i="1" s="1"/>
  <c r="M411" i="1" s="1"/>
  <c r="H142" i="1"/>
  <c r="K142" i="1" s="1"/>
  <c r="M142" i="1" s="1"/>
  <c r="H143" i="1"/>
  <c r="K143" i="1" s="1"/>
  <c r="M143" i="1" s="1"/>
  <c r="H698" i="1"/>
  <c r="K698" i="1" s="1"/>
  <c r="M698" i="1" s="1"/>
  <c r="H445" i="1"/>
  <c r="K445" i="1" s="1"/>
  <c r="M445" i="1" s="1"/>
  <c r="H513" i="1"/>
  <c r="K513" i="1" s="1"/>
  <c r="M513" i="1" s="1"/>
  <c r="H62" i="1"/>
  <c r="K62" i="1" s="1"/>
  <c r="M62" i="1" s="1"/>
  <c r="H754" i="1"/>
  <c r="K754" i="1" s="1"/>
  <c r="M754" i="1" s="1"/>
  <c r="H258" i="1"/>
  <c r="K258" i="1" s="1"/>
  <c r="M258" i="1" s="1"/>
  <c r="H479" i="1"/>
  <c r="K479" i="1" s="1"/>
  <c r="M479" i="1" s="1"/>
  <c r="H638" i="1"/>
  <c r="K638" i="1" s="1"/>
  <c r="M638" i="1" s="1"/>
  <c r="H199" i="1"/>
  <c r="K199" i="1" s="1"/>
  <c r="M199" i="1" s="1"/>
  <c r="H368" i="1"/>
  <c r="K368" i="1" s="1"/>
  <c r="M368" i="1" s="1"/>
  <c r="H461" i="1"/>
  <c r="K461" i="1" s="1"/>
  <c r="M461" i="1" s="1"/>
  <c r="H300" i="1"/>
  <c r="K300" i="1" s="1"/>
  <c r="M300" i="1" s="1"/>
  <c r="H269" i="1"/>
  <c r="K269" i="1" s="1"/>
  <c r="M269" i="1" s="1"/>
  <c r="H643" i="1"/>
  <c r="K643" i="1" s="1"/>
  <c r="M643" i="1" s="1"/>
  <c r="H211" i="1"/>
  <c r="K211" i="1" s="1"/>
  <c r="M211" i="1" s="1"/>
  <c r="H767" i="1"/>
  <c r="K767" i="1" s="1"/>
  <c r="M767" i="1" s="1"/>
  <c r="H68" i="1"/>
  <c r="K68" i="1" s="1"/>
  <c r="M68" i="1" s="1"/>
  <c r="H69" i="1"/>
  <c r="K69" i="1" s="1"/>
  <c r="M69" i="1" s="1"/>
  <c r="H168" i="1"/>
  <c r="K168" i="1" s="1"/>
  <c r="M168" i="1" s="1"/>
  <c r="H321" i="1"/>
  <c r="K321" i="1" s="1"/>
  <c r="M321" i="1" s="1"/>
  <c r="H322" i="1"/>
  <c r="K322" i="1" s="1"/>
  <c r="M322" i="1" s="1"/>
  <c r="H167" i="1"/>
  <c r="K167" i="1" s="1"/>
  <c r="M167" i="1" s="1"/>
  <c r="H613" i="1"/>
  <c r="K613" i="1" s="1"/>
  <c r="M613" i="1" s="1"/>
  <c r="H495" i="1"/>
  <c r="K495" i="1" s="1"/>
  <c r="M495" i="1" s="1"/>
  <c r="H447" i="1"/>
  <c r="K447" i="1" s="1"/>
  <c r="M447" i="1" s="1"/>
  <c r="H448" i="1"/>
  <c r="K448" i="1" s="1"/>
  <c r="M448" i="1" s="1"/>
  <c r="H739" i="1"/>
  <c r="K739" i="1" s="1"/>
  <c r="M739" i="1" s="1"/>
  <c r="H312" i="1"/>
  <c r="K312" i="1" s="1"/>
  <c r="M312" i="1" s="1"/>
  <c r="H494" i="1"/>
  <c r="K494" i="1" s="1"/>
  <c r="M494" i="1" s="1"/>
  <c r="H765" i="1"/>
  <c r="K765" i="1" s="1"/>
  <c r="M765" i="1" s="1"/>
  <c r="H385" i="1"/>
  <c r="K385" i="1" s="1"/>
  <c r="M385" i="1" s="1"/>
  <c r="H386" i="1"/>
  <c r="K386" i="1" s="1"/>
  <c r="M386" i="1" s="1"/>
  <c r="H464" i="1"/>
  <c r="K464" i="1" s="1"/>
  <c r="M464" i="1" s="1"/>
  <c r="H465" i="1"/>
  <c r="K465" i="1" s="1"/>
  <c r="M465" i="1" s="1"/>
  <c r="H612" i="1"/>
  <c r="K612" i="1" s="1"/>
  <c r="M612" i="1" s="1"/>
  <c r="H299" i="1"/>
  <c r="K299" i="1" s="1"/>
  <c r="M299" i="1" s="1"/>
  <c r="H331" i="1"/>
  <c r="K331" i="1" s="1"/>
  <c r="M331" i="1" s="1"/>
  <c r="H332" i="1"/>
  <c r="K332" i="1" s="1"/>
  <c r="M332" i="1" s="1"/>
  <c r="H333" i="1"/>
  <c r="K333" i="1" s="1"/>
  <c r="M333" i="1" s="1"/>
  <c r="H90" i="1"/>
  <c r="K90" i="1" s="1"/>
  <c r="M90" i="1" s="1"/>
  <c r="H270" i="1"/>
  <c r="K270" i="1" s="1"/>
  <c r="M270" i="1" s="1"/>
  <c r="H537" i="1"/>
  <c r="K537" i="1" s="1"/>
  <c r="M537" i="1" s="1"/>
  <c r="H505" i="1"/>
  <c r="K505" i="1" s="1"/>
  <c r="M505" i="1" s="1"/>
  <c r="H326" i="1"/>
  <c r="K326" i="1" s="1"/>
  <c r="M326" i="1" s="1"/>
  <c r="H264" i="1"/>
  <c r="K264" i="1" s="1"/>
  <c r="M264" i="1" s="1"/>
  <c r="H449" i="1"/>
  <c r="K449" i="1" s="1"/>
  <c r="M449" i="1" s="1"/>
  <c r="H15" i="1"/>
  <c r="K15" i="1" s="1"/>
  <c r="M15" i="1" s="1"/>
  <c r="H786" i="1"/>
  <c r="K786" i="1" s="1"/>
  <c r="M786" i="1" s="1"/>
  <c r="H769" i="1"/>
  <c r="K769" i="1" s="1"/>
  <c r="M769" i="1" s="1"/>
  <c r="H349" i="1"/>
  <c r="K349" i="1" s="1"/>
  <c r="M349" i="1" s="1"/>
  <c r="H247" i="1"/>
  <c r="K247" i="1" s="1"/>
  <c r="M247" i="1" s="1"/>
  <c r="H536" i="1"/>
  <c r="K536" i="1" s="1"/>
  <c r="M536" i="1" s="1"/>
  <c r="H773" i="1"/>
  <c r="K773" i="1" s="1"/>
  <c r="M773" i="1" s="1"/>
  <c r="H676" i="1"/>
  <c r="K676" i="1" s="1"/>
  <c r="M676" i="1" s="1"/>
  <c r="H677" i="1"/>
  <c r="K677" i="1" s="1"/>
  <c r="M677" i="1" s="1"/>
  <c r="H379" i="1"/>
  <c r="K379" i="1" s="1"/>
  <c r="M379" i="1" s="1"/>
  <c r="H560" i="1"/>
  <c r="K560" i="1" s="1"/>
  <c r="M560" i="1" s="1"/>
  <c r="H250" i="1"/>
  <c r="K250" i="1" s="1"/>
  <c r="M250" i="1" s="1"/>
  <c r="H450" i="1"/>
  <c r="K450" i="1" s="1"/>
  <c r="M450" i="1" s="1"/>
  <c r="H790" i="1"/>
  <c r="K790" i="1" s="1"/>
  <c r="M790" i="1" s="1"/>
  <c r="H586" i="1"/>
  <c r="K586" i="1" s="1"/>
  <c r="M586" i="1" s="1"/>
  <c r="H32" i="1"/>
  <c r="K32" i="1" s="1"/>
  <c r="M32" i="1" s="1"/>
  <c r="H33" i="1"/>
  <c r="K33" i="1" s="1"/>
  <c r="M33" i="1" s="1"/>
  <c r="H34" i="1"/>
  <c r="K34" i="1" s="1"/>
  <c r="M34" i="1" s="1"/>
  <c r="H35" i="1"/>
  <c r="K35" i="1" s="1"/>
  <c r="M35" i="1" s="1"/>
  <c r="H36" i="1"/>
  <c r="K36" i="1" s="1"/>
  <c r="M36" i="1" s="1"/>
  <c r="H37" i="1"/>
  <c r="K37" i="1" s="1"/>
  <c r="M37" i="1" s="1"/>
  <c r="H38" i="1"/>
  <c r="K38" i="1" s="1"/>
  <c r="M38" i="1" s="1"/>
  <c r="H42" i="1"/>
  <c r="K42" i="1" s="1"/>
  <c r="M42" i="1" s="1"/>
  <c r="H731" i="1"/>
  <c r="K731" i="1" s="1"/>
  <c r="M731" i="1" s="1"/>
  <c r="H129" i="1"/>
  <c r="K129" i="1" s="1"/>
  <c r="M129" i="1" s="1"/>
  <c r="H43" i="1"/>
  <c r="K43" i="1" s="1"/>
  <c r="M43" i="1" s="1"/>
  <c r="H44" i="1"/>
  <c r="K44" i="1" s="1"/>
  <c r="M44" i="1" s="1"/>
  <c r="H45" i="1"/>
  <c r="K45" i="1" s="1"/>
  <c r="M45" i="1" s="1"/>
  <c r="H46" i="1"/>
  <c r="K46" i="1" s="1"/>
  <c r="M46" i="1" s="1"/>
  <c r="H47" i="1"/>
  <c r="K47" i="1" s="1"/>
  <c r="M47" i="1" s="1"/>
  <c r="H49" i="1"/>
  <c r="K49" i="1" s="1"/>
  <c r="M49" i="1" s="1"/>
  <c r="H50" i="1"/>
  <c r="K50" i="1" s="1"/>
  <c r="M50" i="1" s="1"/>
  <c r="H51" i="1"/>
  <c r="K51" i="1" s="1"/>
  <c r="M51" i="1" s="1"/>
  <c r="H52" i="1"/>
  <c r="K52" i="1" s="1"/>
  <c r="M52" i="1" s="1"/>
  <c r="H54" i="1"/>
  <c r="K54" i="1" s="1"/>
  <c r="M54" i="1" s="1"/>
  <c r="H57" i="1"/>
  <c r="K57" i="1" s="1"/>
  <c r="M57" i="1" s="1"/>
  <c r="H58" i="1"/>
  <c r="K58" i="1" s="1"/>
  <c r="M58" i="1" s="1"/>
  <c r="H59" i="1"/>
  <c r="K59" i="1" s="1"/>
  <c r="M59" i="1" s="1"/>
  <c r="H60" i="1"/>
  <c r="K60" i="1" s="1"/>
  <c r="M60" i="1" s="1"/>
  <c r="H61" i="1"/>
  <c r="K61" i="1" s="1"/>
  <c r="M61" i="1" s="1"/>
  <c r="H65" i="1"/>
  <c r="K65" i="1" s="1"/>
  <c r="M65" i="1" s="1"/>
  <c r="H67" i="1"/>
  <c r="K67" i="1" s="1"/>
  <c r="M67" i="1" s="1"/>
  <c r="H72" i="1"/>
  <c r="K72" i="1" s="1"/>
  <c r="M72" i="1" s="1"/>
  <c r="H73" i="1"/>
  <c r="K73" i="1" s="1"/>
  <c r="M73" i="1" s="1"/>
  <c r="H75" i="1"/>
  <c r="K75" i="1" s="1"/>
  <c r="M75" i="1" s="1"/>
  <c r="H130" i="1"/>
  <c r="K130" i="1" s="1"/>
  <c r="M130" i="1" s="1"/>
  <c r="H628" i="1"/>
  <c r="K628" i="1" s="1"/>
  <c r="M628" i="1" s="1"/>
  <c r="H81" i="1"/>
  <c r="K81" i="1" s="1"/>
  <c r="M81" i="1" s="1"/>
  <c r="H262" i="1"/>
  <c r="K262" i="1" s="1"/>
  <c r="M262" i="1" s="1"/>
  <c r="H453" i="1"/>
  <c r="K453" i="1" s="1"/>
  <c r="M453" i="1" s="1"/>
  <c r="H328" i="1"/>
  <c r="K328" i="1" s="1"/>
  <c r="M328" i="1" s="1"/>
  <c r="H611" i="1"/>
  <c r="K611" i="1" s="1"/>
  <c r="M611" i="1" s="1"/>
  <c r="H827" i="1"/>
  <c r="K827" i="1" s="1"/>
  <c r="M827" i="1" s="1"/>
  <c r="H828" i="1"/>
  <c r="K828" i="1" s="1"/>
  <c r="M828" i="1" s="1"/>
  <c r="H596" i="1"/>
  <c r="K596" i="1" s="1"/>
  <c r="M596" i="1" s="1"/>
  <c r="H814" i="1"/>
  <c r="K814" i="1" s="1"/>
  <c r="M814" i="1" s="1"/>
  <c r="H339" i="1"/>
  <c r="K339" i="1" s="1"/>
  <c r="M339" i="1" s="1"/>
  <c r="H725" i="1"/>
  <c r="K725" i="1" s="1"/>
  <c r="M725" i="1" s="1"/>
  <c r="H784" i="1"/>
  <c r="K784" i="1" s="1"/>
  <c r="M784" i="1" s="1"/>
  <c r="H271" i="1"/>
  <c r="K271" i="1" s="1"/>
  <c r="M271" i="1" s="1"/>
  <c r="H242" i="1"/>
  <c r="K242" i="1" s="1"/>
  <c r="M242" i="1" s="1"/>
  <c r="H736" i="1"/>
  <c r="K736" i="1" s="1"/>
  <c r="M736" i="1" s="1"/>
  <c r="H138" i="1"/>
  <c r="K138" i="1" s="1"/>
  <c r="M138" i="1" s="1"/>
  <c r="H227" i="1"/>
  <c r="K227" i="1" s="1"/>
  <c r="M227" i="1" s="1"/>
  <c r="H674" i="1"/>
  <c r="K674" i="1" s="1"/>
  <c r="M674" i="1" s="1"/>
  <c r="H673" i="1"/>
  <c r="K673" i="1" s="1"/>
  <c r="M673" i="1" s="1"/>
  <c r="H779" i="1"/>
  <c r="K779" i="1" s="1"/>
  <c r="M779" i="1" s="1"/>
  <c r="H419" i="1"/>
  <c r="K419" i="1" s="1"/>
  <c r="M419" i="1" s="1"/>
  <c r="H656" i="1"/>
  <c r="K656" i="1" s="1"/>
  <c r="M656" i="1" s="1"/>
  <c r="H654" i="1"/>
  <c r="K654" i="1" s="1"/>
  <c r="M654" i="1" s="1"/>
  <c r="H5" i="1"/>
  <c r="K5" i="1" s="1"/>
  <c r="M5" i="1" s="1"/>
  <c r="H112" i="1"/>
  <c r="K112" i="1" s="1"/>
  <c r="M112" i="1" s="1"/>
  <c r="H113" i="1"/>
  <c r="K113" i="1" s="1"/>
  <c r="M113" i="1" s="1"/>
  <c r="H217" i="1"/>
  <c r="K217" i="1" s="1"/>
  <c r="M217" i="1" s="1"/>
  <c r="H420" i="1"/>
  <c r="K420" i="1" s="1"/>
  <c r="M420" i="1" s="1"/>
  <c r="H353" i="1"/>
  <c r="K353" i="1" s="1"/>
  <c r="M353" i="1" s="1"/>
  <c r="H94" i="1"/>
  <c r="K94" i="1" s="1"/>
  <c r="M94" i="1" s="1"/>
  <c r="H53" i="1"/>
  <c r="K53" i="1" s="1"/>
  <c r="M53" i="1" s="1"/>
  <c r="H460" i="1"/>
  <c r="K460" i="1" s="1"/>
  <c r="M460" i="1" s="1"/>
  <c r="H421" i="1"/>
  <c r="K421" i="1" s="1"/>
  <c r="M421" i="1" s="1"/>
  <c r="H684" i="1"/>
  <c r="K684" i="1" s="1"/>
  <c r="M684" i="1" s="1"/>
  <c r="H685" i="1"/>
  <c r="K685" i="1" s="1"/>
  <c r="M685" i="1" s="1"/>
  <c r="H358" i="1"/>
  <c r="K358" i="1" s="1"/>
  <c r="M358" i="1" s="1"/>
  <c r="H689" i="1"/>
  <c r="K689" i="1" s="1"/>
  <c r="M689" i="1" s="1"/>
  <c r="H687" i="1"/>
  <c r="K687" i="1" s="1"/>
  <c r="M687" i="1" s="1"/>
  <c r="H655" i="1"/>
  <c r="K655" i="1" s="1"/>
  <c r="M655" i="1" s="1"/>
  <c r="H657" i="1"/>
  <c r="K657" i="1" s="1"/>
  <c r="M657" i="1" s="1"/>
  <c r="H595" i="1"/>
  <c r="K595" i="1" s="1"/>
  <c r="M595" i="1" s="1"/>
  <c r="H652" i="1"/>
  <c r="K652" i="1" s="1"/>
  <c r="M652" i="1" s="1"/>
  <c r="H107" i="1"/>
  <c r="K107" i="1" s="1"/>
  <c r="M107" i="1" s="1"/>
  <c r="H588" i="1"/>
  <c r="K588" i="1" s="1"/>
  <c r="M588" i="1" s="1"/>
  <c r="H125" i="1"/>
  <c r="K125" i="1" s="1"/>
  <c r="M125" i="1" s="1"/>
  <c r="H124" i="1"/>
  <c r="K124" i="1" s="1"/>
  <c r="M124" i="1" s="1"/>
  <c r="H686" i="1"/>
  <c r="K686" i="1" s="1"/>
  <c r="M686" i="1" s="1"/>
  <c r="H77" i="1"/>
  <c r="K77" i="1" s="1"/>
  <c r="M77" i="1" s="1"/>
  <c r="H3" i="1"/>
  <c r="K3" i="1" s="1"/>
  <c r="M3" i="1" s="1"/>
  <c r="H314" i="1"/>
  <c r="K314" i="1" s="1"/>
  <c r="M314" i="1" s="1"/>
  <c r="H76" i="1"/>
  <c r="K76" i="1" s="1"/>
  <c r="M76" i="1" s="1"/>
  <c r="H83" i="1"/>
  <c r="K83" i="1" s="1"/>
  <c r="M83" i="1" s="1"/>
  <c r="H84" i="1"/>
  <c r="K84" i="1" s="1"/>
  <c r="M84" i="1" s="1"/>
  <c r="H85" i="1"/>
  <c r="K85" i="1" s="1"/>
  <c r="M85" i="1" s="1"/>
  <c r="H86" i="1"/>
  <c r="K86" i="1" s="1"/>
  <c r="M86" i="1" s="1"/>
  <c r="H87" i="1"/>
  <c r="K87" i="1" s="1"/>
  <c r="M87" i="1" s="1"/>
  <c r="H88" i="1"/>
  <c r="K88" i="1" s="1"/>
  <c r="M88" i="1" s="1"/>
  <c r="H89" i="1"/>
  <c r="K89" i="1" s="1"/>
  <c r="M89" i="1" s="1"/>
  <c r="H92" i="1"/>
  <c r="K92" i="1" s="1"/>
  <c r="M92" i="1" s="1"/>
  <c r="H93" i="1"/>
  <c r="K93" i="1" s="1"/>
  <c r="M93" i="1" s="1"/>
  <c r="H95" i="1"/>
  <c r="K95" i="1" s="1"/>
  <c r="M95" i="1" s="1"/>
  <c r="H96" i="1"/>
  <c r="K96" i="1" s="1"/>
  <c r="M96" i="1" s="1"/>
  <c r="H97" i="1"/>
  <c r="K97" i="1" s="1"/>
  <c r="M97" i="1" s="1"/>
  <c r="H98" i="1"/>
  <c r="K98" i="1" s="1"/>
  <c r="M98" i="1" s="1"/>
  <c r="H99" i="1"/>
  <c r="K99" i="1" s="1"/>
  <c r="M99" i="1" s="1"/>
  <c r="H101" i="1"/>
  <c r="K101" i="1" s="1"/>
  <c r="M101" i="1" s="1"/>
  <c r="H203" i="1"/>
  <c r="K203" i="1" s="1"/>
  <c r="M203" i="1" s="1"/>
  <c r="H91" i="1"/>
  <c r="K91" i="1" s="1"/>
  <c r="M91" i="1" s="1"/>
  <c r="H672" i="1"/>
  <c r="K672" i="1" s="1"/>
  <c r="M672" i="1" s="1"/>
  <c r="H219" i="1"/>
  <c r="K219" i="1" s="1"/>
  <c r="M219" i="1" s="1"/>
  <c r="H401" i="1"/>
  <c r="K401" i="1" s="1"/>
  <c r="M401" i="1" s="1"/>
  <c r="H233" i="1"/>
  <c r="K233" i="1" s="1"/>
  <c r="M233" i="1" s="1"/>
  <c r="H204" i="1"/>
  <c r="K204" i="1" s="1"/>
  <c r="M204" i="1" s="1"/>
  <c r="H102" i="1"/>
  <c r="K102" i="1" s="1"/>
  <c r="M102" i="1" s="1"/>
  <c r="H103" i="1"/>
  <c r="K103" i="1" s="1"/>
  <c r="M103" i="1" s="1"/>
  <c r="H108" i="1"/>
  <c r="K108" i="1" s="1"/>
  <c r="M108" i="1" s="1"/>
  <c r="H109" i="1"/>
  <c r="K109" i="1" s="1"/>
  <c r="M109" i="1" s="1"/>
  <c r="H774" i="1"/>
  <c r="K774" i="1" s="1"/>
  <c r="M774" i="1" s="1"/>
  <c r="H343" i="1"/>
  <c r="K343" i="1" s="1"/>
  <c r="M343" i="1" s="1"/>
  <c r="H110" i="1"/>
  <c r="K110" i="1" s="1"/>
  <c r="M110" i="1" s="1"/>
  <c r="H114" i="1"/>
  <c r="K114" i="1" s="1"/>
  <c r="M114" i="1" s="1"/>
  <c r="H115" i="1"/>
  <c r="K115" i="1" s="1"/>
  <c r="M115" i="1" s="1"/>
  <c r="H116" i="1"/>
  <c r="K116" i="1" s="1"/>
  <c r="M116" i="1" s="1"/>
  <c r="H118" i="1"/>
  <c r="K118" i="1" s="1"/>
  <c r="M118" i="1" s="1"/>
  <c r="H120" i="1"/>
  <c r="K120" i="1" s="1"/>
  <c r="M120" i="1" s="1"/>
  <c r="H121" i="1"/>
  <c r="K121" i="1" s="1"/>
  <c r="M121" i="1" s="1"/>
  <c r="H122" i="1"/>
  <c r="K122" i="1" s="1"/>
  <c r="M122" i="1" s="1"/>
  <c r="H123" i="1"/>
  <c r="K123" i="1" s="1"/>
  <c r="M123" i="1" s="1"/>
  <c r="H126" i="1"/>
  <c r="K126" i="1" s="1"/>
  <c r="M126" i="1" s="1"/>
  <c r="H127" i="1"/>
  <c r="K127" i="1" s="1"/>
  <c r="M127" i="1" s="1"/>
  <c r="H31" i="1"/>
  <c r="K31" i="1" s="1"/>
  <c r="M31" i="1" s="1"/>
  <c r="H561" i="1"/>
  <c r="K561" i="1" s="1"/>
  <c r="M561" i="1" s="1"/>
  <c r="H137" i="1"/>
  <c r="K137" i="1" s="1"/>
  <c r="M137" i="1" s="1"/>
  <c r="H139" i="1"/>
  <c r="K139" i="1" s="1"/>
  <c r="M139" i="1" s="1"/>
  <c r="H207" i="1"/>
  <c r="K207" i="1" s="1"/>
  <c r="M207" i="1" s="1"/>
  <c r="H768" i="1"/>
  <c r="K768" i="1" s="1"/>
  <c r="M768" i="1" s="1"/>
  <c r="H752" i="1"/>
  <c r="K752" i="1" s="1"/>
  <c r="M752" i="1" s="1"/>
  <c r="H140" i="1"/>
  <c r="K140" i="1" s="1"/>
  <c r="M140" i="1" s="1"/>
  <c r="H141" i="1"/>
  <c r="K141" i="1" s="1"/>
  <c r="M141" i="1" s="1"/>
  <c r="H144" i="1"/>
  <c r="K144" i="1" s="1"/>
  <c r="M144" i="1" s="1"/>
  <c r="H146" i="1"/>
  <c r="K146" i="1" s="1"/>
  <c r="M146" i="1" s="1"/>
  <c r="H149" i="1"/>
  <c r="K149" i="1" s="1"/>
  <c r="M149" i="1" s="1"/>
  <c r="H152" i="1"/>
  <c r="K152" i="1" s="1"/>
  <c r="M152" i="1" s="1"/>
  <c r="H153" i="1"/>
  <c r="K153" i="1" s="1"/>
  <c r="M153" i="1" s="1"/>
  <c r="H154" i="1"/>
  <c r="K154" i="1" s="1"/>
  <c r="M154" i="1" s="1"/>
  <c r="H155" i="1"/>
  <c r="K155" i="1" s="1"/>
  <c r="M155" i="1" s="1"/>
  <c r="H156" i="1"/>
  <c r="K156" i="1" s="1"/>
  <c r="M156" i="1" s="1"/>
  <c r="H157" i="1"/>
  <c r="K157" i="1" s="1"/>
  <c r="M157" i="1" s="1"/>
  <c r="H165" i="1"/>
  <c r="K165" i="1" s="1"/>
  <c r="M165" i="1" s="1"/>
  <c r="H166" i="1"/>
  <c r="K166" i="1" s="1"/>
  <c r="M166" i="1" s="1"/>
  <c r="H169" i="1"/>
  <c r="K169" i="1" s="1"/>
  <c r="M169" i="1" s="1"/>
  <c r="H170" i="1"/>
  <c r="K170" i="1" s="1"/>
  <c r="M170" i="1" s="1"/>
  <c r="H173" i="1"/>
  <c r="K173" i="1" s="1"/>
  <c r="M173" i="1" s="1"/>
  <c r="H174" i="1"/>
  <c r="K174" i="1" s="1"/>
  <c r="M174" i="1" s="1"/>
  <c r="H176" i="1"/>
  <c r="K176" i="1" s="1"/>
  <c r="M176" i="1" s="1"/>
  <c r="H177" i="1"/>
  <c r="K177" i="1" s="1"/>
  <c r="M177" i="1" s="1"/>
  <c r="H178" i="1"/>
  <c r="K178" i="1" s="1"/>
  <c r="M178" i="1" s="1"/>
  <c r="H179" i="1"/>
  <c r="K179" i="1" s="1"/>
  <c r="M179" i="1" s="1"/>
  <c r="H180" i="1"/>
  <c r="K180" i="1" s="1"/>
  <c r="M180" i="1" s="1"/>
  <c r="H181" i="1"/>
  <c r="K181" i="1" s="1"/>
  <c r="M181" i="1" s="1"/>
  <c r="H182" i="1"/>
  <c r="K182" i="1" s="1"/>
  <c r="M182" i="1" s="1"/>
  <c r="H183" i="1"/>
  <c r="K183" i="1" s="1"/>
  <c r="M183" i="1" s="1"/>
  <c r="H184" i="1"/>
  <c r="K184" i="1" s="1"/>
  <c r="M184" i="1" s="1"/>
  <c r="H185" i="1"/>
  <c r="K185" i="1" s="1"/>
  <c r="M185" i="1" s="1"/>
  <c r="H186" i="1"/>
  <c r="K186" i="1" s="1"/>
  <c r="M186" i="1" s="1"/>
  <c r="H189" i="1"/>
  <c r="K189" i="1" s="1"/>
  <c r="M189" i="1" s="1"/>
  <c r="H190" i="1"/>
  <c r="K190" i="1" s="1"/>
  <c r="M190" i="1" s="1"/>
  <c r="H192" i="1"/>
  <c r="K192" i="1" s="1"/>
  <c r="M192" i="1" s="1"/>
  <c r="H191" i="1"/>
  <c r="K191" i="1" s="1"/>
  <c r="M191" i="1" s="1"/>
  <c r="H193" i="1"/>
  <c r="K193" i="1" s="1"/>
  <c r="M193" i="1" s="1"/>
  <c r="H194" i="1"/>
  <c r="K194" i="1" s="1"/>
  <c r="M194" i="1" s="1"/>
  <c r="H195" i="1"/>
  <c r="K195" i="1" s="1"/>
  <c r="M195" i="1" s="1"/>
  <c r="H196" i="1"/>
  <c r="K196" i="1" s="1"/>
  <c r="M196" i="1" s="1"/>
  <c r="H198" i="1"/>
  <c r="K198" i="1" s="1"/>
  <c r="M198" i="1" s="1"/>
  <c r="H197" i="1"/>
  <c r="K197" i="1" s="1"/>
  <c r="M197" i="1" s="1"/>
  <c r="H202" i="1"/>
  <c r="K202" i="1" s="1"/>
  <c r="M202" i="1" s="1"/>
  <c r="H205" i="1"/>
  <c r="K205" i="1" s="1"/>
  <c r="M205" i="1" s="1"/>
  <c r="H206" i="1"/>
  <c r="K206" i="1" s="1"/>
  <c r="M206" i="1" s="1"/>
  <c r="H208" i="1"/>
  <c r="K208" i="1" s="1"/>
  <c r="M208" i="1" s="1"/>
  <c r="H209" i="1"/>
  <c r="K209" i="1" s="1"/>
  <c r="M209" i="1" s="1"/>
  <c r="H210" i="1"/>
  <c r="K210" i="1" s="1"/>
  <c r="M210" i="1" s="1"/>
  <c r="H212" i="1"/>
  <c r="K212" i="1" s="1"/>
  <c r="M212" i="1" s="1"/>
  <c r="H220" i="1"/>
  <c r="K220" i="1" s="1"/>
  <c r="M220" i="1" s="1"/>
  <c r="H222" i="1"/>
  <c r="K222" i="1" s="1"/>
  <c r="M222" i="1" s="1"/>
  <c r="H223" i="1"/>
  <c r="K223" i="1" s="1"/>
  <c r="M223" i="1" s="1"/>
  <c r="H225" i="1"/>
  <c r="K225" i="1" s="1"/>
  <c r="M225" i="1" s="1"/>
  <c r="H226" i="1"/>
  <c r="K226" i="1" s="1"/>
  <c r="M226" i="1" s="1"/>
  <c r="H228" i="1"/>
  <c r="K228" i="1" s="1"/>
  <c r="M228" i="1" s="1"/>
  <c r="H229" i="1"/>
  <c r="K229" i="1" s="1"/>
  <c r="M229" i="1" s="1"/>
  <c r="H231" i="1"/>
  <c r="K231" i="1" s="1"/>
  <c r="M231" i="1" s="1"/>
  <c r="H235" i="1"/>
  <c r="K235" i="1" s="1"/>
  <c r="M235" i="1" s="1"/>
  <c r="H237" i="1"/>
  <c r="K237" i="1" s="1"/>
  <c r="M237" i="1" s="1"/>
  <c r="H241" i="1"/>
  <c r="K241" i="1" s="1"/>
  <c r="M241" i="1" s="1"/>
  <c r="H240" i="1"/>
  <c r="K240" i="1" s="1"/>
  <c r="M240" i="1" s="1"/>
  <c r="H243" i="1"/>
  <c r="K243" i="1" s="1"/>
  <c r="M243" i="1" s="1"/>
  <c r="H244" i="1"/>
  <c r="K244" i="1" s="1"/>
  <c r="M244" i="1" s="1"/>
  <c r="H245" i="1"/>
  <c r="K245" i="1" s="1"/>
  <c r="M245" i="1" s="1"/>
  <c r="H246" i="1"/>
  <c r="K246" i="1" s="1"/>
  <c r="M246" i="1" s="1"/>
  <c r="H248" i="1"/>
  <c r="K248" i="1" s="1"/>
  <c r="M248" i="1" s="1"/>
  <c r="H249" i="1"/>
  <c r="K249" i="1" s="1"/>
  <c r="M249" i="1" s="1"/>
  <c r="H251" i="1"/>
  <c r="K251" i="1" s="1"/>
  <c r="M251" i="1" s="1"/>
  <c r="H252" i="1"/>
  <c r="K252" i="1" s="1"/>
  <c r="M252" i="1" s="1"/>
  <c r="H253" i="1"/>
  <c r="K253" i="1" s="1"/>
  <c r="M253" i="1" s="1"/>
  <c r="H254" i="1"/>
  <c r="K254" i="1" s="1"/>
  <c r="M254" i="1" s="1"/>
  <c r="H255" i="1"/>
  <c r="K255" i="1" s="1"/>
  <c r="M255" i="1" s="1"/>
  <c r="H256" i="1"/>
  <c r="K256" i="1" s="1"/>
  <c r="M256" i="1" s="1"/>
  <c r="H260" i="1"/>
  <c r="K260" i="1" s="1"/>
  <c r="M260" i="1" s="1"/>
  <c r="H261" i="1"/>
  <c r="K261" i="1" s="1"/>
  <c r="M261" i="1" s="1"/>
  <c r="H263" i="1"/>
  <c r="K263" i="1" s="1"/>
  <c r="M263" i="1" s="1"/>
  <c r="H274" i="1"/>
  <c r="K274" i="1" s="1"/>
  <c r="M274" i="1" s="1"/>
  <c r="H275" i="1"/>
  <c r="K275" i="1" s="1"/>
  <c r="M275" i="1" s="1"/>
  <c r="H276" i="1"/>
  <c r="K276" i="1" s="1"/>
  <c r="M276" i="1" s="1"/>
  <c r="H278" i="1"/>
  <c r="K278" i="1" s="1"/>
  <c r="M278" i="1" s="1"/>
  <c r="H279" i="1"/>
  <c r="K279" i="1" s="1"/>
  <c r="M279" i="1" s="1"/>
  <c r="H280" i="1"/>
  <c r="K280" i="1" s="1"/>
  <c r="M280" i="1" s="1"/>
  <c r="H282" i="1"/>
  <c r="K282" i="1" s="1"/>
  <c r="M282" i="1" s="1"/>
  <c r="H281" i="1"/>
  <c r="K281" i="1" s="1"/>
  <c r="M281" i="1" s="1"/>
  <c r="H283" i="1"/>
  <c r="K283" i="1" s="1"/>
  <c r="M283" i="1" s="1"/>
  <c r="H284" i="1"/>
  <c r="K284" i="1" s="1"/>
  <c r="M284" i="1" s="1"/>
  <c r="H285" i="1"/>
  <c r="K285" i="1" s="1"/>
  <c r="M285" i="1" s="1"/>
  <c r="H286" i="1"/>
  <c r="K286" i="1" s="1"/>
  <c r="M286" i="1" s="1"/>
  <c r="H287" i="1"/>
  <c r="K287" i="1" s="1"/>
  <c r="M287" i="1" s="1"/>
  <c r="H289" i="1"/>
  <c r="K289" i="1" s="1"/>
  <c r="M289" i="1" s="1"/>
  <c r="H293" i="1"/>
  <c r="K293" i="1" s="1"/>
  <c r="M293" i="1" s="1"/>
  <c r="H294" i="1"/>
  <c r="K294" i="1" s="1"/>
  <c r="M294" i="1" s="1"/>
  <c r="H295" i="1"/>
  <c r="K295" i="1" s="1"/>
  <c r="M295" i="1" s="1"/>
  <c r="H296" i="1"/>
  <c r="K296" i="1" s="1"/>
  <c r="M296" i="1" s="1"/>
  <c r="H297" i="1"/>
  <c r="K297" i="1" s="1"/>
  <c r="M297" i="1" s="1"/>
  <c r="H298" i="1"/>
  <c r="K298" i="1" s="1"/>
  <c r="M298" i="1" s="1"/>
  <c r="H301" i="1"/>
  <c r="K301" i="1" s="1"/>
  <c r="M301" i="1" s="1"/>
  <c r="H302" i="1"/>
  <c r="K302" i="1" s="1"/>
  <c r="M302" i="1" s="1"/>
  <c r="H303" i="1"/>
  <c r="K303" i="1" s="1"/>
  <c r="M303" i="1" s="1"/>
  <c r="H305" i="1"/>
  <c r="K305" i="1" s="1"/>
  <c r="M305" i="1" s="1"/>
  <c r="H306" i="1"/>
  <c r="K306" i="1" s="1"/>
  <c r="M306" i="1" s="1"/>
  <c r="H309" i="1"/>
  <c r="K309" i="1" s="1"/>
  <c r="M309" i="1" s="1"/>
  <c r="H310" i="1"/>
  <c r="K310" i="1" s="1"/>
  <c r="M310" i="1" s="1"/>
  <c r="H313" i="1"/>
  <c r="K313" i="1" s="1"/>
  <c r="M313" i="1" s="1"/>
  <c r="H315" i="1"/>
  <c r="K315" i="1" s="1"/>
  <c r="M315" i="1" s="1"/>
  <c r="H317" i="1"/>
  <c r="K317" i="1" s="1"/>
  <c r="M317" i="1" s="1"/>
  <c r="H318" i="1"/>
  <c r="K318" i="1" s="1"/>
  <c r="M318" i="1" s="1"/>
  <c r="H319" i="1"/>
  <c r="K319" i="1" s="1"/>
  <c r="M319" i="1" s="1"/>
  <c r="H320" i="1"/>
  <c r="K320" i="1" s="1"/>
  <c r="M320" i="1" s="1"/>
  <c r="H324" i="1"/>
  <c r="K324" i="1" s="1"/>
  <c r="M324" i="1" s="1"/>
  <c r="H325" i="1"/>
  <c r="K325" i="1" s="1"/>
  <c r="M325" i="1" s="1"/>
  <c r="H327" i="1"/>
  <c r="K327" i="1" s="1"/>
  <c r="M327" i="1" s="1"/>
  <c r="H329" i="1"/>
  <c r="K329" i="1" s="1"/>
  <c r="M329" i="1" s="1"/>
  <c r="H334" i="1"/>
  <c r="K334" i="1" s="1"/>
  <c r="M334" i="1" s="1"/>
  <c r="H335" i="1"/>
  <c r="K335" i="1" s="1"/>
  <c r="M335" i="1" s="1"/>
  <c r="H336" i="1"/>
  <c r="K336" i="1" s="1"/>
  <c r="M336" i="1" s="1"/>
  <c r="H337" i="1"/>
  <c r="K337" i="1" s="1"/>
  <c r="M337" i="1" s="1"/>
  <c r="H341" i="1"/>
  <c r="K341" i="1" s="1"/>
  <c r="M341" i="1" s="1"/>
  <c r="H345" i="1"/>
  <c r="K345" i="1" s="1"/>
  <c r="M345" i="1" s="1"/>
  <c r="H346" i="1"/>
  <c r="K346" i="1" s="1"/>
  <c r="M346" i="1" s="1"/>
  <c r="H347" i="1"/>
  <c r="K347" i="1" s="1"/>
  <c r="M347" i="1" s="1"/>
  <c r="H348" i="1"/>
  <c r="K348" i="1" s="1"/>
  <c r="M348" i="1" s="1"/>
  <c r="H351" i="1"/>
  <c r="K351" i="1" s="1"/>
  <c r="M351" i="1" s="1"/>
  <c r="H350" i="1"/>
  <c r="K350" i="1" s="1"/>
  <c r="M350" i="1" s="1"/>
  <c r="H352" i="1"/>
  <c r="K352" i="1" s="1"/>
  <c r="M352" i="1" s="1"/>
  <c r="H354" i="1"/>
  <c r="K354" i="1" s="1"/>
  <c r="M354" i="1" s="1"/>
  <c r="H357" i="1"/>
  <c r="K357" i="1" s="1"/>
  <c r="M357" i="1" s="1"/>
  <c r="H360" i="1"/>
  <c r="K360" i="1" s="1"/>
  <c r="M360" i="1" s="1"/>
  <c r="H362" i="1"/>
  <c r="K362" i="1" s="1"/>
  <c r="M362" i="1" s="1"/>
  <c r="H363" i="1"/>
  <c r="K363" i="1" s="1"/>
  <c r="M363" i="1" s="1"/>
  <c r="H365" i="1"/>
  <c r="K365" i="1" s="1"/>
  <c r="M365" i="1" s="1"/>
  <c r="H366" i="1"/>
  <c r="K366" i="1" s="1"/>
  <c r="M366" i="1" s="1"/>
  <c r="H369" i="1"/>
  <c r="K369" i="1" s="1"/>
  <c r="M369" i="1" s="1"/>
  <c r="H371" i="1"/>
  <c r="K371" i="1" s="1"/>
  <c r="M371" i="1" s="1"/>
  <c r="H373" i="1"/>
  <c r="K373" i="1" s="1"/>
  <c r="M373" i="1" s="1"/>
  <c r="H372" i="1"/>
  <c r="K372" i="1" s="1"/>
  <c r="M372" i="1" s="1"/>
  <c r="H376" i="1"/>
  <c r="K376" i="1" s="1"/>
  <c r="M376" i="1" s="1"/>
  <c r="H380" i="1"/>
  <c r="K380" i="1" s="1"/>
  <c r="M380" i="1" s="1"/>
  <c r="H381" i="1"/>
  <c r="K381" i="1" s="1"/>
  <c r="M381" i="1" s="1"/>
  <c r="H382" i="1"/>
  <c r="K382" i="1" s="1"/>
  <c r="M382" i="1" s="1"/>
  <c r="H388" i="1"/>
  <c r="K388" i="1" s="1"/>
  <c r="M388" i="1" s="1"/>
  <c r="H387" i="1"/>
  <c r="K387" i="1" s="1"/>
  <c r="M387" i="1" s="1"/>
  <c r="H389" i="1"/>
  <c r="K389" i="1" s="1"/>
  <c r="M389" i="1" s="1"/>
  <c r="H391" i="1"/>
  <c r="K391" i="1" s="1"/>
  <c r="M391" i="1" s="1"/>
  <c r="H398" i="1"/>
  <c r="K398" i="1" s="1"/>
  <c r="M398" i="1" s="1"/>
  <c r="H399" i="1"/>
  <c r="K399" i="1" s="1"/>
  <c r="M399" i="1" s="1"/>
  <c r="H400" i="1"/>
  <c r="K400" i="1" s="1"/>
  <c r="M400" i="1" s="1"/>
  <c r="H402" i="1"/>
  <c r="K402" i="1" s="1"/>
  <c r="M402" i="1" s="1"/>
  <c r="H404" i="1"/>
  <c r="K404" i="1" s="1"/>
  <c r="M404" i="1" s="1"/>
  <c r="H406" i="1"/>
  <c r="K406" i="1" s="1"/>
  <c r="M406" i="1" s="1"/>
  <c r="H408" i="1"/>
  <c r="K408" i="1" s="1"/>
  <c r="M408" i="1" s="1"/>
  <c r="H409" i="1"/>
  <c r="K409" i="1" s="1"/>
  <c r="M409" i="1" s="1"/>
  <c r="H413" i="1"/>
  <c r="K413" i="1" s="1"/>
  <c r="M413" i="1" s="1"/>
  <c r="H414" i="1"/>
  <c r="K414" i="1" s="1"/>
  <c r="M414" i="1" s="1"/>
  <c r="H417" i="1"/>
  <c r="K417" i="1" s="1"/>
  <c r="M417" i="1" s="1"/>
  <c r="H418" i="1"/>
  <c r="K418" i="1" s="1"/>
  <c r="M418" i="1" s="1"/>
  <c r="H424" i="1"/>
  <c r="K424" i="1" s="1"/>
  <c r="M424" i="1" s="1"/>
  <c r="H425" i="1"/>
  <c r="K425" i="1" s="1"/>
  <c r="M425" i="1" s="1"/>
  <c r="H428" i="1"/>
  <c r="K428" i="1" s="1"/>
  <c r="M428" i="1" s="1"/>
  <c r="H429" i="1"/>
  <c r="K429" i="1" s="1"/>
  <c r="M429" i="1" s="1"/>
  <c r="H430" i="1"/>
  <c r="K430" i="1" s="1"/>
  <c r="M430" i="1" s="1"/>
  <c r="H431" i="1"/>
  <c r="K431" i="1" s="1"/>
  <c r="M431" i="1" s="1"/>
  <c r="H432" i="1"/>
  <c r="K432" i="1" s="1"/>
  <c r="M432" i="1" s="1"/>
  <c r="H605" i="1"/>
  <c r="K605" i="1" s="1"/>
  <c r="M605" i="1" s="1"/>
  <c r="H433" i="1"/>
  <c r="K433" i="1" s="1"/>
  <c r="M433" i="1" s="1"/>
  <c r="H434" i="1"/>
  <c r="K434" i="1" s="1"/>
  <c r="M434" i="1" s="1"/>
  <c r="H436" i="1"/>
  <c r="K436" i="1" s="1"/>
  <c r="M436" i="1" s="1"/>
  <c r="H437" i="1"/>
  <c r="K437" i="1" s="1"/>
  <c r="M437" i="1" s="1"/>
  <c r="H438" i="1"/>
  <c r="K438" i="1" s="1"/>
  <c r="M438" i="1" s="1"/>
  <c r="H439" i="1"/>
  <c r="K439" i="1" s="1"/>
  <c r="M439" i="1" s="1"/>
  <c r="H442" i="1"/>
  <c r="K442" i="1" s="1"/>
  <c r="M442" i="1" s="1"/>
  <c r="H446" i="1"/>
  <c r="K446" i="1" s="1"/>
  <c r="M446" i="1" s="1"/>
  <c r="H451" i="1"/>
  <c r="K451" i="1" s="1"/>
  <c r="M451" i="1" s="1"/>
  <c r="H452" i="1"/>
  <c r="K452" i="1" s="1"/>
  <c r="M452" i="1" s="1"/>
  <c r="H454" i="1"/>
  <c r="K454" i="1" s="1"/>
  <c r="M454" i="1" s="1"/>
  <c r="H456" i="1"/>
  <c r="K456" i="1" s="1"/>
  <c r="M456" i="1" s="1"/>
  <c r="H457" i="1"/>
  <c r="K457" i="1" s="1"/>
  <c r="M457" i="1" s="1"/>
  <c r="H458" i="1"/>
  <c r="K458" i="1" s="1"/>
  <c r="M458" i="1" s="1"/>
  <c r="H462" i="1"/>
  <c r="K462" i="1" s="1"/>
  <c r="M462" i="1" s="1"/>
  <c r="H463" i="1"/>
  <c r="K463" i="1" s="1"/>
  <c r="M463" i="1" s="1"/>
  <c r="H466" i="1"/>
  <c r="K466" i="1" s="1"/>
  <c r="M466" i="1" s="1"/>
  <c r="H467" i="1"/>
  <c r="K467" i="1" s="1"/>
  <c r="M467" i="1" s="1"/>
  <c r="H468" i="1"/>
  <c r="K468" i="1" s="1"/>
  <c r="M468" i="1" s="1"/>
  <c r="H470" i="1"/>
  <c r="K470" i="1" s="1"/>
  <c r="M470" i="1" s="1"/>
  <c r="H469" i="1"/>
  <c r="K469" i="1" s="1"/>
  <c r="M469" i="1" s="1"/>
  <c r="H471" i="1"/>
  <c r="K471" i="1" s="1"/>
  <c r="M471" i="1" s="1"/>
  <c r="H473" i="1"/>
  <c r="K473" i="1" s="1"/>
  <c r="M473" i="1" s="1"/>
  <c r="H474" i="1"/>
  <c r="K474" i="1" s="1"/>
  <c r="M474" i="1" s="1"/>
  <c r="H475" i="1"/>
  <c r="K475" i="1" s="1"/>
  <c r="M475" i="1" s="1"/>
  <c r="H477" i="1"/>
  <c r="K477" i="1" s="1"/>
  <c r="M477" i="1" s="1"/>
  <c r="H478" i="1"/>
  <c r="K478" i="1" s="1"/>
  <c r="M478" i="1" s="1"/>
  <c r="H484" i="1"/>
  <c r="K484" i="1" s="1"/>
  <c r="M484" i="1" s="1"/>
  <c r="H483" i="1"/>
  <c r="K483" i="1" s="1"/>
  <c r="M483" i="1" s="1"/>
  <c r="H489" i="1"/>
  <c r="K489" i="1" s="1"/>
  <c r="M489" i="1" s="1"/>
  <c r="H490" i="1"/>
  <c r="K490" i="1" s="1"/>
  <c r="M490" i="1" s="1"/>
  <c r="H491" i="1"/>
  <c r="K491" i="1" s="1"/>
  <c r="M491" i="1" s="1"/>
  <c r="H493" i="1"/>
  <c r="K493" i="1" s="1"/>
  <c r="M493" i="1" s="1"/>
  <c r="H496" i="1"/>
  <c r="K496" i="1" s="1"/>
  <c r="M496" i="1" s="1"/>
  <c r="H498" i="1"/>
  <c r="K498" i="1" s="1"/>
  <c r="M498" i="1" s="1"/>
  <c r="H500" i="1"/>
  <c r="K500" i="1" s="1"/>
  <c r="M500" i="1" s="1"/>
  <c r="H503" i="1"/>
  <c r="K503" i="1" s="1"/>
  <c r="M503" i="1" s="1"/>
  <c r="H506" i="1"/>
  <c r="K506" i="1" s="1"/>
  <c r="M506" i="1" s="1"/>
  <c r="H507" i="1"/>
  <c r="K507" i="1" s="1"/>
  <c r="M507" i="1" s="1"/>
  <c r="H508" i="1"/>
  <c r="K508" i="1" s="1"/>
  <c r="M508" i="1" s="1"/>
  <c r="H510" i="1"/>
  <c r="K510" i="1" s="1"/>
  <c r="M510" i="1" s="1"/>
  <c r="H511" i="1"/>
  <c r="K511" i="1" s="1"/>
  <c r="M511" i="1" s="1"/>
  <c r="H512" i="1"/>
  <c r="K512" i="1" s="1"/>
  <c r="M512" i="1" s="1"/>
  <c r="H517" i="1"/>
  <c r="K517" i="1" s="1"/>
  <c r="M517" i="1" s="1"/>
  <c r="H524" i="1"/>
  <c r="K524" i="1" s="1"/>
  <c r="M524" i="1" s="1"/>
  <c r="H525" i="1"/>
  <c r="K525" i="1" s="1"/>
  <c r="M525" i="1" s="1"/>
  <c r="H526" i="1"/>
  <c r="K526" i="1" s="1"/>
  <c r="M526" i="1" s="1"/>
  <c r="H529" i="1"/>
  <c r="K529" i="1" s="1"/>
  <c r="M529" i="1" s="1"/>
  <c r="H530" i="1"/>
  <c r="K530" i="1" s="1"/>
  <c r="M530" i="1" s="1"/>
  <c r="H531" i="1"/>
  <c r="K531" i="1" s="1"/>
  <c r="M531" i="1" s="1"/>
  <c r="H532" i="1"/>
  <c r="K532" i="1" s="1"/>
  <c r="M532" i="1" s="1"/>
  <c r="H533" i="1"/>
  <c r="K533" i="1" s="1"/>
  <c r="M533" i="1" s="1"/>
  <c r="H535" i="1"/>
  <c r="K535" i="1" s="1"/>
  <c r="M535" i="1" s="1"/>
  <c r="H538" i="1"/>
  <c r="K538" i="1" s="1"/>
  <c r="M538" i="1" s="1"/>
  <c r="H539" i="1"/>
  <c r="K539" i="1" s="1"/>
  <c r="M539" i="1" s="1"/>
  <c r="H540" i="1"/>
  <c r="K540" i="1" s="1"/>
  <c r="M540" i="1" s="1"/>
  <c r="H542" i="1"/>
  <c r="K542" i="1" s="1"/>
  <c r="M542" i="1" s="1"/>
  <c r="H544" i="1"/>
  <c r="K544" i="1" s="1"/>
  <c r="M544" i="1" s="1"/>
  <c r="H545" i="1"/>
  <c r="K545" i="1" s="1"/>
  <c r="M545" i="1" s="1"/>
  <c r="H543" i="1"/>
  <c r="K543" i="1" s="1"/>
  <c r="M543" i="1" s="1"/>
  <c r="H549" i="1"/>
  <c r="K549" i="1" s="1"/>
  <c r="M549" i="1" s="1"/>
  <c r="H548" i="1"/>
  <c r="K548" i="1" s="1"/>
  <c r="M548" i="1" s="1"/>
  <c r="H550" i="1"/>
  <c r="K550" i="1" s="1"/>
  <c r="M550" i="1" s="1"/>
  <c r="H551" i="1"/>
  <c r="K551" i="1" s="1"/>
  <c r="M551" i="1" s="1"/>
  <c r="H553" i="1"/>
  <c r="K553" i="1" s="1"/>
  <c r="M553" i="1" s="1"/>
  <c r="H554" i="1"/>
  <c r="K554" i="1" s="1"/>
  <c r="M554" i="1" s="1"/>
  <c r="H555" i="1"/>
  <c r="K555" i="1" s="1"/>
  <c r="M555" i="1" s="1"/>
  <c r="H556" i="1"/>
  <c r="K556" i="1" s="1"/>
  <c r="M556" i="1" s="1"/>
  <c r="H557" i="1"/>
  <c r="K557" i="1" s="1"/>
  <c r="M557" i="1" s="1"/>
  <c r="H558" i="1"/>
  <c r="K558" i="1" s="1"/>
  <c r="M558" i="1" s="1"/>
  <c r="H559" i="1"/>
  <c r="K559" i="1" s="1"/>
  <c r="M559" i="1" s="1"/>
  <c r="H562" i="1"/>
  <c r="K562" i="1" s="1"/>
  <c r="M562" i="1" s="1"/>
  <c r="H563" i="1"/>
  <c r="K563" i="1" s="1"/>
  <c r="M563" i="1" s="1"/>
  <c r="H564" i="1"/>
  <c r="K564" i="1" s="1"/>
  <c r="M564" i="1" s="1"/>
  <c r="H565" i="1"/>
  <c r="K565" i="1" s="1"/>
  <c r="M565" i="1" s="1"/>
  <c r="H566" i="1"/>
  <c r="K566" i="1" s="1"/>
  <c r="M566" i="1" s="1"/>
  <c r="H568" i="1"/>
  <c r="K568" i="1" s="1"/>
  <c r="M568" i="1" s="1"/>
  <c r="H571" i="1"/>
  <c r="K571" i="1" s="1"/>
  <c r="M571" i="1" s="1"/>
  <c r="H573" i="1"/>
  <c r="K573" i="1" s="1"/>
  <c r="M573" i="1" s="1"/>
  <c r="H575" i="1"/>
  <c r="K575" i="1" s="1"/>
  <c r="M575" i="1" s="1"/>
  <c r="H574" i="1"/>
  <c r="K574" i="1" s="1"/>
  <c r="M574" i="1" s="1"/>
  <c r="H577" i="1"/>
  <c r="K577" i="1" s="1"/>
  <c r="M577" i="1" s="1"/>
  <c r="H576" i="1"/>
  <c r="K576" i="1" s="1"/>
  <c r="M576" i="1" s="1"/>
  <c r="H579" i="1"/>
  <c r="K579" i="1" s="1"/>
  <c r="M579" i="1" s="1"/>
  <c r="H580" i="1"/>
  <c r="K580" i="1" s="1"/>
  <c r="M580" i="1" s="1"/>
  <c r="H582" i="1"/>
  <c r="K582" i="1" s="1"/>
  <c r="M582" i="1" s="1"/>
  <c r="H584" i="1"/>
  <c r="K584" i="1" s="1"/>
  <c r="M584" i="1" s="1"/>
  <c r="H587" i="1"/>
  <c r="K587" i="1" s="1"/>
  <c r="M587" i="1" s="1"/>
  <c r="H590" i="1"/>
  <c r="K590" i="1" s="1"/>
  <c r="M590" i="1" s="1"/>
  <c r="H591" i="1"/>
  <c r="K591" i="1" s="1"/>
  <c r="M591" i="1" s="1"/>
  <c r="H592" i="1"/>
  <c r="K592" i="1" s="1"/>
  <c r="M592" i="1" s="1"/>
  <c r="H593" i="1"/>
  <c r="K593" i="1" s="1"/>
  <c r="M593" i="1" s="1"/>
  <c r="H594" i="1"/>
  <c r="K594" i="1" s="1"/>
  <c r="M594" i="1" s="1"/>
  <c r="H597" i="1"/>
  <c r="K597" i="1" s="1"/>
  <c r="M597" i="1" s="1"/>
  <c r="H600" i="1"/>
  <c r="K600" i="1" s="1"/>
  <c r="M600" i="1" s="1"/>
  <c r="H601" i="1"/>
  <c r="K601" i="1" s="1"/>
  <c r="M601" i="1" s="1"/>
  <c r="H602" i="1"/>
  <c r="K602" i="1" s="1"/>
  <c r="M602" i="1" s="1"/>
  <c r="H603" i="1"/>
  <c r="K603" i="1" s="1"/>
  <c r="M603" i="1" s="1"/>
  <c r="H609" i="1"/>
  <c r="K609" i="1" s="1"/>
  <c r="M609" i="1" s="1"/>
  <c r="H614" i="1"/>
  <c r="K614" i="1" s="1"/>
  <c r="M614" i="1" s="1"/>
  <c r="H615" i="1"/>
  <c r="K615" i="1" s="1"/>
  <c r="M615" i="1" s="1"/>
  <c r="H617" i="1"/>
  <c r="K617" i="1" s="1"/>
  <c r="M617" i="1" s="1"/>
  <c r="H618" i="1"/>
  <c r="K618" i="1" s="1"/>
  <c r="M618" i="1" s="1"/>
  <c r="H619" i="1"/>
  <c r="K619" i="1" s="1"/>
  <c r="M619" i="1" s="1"/>
  <c r="H621" i="1"/>
  <c r="K621" i="1" s="1"/>
  <c r="M621" i="1" s="1"/>
  <c r="H622" i="1"/>
  <c r="K622" i="1" s="1"/>
  <c r="M622" i="1" s="1"/>
  <c r="H624" i="1"/>
  <c r="K624" i="1" s="1"/>
  <c r="M624" i="1" s="1"/>
  <c r="H626" i="1"/>
  <c r="K626" i="1" s="1"/>
  <c r="M626" i="1" s="1"/>
  <c r="H629" i="1"/>
  <c r="K629" i="1" s="1"/>
  <c r="M629" i="1" s="1"/>
  <c r="H631" i="1"/>
  <c r="K631" i="1" s="1"/>
  <c r="M631" i="1" s="1"/>
  <c r="H632" i="1"/>
  <c r="K632" i="1" s="1"/>
  <c r="M632" i="1" s="1"/>
  <c r="H633" i="1"/>
  <c r="K633" i="1" s="1"/>
  <c r="M633" i="1" s="1"/>
  <c r="H634" i="1"/>
  <c r="K634" i="1" s="1"/>
  <c r="M634" i="1" s="1"/>
  <c r="H636" i="1"/>
  <c r="K636" i="1" s="1"/>
  <c r="M636" i="1" s="1"/>
  <c r="H637" i="1"/>
  <c r="K637" i="1" s="1"/>
  <c r="M637" i="1" s="1"/>
  <c r="H639" i="1"/>
  <c r="K639" i="1" s="1"/>
  <c r="M639" i="1" s="1"/>
  <c r="H641" i="1"/>
  <c r="K641" i="1" s="1"/>
  <c r="M641" i="1" s="1"/>
  <c r="H645" i="1"/>
  <c r="K645" i="1" s="1"/>
  <c r="M645" i="1" s="1"/>
  <c r="H646" i="1"/>
  <c r="K646" i="1" s="1"/>
  <c r="M646" i="1" s="1"/>
  <c r="H647" i="1"/>
  <c r="K647" i="1" s="1"/>
  <c r="M647" i="1" s="1"/>
  <c r="H648" i="1"/>
  <c r="K648" i="1" s="1"/>
  <c r="M648" i="1" s="1"/>
  <c r="H650" i="1"/>
  <c r="K650" i="1" s="1"/>
  <c r="M650" i="1" s="1"/>
  <c r="H649" i="1"/>
  <c r="K649" i="1" s="1"/>
  <c r="M649" i="1" s="1"/>
  <c r="H651" i="1"/>
  <c r="K651" i="1" s="1"/>
  <c r="M651" i="1" s="1"/>
  <c r="H653" i="1"/>
  <c r="K653" i="1" s="1"/>
  <c r="M653" i="1" s="1"/>
  <c r="H659" i="1"/>
  <c r="K659" i="1" s="1"/>
  <c r="M659" i="1" s="1"/>
  <c r="H661" i="1"/>
  <c r="K661" i="1" s="1"/>
  <c r="M661" i="1" s="1"/>
  <c r="H663" i="1"/>
  <c r="K663" i="1" s="1"/>
  <c r="M663" i="1" s="1"/>
  <c r="H662" i="1"/>
  <c r="K662" i="1" s="1"/>
  <c r="M662" i="1" s="1"/>
  <c r="H665" i="1"/>
  <c r="K665" i="1" s="1"/>
  <c r="M665" i="1" s="1"/>
  <c r="H666" i="1"/>
  <c r="K666" i="1" s="1"/>
  <c r="M666" i="1" s="1"/>
  <c r="H667" i="1"/>
  <c r="K667" i="1" s="1"/>
  <c r="M667" i="1" s="1"/>
  <c r="H671" i="1"/>
  <c r="K671" i="1" s="1"/>
  <c r="M671" i="1" s="1"/>
  <c r="H680" i="1"/>
  <c r="K680" i="1" s="1"/>
  <c r="M680" i="1" s="1"/>
  <c r="H682" i="1"/>
  <c r="K682" i="1" s="1"/>
  <c r="M682" i="1" s="1"/>
  <c r="H691" i="1"/>
  <c r="K691" i="1" s="1"/>
  <c r="M691" i="1" s="1"/>
  <c r="H692" i="1"/>
  <c r="K692" i="1" s="1"/>
  <c r="M692" i="1" s="1"/>
  <c r="H694" i="1"/>
  <c r="K694" i="1" s="1"/>
  <c r="M694" i="1" s="1"/>
  <c r="H695" i="1"/>
  <c r="K695" i="1" s="1"/>
  <c r="M695" i="1" s="1"/>
  <c r="H696" i="1"/>
  <c r="K696" i="1" s="1"/>
  <c r="M696" i="1" s="1"/>
  <c r="H697" i="1"/>
  <c r="K697" i="1" s="1"/>
  <c r="M697" i="1" s="1"/>
  <c r="H699" i="1"/>
  <c r="K699" i="1" s="1"/>
  <c r="M699" i="1" s="1"/>
  <c r="H700" i="1"/>
  <c r="K700" i="1" s="1"/>
  <c r="M700" i="1" s="1"/>
  <c r="H701" i="1"/>
  <c r="K701" i="1" s="1"/>
  <c r="M701" i="1" s="1"/>
  <c r="H703" i="1"/>
  <c r="K703" i="1" s="1"/>
  <c r="M703" i="1" s="1"/>
  <c r="H702" i="1"/>
  <c r="K702" i="1" s="1"/>
  <c r="M702" i="1" s="1"/>
  <c r="H705" i="1"/>
  <c r="K705" i="1" s="1"/>
  <c r="M705" i="1" s="1"/>
  <c r="H704" i="1"/>
  <c r="K704" i="1" s="1"/>
  <c r="M704" i="1" s="1"/>
  <c r="H707" i="1"/>
  <c r="K707" i="1" s="1"/>
  <c r="M707" i="1" s="1"/>
  <c r="H706" i="1"/>
  <c r="K706" i="1" s="1"/>
  <c r="M706" i="1" s="1"/>
  <c r="H709" i="1"/>
  <c r="K709" i="1" s="1"/>
  <c r="M709" i="1" s="1"/>
  <c r="H708" i="1"/>
  <c r="K708" i="1" s="1"/>
  <c r="M708" i="1" s="1"/>
  <c r="H710" i="1"/>
  <c r="K710" i="1" s="1"/>
  <c r="M710" i="1" s="1"/>
  <c r="H719" i="1"/>
  <c r="K719" i="1" s="1"/>
  <c r="M719" i="1" s="1"/>
  <c r="H720" i="1"/>
  <c r="K720" i="1" s="1"/>
  <c r="M720" i="1" s="1"/>
  <c r="H721" i="1"/>
  <c r="K721" i="1" s="1"/>
  <c r="M721" i="1" s="1"/>
  <c r="H722" i="1"/>
  <c r="K722" i="1" s="1"/>
  <c r="M722" i="1" s="1"/>
  <c r="H723" i="1"/>
  <c r="K723" i="1" s="1"/>
  <c r="M723" i="1" s="1"/>
  <c r="H724" i="1"/>
  <c r="K724" i="1" s="1"/>
  <c r="M724" i="1" s="1"/>
  <c r="H733" i="1"/>
  <c r="K733" i="1" s="1"/>
  <c r="M733" i="1" s="1"/>
  <c r="H732" i="1"/>
  <c r="K732" i="1" s="1"/>
  <c r="M732" i="1" s="1"/>
  <c r="H735" i="1"/>
  <c r="K735" i="1" s="1"/>
  <c r="M735" i="1" s="1"/>
  <c r="H734" i="1"/>
  <c r="K734" i="1" s="1"/>
  <c r="M734" i="1" s="1"/>
  <c r="H737" i="1"/>
  <c r="K737" i="1" s="1"/>
  <c r="M737" i="1" s="1"/>
  <c r="H738" i="1"/>
  <c r="K738" i="1" s="1"/>
  <c r="M738" i="1" s="1"/>
  <c r="H740" i="1"/>
  <c r="K740" i="1" s="1"/>
  <c r="M740" i="1" s="1"/>
  <c r="H741" i="1"/>
  <c r="K741" i="1" s="1"/>
  <c r="M741" i="1" s="1"/>
  <c r="H743" i="1"/>
  <c r="K743" i="1" s="1"/>
  <c r="M743" i="1" s="1"/>
  <c r="H745" i="1"/>
  <c r="K745" i="1" s="1"/>
  <c r="M745" i="1" s="1"/>
  <c r="H744" i="1"/>
  <c r="K744" i="1" s="1"/>
  <c r="M744" i="1" s="1"/>
  <c r="H746" i="1"/>
  <c r="K746" i="1" s="1"/>
  <c r="M746" i="1" s="1"/>
  <c r="H747" i="1"/>
  <c r="K747" i="1" s="1"/>
  <c r="M747" i="1" s="1"/>
  <c r="H750" i="1"/>
  <c r="K750" i="1" s="1"/>
  <c r="M750" i="1" s="1"/>
  <c r="H753" i="1"/>
  <c r="K753" i="1" s="1"/>
  <c r="M753" i="1" s="1"/>
  <c r="H756" i="1"/>
  <c r="K756" i="1" s="1"/>
  <c r="M756" i="1" s="1"/>
  <c r="H757" i="1"/>
  <c r="K757" i="1" s="1"/>
  <c r="M757" i="1" s="1"/>
  <c r="H758" i="1"/>
  <c r="K758" i="1" s="1"/>
  <c r="M758" i="1" s="1"/>
  <c r="H761" i="1"/>
  <c r="K761" i="1" s="1"/>
  <c r="M761" i="1" s="1"/>
  <c r="H762" i="1"/>
  <c r="K762" i="1" s="1"/>
  <c r="M762" i="1" s="1"/>
  <c r="H763" i="1"/>
  <c r="K763" i="1" s="1"/>
  <c r="M763" i="1" s="1"/>
  <c r="H764" i="1"/>
  <c r="K764" i="1" s="1"/>
  <c r="M764" i="1" s="1"/>
  <c r="H770" i="1"/>
  <c r="K770" i="1" s="1"/>
  <c r="M770" i="1" s="1"/>
  <c r="H771" i="1"/>
  <c r="K771" i="1" s="1"/>
  <c r="M771" i="1" s="1"/>
  <c r="H775" i="1"/>
  <c r="K775" i="1" s="1"/>
  <c r="M775" i="1" s="1"/>
  <c r="H776" i="1"/>
  <c r="K776" i="1" s="1"/>
  <c r="M776" i="1" s="1"/>
  <c r="H777" i="1"/>
  <c r="K777" i="1" s="1"/>
  <c r="M777" i="1" s="1"/>
  <c r="H782" i="1"/>
  <c r="K782" i="1" s="1"/>
  <c r="M782" i="1" s="1"/>
  <c r="H781" i="1"/>
  <c r="K781" i="1" s="1"/>
  <c r="M781" i="1" s="1"/>
  <c r="H785" i="1"/>
  <c r="K785" i="1" s="1"/>
  <c r="M785" i="1" s="1"/>
  <c r="H788" i="1"/>
  <c r="K788" i="1" s="1"/>
  <c r="M788" i="1" s="1"/>
  <c r="H789" i="1"/>
  <c r="K789" i="1" s="1"/>
  <c r="M789" i="1" s="1"/>
  <c r="H792" i="1"/>
  <c r="K792" i="1" s="1"/>
  <c r="M792" i="1" s="1"/>
  <c r="H791" i="1"/>
  <c r="K791" i="1" s="1"/>
  <c r="M791" i="1" s="1"/>
  <c r="H794" i="1"/>
  <c r="K794" i="1" s="1"/>
  <c r="M794" i="1" s="1"/>
  <c r="H795" i="1"/>
  <c r="K795" i="1" s="1"/>
  <c r="M795" i="1" s="1"/>
  <c r="H796" i="1"/>
  <c r="K796" i="1" s="1"/>
  <c r="M796" i="1" s="1"/>
  <c r="H797" i="1"/>
  <c r="K797" i="1" s="1"/>
  <c r="M797" i="1" s="1"/>
  <c r="H798" i="1"/>
  <c r="K798" i="1" s="1"/>
  <c r="M798" i="1" s="1"/>
  <c r="H799" i="1"/>
  <c r="K799" i="1" s="1"/>
  <c r="M799" i="1" s="1"/>
  <c r="H800" i="1"/>
  <c r="K800" i="1" s="1"/>
  <c r="M800" i="1" s="1"/>
  <c r="H801" i="1"/>
  <c r="K801" i="1" s="1"/>
  <c r="M801" i="1" s="1"/>
  <c r="H802" i="1"/>
  <c r="K802" i="1" s="1"/>
  <c r="M802" i="1" s="1"/>
  <c r="H803" i="1"/>
  <c r="K803" i="1" s="1"/>
  <c r="M803" i="1" s="1"/>
  <c r="H804" i="1"/>
  <c r="K804" i="1" s="1"/>
  <c r="M804" i="1" s="1"/>
  <c r="H805" i="1"/>
  <c r="K805" i="1" s="1"/>
  <c r="M805" i="1" s="1"/>
  <c r="H806" i="1"/>
  <c r="K806" i="1" s="1"/>
  <c r="M806" i="1" s="1"/>
  <c r="H807" i="1"/>
  <c r="K807" i="1" s="1"/>
  <c r="M807" i="1" s="1"/>
  <c r="H808" i="1"/>
  <c r="K808" i="1" s="1"/>
  <c r="M808" i="1" s="1"/>
  <c r="H809" i="1"/>
  <c r="K809" i="1" s="1"/>
  <c r="M809" i="1" s="1"/>
  <c r="H810" i="1"/>
  <c r="K810" i="1" s="1"/>
  <c r="M810" i="1" s="1"/>
  <c r="H811" i="1"/>
  <c r="K811" i="1" s="1"/>
  <c r="M811" i="1" s="1"/>
  <c r="H812" i="1"/>
  <c r="K812" i="1" s="1"/>
  <c r="M812" i="1" s="1"/>
  <c r="H813" i="1"/>
  <c r="K813" i="1" s="1"/>
  <c r="M813" i="1" s="1"/>
  <c r="H816" i="1"/>
  <c r="K816" i="1" s="1"/>
  <c r="M816" i="1" s="1"/>
  <c r="H817" i="1"/>
  <c r="K817" i="1" s="1"/>
  <c r="M817" i="1" s="1"/>
  <c r="H818" i="1"/>
  <c r="K818" i="1" s="1"/>
  <c r="M818" i="1" s="1"/>
  <c r="H819" i="1"/>
  <c r="K819" i="1" s="1"/>
  <c r="M819" i="1" s="1"/>
  <c r="H820" i="1"/>
  <c r="K820" i="1" s="1"/>
  <c r="M820" i="1" s="1"/>
  <c r="H822" i="1"/>
  <c r="K822" i="1" s="1"/>
  <c r="M822" i="1" s="1"/>
  <c r="H821" i="1"/>
  <c r="K821" i="1" s="1"/>
  <c r="M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K832" i="1" s="1"/>
  <c r="M832" i="1" s="1"/>
  <c r="H833" i="1"/>
  <c r="K833" i="1" s="1"/>
  <c r="M833" i="1" s="1"/>
  <c r="H480" i="1"/>
  <c r="K480" i="1" s="1"/>
  <c r="M480" i="1" s="1"/>
  <c r="H4" i="1"/>
  <c r="K4" i="1" s="1"/>
  <c r="M4" i="1" s="1"/>
  <c r="H6" i="1"/>
  <c r="K6" i="1" s="1"/>
  <c r="M6" i="1" s="1"/>
  <c r="H8" i="1"/>
  <c r="K8" i="1" s="1"/>
  <c r="M8" i="1" s="1"/>
  <c r="H9" i="1"/>
  <c r="K9" i="1" s="1"/>
  <c r="M9" i="1" s="1"/>
  <c r="H10" i="1"/>
  <c r="K10" i="1" s="1"/>
  <c r="M10" i="1" s="1"/>
  <c r="H11" i="1"/>
  <c r="K11" i="1" s="1"/>
  <c r="M11" i="1" s="1"/>
  <c r="H12" i="1"/>
  <c r="K12" i="1" s="1"/>
  <c r="M12" i="1" s="1"/>
  <c r="H13" i="1"/>
  <c r="K13" i="1" s="1"/>
  <c r="M13" i="1" s="1"/>
  <c r="H14" i="1"/>
  <c r="K14" i="1" s="1"/>
  <c r="M14" i="1" s="1"/>
  <c r="H18" i="1"/>
  <c r="K18" i="1" s="1"/>
  <c r="M18" i="1" s="1"/>
  <c r="H19" i="1"/>
  <c r="K19" i="1" s="1"/>
  <c r="M19" i="1" s="1"/>
  <c r="H20" i="1"/>
  <c r="K20" i="1" s="1"/>
  <c r="M20" i="1" s="1"/>
  <c r="H21" i="1"/>
  <c r="K21" i="1" s="1"/>
  <c r="M21" i="1" s="1"/>
  <c r="H22" i="1"/>
  <c r="K22" i="1" s="1"/>
  <c r="M22" i="1" s="1"/>
  <c r="H23" i="1"/>
  <c r="K23" i="1" s="1"/>
  <c r="M23" i="1" s="1"/>
  <c r="H24" i="1"/>
  <c r="K24" i="1" s="1"/>
  <c r="M24" i="1" s="1"/>
  <c r="H25" i="1"/>
  <c r="K25" i="1" s="1"/>
  <c r="M25" i="1" s="1"/>
  <c r="H26" i="1"/>
  <c r="K26" i="1" s="1"/>
  <c r="M26" i="1" s="1"/>
  <c r="H28" i="1"/>
  <c r="K28" i="1" s="1"/>
  <c r="M28" i="1" s="1"/>
  <c r="H29" i="1"/>
  <c r="K29" i="1" s="1"/>
  <c r="M29" i="1" s="1"/>
  <c r="H606" i="1"/>
  <c r="K606" i="1" s="1"/>
  <c r="M606" i="1" s="1"/>
  <c r="H607" i="1"/>
  <c r="K607" i="1" s="1"/>
  <c r="M607" i="1" s="1"/>
  <c r="H787" i="1"/>
  <c r="K787" i="1" s="1"/>
  <c r="M787" i="1" s="1"/>
  <c r="H7" i="1"/>
  <c r="K7" i="1" s="1"/>
  <c r="M7" i="1" s="1"/>
  <c r="H572" i="1"/>
  <c r="K572" i="1" s="1"/>
  <c r="M572" i="1" s="1"/>
  <c r="H793" i="1"/>
  <c r="K793" i="1" s="1"/>
  <c r="M793" i="1" s="1"/>
  <c r="H273" i="1"/>
  <c r="K273" i="1" s="1"/>
  <c r="M273" i="1" s="1"/>
  <c r="H610" i="1"/>
  <c r="K610" i="1" s="1"/>
  <c r="M610" i="1" s="1"/>
  <c r="H581" i="1"/>
  <c r="K581" i="1" s="1"/>
  <c r="M581" i="1" s="1"/>
  <c r="H147" i="1"/>
  <c r="K147" i="1" s="1"/>
  <c r="M147" i="1" s="1"/>
  <c r="H201" i="1"/>
  <c r="K201" i="1" s="1"/>
  <c r="M201" i="1" s="1"/>
  <c r="H642" i="1"/>
  <c r="K642" i="1" s="1"/>
  <c r="M642" i="1" s="1"/>
  <c r="H422" i="1"/>
  <c r="K422" i="1" s="1"/>
  <c r="M422" i="1" s="1"/>
  <c r="H150" i="1"/>
  <c r="K150" i="1" s="1"/>
  <c r="M150" i="1" s="1"/>
  <c r="H660" i="1"/>
  <c r="K660" i="1" s="1"/>
  <c r="M660" i="1" s="1"/>
  <c r="H259" i="1"/>
  <c r="K259" i="1" s="1"/>
  <c r="M259" i="1" s="1"/>
  <c r="H56" i="1"/>
  <c r="K56" i="1" s="1"/>
  <c r="M56" i="1" s="1"/>
  <c r="H407" i="1"/>
  <c r="K407" i="1" s="1"/>
  <c r="M407" i="1" s="1"/>
  <c r="H265" i="1"/>
  <c r="K265" i="1" s="1"/>
  <c r="M265" i="1" s="1"/>
  <c r="H678" i="1"/>
  <c r="K678" i="1" s="1"/>
  <c r="M678" i="1" s="1"/>
  <c r="H236" i="1"/>
  <c r="K236" i="1" s="1"/>
  <c r="M236" i="1" s="1"/>
  <c r="H374" i="1"/>
  <c r="K374" i="1" s="1"/>
  <c r="M374" i="1" s="1"/>
  <c r="H370" i="1"/>
  <c r="K370" i="1" s="1"/>
  <c r="M370" i="1" s="1"/>
  <c r="H364" i="1"/>
  <c r="K364" i="1" s="1"/>
  <c r="M364" i="1" s="1"/>
  <c r="H266" i="1"/>
  <c r="K266" i="1" s="1"/>
  <c r="M266" i="1" s="1"/>
  <c r="H277" i="1"/>
  <c r="K277" i="1" s="1"/>
  <c r="M277" i="1" s="1"/>
  <c r="H476" i="1"/>
  <c r="K476" i="1" s="1"/>
  <c r="M476" i="1" s="1"/>
  <c r="H405" i="1"/>
  <c r="K405" i="1" s="1"/>
  <c r="M405" i="1" s="1"/>
  <c r="H502" i="1"/>
  <c r="K502" i="1" s="1"/>
  <c r="M502" i="1" s="1"/>
  <c r="H435" i="1"/>
  <c r="K435" i="1" s="1"/>
  <c r="M435" i="1" s="1"/>
  <c r="H344" i="1"/>
  <c r="K344" i="1" s="1"/>
  <c r="M344" i="1" s="1"/>
  <c r="H527" i="1"/>
  <c r="K527" i="1" s="1"/>
  <c r="M527" i="1" s="1"/>
  <c r="H361" i="1"/>
  <c r="K361" i="1" s="1"/>
  <c r="M361" i="1" s="1"/>
  <c r="H330" i="1"/>
  <c r="K330" i="1" s="1"/>
  <c r="M330" i="1" s="1"/>
  <c r="H316" i="1"/>
  <c r="K316" i="1" s="1"/>
  <c r="M316" i="1" s="1"/>
  <c r="H224" i="1"/>
  <c r="K224" i="1" s="1"/>
  <c r="M224" i="1" s="1"/>
  <c r="H444" i="1"/>
  <c r="K444" i="1" s="1"/>
  <c r="M444" i="1" s="1"/>
  <c r="H40" i="1"/>
  <c r="K40" i="1" s="1"/>
  <c r="M40" i="1" s="1"/>
  <c r="H742" i="1"/>
  <c r="K742" i="1" s="1"/>
  <c r="M742" i="1" s="1"/>
  <c r="H16" i="1"/>
  <c r="K16" i="1" s="1"/>
  <c r="M16" i="1" s="1"/>
  <c r="H323" i="1"/>
  <c r="K323" i="1" s="1"/>
  <c r="M323" i="1" s="1"/>
  <c r="H546" i="1"/>
  <c r="K546" i="1" s="1"/>
  <c r="M546" i="1" s="1"/>
  <c r="H39" i="1"/>
  <c r="K39" i="1" s="1"/>
  <c r="M39" i="1" s="1"/>
  <c r="H232" i="1"/>
  <c r="K232" i="1" s="1"/>
  <c r="M232" i="1" s="1"/>
  <c r="H111" i="1"/>
  <c r="K111" i="1" s="1"/>
  <c r="M111" i="1" s="1"/>
  <c r="H375" i="1"/>
  <c r="K375" i="1" s="1"/>
  <c r="M375" i="1" s="1"/>
  <c r="H17" i="1"/>
  <c r="K17" i="1" s="1"/>
  <c r="M17" i="1" s="1"/>
  <c r="H171" i="1"/>
  <c r="K171" i="1" s="1"/>
  <c r="M171" i="1" s="1"/>
  <c r="H834" i="1"/>
  <c r="K834" i="1" s="1"/>
  <c r="M834" i="1" s="1"/>
  <c r="H377" i="1"/>
  <c r="K377" i="1" s="1"/>
  <c r="M377" i="1" s="1"/>
  <c r="H378" i="1"/>
  <c r="K378" i="1" s="1"/>
  <c r="M378" i="1" s="1"/>
  <c r="H598" i="1"/>
  <c r="K598" i="1" s="1"/>
  <c r="M598" i="1" s="1"/>
  <c r="H504" i="1"/>
  <c r="K504" i="1" s="1"/>
  <c r="M504" i="1" s="1"/>
  <c r="H760" i="1"/>
  <c r="K760" i="1" s="1"/>
  <c r="M760" i="1" s="1"/>
  <c r="H131" i="1"/>
  <c r="K131" i="1" s="1"/>
  <c r="M131" i="1" s="1"/>
  <c r="H132" i="1"/>
  <c r="K132" i="1" s="1"/>
  <c r="M132" i="1" s="1"/>
  <c r="H133" i="1"/>
  <c r="K133" i="1" s="1"/>
  <c r="M133" i="1" s="1"/>
  <c r="H134" i="1"/>
  <c r="K134" i="1" s="1"/>
  <c r="M134" i="1" s="1"/>
  <c r="H311" i="1"/>
  <c r="K311" i="1" s="1"/>
  <c r="M311" i="1" s="1"/>
  <c r="H523" i="1"/>
  <c r="K523" i="1" s="1"/>
  <c r="M523" i="1" s="1"/>
  <c r="H522" i="1"/>
  <c r="K522" i="1" s="1"/>
  <c r="M522" i="1" s="1"/>
  <c r="H497" i="1"/>
  <c r="K497" i="1" s="1"/>
  <c r="M497" i="1" s="1"/>
  <c r="H519" i="1"/>
  <c r="K519" i="1" s="1"/>
  <c r="M519" i="1" s="1"/>
  <c r="H521" i="1"/>
  <c r="K521" i="1" s="1"/>
  <c r="M521" i="1" s="1"/>
  <c r="H520" i="1"/>
  <c r="K520" i="1" s="1"/>
  <c r="M520" i="1" s="1"/>
  <c r="H128" i="1"/>
  <c r="K128" i="1" s="1"/>
  <c r="M128" i="1" s="1"/>
  <c r="H172" i="1"/>
  <c r="K172" i="1" s="1"/>
  <c r="M172" i="1" s="1"/>
  <c r="H213" i="1"/>
  <c r="K213" i="1" s="1"/>
  <c r="M213" i="1" s="1"/>
  <c r="H627" i="1"/>
  <c r="K627" i="1" s="1"/>
  <c r="M627" i="1" s="1"/>
  <c r="H589" i="1"/>
  <c r="K589" i="1" s="1"/>
  <c r="M589" i="1" s="1"/>
  <c r="H63" i="1"/>
  <c r="K63" i="1" s="1"/>
  <c r="M63" i="1" s="1"/>
  <c r="H644" i="1"/>
  <c r="K644" i="1" s="1"/>
  <c r="M644" i="1" s="1"/>
  <c r="H390" i="1"/>
  <c r="K390" i="1" s="1"/>
  <c r="M390" i="1" s="1"/>
  <c r="H583" i="1"/>
  <c r="K583" i="1" s="1"/>
  <c r="M583" i="1" s="1"/>
  <c r="H340" i="1"/>
  <c r="K340" i="1" s="1"/>
  <c r="M340" i="1" s="1"/>
  <c r="H748" i="1"/>
  <c r="K748" i="1" s="1"/>
  <c r="M748" i="1" s="1"/>
  <c r="H749" i="1"/>
  <c r="K749" i="1" s="1"/>
  <c r="M749" i="1" s="1"/>
  <c r="H200" i="1"/>
  <c r="K200" i="1" s="1"/>
  <c r="M200" i="1" s="1"/>
  <c r="H74" i="1"/>
  <c r="K74" i="1" s="1"/>
  <c r="M74" i="1" s="1"/>
  <c r="H119" i="1"/>
  <c r="K119" i="1" s="1"/>
  <c r="M119" i="1" s="1"/>
  <c r="H355" i="1"/>
  <c r="K355" i="1" s="1"/>
  <c r="M355" i="1" s="1"/>
  <c r="H459" i="1"/>
  <c r="K459" i="1" s="1"/>
  <c r="M459" i="1" s="1"/>
  <c r="H826" i="1"/>
  <c r="K826" i="1" s="1"/>
  <c r="M826" i="1" s="1"/>
  <c r="H487" i="1"/>
  <c r="K487" i="1" s="1"/>
  <c r="M487" i="1" s="1"/>
  <c r="H620" i="1"/>
  <c r="K620" i="1" s="1"/>
  <c r="M620" i="1" s="1"/>
  <c r="H234" i="1"/>
  <c r="K234" i="1" s="1"/>
  <c r="M234" i="1" s="1"/>
  <c r="H815" i="1"/>
  <c r="K815" i="1" s="1"/>
  <c r="M815" i="1" s="1"/>
  <c r="H515" i="1"/>
  <c r="K515" i="1" s="1"/>
  <c r="M515" i="1" s="1"/>
  <c r="H384" i="1"/>
  <c r="K384" i="1" s="1"/>
  <c r="M384" i="1" s="1"/>
  <c r="H291" i="1"/>
  <c r="K291" i="1" s="1"/>
  <c r="M291" i="1" s="1"/>
  <c r="H78" i="1"/>
  <c r="K78" i="1" s="1"/>
  <c r="M78" i="1" s="1"/>
  <c r="H658" i="1"/>
  <c r="K658" i="1" s="1"/>
  <c r="M658" i="1" s="1"/>
  <c r="H482" i="1"/>
  <c r="K482" i="1" s="1"/>
  <c r="M482" i="1" s="1"/>
  <c r="H778" i="1"/>
  <c r="K778" i="1" s="1"/>
  <c r="M778" i="1" s="1"/>
  <c r="H55" i="1"/>
  <c r="K55" i="1" s="1"/>
  <c r="M55" i="1" s="1"/>
  <c r="H440" i="1"/>
  <c r="K440" i="1" s="1"/>
  <c r="M440" i="1" s="1"/>
  <c r="H188" i="1"/>
  <c r="K188" i="1" s="1"/>
  <c r="M188" i="1" s="1"/>
  <c r="H640" i="1"/>
  <c r="K640" i="1" s="1"/>
  <c r="M640" i="1" s="1"/>
  <c r="H148" i="1"/>
  <c r="K148" i="1" s="1"/>
  <c r="M148" i="1" s="1"/>
  <c r="H681" i="1"/>
  <c r="K681" i="1" s="1"/>
  <c r="M681" i="1" s="1"/>
  <c r="H683" i="1"/>
  <c r="K683" i="1" s="1"/>
  <c r="M683" i="1" s="1"/>
  <c r="H359" i="1"/>
  <c r="K359" i="1" s="1"/>
  <c r="M359" i="1" s="1"/>
  <c r="H82" i="1"/>
  <c r="K82" i="1" s="1"/>
  <c r="M82" i="1" s="1"/>
  <c r="H455" i="1"/>
  <c r="K455" i="1" s="1"/>
  <c r="M455" i="1" s="1"/>
  <c r="H825" i="1"/>
  <c r="K825" i="1" s="1"/>
  <c r="M825" i="1" s="1"/>
  <c r="H151" i="1"/>
  <c r="K151" i="1" s="1"/>
  <c r="M151" i="1" s="1"/>
  <c r="H751" i="1"/>
  <c r="K751" i="1" s="1"/>
  <c r="M751" i="1" s="1"/>
  <c r="H175" i="1"/>
  <c r="K175" i="1" s="1"/>
  <c r="M175" i="1" s="1"/>
  <c r="H187" i="1"/>
  <c r="K187" i="1" s="1"/>
  <c r="M187" i="1" s="1"/>
  <c r="H635" i="1"/>
  <c r="K635" i="1" s="1"/>
  <c r="M635" i="1" s="1"/>
  <c r="H688" i="1"/>
  <c r="K688" i="1" s="1"/>
  <c r="M688" i="1" s="1"/>
  <c r="H616" i="1"/>
  <c r="K616" i="1" s="1"/>
  <c r="M616" i="1" s="1"/>
  <c r="H338" i="1"/>
  <c r="K338" i="1" s="1"/>
  <c r="M338" i="1" s="1"/>
  <c r="H824" i="1"/>
  <c r="K824" i="1" s="1"/>
  <c r="M824" i="1" s="1"/>
  <c r="H759" i="1"/>
  <c r="K759" i="1" s="1"/>
  <c r="M759" i="1" s="1"/>
  <c r="H472" i="1"/>
  <c r="K472" i="1" s="1"/>
  <c r="M472" i="1" s="1"/>
  <c r="H625" i="1"/>
  <c r="K625" i="1" s="1"/>
  <c r="M625" i="1" s="1"/>
  <c r="H501" i="1"/>
  <c r="K501" i="1" s="1"/>
  <c r="M501" i="1" s="1"/>
  <c r="H630" i="1"/>
  <c r="K630" i="1" s="1"/>
  <c r="M630" i="1" s="1"/>
  <c r="H230" i="1"/>
  <c r="K230" i="1" s="1"/>
  <c r="M230" i="1" s="1"/>
  <c r="H766" i="1"/>
  <c r="K766" i="1" s="1"/>
  <c r="M766" i="1" s="1"/>
  <c r="H342" i="1"/>
  <c r="K342" i="1" s="1"/>
  <c r="M342" i="1" s="1"/>
  <c r="H514" i="1"/>
  <c r="K514" i="1" s="1"/>
  <c r="M514" i="1" s="1"/>
  <c r="H70" i="1"/>
  <c r="K70" i="1" s="1"/>
  <c r="M70" i="1" s="1"/>
  <c r="H443" i="1"/>
  <c r="K443" i="1" s="1"/>
  <c r="M443" i="1" s="1"/>
  <c r="H668" i="1"/>
  <c r="K668" i="1" s="1"/>
  <c r="M668" i="1" s="1"/>
  <c r="H492" i="1"/>
  <c r="K492" i="1" s="1"/>
  <c r="M492" i="1" s="1"/>
  <c r="H2" i="1"/>
  <c r="K2" i="1" s="1"/>
  <c r="M2" i="1" s="1"/>
  <c r="H117" i="1"/>
  <c r="K117" i="1" s="1"/>
  <c r="M117" i="1" s="1"/>
  <c r="H726" i="1"/>
  <c r="K726" i="1" s="1"/>
  <c r="M726" i="1" s="1"/>
  <c r="H485" i="1"/>
  <c r="K485" i="1" s="1"/>
  <c r="M485" i="1" s="1"/>
  <c r="H304" i="1"/>
  <c r="K304" i="1" s="1"/>
  <c r="M304" i="1" s="1"/>
  <c r="H104" i="1"/>
  <c r="K104" i="1" s="1"/>
  <c r="M104" i="1" s="1"/>
  <c r="H541" i="1"/>
  <c r="K541" i="1" s="1"/>
  <c r="M541" i="1" s="1"/>
  <c r="H238" i="1"/>
  <c r="K238" i="1" s="1"/>
  <c r="M238" i="1" s="1"/>
  <c r="H486" i="1"/>
  <c r="K486" i="1" s="1"/>
  <c r="M486" i="1" s="1"/>
  <c r="H218" i="1"/>
  <c r="K218" i="1" s="1"/>
  <c r="M218" i="1" s="1"/>
  <c r="H690" i="1"/>
  <c r="K690" i="1" s="1"/>
  <c r="M690" i="1" s="1"/>
  <c r="H106" i="1"/>
  <c r="K106" i="1" s="1"/>
  <c r="M106" i="1" s="1"/>
  <c r="H830" i="1"/>
  <c r="K830" i="1" s="1"/>
  <c r="M830" i="1" s="1"/>
  <c r="H367" i="1"/>
  <c r="K367" i="1" s="1"/>
  <c r="M367" i="1" s="1"/>
  <c r="H290" i="1"/>
  <c r="K290" i="1" s="1"/>
  <c r="M290" i="1" s="1"/>
  <c r="H403" i="1"/>
  <c r="K403" i="1" s="1"/>
  <c r="M403" i="1" s="1"/>
  <c r="H161" i="1"/>
  <c r="K161" i="1" s="1"/>
  <c r="M161" i="1" s="1"/>
  <c r="H578" i="1"/>
  <c r="K578" i="1" s="1"/>
  <c r="M578" i="1" s="1"/>
  <c r="H518" i="1"/>
  <c r="K518" i="1" s="1"/>
  <c r="M518" i="1" s="1"/>
  <c r="H105" i="1"/>
  <c r="K105" i="1" s="1"/>
  <c r="M105" i="1" s="1"/>
  <c r="H415" i="1"/>
  <c r="K415" i="1" s="1"/>
  <c r="M415" i="1" s="1"/>
  <c r="H416" i="1"/>
  <c r="K416" i="1" s="1"/>
  <c r="M416" i="1" s="1"/>
  <c r="H717" i="1"/>
  <c r="K717" i="1" s="1"/>
  <c r="M717" i="1" s="1"/>
  <c r="H714" i="1"/>
  <c r="K714" i="1" s="1"/>
  <c r="M714" i="1" s="1"/>
  <c r="H715" i="1"/>
  <c r="K715" i="1" s="1"/>
  <c r="M715" i="1" s="1"/>
  <c r="H711" i="1"/>
  <c r="K711" i="1" s="1"/>
  <c r="M711" i="1" s="1"/>
  <c r="H712" i="1"/>
  <c r="K712" i="1" s="1"/>
  <c r="M712" i="1" s="1"/>
  <c r="H570" i="1"/>
  <c r="K570" i="1" s="1"/>
  <c r="M570" i="1" s="1"/>
  <c r="H569" i="1"/>
  <c r="K569" i="1" s="1"/>
  <c r="M569" i="1" s="1"/>
  <c r="H516" i="1"/>
  <c r="K516" i="1" s="1"/>
  <c r="M516" i="1" s="1"/>
  <c r="H80" i="1"/>
  <c r="K80" i="1" s="1"/>
  <c r="M80" i="1" s="1"/>
  <c r="H79" i="1"/>
  <c r="K79" i="1" s="1"/>
  <c r="M79" i="1" s="1"/>
  <c r="H215" i="1"/>
  <c r="K215" i="1" s="1"/>
  <c r="M215" i="1" s="1"/>
  <c r="H780" i="1"/>
  <c r="K780" i="1" s="1"/>
  <c r="M780" i="1" s="1"/>
  <c r="H679" i="1"/>
  <c r="K679" i="1" s="1"/>
  <c r="M679" i="1" s="1"/>
  <c r="H307" i="1"/>
  <c r="K307" i="1" s="1"/>
  <c r="M307" i="1" s="1"/>
  <c r="H308" i="1"/>
  <c r="K308" i="1" s="1"/>
  <c r="M308" i="1" s="1"/>
  <c r="H718" i="1"/>
  <c r="K718" i="1" s="1"/>
  <c r="M718" i="1" s="1"/>
  <c r="H216" i="1"/>
  <c r="K216" i="1" s="1"/>
  <c r="M216" i="1" s="1"/>
  <c r="H716" i="1"/>
  <c r="K716" i="1" s="1"/>
  <c r="M716" i="1" s="1"/>
  <c r="H160" i="1"/>
  <c r="K160" i="1" s="1"/>
  <c r="M160" i="1" s="1"/>
  <c r="H158" i="1"/>
  <c r="K158" i="1" s="1"/>
  <c r="M158" i="1" s="1"/>
  <c r="H394" i="1"/>
  <c r="K394" i="1" s="1"/>
  <c r="M394" i="1" s="1"/>
  <c r="H395" i="1"/>
  <c r="K395" i="1" s="1"/>
  <c r="M395" i="1" s="1"/>
  <c r="H397" i="1"/>
  <c r="K397" i="1" s="1"/>
  <c r="M397" i="1" s="1"/>
  <c r="H396" i="1"/>
  <c r="K396" i="1" s="1"/>
  <c r="M396" i="1" s="1"/>
  <c r="H392" i="1"/>
  <c r="K392" i="1" s="1"/>
  <c r="M392" i="1" s="1"/>
  <c r="H159" i="1"/>
  <c r="K159" i="1" s="1"/>
  <c r="M159" i="1" s="1"/>
  <c r="H136" i="1"/>
  <c r="K136" i="1" s="1"/>
  <c r="M136" i="1" s="1"/>
  <c r="H41" i="1"/>
  <c r="K41" i="1" s="1"/>
  <c r="M41" i="1" s="1"/>
  <c r="H441" i="1"/>
  <c r="K441" i="1" s="1"/>
  <c r="M441" i="1" s="1"/>
  <c r="H267" i="1"/>
  <c r="K267" i="1" s="1"/>
  <c r="M267" i="1" s="1"/>
  <c r="H393" i="1"/>
  <c r="K393" i="1" s="1"/>
  <c r="M393" i="1" s="1"/>
  <c r="H567" i="1"/>
  <c r="K567" i="1" s="1"/>
  <c r="M567" i="1" s="1"/>
  <c r="H135" i="1"/>
  <c r="K135" i="1" s="1"/>
  <c r="M135" i="1" s="1"/>
  <c r="H162" i="1"/>
  <c r="K162" i="1" s="1"/>
  <c r="M162" i="1" s="1"/>
  <c r="H164" i="1"/>
  <c r="K164" i="1" s="1"/>
  <c r="M164" i="1" s="1"/>
  <c r="H163" i="1"/>
  <c r="K163" i="1" s="1"/>
  <c r="M163" i="1" s="1"/>
  <c r="H599" i="1"/>
  <c r="K599" i="1" s="1"/>
  <c r="M599" i="1" s="1"/>
  <c r="H268" i="1"/>
  <c r="K268" i="1" s="1"/>
  <c r="M268" i="1" s="1"/>
  <c r="H713" i="1"/>
  <c r="K713" i="1" s="1"/>
  <c r="M713" i="1" s="1"/>
  <c r="H292" i="1"/>
  <c r="K292" i="1" s="1"/>
  <c r="M292" i="1" s="1"/>
  <c r="H426" i="1"/>
  <c r="K426" i="1" s="1"/>
  <c r="M426" i="1" s="1"/>
  <c r="H585" i="1"/>
  <c r="K585" i="1" s="1"/>
  <c r="M585" i="1" s="1"/>
  <c r="H534" i="1"/>
  <c r="K534" i="1" s="1"/>
  <c r="M534" i="1" s="1"/>
  <c r="H410" i="1"/>
  <c r="K410" i="1" s="1"/>
  <c r="M410" i="1" s="1"/>
  <c r="H499" i="1"/>
  <c r="K499" i="1" s="1"/>
  <c r="M499" i="1" s="1"/>
  <c r="H214" i="1"/>
  <c r="K214" i="1" s="1"/>
  <c r="M214" i="1" s="1"/>
  <c r="H412" i="1"/>
  <c r="K412" i="1" s="1"/>
  <c r="M412" i="1" s="1"/>
  <c r="H27" i="1"/>
  <c r="K27" i="1" s="1"/>
  <c r="M27" i="1" s="1"/>
  <c r="H755" i="1"/>
  <c r="K755" i="1" s="1"/>
  <c r="M755" i="1" s="1"/>
  <c r="H509" i="1"/>
  <c r="K509" i="1" s="1"/>
  <c r="M509" i="1" s="1"/>
  <c r="H48" i="1"/>
  <c r="K48" i="1" s="1"/>
  <c r="M48" i="1" s="1"/>
  <c r="H221" i="1"/>
  <c r="K221" i="1" s="1"/>
  <c r="M221" i="1" s="1"/>
  <c r="H30" i="1"/>
  <c r="K30" i="1" s="1"/>
  <c r="M30" i="1" s="1"/>
  <c r="H488" i="1"/>
  <c r="K488" i="1" s="1"/>
  <c r="M488" i="1" s="1"/>
  <c r="H730" i="1"/>
  <c r="K730" i="1" s="1"/>
  <c r="M730" i="1" s="1"/>
  <c r="H257" i="1"/>
  <c r="K257" i="1" s="1"/>
  <c r="M257" i="1" s="1"/>
  <c r="H356" i="1"/>
  <c r="K356" i="1" s="1"/>
  <c r="M356" i="1" s="1"/>
  <c r="H670" i="1"/>
  <c r="K670" i="1" s="1"/>
  <c r="M670" i="1" s="1"/>
  <c r="H383" i="1"/>
  <c r="K383" i="1" s="1"/>
  <c r="M383" i="1" s="1"/>
  <c r="H552" i="1"/>
  <c r="K552" i="1" s="1"/>
  <c r="M552" i="1" s="1"/>
  <c r="H64" i="1"/>
  <c r="K64" i="1" s="1"/>
  <c r="M64" i="1" s="1"/>
  <c r="H66" i="1"/>
  <c r="K66" i="1" s="1"/>
  <c r="M66" i="1" s="1"/>
  <c r="H427" i="1"/>
  <c r="K427" i="1" s="1"/>
  <c r="M427" i="1" s="1"/>
  <c r="H693" i="1"/>
  <c r="K693" i="1" s="1"/>
  <c r="M693" i="1" s="1"/>
  <c r="H239" i="1"/>
  <c r="K239" i="1" s="1"/>
  <c r="M239" i="1" s="1"/>
  <c r="H528" i="1"/>
  <c r="K528" i="1" s="1"/>
  <c r="M528" i="1" s="1"/>
  <c r="H423" i="1"/>
  <c r="K423" i="1" s="1"/>
  <c r="M423" i="1" s="1"/>
  <c r="H729" i="1"/>
  <c r="K729" i="1" s="1"/>
  <c r="M729" i="1" s="1"/>
  <c r="H727" i="1"/>
  <c r="K727" i="1" s="1"/>
  <c r="M727" i="1" s="1"/>
  <c r="H547" i="1"/>
  <c r="K547" i="1" s="1"/>
  <c r="M547" i="1" s="1"/>
  <c r="H669" i="1"/>
  <c r="K669" i="1" s="1"/>
  <c r="M669" i="1" s="1"/>
  <c r="H783" i="1"/>
  <c r="K783" i="1" s="1"/>
  <c r="M783" i="1" s="1"/>
  <c r="H664" i="1"/>
  <c r="K664" i="1" s="1"/>
  <c r="M664" i="1" s="1"/>
  <c r="H675" i="1"/>
  <c r="K675" i="1" s="1"/>
  <c r="M675" i="1" s="1"/>
  <c r="H288" i="1"/>
  <c r="K288" i="1" s="1"/>
  <c r="M288" i="1" s="1"/>
  <c r="H145" i="1"/>
  <c r="K145" i="1" s="1"/>
  <c r="M145" i="1" s="1"/>
  <c r="H772" i="1"/>
  <c r="K772" i="1" s="1"/>
  <c r="M772" i="1" s="1"/>
  <c r="H604" i="1"/>
  <c r="K604" i="1" s="1"/>
  <c r="M604" i="1" s="1"/>
  <c r="H100" i="1"/>
  <c r="K100" i="1" s="1"/>
  <c r="M100" i="1" s="1"/>
  <c r="H728" i="1"/>
  <c r="K728" i="1" s="1"/>
  <c r="M728" i="1" s="1"/>
  <c r="H608" i="1"/>
  <c r="K608" i="1" s="1"/>
  <c r="M608" i="1" s="1"/>
  <c r="H71" i="1"/>
  <c r="K71" i="1" s="1"/>
  <c r="M71" i="1" s="1"/>
  <c r="H272" i="1"/>
  <c r="K272" i="1" s="1"/>
  <c r="M272" i="1" s="1"/>
  <c r="H623" i="1"/>
  <c r="K623" i="1" s="1"/>
  <c r="M623" i="1" s="1"/>
  <c r="H481" i="1"/>
  <c r="K481" i="1" s="1"/>
  <c r="M481" i="1" s="1"/>
</calcChain>
</file>

<file path=xl/sharedStrings.xml><?xml version="1.0" encoding="utf-8"?>
<sst xmlns="http://schemas.openxmlformats.org/spreadsheetml/2006/main" count="14957" uniqueCount="4052">
  <si>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</si>
  <si>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</si>
  <si>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</si>
  <si>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</si>
  <si>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</si>
  <si>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</si>
  <si>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</si>
  <si>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</si>
  <si>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</si>
  <si>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</si>
  <si>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</si>
  <si>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</si>
  <si>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</si>
  <si>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</si>
  <si>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</si>
  <si>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</si>
  <si>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</si>
  <si>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</si>
  <si>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</si>
  <si>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</si>
  <si>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</si>
  <si>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</si>
  <si>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</si>
  <si>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</si>
  <si>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</si>
  <si>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</si>
  <si>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</si>
  <si>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</si>
  <si>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</si>
  <si>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</si>
  <si>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</si>
  <si>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</si>
  <si>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</si>
  <si>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</si>
  <si>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</si>
  <si>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</si>
  <si>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</si>
  <si>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</si>
  <si>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</si>
  <si>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</si>
  <si>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</si>
  <si>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</si>
  <si>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</si>
  <si>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</si>
  <si>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</si>
  <si>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</si>
  <si>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</si>
  <si>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</si>
  <si>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</si>
  <si>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</si>
  <si>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</si>
  <si>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</si>
  <si>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</si>
  <si>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</si>
  <si>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</si>
  <si>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</si>
  <si>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</si>
  <si>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</si>
  <si>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</si>
  <si>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</si>
  <si>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</si>
  <si>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</si>
  <si>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</si>
  <si>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</si>
  <si>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</si>
  <si>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</si>
  <si>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</si>
  <si>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</si>
  <si>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</si>
  <si>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</si>
  <si>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</si>
  <si>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</si>
  <si>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</si>
  <si>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</si>
  <si>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</si>
  <si>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</si>
  <si>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</si>
  <si>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</si>
  <si>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</si>
  <si>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</si>
  <si>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</si>
  <si>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</si>
  <si>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</si>
  <si>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</si>
  <si>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</si>
  <si>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</si>
  <si>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</si>
  <si>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</si>
  <si>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</si>
  <si>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</si>
  <si>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</si>
  <si>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</si>
  <si>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</si>
  <si>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</si>
  <si>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</si>
  <si>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</si>
  <si>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</si>
  <si>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</si>
  <si>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</si>
  <si>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</si>
  <si>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</si>
  <si>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</si>
  <si>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</si>
  <si>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</si>
  <si>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</si>
  <si>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</si>
  <si>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</si>
  <si>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</si>
  <si>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</si>
  <si>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</si>
  <si>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</si>
  <si>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</si>
  <si>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</si>
  <si>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</si>
  <si>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</si>
  <si>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</si>
  <si>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</si>
  <si>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</si>
  <si>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</si>
  <si>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</si>
  <si>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</si>
  <si>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</si>
  <si>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</si>
  <si>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</si>
  <si>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</si>
  <si>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</si>
  <si>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</si>
  <si>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</si>
  <si>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</si>
  <si>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</si>
  <si>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</si>
  <si>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</si>
  <si>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</si>
  <si>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</si>
  <si>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</si>
  <si>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</si>
  <si>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</si>
  <si>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</si>
  <si>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</si>
  <si>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</si>
  <si>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</si>
  <si>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</si>
  <si>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</si>
  <si>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</si>
  <si>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</si>
  <si>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</si>
  <si>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</si>
  <si>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</si>
  <si>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</si>
  <si>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</si>
  <si>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</si>
  <si>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</si>
  <si>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</si>
  <si>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</si>
  <si>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</si>
  <si>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</si>
  <si>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</si>
  <si>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</si>
  <si>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</si>
  <si>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</si>
  <si>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</si>
  <si>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</si>
  <si>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</si>
  <si>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</si>
  <si>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</si>
  <si>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</si>
  <si>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</si>
  <si>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</si>
  <si>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</si>
  <si>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</si>
  <si>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</si>
  <si>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</si>
  <si>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</si>
  <si>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</si>
  <si>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</si>
  <si>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</si>
  <si>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</si>
  <si>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</si>
  <si>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</si>
  <si>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</si>
  <si>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</si>
  <si>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</si>
  <si>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</si>
  <si>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</si>
  <si>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</si>
  <si>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</si>
  <si>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</si>
  <si>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</si>
  <si>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</si>
  <si>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</si>
  <si>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</si>
  <si>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</si>
  <si>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</si>
  <si>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</si>
  <si>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</si>
  <si>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</si>
  <si>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</si>
  <si>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</si>
  <si>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</si>
  <si>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</si>
  <si>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</si>
  <si>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</si>
  <si>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</si>
  <si>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</si>
  <si>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</si>
  <si>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</si>
  <si>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</si>
  <si>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</si>
  <si>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</si>
  <si>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</si>
  <si>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</si>
  <si>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</si>
  <si>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</si>
  <si>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</si>
  <si>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</si>
  <si>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</si>
  <si>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</si>
  <si>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</si>
  <si>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</si>
  <si>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</si>
  <si>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</si>
  <si>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</si>
  <si>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</si>
  <si>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</si>
  <si>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</si>
  <si>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</si>
  <si>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</si>
  <si>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</si>
  <si>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</si>
  <si>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</si>
  <si>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</si>
  <si>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</si>
  <si>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</si>
  <si>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</si>
  <si>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</si>
  <si>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</si>
  <si>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</si>
  <si>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</si>
  <si>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</si>
  <si>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</si>
  <si>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</si>
  <si>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</si>
  <si>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</si>
  <si>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</si>
  <si>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</si>
  <si>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</si>
  <si>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</si>
  <si>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</si>
  <si>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</si>
  <si>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</si>
  <si>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</si>
  <si>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</si>
  <si>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</si>
  <si>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</si>
  <si>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</si>
  <si>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</si>
  <si>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</si>
  <si>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</si>
  <si>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</si>
  <si>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</si>
  <si>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</si>
  <si>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</si>
  <si>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</si>
  <si>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</si>
  <si>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</si>
  <si>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</si>
  <si>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</si>
  <si>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</si>
  <si>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</si>
  <si>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</si>
  <si>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</si>
  <si>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</si>
  <si>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</si>
  <si>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</si>
  <si>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</si>
  <si>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</si>
  <si>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</si>
  <si>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</si>
  <si>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</si>
  <si>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</si>
  <si>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</si>
  <si>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</si>
  <si>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</si>
  <si>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</si>
  <si>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</si>
  <si>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</si>
  <si>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</si>
  <si>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</si>
  <si>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</si>
  <si>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</si>
  <si>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</si>
  <si>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</si>
  <si>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</si>
  <si>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</si>
  <si>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</si>
  <si>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</si>
  <si>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</si>
  <si>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</si>
  <si>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</si>
  <si>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</si>
  <si>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</si>
  <si>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</si>
  <si>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</si>
  <si>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</si>
  <si>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</si>
  <si>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</si>
  <si>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</si>
  <si>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</si>
  <si>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</si>
  <si>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</si>
  <si>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</si>
  <si>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</si>
  <si>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</si>
  <si>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</si>
  <si>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</si>
  <si>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</si>
  <si>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</si>
  <si>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</si>
  <si>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</si>
  <si>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</si>
  <si>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</si>
  <si>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</si>
  <si>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</si>
  <si>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</si>
  <si>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</si>
  <si>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</si>
  <si>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</si>
  <si>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</si>
  <si>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</si>
  <si>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</si>
  <si>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</si>
  <si>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</si>
  <si>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</si>
  <si>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</si>
  <si>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</si>
  <si>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</si>
  <si>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</si>
  <si>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</si>
  <si>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</si>
  <si>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</si>
  <si>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</si>
  <si>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</si>
  <si>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</si>
  <si>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</si>
  <si>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</si>
  <si>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</si>
  <si>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</si>
  <si>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</si>
  <si>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</si>
  <si>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</si>
  <si>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</si>
  <si>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</si>
  <si>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</si>
  <si>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</si>
  <si>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</si>
  <si>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</si>
  <si>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</si>
  <si>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</si>
  <si>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</si>
  <si>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</si>
  <si>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</si>
  <si>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</si>
  <si>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</si>
  <si>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</si>
  <si>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</si>
  <si>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</si>
  <si>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</si>
  <si>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</si>
  <si>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</si>
  <si>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</si>
  <si>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</si>
  <si>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</si>
  <si>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</si>
  <si>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</si>
  <si>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</si>
  <si>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</si>
  <si>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</si>
  <si>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</si>
  <si>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</si>
  <si>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</si>
  <si>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</si>
  <si>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</si>
  <si>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</si>
  <si>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</si>
  <si>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</si>
  <si>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</si>
  <si>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</si>
  <si>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</si>
  <si>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</si>
  <si>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</si>
  <si>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</si>
  <si>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</si>
  <si>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</si>
  <si>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</si>
  <si>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</si>
  <si>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</si>
  <si>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</si>
  <si>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</si>
  <si>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</si>
  <si>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</si>
  <si>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</si>
  <si>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</si>
  <si>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</si>
  <si>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</si>
  <si>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</si>
  <si>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</si>
  <si>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</si>
  <si>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</si>
  <si>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</si>
  <si>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</si>
  <si>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</si>
  <si>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</si>
  <si>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</si>
  <si>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</si>
  <si>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</si>
  <si>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</si>
  <si>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</si>
  <si>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</si>
  <si>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</si>
  <si>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</si>
  <si>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</si>
  <si>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</si>
  <si>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</si>
  <si>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</si>
  <si>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</si>
  <si>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</si>
  <si>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</si>
  <si>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</si>
  <si>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</si>
  <si>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</si>
  <si>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</si>
  <si>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</si>
  <si>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</si>
  <si>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</si>
  <si>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</si>
  <si>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</si>
  <si>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</si>
  <si>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</si>
  <si>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</si>
  <si>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</si>
  <si>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</si>
  <si>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</si>
  <si>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</si>
  <si>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</si>
  <si>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</si>
  <si>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</si>
  <si>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</si>
  <si>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</si>
  <si>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</si>
  <si>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</si>
  <si>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</si>
  <si>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</si>
  <si>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</si>
  <si>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</si>
  <si>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</si>
  <si>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</si>
  <si>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</si>
  <si>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</si>
  <si>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</si>
  <si>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</si>
  <si>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</si>
  <si>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</si>
  <si>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</si>
  <si>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</si>
  <si>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</si>
  <si>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</si>
  <si>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</si>
  <si>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</si>
  <si>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</si>
  <si>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</si>
  <si>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</si>
  <si>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</si>
  <si>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</si>
  <si>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</si>
  <si>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</si>
  <si>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</si>
  <si>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</si>
  <si>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</si>
  <si>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</si>
  <si>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</si>
  <si>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</si>
  <si>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</si>
  <si>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</si>
  <si>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</si>
  <si>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</si>
  <si>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</si>
  <si>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</si>
  <si>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</si>
  <si>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</si>
  <si>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</si>
  <si>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</si>
  <si>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</si>
  <si>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</si>
  <si>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</si>
  <si>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</si>
  <si>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</si>
  <si>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</si>
  <si>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</si>
  <si>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</si>
  <si>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</si>
  <si>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</si>
  <si>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</si>
  <si>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</si>
  <si>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</si>
  <si>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</si>
  <si>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</si>
  <si>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</si>
  <si>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</si>
  <si>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</si>
  <si>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</si>
  <si>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</si>
  <si>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</si>
  <si>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</si>
  <si>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</si>
  <si>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</si>
  <si>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</si>
  <si>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</si>
  <si>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</si>
  <si>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</si>
  <si>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</si>
  <si>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</si>
  <si>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</si>
  <si>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</si>
  <si>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</si>
  <si>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</si>
  <si>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</si>
  <si>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</si>
  <si>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</si>
  <si>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</si>
  <si>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</si>
  <si>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</si>
  <si>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</si>
  <si>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</si>
  <si>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</si>
  <si>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</si>
  <si>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</si>
  <si>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</si>
  <si>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</si>
  <si>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</si>
  <si>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</si>
  <si>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</si>
  <si>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</si>
  <si>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</si>
  <si>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</si>
  <si>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</si>
  <si>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</si>
  <si>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</si>
  <si>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</si>
  <si>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</si>
  <si>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</si>
  <si>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</si>
  <si>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</si>
  <si>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</si>
  <si>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</si>
  <si>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</si>
  <si>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</si>
  <si>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</si>
  <si>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</si>
  <si>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</si>
  <si>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</si>
  <si>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</si>
  <si>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</si>
  <si>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</si>
  <si>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</si>
  <si>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</si>
  <si>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</si>
  <si>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</si>
  <si>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</si>
  <si>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</si>
  <si>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</si>
  <si>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</si>
  <si>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</si>
  <si>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</si>
  <si>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</si>
  <si>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</si>
  <si>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</si>
  <si>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</si>
  <si>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</si>
  <si>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</si>
  <si>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</si>
  <si>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</si>
  <si>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</si>
  <si>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</si>
  <si>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</si>
  <si>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</si>
  <si>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</si>
  <si>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</si>
  <si>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</si>
  <si>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</si>
  <si>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</si>
  <si>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</si>
  <si>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</si>
  <si>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</si>
  <si>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</si>
  <si>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</si>
  <si>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</si>
  <si>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</si>
  <si>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</si>
  <si>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</si>
  <si>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</si>
  <si>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</si>
  <si>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</si>
  <si>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</si>
  <si>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</si>
  <si>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</si>
  <si>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</si>
  <si>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</si>
  <si>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</si>
  <si>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</si>
  <si>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</si>
  <si>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</si>
  <si>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</si>
  <si>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</si>
  <si>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</si>
  <si>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</si>
  <si>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</si>
  <si>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</si>
  <si>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</si>
  <si>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</si>
  <si>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</si>
  <si>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</si>
  <si>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</si>
  <si>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</si>
  <si>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</si>
  <si>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</si>
  <si>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</si>
  <si>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</si>
  <si>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</si>
  <si>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</si>
  <si>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</si>
  <si>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</si>
  <si>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</si>
  <si>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</si>
  <si>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</si>
  <si>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</si>
  <si>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</si>
  <si>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</si>
  <si>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</si>
  <si>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</si>
  <si>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</si>
  <si>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</si>
  <si>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</si>
  <si>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</si>
  <si>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</si>
  <si>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</si>
  <si>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</si>
  <si>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</si>
  <si>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</si>
  <si>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</si>
  <si>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</si>
  <si>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</si>
  <si>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</si>
  <si>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</si>
  <si>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</si>
  <si>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</si>
  <si>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</si>
  <si>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</si>
  <si>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</si>
  <si>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</si>
  <si>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</si>
  <si>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</si>
  <si>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</si>
  <si>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</si>
  <si>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</si>
  <si>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</si>
  <si>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</si>
  <si>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</si>
  <si>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</si>
  <si>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</si>
  <si>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</si>
  <si>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</si>
  <si>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</si>
  <si>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</si>
  <si>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</si>
  <si>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</si>
  <si>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</si>
  <si>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</si>
  <si>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</si>
  <si>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</si>
  <si>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</si>
  <si>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</si>
  <si>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</si>
  <si>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</si>
  <si>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</si>
  <si>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</si>
  <si>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</si>
  <si>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</si>
  <si>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</si>
  <si>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</si>
  <si>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</si>
  <si>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</si>
  <si>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</si>
  <si>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</si>
  <si>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</si>
  <si>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</si>
  <si>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</si>
  <si>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</si>
  <si>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</si>
  <si>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</si>
  <si>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</si>
  <si>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</si>
  <si>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</si>
  <si>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</si>
  <si>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</si>
  <si>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</si>
  <si>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</si>
  <si>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</si>
  <si>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</si>
  <si>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</si>
  <si>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</si>
  <si>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</si>
  <si>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</si>
  <si>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</si>
  <si>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</si>
  <si>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</si>
  <si>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</si>
  <si>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</si>
  <si>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</si>
  <si>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</si>
  <si>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</si>
  <si>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</si>
  <si>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</si>
  <si>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</si>
  <si>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</si>
  <si>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</si>
  <si>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</si>
  <si>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</si>
  <si>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</si>
  <si>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</si>
  <si>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</si>
  <si>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</si>
  <si>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</si>
  <si>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</si>
  <si>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</si>
  <si>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</si>
  <si>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</si>
  <si>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</si>
  <si>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</si>
  <si>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</si>
  <si>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</si>
  <si>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</si>
  <si>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</si>
  <si>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</si>
  <si>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</si>
  <si>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</si>
  <si>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</si>
  <si>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</si>
  <si>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</si>
  <si>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</si>
  <si>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</si>
  <si>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</si>
  <si>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</si>
  <si>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</si>
  <si>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</si>
  <si>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</si>
  <si>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</si>
  <si>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</si>
  <si>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</si>
  <si>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</si>
  <si>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</si>
  <si>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</si>
  <si>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</si>
  <si>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</si>
  <si>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</si>
  <si>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</si>
  <si>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</si>
  <si>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</si>
  <si>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</si>
  <si>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</si>
  <si>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</si>
  <si>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</si>
  <si>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</si>
  <si>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</si>
  <si>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</si>
  <si>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</si>
  <si>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</si>
  <si>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</si>
  <si>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</si>
  <si>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</si>
  <si>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</si>
  <si>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</si>
  <si>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</si>
  <si>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</si>
  <si>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</si>
  <si>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</si>
  <si>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</si>
  <si>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</si>
  <si>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</si>
  <si>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</si>
  <si>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</si>
  <si>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</si>
  <si>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</si>
  <si>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</si>
  <si>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</si>
  <si>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</si>
  <si>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</si>
  <si>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</si>
  <si>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</si>
  <si>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</si>
  <si>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</si>
  <si>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</si>
  <si>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</si>
  <si>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</si>
  <si>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</si>
  <si>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</si>
  <si>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</si>
  <si>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</si>
  <si>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</si>
  <si>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</si>
  <si>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</si>
  <si>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</si>
  <si>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</si>
  <si>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</si>
  <si>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</si>
  <si>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</si>
  <si>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</si>
  <si>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</si>
  <si>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</si>
  <si>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</si>
  <si>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</si>
  <si>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</si>
  <si>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</si>
  <si>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</si>
  <si>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</si>
  <si>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</si>
  <si>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</si>
  <si>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</si>
  <si>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</si>
  <si>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</si>
  <si>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</si>
  <si>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</si>
  <si>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</si>
  <si>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</si>
  <si>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</si>
  <si>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</si>
  <si>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</si>
  <si>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</si>
  <si>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</si>
  <si>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</si>
  <si>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</si>
  <si>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</si>
  <si>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</si>
  <si>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</si>
  <si>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</si>
  <si>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</si>
  <si>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</si>
  <si>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</si>
  <si>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</si>
  <si>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</si>
  <si>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</si>
  <si>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</si>
  <si>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</si>
  <si>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</si>
  <si>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</si>
  <si>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</si>
  <si>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</si>
  <si>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</si>
  <si>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</si>
  <si>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</si>
  <si>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</si>
  <si>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</si>
  <si>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</si>
  <si>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フェノバルビタール散10％
「ホエイ」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</si>
  <si>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</si>
  <si>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</si>
  <si>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</si>
  <si>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</si>
  <si>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</si>
  <si>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</si>
  <si>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</si>
  <si>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</si>
  <si>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</si>
  <si>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</si>
  <si>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</si>
  <si>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</si>
  <si>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</si>
  <si>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</si>
  <si>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</si>
  <si>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</si>
  <si>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</si>
  <si>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</si>
  <si>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</si>
  <si>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</si>
  <si>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</si>
  <si>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</si>
  <si>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</si>
  <si>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</si>
  <si>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</si>
  <si>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</si>
  <si>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</si>
  <si>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</si>
  <si>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</si>
  <si>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</si>
  <si>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</si>
  <si>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</si>
  <si>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</si>
  <si>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</si>
  <si>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</si>
  <si>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</si>
  <si>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</si>
  <si>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</si>
  <si>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</si>
  <si>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フロセミド細粒４％「EMEC」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</si>
  <si>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</si>
  <si>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</si>
  <si>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</si>
  <si>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</si>
  <si>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</si>
  <si>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</si>
  <si>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</si>
  <si>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</si>
  <si>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</si>
  <si>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</si>
  <si>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</si>
  <si>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</si>
  <si>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</si>
  <si>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</si>
  <si>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</si>
  <si>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</si>
  <si>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</si>
  <si>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</si>
  <si>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</si>
  <si>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</si>
  <si>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</si>
  <si>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</si>
  <si>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</si>
  <si>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</si>
  <si>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</si>
  <si>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</si>
  <si>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</si>
  <si>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</si>
  <si>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</si>
  <si>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</si>
  <si>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</si>
  <si>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</si>
  <si>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</si>
  <si>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</si>
  <si>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</si>
  <si>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</si>
  <si>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</si>
  <si>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</si>
  <si>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</si>
  <si>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</si>
  <si>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</si>
  <si>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</si>
  <si>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</si>
  <si>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</si>
  <si>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</si>
  <si>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</si>
  <si>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</si>
  <si>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</si>
  <si>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</si>
  <si>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</si>
  <si>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</si>
  <si>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</si>
  <si>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</si>
  <si>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</si>
  <si>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</si>
  <si>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</si>
  <si>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</si>
  <si>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</si>
  <si>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</si>
  <si>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</si>
  <si>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</si>
  <si>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</si>
  <si>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</si>
  <si>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</si>
  <si>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</si>
  <si>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</si>
  <si>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</si>
  <si>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</si>
  <si>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</si>
  <si>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</si>
  <si>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</si>
  <si>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</si>
  <si>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</si>
  <si>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</si>
  <si>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</si>
  <si>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</si>
  <si>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</si>
  <si>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</si>
  <si>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</si>
  <si>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</si>
  <si>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</si>
  <si>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</si>
  <si>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</si>
  <si>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</si>
  <si>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</si>
  <si>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</si>
  <si>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</si>
  <si>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</si>
  <si>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</si>
  <si>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</si>
  <si>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</si>
  <si>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</si>
  <si>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</si>
  <si>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</si>
  <si>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</si>
  <si>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</si>
  <si>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</si>
  <si>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</si>
  <si>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</si>
  <si>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</si>
  <si>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</si>
  <si>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</si>
  <si>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</si>
  <si>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</si>
  <si>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</si>
  <si>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</si>
  <si>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</si>
  <si>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</si>
  <si>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</si>
  <si>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</si>
  <si>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</si>
  <si>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</si>
  <si>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</si>
  <si>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</si>
  <si>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</si>
  <si>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</si>
  <si>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</si>
  <si>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</si>
  <si>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</si>
  <si>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</si>
  <si>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</si>
  <si>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</si>
  <si>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</si>
  <si>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</si>
  <si>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</si>
  <si>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</si>
  <si>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</si>
  <si>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</si>
  <si>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</si>
  <si>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</si>
  <si>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</si>
  <si>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</si>
  <si>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</si>
  <si>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</si>
  <si>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</si>
  <si>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</si>
  <si>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</si>
  <si>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</si>
  <si>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</si>
  <si>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</si>
  <si>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</si>
  <si>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</si>
  <si>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</si>
  <si>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</si>
  <si>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</si>
  <si>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</si>
  <si>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</si>
  <si>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</si>
  <si>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</si>
  <si>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</si>
  <si>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</si>
  <si>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</si>
  <si>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</si>
  <si>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</si>
  <si>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</si>
  <si>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</si>
  <si>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</si>
  <si>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</si>
  <si>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</si>
  <si>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</si>
  <si>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</si>
  <si>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</si>
  <si>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</si>
  <si>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</si>
  <si>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</si>
  <si>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</si>
  <si>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</si>
  <si>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</si>
  <si>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</si>
  <si>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</si>
  <si>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</si>
  <si>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</si>
  <si>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</si>
  <si>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</si>
  <si>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</si>
  <si>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</si>
  <si>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</si>
  <si>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</si>
  <si>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</si>
  <si>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</si>
  <si>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</si>
  <si>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</si>
  <si>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</si>
  <si>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</si>
  <si>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</si>
  <si>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</si>
  <si>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</si>
  <si>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</si>
  <si>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</si>
  <si>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</si>
  <si>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</si>
  <si>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</si>
  <si>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</si>
  <si>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</si>
  <si>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</si>
  <si>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</si>
  <si>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</si>
  <si>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</si>
  <si>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</si>
  <si>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</si>
  <si>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</si>
  <si>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</si>
  <si>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</si>
  <si>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</si>
  <si>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</si>
  <si>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</si>
  <si>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</si>
  <si>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</si>
  <si>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</si>
  <si>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</si>
  <si>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</si>
  <si>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</si>
  <si>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</si>
  <si>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</si>
  <si>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</si>
  <si>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</si>
  <si>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</si>
  <si>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</si>
  <si>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</si>
  <si>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</si>
  <si>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</si>
  <si>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</si>
  <si>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</si>
  <si>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</si>
  <si>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</si>
  <si>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</si>
  <si>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</si>
  <si>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</si>
  <si>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</si>
  <si>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</si>
  <si>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</si>
  <si>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</si>
  <si>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</si>
  <si>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</si>
  <si>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</si>
  <si>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</si>
  <si>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</si>
  <si>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</si>
  <si>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</si>
  <si>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</si>
  <si>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</si>
  <si>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</si>
  <si>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</si>
  <si>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</si>
  <si>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</si>
  <si>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</si>
  <si>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</si>
  <si>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</si>
  <si>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</si>
  <si>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</si>
  <si>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</si>
  <si>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</si>
  <si>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</si>
  <si>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</si>
  <si>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</si>
  <si>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</si>
  <si>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</si>
  <si>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</si>
  <si>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</si>
  <si>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</si>
  <si>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</si>
  <si>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</si>
  <si>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</si>
  <si>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</si>
  <si>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</si>
  <si>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</si>
  <si>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</si>
  <si>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</si>
  <si>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</si>
  <si>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</si>
  <si>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</si>
  <si>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</si>
  <si>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</si>
  <si>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</si>
  <si>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</si>
  <si>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</si>
  <si>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</si>
  <si>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</si>
  <si>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</si>
  <si>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</si>
  <si>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</si>
  <si>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</si>
  <si>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</si>
  <si>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</si>
  <si>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</si>
  <si>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</si>
  <si>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</si>
  <si>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</si>
  <si>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</si>
  <si>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</si>
  <si>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</si>
  <si>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</si>
  <si>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</si>
  <si>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</si>
  <si>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</si>
  <si>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</si>
  <si>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</si>
  <si>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</si>
  <si>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</si>
  <si>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</si>
  <si>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</si>
  <si>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</si>
  <si>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</si>
  <si>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</si>
  <si>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</si>
  <si>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</si>
  <si>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</si>
  <si>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</si>
  <si>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</si>
  <si>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</si>
  <si>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</si>
  <si>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</si>
  <si>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</si>
  <si>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</si>
  <si>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</si>
  <si>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</si>
  <si>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</si>
  <si>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</si>
  <si>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</si>
  <si>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</si>
  <si>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</si>
  <si>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</si>
  <si>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</si>
  <si>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</si>
  <si>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</si>
  <si>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</si>
  <si>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</si>
  <si>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</si>
  <si>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</si>
  <si>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</si>
  <si>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</si>
  <si>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</si>
  <si>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</si>
  <si>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</si>
  <si>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</si>
  <si>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トリアゾラム錠0.125ｍｇ「CH」　　採用中止</t>
  </si>
  <si>
    <t>トリフリード輸液（１）</t>
  </si>
  <si>
    <t>ブロムヘキシン塩酸塩錠４ｍｇ「トーワ」</t>
  </si>
  <si>
    <t>ポビドンヨードガーグル７％「ケンエー」</t>
  </si>
  <si>
    <t>リスパダールコンスタ筋注用50ｍｇ</t>
  </si>
  <si>
    <t>リスパダール内用液　1mg/ml(30ml瓶）　　　</t>
  </si>
  <si>
    <t>亜鉛華軟膏「ニッコー」　</t>
  </si>
  <si>
    <t>生理食塩液「VTRS」20ｍｌ</t>
  </si>
  <si>
    <t>大塚生食注　　プラ細口　</t>
  </si>
  <si>
    <t>大塚生食注　ソフトバッグ</t>
  </si>
  <si>
    <t>注射用水ＰＬ「フソー」100ｍｌ（スタンタフル）</t>
  </si>
  <si>
    <t>注射用水ＰＬ「フソー」20ｍｌ（スノープル）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</si>
  <si>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</si>
  <si>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</si>
  <si>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</si>
  <si>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</si>
  <si>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</si>
  <si>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</si>
  <si>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</si>
  <si>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</si>
  <si>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</si>
  <si>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</si>
  <si>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</si>
  <si>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</si>
  <si>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</si>
  <si>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</si>
  <si>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</si>
  <si>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</si>
  <si>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</si>
  <si>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</si>
  <si>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</si>
  <si>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</si>
  <si>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</si>
  <si>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</si>
  <si>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</si>
  <si>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</si>
  <si>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</si>
  <si>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</si>
  <si>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</si>
  <si>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</si>
  <si>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</si>
  <si>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</si>
  <si>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</si>
  <si>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</si>
  <si>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</si>
  <si>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</si>
  <si>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</si>
  <si>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</si>
  <si>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</si>
  <si>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</si>
  <si>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</si>
  <si>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</si>
  <si>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</si>
  <si>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</si>
  <si>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</si>
  <si>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</si>
  <si>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</si>
  <si>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</si>
  <si>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</si>
  <si>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</si>
  <si>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</si>
  <si>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</si>
  <si>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</si>
  <si>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</si>
  <si>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</si>
  <si>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</si>
  <si>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</si>
  <si>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</si>
  <si>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</si>
  <si>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</si>
  <si>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</si>
  <si>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</si>
  <si>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</si>
  <si>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</si>
  <si>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</si>
  <si>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</si>
  <si>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</si>
  <si>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</si>
  <si>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</si>
  <si>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</si>
  <si>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</si>
  <si>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</si>
  <si>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</si>
  <si>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</si>
  <si>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</si>
  <si>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</si>
  <si>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</si>
  <si>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</si>
  <si>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</si>
  <si>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</si>
  <si>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</si>
  <si>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</si>
  <si>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</si>
  <si>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</si>
  <si>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</si>
  <si>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</si>
  <si>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</si>
  <si>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</si>
  <si>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</si>
  <si>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</si>
  <si>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</si>
  <si>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</si>
  <si>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</si>
  <si>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</si>
  <si>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</si>
  <si>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</si>
  <si>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</si>
  <si>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</si>
  <si>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</si>
  <si>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</si>
  <si>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</si>
  <si>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</si>
  <si>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</si>
  <si>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</si>
  <si>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</si>
  <si>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</si>
  <si>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</si>
  <si>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</si>
  <si>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</si>
  <si>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</si>
  <si>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</si>
  <si>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</si>
  <si>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</si>
  <si>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</si>
  <si>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</si>
  <si>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</si>
  <si>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</si>
  <si>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</si>
  <si>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</si>
  <si>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</si>
  <si>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</si>
  <si>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</si>
  <si>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</si>
  <si>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</si>
  <si>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</si>
  <si>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</si>
  <si>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</si>
  <si>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</si>
  <si>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</si>
  <si>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</si>
  <si>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</si>
  <si>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</si>
  <si>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</si>
  <si>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</si>
  <si>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</si>
  <si>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</si>
  <si>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</si>
  <si>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</si>
  <si>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</si>
  <si>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</si>
  <si>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</si>
  <si>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</si>
  <si>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</si>
  <si>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</si>
  <si>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</si>
  <si>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</si>
  <si>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</si>
  <si>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</si>
  <si>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</si>
  <si>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</si>
  <si>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</si>
  <si>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</si>
  <si>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</si>
  <si>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</si>
  <si>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</si>
  <si>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</si>
  <si>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</si>
  <si>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</si>
  <si>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</si>
  <si>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</si>
  <si>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</si>
  <si>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</si>
  <si>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</si>
  <si>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</si>
  <si>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</si>
  <si>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</si>
  <si>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</si>
  <si>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</si>
  <si>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</si>
  <si>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</si>
  <si>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</si>
  <si>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</si>
  <si>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</si>
  <si>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</si>
  <si>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</si>
  <si>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</si>
  <si>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</si>
  <si>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</si>
  <si>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</si>
  <si>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</si>
  <si>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</si>
  <si>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</si>
  <si>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</si>
  <si>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</si>
  <si>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</si>
  <si>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</si>
  <si>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</si>
  <si>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</si>
  <si>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</si>
  <si>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</si>
  <si>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</si>
  <si>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</si>
  <si>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</si>
  <si>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</si>
  <si>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</si>
  <si>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</si>
  <si>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</si>
  <si>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</si>
  <si>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</si>
  <si>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</si>
  <si>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</si>
  <si>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</si>
  <si>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</si>
  <si>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</si>
  <si>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</si>
  <si>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</si>
  <si>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</si>
  <si>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</si>
  <si>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</si>
  <si>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</si>
  <si>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</si>
  <si>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</si>
  <si>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</si>
  <si>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</si>
  <si>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</si>
  <si>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</si>
  <si>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</si>
  <si>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</si>
  <si>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</si>
  <si>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</si>
  <si>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</si>
  <si>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</si>
  <si>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</si>
  <si>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</si>
  <si>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</si>
  <si>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</si>
  <si>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</si>
  <si>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</si>
  <si>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</si>
  <si>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</si>
  <si>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</si>
  <si>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</si>
  <si>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</si>
  <si>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</si>
  <si>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</si>
  <si>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</si>
  <si>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</si>
  <si>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</si>
  <si>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</si>
  <si>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</si>
  <si>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</si>
  <si>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</si>
  <si>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</si>
  <si>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</si>
  <si>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</si>
  <si>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</si>
  <si>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</si>
  <si>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</si>
  <si>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</si>
  <si>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</si>
  <si>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</si>
  <si>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</si>
  <si>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</si>
  <si>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</si>
  <si>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</si>
  <si>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</si>
  <si>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</si>
  <si>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</si>
  <si>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</si>
  <si>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</si>
  <si>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</si>
  <si>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</si>
  <si>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</si>
  <si>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</si>
  <si>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</si>
  <si>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</si>
  <si>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</si>
  <si>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</si>
  <si>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</si>
  <si>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</si>
  <si>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</si>
  <si>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</si>
  <si>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</si>
  <si>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</si>
  <si>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</si>
  <si>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</si>
  <si>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</si>
  <si>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</si>
  <si>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</si>
  <si>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</si>
  <si>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</si>
  <si>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</si>
  <si>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</si>
  <si>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</si>
  <si>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</si>
  <si>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</si>
  <si>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</si>
  <si>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</si>
  <si>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</si>
  <si>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</si>
  <si>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</si>
  <si>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</si>
  <si>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</si>
  <si>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</si>
  <si>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</si>
  <si>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</si>
  <si>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</si>
  <si>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</si>
  <si>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</si>
  <si>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</si>
  <si>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</si>
  <si>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</si>
  <si>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</si>
  <si>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</si>
  <si>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</si>
  <si>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</si>
  <si>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</si>
  <si>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</si>
  <si>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</si>
  <si>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</si>
  <si>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</si>
  <si>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</si>
  <si>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</si>
  <si>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</si>
  <si>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</si>
  <si>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</si>
  <si>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</si>
  <si>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</si>
  <si>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</si>
  <si>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</si>
  <si>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</si>
  <si>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</si>
  <si>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</si>
  <si>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</si>
  <si>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</si>
  <si>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</si>
  <si>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</si>
  <si>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</si>
  <si>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</si>
  <si>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</si>
  <si>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</si>
  <si>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</si>
  <si>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</si>
  <si>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</si>
  <si>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</si>
  <si>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</si>
  <si>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</si>
  <si>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</si>
  <si>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</si>
  <si>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</si>
  <si>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</si>
  <si>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</si>
  <si>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</si>
  <si>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</si>
  <si>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</si>
  <si>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</si>
  <si>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</si>
  <si>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</si>
  <si>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</si>
  <si>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</si>
  <si>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</si>
  <si>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</si>
  <si>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</si>
  <si>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</si>
  <si>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</si>
  <si>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</si>
  <si>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</si>
  <si>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</si>
  <si>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</si>
  <si>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</si>
  <si>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</si>
  <si>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</si>
  <si>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</si>
  <si>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</si>
  <si>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</si>
  <si>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</si>
  <si>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</si>
  <si>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</si>
  <si>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</si>
  <si>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</si>
  <si>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</si>
  <si>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</si>
  <si>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</si>
  <si>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</si>
  <si>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</si>
  <si>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</si>
  <si>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</si>
  <si>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</si>
  <si>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</si>
  <si>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</si>
  <si>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</si>
  <si>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</si>
  <si>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</si>
  <si>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</si>
  <si>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</si>
  <si>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</si>
  <si>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</si>
  <si>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</si>
  <si>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</si>
  <si>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</si>
  <si>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</si>
  <si>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</si>
  <si>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</si>
  <si>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</si>
  <si>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</si>
  <si>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</si>
  <si>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</si>
  <si>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</si>
  <si>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</si>
  <si>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</si>
  <si>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</si>
  <si>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</si>
  <si>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</si>
  <si>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</si>
  <si>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</si>
  <si>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</si>
  <si>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</si>
  <si>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</si>
  <si>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</si>
  <si>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</si>
  <si>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</si>
  <si>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</si>
  <si>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</si>
  <si>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</si>
  <si>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</si>
  <si>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</si>
  <si>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</si>
  <si>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</si>
  <si>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</si>
  <si>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</si>
  <si>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</si>
  <si>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</si>
  <si>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</si>
  <si>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</si>
  <si>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</si>
  <si>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</si>
  <si>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</si>
  <si>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</si>
  <si>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</si>
  <si>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</si>
  <si>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</si>
  <si>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</si>
  <si>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</si>
  <si>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</si>
  <si>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</si>
  <si>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</si>
  <si>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</si>
  <si>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</si>
  <si>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</si>
  <si>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</si>
  <si>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</si>
  <si>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</si>
  <si>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</si>
  <si>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</si>
  <si>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</si>
  <si>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</si>
  <si>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</si>
  <si>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</si>
  <si>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</si>
  <si>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</si>
  <si>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</si>
  <si>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</si>
  <si>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</si>
  <si>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</si>
  <si>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</si>
  <si>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</si>
  <si>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</si>
  <si>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</si>
  <si>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</si>
  <si>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</si>
  <si>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</si>
  <si>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</si>
  <si>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</si>
  <si>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</si>
  <si>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</si>
  <si>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</si>
  <si>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</si>
  <si>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</si>
  <si>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</si>
  <si>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</si>
  <si>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</si>
  <si>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</si>
  <si>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</si>
  <si>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</si>
  <si>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</si>
  <si>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</si>
  <si>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</si>
  <si>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</si>
  <si>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</si>
  <si>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</si>
  <si>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</si>
  <si>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</si>
  <si>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</si>
  <si>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</si>
  <si>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</si>
  <si>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</si>
  <si>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</si>
  <si>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</si>
  <si>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</si>
  <si>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</si>
  <si>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</si>
  <si>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</si>
  <si>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</si>
  <si>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</si>
  <si>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</si>
  <si>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</si>
  <si>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</si>
  <si>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</si>
  <si>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</si>
  <si>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</si>
  <si>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</si>
  <si>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</si>
  <si>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</si>
  <si>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</si>
  <si>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</si>
  <si>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</si>
  <si>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</si>
  <si>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</si>
  <si>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</si>
  <si>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</si>
  <si>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</si>
  <si>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</si>
  <si>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</si>
  <si>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</si>
  <si>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</si>
  <si>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</si>
  <si>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</si>
  <si>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</si>
  <si>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</si>
  <si>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</si>
  <si>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</si>
  <si>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</si>
  <si>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</si>
  <si>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</si>
  <si>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</si>
  <si>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</si>
  <si>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</si>
  <si>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</si>
  <si>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</si>
  <si>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</si>
  <si>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</si>
  <si>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</si>
  <si>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</si>
  <si>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</si>
  <si>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</si>
  <si>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</si>
  <si>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</si>
  <si>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</si>
  <si>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</si>
  <si>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</si>
  <si>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</si>
  <si>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</si>
  <si>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</si>
  <si>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</si>
  <si>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</si>
  <si>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</si>
  <si>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</si>
  <si>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</si>
  <si>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</si>
  <si>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</si>
  <si>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</si>
  <si>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</si>
  <si>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</si>
  <si>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</si>
  <si>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</si>
  <si>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</si>
  <si>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</si>
  <si>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</si>
  <si>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</si>
  <si>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</si>
  <si>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</si>
  <si>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</si>
  <si>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</si>
  <si>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</si>
  <si>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</si>
  <si>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</si>
  <si>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</si>
  <si>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</si>
  <si>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</si>
  <si>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</si>
  <si>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</si>
  <si>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</si>
  <si>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</si>
  <si>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</si>
  <si>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</si>
  <si>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</si>
  <si>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</si>
  <si>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</si>
  <si>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</si>
  <si>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</si>
  <si>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</si>
  <si>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</si>
  <si>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</si>
  <si>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</si>
  <si>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</si>
  <si>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</si>
  <si>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</si>
  <si>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</si>
  <si>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</si>
  <si>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</si>
  <si>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</si>
  <si>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</si>
  <si>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</si>
  <si>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</si>
  <si>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</si>
  <si>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</si>
  <si>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</si>
  <si>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</si>
  <si>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</si>
  <si>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</si>
  <si>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</si>
  <si>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</si>
  <si>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</si>
  <si>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</si>
  <si>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</si>
  <si>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</si>
  <si>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</si>
  <si>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</si>
  <si>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</si>
  <si>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</si>
  <si>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</si>
  <si>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</si>
  <si>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</si>
  <si>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</si>
  <si>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</si>
  <si>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</si>
  <si>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</si>
  <si>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</si>
  <si>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</si>
  <si>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</si>
  <si>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</si>
  <si>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</si>
  <si>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</si>
  <si>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</si>
  <si>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</si>
  <si>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</si>
  <si>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</si>
  <si>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</si>
  <si>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</si>
  <si>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</si>
  <si>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</si>
  <si>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</si>
  <si>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</si>
  <si>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</si>
  <si>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</si>
  <si>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</si>
  <si>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</si>
  <si>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</si>
  <si>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</si>
  <si>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</si>
  <si>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</si>
  <si>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</si>
  <si>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</si>
  <si>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</si>
  <si>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</si>
  <si>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</si>
  <si>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</si>
  <si>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</si>
  <si>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</si>
  <si>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</si>
  <si>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</si>
  <si>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</si>
  <si>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</si>
  <si>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</si>
  <si>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</si>
  <si>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</si>
  <si>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</si>
  <si>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</si>
  <si>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</si>
  <si>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</si>
  <si>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</si>
  <si>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</si>
  <si>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</si>
  <si>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</si>
  <si>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</si>
  <si>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</si>
  <si>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</si>
  <si>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</si>
  <si>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</si>
  <si>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</si>
  <si>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</si>
  <si>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</si>
  <si>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</si>
  <si>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</si>
  <si>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</si>
  <si>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</si>
  <si>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</si>
  <si>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</si>
  <si>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</si>
  <si>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</si>
  <si>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</si>
  <si>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</si>
  <si>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</si>
  <si>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</si>
  <si>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</si>
  <si>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</si>
  <si>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</si>
  <si>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</si>
  <si>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</si>
  <si>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</si>
  <si>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</si>
  <si>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</si>
  <si>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</si>
  <si>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</si>
  <si>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</si>
  <si>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</si>
  <si>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</si>
  <si>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</si>
  <si>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</si>
  <si>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</si>
  <si>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</si>
  <si>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</si>
  <si>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</si>
  <si>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</si>
  <si>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</si>
  <si>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</si>
  <si>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</si>
  <si>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</si>
  <si>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</si>
  <si>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</si>
  <si>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</si>
  <si>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</si>
  <si>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</si>
  <si>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</si>
  <si>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</si>
  <si>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</si>
  <si>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</si>
  <si>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</si>
  <si>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</si>
  <si>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</si>
  <si>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</si>
  <si>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</si>
  <si>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</si>
  <si>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</si>
  <si>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</si>
  <si>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</si>
  <si>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</si>
  <si>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</si>
  <si>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</si>
  <si>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</si>
  <si>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</si>
  <si>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</si>
  <si>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</si>
  <si>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</si>
  <si>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</si>
  <si>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</si>
  <si>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</si>
  <si>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</si>
  <si>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</si>
  <si>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</si>
  <si>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</si>
  <si>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</si>
  <si>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</si>
  <si>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</si>
  <si>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</si>
  <si>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</si>
  <si>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</si>
  <si>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</si>
  <si>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</si>
  <si>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</si>
  <si>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</si>
  <si>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</si>
  <si>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</si>
  <si>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</si>
  <si>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</si>
  <si>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</si>
  <si>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</si>
  <si>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</si>
  <si>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</si>
  <si>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</si>
  <si>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</si>
  <si>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</si>
  <si>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</si>
  <si>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</si>
  <si>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</si>
  <si>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</si>
  <si>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</si>
  <si>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</si>
  <si>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</si>
  <si>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</si>
  <si>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</si>
  <si>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</si>
  <si>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</si>
  <si>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</si>
  <si>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</si>
  <si>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</si>
  <si>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</si>
  <si>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</si>
  <si>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</si>
  <si>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</si>
  <si>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</si>
  <si>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</si>
  <si>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</si>
  <si>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</si>
  <si>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</si>
  <si>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</si>
  <si>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</si>
  <si>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</si>
  <si>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</si>
  <si>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</si>
  <si>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</si>
  <si>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</si>
  <si>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</si>
  <si>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</si>
  <si>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</si>
  <si>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</si>
  <si>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</si>
  <si>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</si>
  <si>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</si>
  <si>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</si>
  <si>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</si>
  <si>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</si>
  <si>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</si>
  <si>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</si>
  <si>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</si>
  <si>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</si>
  <si>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</si>
  <si>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</si>
  <si>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</si>
  <si>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</si>
  <si>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</si>
  <si>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</si>
  <si>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</si>
  <si>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</si>
  <si>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</si>
  <si>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</si>
  <si>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</si>
  <si>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</si>
  <si>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</si>
  <si>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</si>
  <si>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</si>
  <si>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</si>
  <si>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</si>
  <si>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</si>
  <si>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</si>
  <si>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</si>
  <si>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</si>
  <si>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</si>
  <si>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</si>
  <si>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</si>
  <si>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</si>
  <si>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</si>
  <si>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</si>
  <si>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</si>
  <si>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</si>
  <si>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</si>
  <si>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</si>
  <si>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</si>
  <si>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</si>
  <si>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</si>
  <si>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</si>
  <si>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</si>
  <si>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</si>
  <si>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</si>
  <si>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</si>
  <si>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</si>
  <si>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</si>
  <si>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</si>
  <si>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</si>
  <si>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</si>
  <si>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</si>
  <si>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</si>
  <si>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</si>
  <si>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</si>
  <si>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</si>
  <si>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</si>
  <si>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</si>
  <si>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</si>
  <si>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</si>
  <si>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</si>
  <si>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</si>
  <si>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</si>
  <si>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</si>
  <si>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</si>
  <si>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</si>
  <si>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</si>
  <si>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</si>
  <si>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</si>
  <si>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</si>
  <si>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</si>
  <si>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</si>
  <si>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</si>
  <si>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</si>
  <si>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</si>
  <si>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</si>
  <si>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</si>
  <si>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</si>
  <si>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</si>
  <si>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</si>
  <si>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</si>
  <si>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</si>
  <si>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</si>
  <si>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</si>
  <si>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</si>
  <si>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</si>
  <si>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</si>
  <si>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</si>
  <si>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</si>
  <si>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</si>
  <si>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</si>
  <si>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</si>
  <si>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</si>
  <si>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</si>
  <si>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</si>
  <si>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</si>
  <si>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</si>
  <si>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</si>
  <si>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</si>
  <si>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</si>
  <si>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</si>
  <si>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</si>
  <si>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</si>
  <si>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</si>
  <si>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</si>
  <si>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</si>
  <si>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</si>
  <si>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</si>
  <si>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</si>
  <si>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</si>
  <si>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</si>
  <si>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</si>
  <si>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</si>
  <si>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</si>
  <si>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</si>
  <si>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</si>
  <si>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</si>
  <si>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</si>
  <si>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</si>
  <si>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</si>
  <si>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</si>
  <si>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</si>
  <si>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</si>
  <si>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</si>
  <si>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</si>
  <si>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</si>
  <si>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</si>
  <si>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</si>
  <si>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</si>
  <si>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</si>
  <si>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</si>
  <si>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</si>
  <si>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</si>
  <si>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</si>
  <si>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</si>
  <si>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</si>
  <si>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</si>
  <si>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</si>
  <si>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</si>
  <si>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</si>
  <si>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</si>
  <si>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</si>
  <si>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</si>
  <si>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</si>
  <si>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</si>
  <si>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</si>
  <si>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</si>
  <si>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</si>
  <si>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</si>
  <si>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</si>
  <si>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</si>
  <si>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</si>
  <si>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</si>
  <si>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</si>
  <si>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</si>
  <si>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</si>
  <si>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</si>
  <si>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</si>
  <si>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</si>
  <si>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</si>
  <si>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</si>
  <si>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</si>
  <si>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</si>
  <si>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</si>
  <si>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</si>
  <si>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</si>
  <si>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</si>
  <si>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</si>
  <si>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</si>
  <si>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</si>
  <si>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</si>
  <si>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</si>
  <si>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</si>
  <si>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</si>
  <si>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</si>
  <si>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</si>
  <si>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</si>
  <si>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</si>
  <si>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</si>
  <si>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</si>
  <si>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</si>
  <si>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</si>
  <si>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</si>
  <si>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</si>
  <si>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</si>
  <si>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</si>
  <si>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</si>
  <si>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</si>
  <si>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</si>
  <si>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</si>
  <si>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</si>
  <si>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</si>
  <si>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</si>
  <si>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</si>
  <si>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</si>
  <si>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</si>
  <si>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</si>
  <si>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</si>
  <si>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</si>
  <si>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</si>
  <si>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</si>
  <si>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</si>
  <si>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</si>
  <si>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</si>
  <si>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</si>
  <si>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</si>
  <si>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</si>
  <si>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</si>
  <si>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</si>
  <si>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</si>
  <si>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</si>
  <si>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</si>
  <si>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</si>
  <si>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</si>
  <si>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</si>
  <si>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</si>
  <si>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</si>
  <si>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</si>
  <si>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</si>
  <si>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</si>
  <si>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</si>
  <si>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</si>
  <si>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</si>
  <si>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</si>
  <si>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</si>
  <si>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</si>
  <si>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</si>
  <si>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</si>
  <si>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</si>
  <si>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</si>
  <si>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</si>
  <si>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</si>
  <si>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</si>
  <si>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</si>
  <si>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</si>
  <si>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</si>
  <si>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</si>
  <si>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</si>
  <si>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</si>
  <si>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</si>
  <si>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</si>
  <si>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</si>
  <si>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</si>
  <si>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</si>
  <si>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</si>
  <si>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</si>
  <si>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</si>
  <si>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</si>
  <si>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</si>
  <si>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</si>
  <si>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</si>
  <si>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</si>
  <si>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</si>
  <si>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</si>
  <si>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</si>
  <si>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</si>
  <si>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</si>
  <si>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</si>
  <si>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</si>
  <si>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</si>
  <si>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</si>
  <si>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</si>
  <si>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</si>
  <si>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</si>
  <si>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</si>
  <si>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</si>
  <si>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</si>
  <si>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</si>
  <si>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</si>
  <si>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</si>
  <si>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</si>
  <si>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</si>
  <si>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</si>
  <si>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</si>
  <si>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</si>
  <si>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</si>
  <si>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</si>
  <si>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</si>
  <si>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</si>
  <si>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</si>
  <si>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</si>
  <si>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</si>
  <si>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</si>
  <si>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</si>
  <si>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</si>
  <si>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</si>
  <si>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</si>
  <si>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</si>
  <si>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</si>
  <si>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</si>
  <si>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</si>
  <si>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</si>
  <si>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</si>
  <si>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</si>
  <si>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</si>
  <si>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</si>
  <si>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</si>
  <si>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</si>
  <si>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</si>
  <si>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</si>
  <si>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</si>
  <si>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</si>
  <si>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</si>
  <si>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</si>
  <si>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</si>
  <si>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</si>
  <si>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</si>
  <si>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</si>
  <si>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</si>
  <si>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</si>
  <si>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</si>
  <si>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</si>
  <si>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</si>
  <si>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</si>
  <si>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</si>
  <si>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</si>
  <si>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</si>
  <si>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</si>
  <si>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</si>
  <si>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</si>
  <si>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</si>
  <si>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</si>
  <si>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</si>
  <si>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</si>
  <si>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</si>
  <si>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</si>
  <si>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</si>
  <si>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</si>
  <si>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</si>
  <si>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</si>
  <si>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</si>
  <si>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</si>
  <si>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</si>
  <si>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</si>
  <si>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</si>
  <si>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</si>
  <si>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</si>
  <si>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</si>
  <si>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</si>
  <si>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</si>
  <si>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</si>
  <si>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</si>
  <si>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</si>
  <si>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</si>
  <si>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</si>
  <si>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</si>
  <si>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</si>
  <si>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</si>
  <si>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</si>
  <si>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</si>
  <si>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</si>
  <si>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</si>
  <si>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</si>
  <si>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</si>
  <si>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</si>
  <si>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</si>
  <si>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</si>
  <si>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</si>
  <si>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</si>
  <si>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</si>
  <si>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</si>
  <si>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</si>
  <si>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</si>
  <si>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</si>
  <si>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</si>
  <si>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</si>
  <si>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</si>
  <si>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</si>
  <si>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</si>
  <si>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</si>
  <si>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</si>
  <si>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</si>
  <si>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</si>
  <si>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</si>
  <si>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</si>
  <si>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</si>
  <si>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</si>
  <si>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</si>
  <si>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</si>
  <si>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</si>
  <si>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</si>
  <si>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</si>
  <si>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</si>
  <si>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</si>
  <si>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</si>
  <si>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</si>
  <si>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</si>
  <si>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</si>
  <si>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</si>
  <si>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</si>
  <si>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</si>
  <si>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</si>
  <si>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</si>
  <si>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</si>
  <si>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</si>
  <si>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</si>
  <si>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</si>
  <si>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</si>
  <si>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</si>
  <si>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</si>
  <si>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</si>
  <si>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</si>
  <si>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</si>
  <si>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</si>
  <si>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</si>
  <si>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</si>
  <si>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</si>
  <si>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</si>
  <si>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</si>
  <si>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</si>
  <si>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</si>
  <si>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</si>
  <si>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</si>
  <si>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</si>
  <si>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</si>
  <si>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</si>
  <si>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</si>
  <si>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</si>
  <si>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</si>
  <si>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</si>
  <si>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</si>
  <si>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</si>
  <si>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</si>
  <si>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</si>
  <si>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</si>
  <si>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</si>
  <si>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</si>
  <si>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</si>
  <si>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</si>
  <si>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</si>
  <si>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</si>
  <si>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</si>
  <si>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</si>
  <si>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</si>
  <si>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</si>
  <si>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</si>
  <si>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</si>
  <si>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</si>
  <si>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</si>
  <si>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</si>
  <si>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</si>
  <si>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</si>
  <si>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</si>
  <si>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</si>
  <si>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</si>
  <si>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</si>
  <si>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</si>
  <si>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</si>
  <si>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</si>
  <si>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</si>
  <si>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</si>
  <si>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</si>
  <si>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</si>
  <si>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</si>
  <si>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</si>
  <si>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</si>
  <si>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</si>
  <si>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</si>
  <si>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</si>
  <si>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</si>
  <si>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</si>
  <si>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</si>
  <si>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</si>
  <si>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</si>
  <si>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</si>
  <si>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</si>
  <si>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</si>
  <si>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</si>
  <si>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</si>
  <si>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</si>
  <si>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</si>
  <si>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</si>
  <si>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</si>
  <si>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</si>
  <si>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</si>
  <si>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</si>
  <si>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</si>
  <si>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</si>
  <si>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</si>
  <si>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</si>
  <si>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</si>
  <si>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</si>
  <si>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</si>
  <si>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</si>
  <si>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</si>
  <si>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</si>
  <si>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</si>
  <si>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</si>
  <si>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</si>
  <si>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</si>
  <si>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</si>
  <si>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</si>
  <si>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</si>
  <si>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</si>
  <si>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</si>
  <si>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</si>
  <si>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</si>
  <si>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</si>
  <si>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</si>
  <si>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</si>
  <si>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</si>
  <si>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</si>
  <si>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</si>
  <si>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</si>
  <si>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</si>
  <si>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</si>
  <si>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</si>
  <si>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</si>
  <si>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</si>
  <si>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</si>
  <si>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</si>
  <si>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</si>
  <si>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</si>
  <si>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</si>
  <si>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</si>
  <si>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</si>
  <si>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</si>
  <si>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</si>
  <si>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</si>
  <si>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</si>
  <si>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</si>
  <si>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</si>
  <si>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</si>
  <si>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</si>
  <si>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</si>
  <si>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</si>
  <si>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</si>
  <si>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</si>
  <si>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</si>
  <si>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</si>
  <si>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</si>
  <si>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</si>
  <si>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</si>
  <si>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</si>
  <si>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</si>
  <si>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</si>
  <si>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</si>
  <si>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</si>
  <si>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</si>
  <si>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</si>
  <si>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</si>
  <si>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</si>
  <si>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</si>
  <si>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</si>
  <si>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</si>
  <si>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</si>
  <si>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</si>
  <si>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</si>
  <si>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</si>
  <si>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</si>
  <si>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</si>
  <si>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</si>
  <si>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</si>
  <si>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</si>
  <si>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</si>
  <si>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</si>
  <si>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</si>
  <si>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</si>
  <si>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</si>
  <si>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</si>
  <si>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</si>
  <si>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</si>
  <si>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</si>
  <si>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</si>
  <si>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</si>
  <si>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</si>
  <si>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</si>
  <si>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</si>
  <si>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</si>
  <si>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</si>
  <si>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</si>
  <si>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</si>
  <si>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</si>
  <si>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</si>
  <si>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</si>
  <si>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</si>
  <si>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</si>
  <si>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</si>
  <si>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</si>
  <si>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</si>
  <si>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</si>
  <si>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</si>
  <si>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</si>
  <si>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</si>
  <si>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</si>
  <si>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</si>
  <si>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</si>
  <si>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</si>
  <si>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</si>
  <si>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</si>
  <si>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</si>
  <si>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</si>
  <si>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</si>
  <si>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</si>
  <si>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</si>
  <si>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</si>
  <si>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</si>
  <si>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</si>
  <si>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</si>
  <si>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</si>
  <si>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</si>
  <si>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</si>
  <si>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</si>
  <si>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</si>
  <si>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</si>
  <si>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</si>
  <si>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</si>
  <si>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</si>
  <si>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</si>
  <si>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</si>
  <si>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</si>
  <si>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</si>
  <si>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</si>
  <si>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</si>
  <si>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</si>
  <si>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</si>
  <si>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</si>
  <si>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</si>
  <si>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</si>
  <si>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</si>
  <si>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</si>
  <si>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</si>
  <si>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</si>
  <si>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</si>
  <si>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</si>
  <si>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</si>
  <si>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</si>
  <si>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</si>
  <si>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</si>
  <si>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</si>
  <si>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</si>
  <si>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</si>
  <si>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</si>
  <si>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</si>
  <si>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</si>
  <si>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</si>
  <si>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</si>
  <si>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</si>
  <si>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</si>
  <si>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</si>
  <si>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</si>
  <si>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</si>
  <si>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</si>
  <si>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</si>
  <si>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</si>
  <si>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</si>
  <si>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</si>
  <si>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</si>
  <si>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</si>
  <si>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</si>
  <si>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</si>
  <si>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</si>
  <si>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</si>
  <si>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</si>
  <si>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</si>
  <si>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</si>
  <si>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</si>
  <si>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</si>
  <si>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</si>
  <si>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</si>
  <si>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</si>
  <si>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</si>
  <si>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</si>
  <si>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</si>
  <si>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</si>
  <si>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</si>
  <si>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</si>
  <si>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</si>
  <si>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</si>
  <si>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</si>
  <si>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</si>
  <si>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</si>
  <si>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</si>
  <si>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</si>
  <si>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</si>
  <si>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</si>
  <si>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</si>
  <si>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</si>
  <si>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</si>
  <si>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</si>
  <si>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</si>
  <si>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</si>
  <si>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</si>
  <si>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</si>
  <si>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</si>
  <si>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</si>
  <si>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</si>
  <si>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</si>
  <si>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</si>
  <si>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</si>
  <si>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</si>
  <si>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</si>
  <si>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</si>
  <si>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</si>
  <si>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</si>
  <si>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</si>
  <si>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</si>
  <si>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</si>
  <si>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</si>
  <si>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</si>
  <si>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</si>
  <si>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</si>
  <si>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</si>
  <si>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</si>
  <si>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</si>
  <si>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</si>
  <si>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</si>
  <si>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</si>
  <si>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</si>
  <si>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</si>
  <si>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</si>
  <si>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</si>
  <si>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</si>
  <si>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</si>
  <si>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</si>
  <si>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</si>
  <si>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</si>
  <si>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</si>
  <si>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</si>
  <si>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</si>
  <si>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</si>
  <si>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</si>
  <si>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</si>
  <si>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</si>
  <si>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</si>
  <si>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</si>
  <si>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</si>
  <si>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</si>
  <si>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</si>
  <si>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</si>
  <si>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</si>
  <si>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</si>
  <si>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</si>
  <si>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</si>
  <si>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</si>
  <si>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</si>
  <si>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</si>
  <si>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</si>
  <si>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</si>
  <si>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</si>
  <si>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</si>
  <si>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</si>
  <si>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</si>
  <si>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</si>
  <si>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</si>
  <si>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</si>
  <si>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</si>
  <si>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</si>
  <si>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</si>
  <si>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</si>
  <si>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</si>
  <si>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</si>
  <si>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</si>
  <si>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</si>
  <si>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</si>
  <si>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</si>
  <si>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</si>
  <si>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</si>
  <si>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</si>
  <si>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</si>
  <si>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</si>
  <si>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</si>
  <si>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</si>
  <si>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</si>
  <si>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</si>
  <si>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</si>
  <si>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</si>
  <si>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</si>
  <si>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</si>
  <si>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</si>
  <si>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</si>
  <si>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</si>
  <si>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</si>
  <si>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</si>
  <si>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</si>
  <si>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</si>
  <si>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</si>
  <si>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</si>
  <si>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</si>
  <si>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</si>
  <si>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</si>
  <si>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</si>
  <si>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</si>
  <si>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</si>
  <si>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</si>
  <si>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</si>
  <si>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</si>
  <si>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</si>
  <si>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</si>
  <si>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</si>
  <si>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</si>
  <si>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</si>
  <si>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</si>
  <si>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</si>
  <si>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</si>
  <si>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</si>
  <si>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</si>
  <si>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</si>
  <si>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</si>
  <si>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</si>
  <si>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</si>
  <si>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</si>
  <si>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</si>
  <si>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</si>
  <si>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</si>
  <si>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</si>
  <si>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</si>
  <si>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</si>
  <si>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</si>
  <si>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</si>
  <si>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</si>
  <si>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</si>
  <si>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</si>
  <si>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</si>
  <si>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</si>
  <si>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</si>
  <si>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</si>
  <si>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</si>
  <si>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</si>
  <si>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</si>
  <si>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</si>
  <si>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</si>
  <si>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</si>
  <si>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</si>
  <si>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</si>
  <si>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</si>
  <si>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</si>
  <si>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</si>
  <si>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</si>
  <si>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</si>
  <si>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</si>
  <si>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</si>
  <si>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</si>
  <si>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</si>
  <si>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</si>
  <si>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</si>
  <si>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</si>
  <si>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</si>
  <si>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</si>
  <si>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</si>
  <si>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</si>
  <si>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</si>
  <si>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</si>
  <si>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</si>
  <si>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</si>
  <si>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</si>
  <si>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</si>
  <si>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</si>
  <si>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</si>
  <si>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</si>
  <si>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</si>
  <si>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</si>
  <si>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</si>
  <si>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</si>
  <si>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</si>
  <si>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</si>
  <si>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</si>
  <si>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</si>
  <si>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</si>
  <si>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</si>
  <si>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</si>
  <si>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</si>
  <si>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</si>
  <si>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</si>
  <si>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</si>
  <si>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</si>
  <si>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</si>
  <si>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</si>
  <si>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</si>
  <si>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</si>
  <si>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</si>
  <si>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</si>
  <si>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</si>
  <si>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</si>
  <si>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</si>
  <si>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</si>
  <si>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</si>
  <si>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</si>
  <si>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</si>
  <si>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</si>
  <si>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</si>
  <si>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</si>
  <si>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</si>
  <si>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</si>
  <si>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</si>
  <si>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</si>
  <si>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</si>
  <si>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</si>
  <si>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</si>
  <si>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</si>
  <si>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</si>
  <si>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</si>
  <si>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</si>
  <si>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</si>
  <si>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</si>
  <si>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</si>
  <si>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</si>
  <si>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</si>
  <si>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</si>
  <si>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</si>
  <si>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</si>
  <si>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</si>
  <si>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</si>
  <si>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</si>
  <si>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</si>
  <si>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</si>
  <si>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</si>
  <si>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</si>
  <si>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</si>
  <si>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</si>
  <si>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</si>
  <si>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</si>
  <si>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</si>
  <si>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</si>
  <si>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</si>
  <si>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</si>
  <si>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</si>
  <si>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</si>
  <si>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</si>
  <si>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</si>
  <si>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</si>
  <si>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</si>
  <si>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</si>
  <si>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</si>
  <si>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</si>
  <si>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</si>
  <si>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</si>
  <si>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</si>
  <si>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</si>
  <si>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</si>
  <si>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</si>
  <si>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</si>
  <si>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</si>
  <si>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</si>
  <si>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</si>
  <si>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</si>
  <si>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</si>
  <si>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</si>
  <si>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</si>
  <si>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</si>
  <si>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</si>
  <si>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</si>
  <si>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</si>
  <si>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</si>
  <si>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</si>
  <si>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</si>
  <si>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</si>
  <si>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</si>
  <si>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</si>
  <si>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</si>
  <si>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</si>
  <si>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</si>
  <si>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</si>
  <si>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</si>
  <si>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</si>
  <si>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</si>
  <si>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</si>
  <si>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</si>
  <si>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</si>
  <si>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</si>
  <si>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</si>
  <si>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</si>
  <si>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</si>
  <si>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</si>
  <si>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</si>
  <si>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</si>
  <si>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</si>
  <si>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</si>
  <si>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</si>
  <si>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</si>
  <si>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</si>
  <si>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</si>
  <si>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</si>
  <si>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</si>
  <si>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</si>
  <si>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</si>
  <si>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</si>
  <si>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</si>
  <si>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</si>
  <si>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</si>
  <si>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</si>
  <si>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</si>
  <si>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</si>
  <si>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</si>
  <si>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</si>
  <si>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</si>
  <si>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</si>
  <si>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</si>
  <si>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</si>
  <si>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</si>
  <si>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</si>
  <si>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</si>
  <si>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</si>
  <si>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</si>
  <si>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</si>
  <si>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</si>
  <si>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</si>
  <si>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</si>
  <si>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</si>
  <si>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</si>
  <si>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</si>
  <si>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</si>
  <si>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</si>
  <si>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</si>
  <si>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</si>
  <si>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</si>
  <si>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</si>
  <si>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</si>
  <si>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</si>
  <si>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</si>
  <si>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</si>
  <si>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</si>
  <si>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</si>
  <si>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</si>
  <si>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</si>
  <si>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</si>
  <si>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</si>
  <si>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</si>
  <si>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</si>
  <si>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</si>
  <si>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</si>
  <si>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</si>
  <si>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</si>
  <si>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</si>
  <si>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</si>
  <si>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</si>
  <si>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</si>
  <si>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</si>
  <si>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</si>
  <si>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</si>
  <si>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</si>
  <si>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</si>
  <si>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</si>
  <si>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</si>
  <si>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</si>
  <si>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</si>
  <si>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</si>
  <si>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</si>
  <si>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</si>
  <si>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</si>
  <si>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</si>
  <si>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</si>
  <si>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</si>
  <si>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</si>
  <si>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</si>
  <si>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</si>
  <si>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</si>
  <si>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</si>
  <si>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</si>
  <si>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</si>
  <si>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</si>
  <si>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</si>
  <si>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</si>
  <si>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</si>
  <si>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</si>
  <si>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</si>
  <si>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</si>
  <si>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</si>
  <si>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</si>
  <si>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</si>
  <si>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</si>
  <si>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</si>
  <si>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</si>
  <si>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</si>
  <si>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</si>
  <si>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</si>
  <si>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</si>
  <si>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</si>
  <si>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</si>
  <si>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</si>
  <si>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</si>
  <si>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</si>
  <si>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</si>
  <si>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</si>
  <si>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</si>
  <si>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</si>
  <si>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</si>
  <si>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</si>
  <si>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</si>
  <si>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</si>
  <si>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</si>
  <si>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</si>
  <si>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</si>
  <si>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</si>
  <si>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</si>
  <si>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</si>
  <si>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</si>
  <si>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</si>
  <si>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</si>
  <si>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</si>
  <si>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</si>
  <si>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</si>
  <si>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</si>
  <si>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</si>
  <si>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</si>
  <si>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</si>
  <si>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</si>
  <si>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</si>
  <si>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</si>
  <si>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</si>
  <si>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</si>
  <si>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</si>
  <si>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</si>
  <si>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</si>
  <si>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</si>
  <si>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</si>
  <si>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</si>
  <si>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</si>
  <si>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</si>
  <si>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</si>
  <si>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</si>
  <si>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</si>
  <si>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</si>
  <si>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</si>
  <si>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</si>
  <si>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</si>
  <si>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</si>
  <si>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</si>
  <si>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</si>
  <si>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</si>
  <si>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</si>
  <si>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</si>
  <si>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</si>
  <si>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</si>
  <si>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</si>
  <si>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</si>
  <si>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</si>
  <si>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</si>
  <si>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</si>
  <si>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</si>
  <si>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</si>
  <si>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</si>
  <si>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</si>
  <si>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</si>
  <si>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</si>
  <si>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</si>
  <si>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</si>
  <si>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</si>
  <si>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</si>
  <si>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</si>
  <si>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</si>
  <si>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</si>
  <si>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</si>
  <si>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</si>
  <si>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</si>
  <si>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</si>
  <si>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</si>
  <si>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</si>
  <si>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</si>
  <si>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</si>
  <si>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</si>
  <si>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</si>
  <si>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</si>
  <si>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</si>
  <si>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</si>
  <si>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</si>
  <si>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</si>
  <si>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</si>
  <si>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</si>
  <si>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</si>
  <si>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</si>
  <si>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</si>
  <si>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</si>
  <si>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</si>
  <si>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</si>
  <si>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</si>
  <si>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</si>
  <si>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</si>
  <si>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</si>
  <si>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</si>
  <si>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</si>
  <si>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</si>
  <si>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</si>
  <si>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</si>
  <si>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</si>
  <si>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</si>
  <si>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</si>
  <si>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</si>
  <si>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</si>
  <si>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</si>
  <si>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</si>
  <si>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</si>
  <si>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</si>
  <si>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</si>
  <si>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</si>
  <si>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</si>
  <si>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</si>
  <si>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</si>
  <si>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</si>
  <si>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</si>
  <si>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</si>
  <si>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</si>
  <si>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</si>
  <si>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</si>
  <si>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</si>
  <si>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</si>
  <si>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</si>
  <si>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</si>
  <si>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</si>
  <si>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</si>
  <si>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</si>
  <si>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</si>
  <si>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</si>
  <si>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</si>
  <si>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</si>
  <si>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</si>
  <si>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</si>
  <si>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</si>
  <si>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</si>
  <si>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</si>
  <si>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</si>
  <si>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</si>
  <si>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</si>
  <si>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</si>
  <si>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</si>
  <si>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</si>
  <si>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</si>
  <si>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</si>
  <si>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</si>
  <si>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</si>
  <si>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</si>
  <si>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</si>
  <si>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</si>
  <si>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</si>
  <si>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</si>
  <si>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</si>
  <si>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</si>
  <si>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</si>
  <si>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</si>
  <si>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</si>
  <si>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</si>
  <si>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</si>
  <si>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</si>
  <si>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</si>
  <si>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</si>
  <si>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</si>
  <si>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</si>
  <si>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</si>
  <si>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</si>
  <si>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</si>
  <si>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</si>
  <si>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</si>
  <si>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</si>
  <si>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</si>
  <si>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</si>
  <si>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</si>
  <si>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</si>
  <si>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</si>
  <si>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</si>
  <si>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</si>
  <si>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</si>
  <si>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</si>
  <si>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</si>
  <si>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</si>
  <si>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</si>
  <si>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</si>
  <si>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</si>
  <si>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</si>
  <si>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</si>
  <si>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</si>
  <si>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</si>
  <si>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</si>
  <si>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</si>
  <si>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</si>
  <si>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</si>
  <si>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</si>
  <si>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</si>
  <si>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</si>
  <si>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</si>
  <si>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</si>
  <si>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</si>
  <si>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</si>
  <si>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</si>
  <si>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</si>
  <si>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</si>
  <si>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</si>
  <si>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</si>
  <si>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</si>
  <si>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</si>
  <si>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</si>
  <si>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</si>
  <si>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</si>
  <si>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</si>
  <si>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</si>
  <si>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</si>
  <si>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</si>
  <si>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</si>
  <si>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</si>
  <si>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</si>
  <si>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</si>
  <si>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</si>
  <si>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</si>
  <si>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</si>
  <si>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</si>
  <si>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</si>
  <si>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</si>
  <si>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</si>
  <si>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</si>
  <si>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</si>
  <si>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</si>
  <si>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</si>
  <si>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</si>
  <si>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</si>
  <si>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</si>
  <si>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</si>
  <si>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</si>
  <si>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</si>
  <si>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</si>
  <si>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</si>
  <si>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</si>
  <si>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</si>
  <si>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</si>
  <si>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</si>
  <si>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</si>
  <si>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</si>
  <si>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</si>
  <si>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</si>
  <si>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</si>
  <si>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</si>
  <si>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</si>
  <si>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</si>
  <si>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</si>
  <si>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</si>
  <si>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</si>
  <si>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</si>
  <si>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</si>
  <si>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</si>
  <si>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</si>
  <si>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</si>
  <si>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</si>
  <si>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</si>
  <si>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</si>
  <si>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</si>
  <si>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</si>
  <si>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</si>
  <si>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</si>
  <si>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</si>
  <si>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</si>
  <si>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</si>
  <si>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</si>
  <si>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</si>
  <si>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</si>
  <si>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</si>
  <si>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</si>
  <si>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</si>
  <si>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</si>
  <si>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</si>
  <si>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</si>
  <si>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</si>
  <si>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</si>
  <si>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</si>
  <si>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</si>
  <si>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</si>
  <si>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</si>
  <si>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</si>
  <si>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</si>
  <si>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</si>
  <si>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</si>
  <si>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</si>
  <si>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</si>
  <si>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</si>
  <si>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</si>
  <si>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</si>
  <si>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</si>
  <si>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</si>
  <si>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</si>
  <si>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</si>
  <si>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</si>
  <si>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</si>
  <si>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</si>
  <si>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</si>
  <si>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</si>
  <si>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</si>
  <si>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</si>
  <si>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</si>
  <si>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</si>
  <si>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</si>
  <si>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</si>
  <si>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</si>
  <si>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</si>
  <si>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</si>
  <si>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</si>
  <si>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</si>
  <si>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</si>
  <si>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</si>
  <si>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</si>
  <si>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</si>
  <si>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</si>
  <si>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</si>
  <si>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</si>
  <si>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</si>
  <si>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</si>
  <si>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</si>
  <si>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</si>
  <si>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</si>
  <si>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</si>
  <si>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</si>
  <si>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</si>
  <si>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</si>
  <si>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</si>
  <si>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</si>
  <si>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</si>
  <si>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</si>
  <si>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</si>
  <si>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</si>
  <si>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</si>
  <si>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</si>
  <si>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</si>
  <si>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</si>
  <si>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</si>
  <si>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</si>
  <si>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</si>
  <si>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</si>
  <si>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</si>
  <si>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</si>
  <si>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</si>
  <si>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</si>
  <si>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</si>
  <si>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</si>
  <si>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</si>
  <si>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</si>
  <si>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</si>
  <si>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</si>
  <si>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</si>
  <si>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</si>
  <si>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</si>
  <si>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</si>
  <si>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</si>
  <si>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</si>
  <si>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</si>
  <si>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</si>
  <si>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</si>
  <si>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</si>
  <si>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</si>
  <si>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</si>
  <si>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</si>
  <si>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</si>
  <si>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</si>
  <si>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</si>
  <si>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</si>
  <si>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</si>
  <si>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</si>
  <si>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</si>
  <si>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</si>
  <si>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</si>
  <si>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</si>
  <si>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</si>
  <si>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</si>
  <si>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</si>
  <si>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</si>
  <si>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</si>
  <si>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</si>
  <si>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</si>
  <si>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</si>
  <si>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</si>
  <si>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</si>
  <si>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</si>
  <si>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</si>
  <si>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</si>
  <si>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</si>
  <si>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</si>
  <si>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</si>
  <si>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</si>
  <si>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</si>
  <si>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</si>
  <si>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</si>
  <si>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</si>
  <si>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</si>
  <si>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</si>
  <si>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</si>
  <si>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</si>
  <si>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</si>
  <si>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</si>
  <si>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</si>
  <si>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</si>
  <si>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</si>
  <si>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</si>
  <si>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</si>
  <si>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</si>
  <si>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</si>
  <si>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</si>
  <si>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</si>
  <si>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</si>
  <si>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</si>
  <si>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</si>
  <si>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</si>
  <si>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</si>
  <si>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</si>
  <si>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</si>
  <si>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</si>
  <si>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</si>
  <si>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</si>
  <si>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</si>
  <si>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</si>
  <si>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</si>
  <si>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</si>
  <si>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</si>
  <si>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</si>
  <si>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</si>
  <si>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</si>
  <si>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</si>
  <si>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</si>
  <si>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</si>
  <si>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</si>
  <si>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</si>
  <si>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</si>
  <si>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</si>
  <si>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</si>
  <si>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</si>
  <si>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</si>
  <si>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</si>
  <si>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</si>
  <si>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</si>
  <si>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</si>
  <si>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</si>
  <si>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</si>
  <si>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</si>
  <si>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</si>
  <si>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</si>
  <si>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</si>
  <si>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</si>
  <si>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</si>
  <si>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</si>
  <si>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</si>
  <si>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</si>
  <si>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</si>
  <si>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</si>
  <si>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</si>
  <si>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</si>
  <si>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</si>
  <si>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</si>
  <si>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</si>
  <si>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</si>
  <si>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</si>
  <si>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</si>
  <si>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</si>
  <si>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</si>
  <si>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</si>
  <si>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</si>
  <si>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</si>
  <si>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</si>
  <si>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</si>
  <si>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</si>
  <si>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</si>
  <si>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</si>
  <si>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</si>
  <si>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</si>
  <si>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</si>
  <si>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</si>
  <si>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</si>
  <si>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</si>
  <si>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</si>
  <si>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</si>
  <si>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</si>
  <si>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</si>
  <si>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</si>
  <si>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</si>
  <si>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</si>
  <si>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</si>
  <si>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</si>
  <si>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</si>
  <si>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</si>
  <si>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</si>
  <si>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</si>
  <si>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</si>
  <si>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</si>
  <si>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</si>
  <si>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</si>
  <si>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</si>
  <si>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</si>
  <si>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</si>
  <si>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</si>
  <si>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</si>
  <si>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</si>
  <si>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</si>
  <si>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</si>
  <si>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</si>
  <si>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</si>
  <si>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</si>
  <si>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</si>
  <si>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</si>
  <si>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</si>
  <si>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</si>
  <si>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</si>
  <si>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</si>
  <si>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</si>
  <si>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</si>
  <si>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</si>
  <si>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</si>
  <si>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</si>
  <si>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</si>
  <si>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</si>
  <si>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</si>
  <si>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</si>
  <si>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</si>
  <si>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</si>
  <si>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</si>
  <si>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</si>
  <si>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</si>
  <si>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</si>
  <si>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</si>
  <si>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</si>
  <si>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</si>
  <si>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</si>
  <si>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</si>
  <si>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</si>
  <si>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</si>
  <si>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</si>
  <si>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</si>
  <si>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</si>
  <si>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</si>
  <si>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</si>
  <si>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</si>
  <si>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</si>
  <si>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</si>
  <si>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</si>
  <si>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</si>
  <si>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</si>
  <si>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</si>
  <si>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</si>
  <si>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</si>
  <si>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</si>
  <si>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</si>
  <si>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</si>
  <si>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</si>
  <si>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</si>
  <si>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</si>
  <si>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</si>
  <si>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</si>
  <si>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</si>
  <si>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</si>
  <si>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</si>
  <si>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</si>
  <si>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</si>
  <si>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</si>
  <si>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</si>
  <si>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</si>
  <si>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</si>
  <si>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</si>
  <si>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</si>
  <si>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</si>
  <si>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</si>
  <si>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</si>
  <si>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</si>
  <si>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</si>
  <si>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</si>
  <si>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</si>
  <si>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</si>
  <si>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</si>
  <si>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</si>
  <si>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</si>
  <si>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</si>
  <si>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</si>
  <si>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</si>
  <si>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</si>
  <si>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</si>
  <si>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</si>
  <si>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</si>
  <si>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</si>
  <si>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</si>
  <si>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</si>
  <si>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</si>
  <si>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</si>
  <si>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</si>
  <si>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</si>
  <si>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</si>
  <si>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</si>
  <si>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</si>
  <si>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</si>
  <si>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</si>
  <si>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</si>
  <si>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</si>
  <si>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</si>
  <si>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</si>
  <si>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</si>
  <si>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</si>
  <si>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</si>
  <si>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</si>
  <si>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</si>
  <si>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</si>
  <si>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</si>
  <si>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</si>
  <si>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</si>
  <si>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</si>
  <si>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</si>
  <si>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</si>
  <si>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</si>
  <si>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</si>
  <si>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</si>
  <si>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</si>
  <si>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</si>
  <si>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</si>
  <si>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</si>
  <si>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</si>
  <si>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</si>
  <si>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</si>
  <si>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</si>
  <si>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</si>
  <si>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</si>
  <si>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</si>
  <si>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</si>
  <si>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</si>
  <si>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</si>
  <si>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</si>
  <si>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</si>
  <si>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</si>
  <si>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</si>
  <si>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</si>
  <si>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</si>
  <si>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</si>
  <si>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</si>
  <si>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</si>
  <si>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</si>
  <si>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</si>
  <si>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</si>
  <si>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</si>
  <si>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</si>
  <si>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</si>
  <si>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</si>
  <si>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</si>
  <si>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</si>
  <si>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</si>
  <si>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</si>
  <si>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</si>
  <si>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</si>
  <si>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</si>
  <si>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</si>
  <si>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</si>
  <si>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</si>
  <si>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</si>
  <si>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</si>
  <si>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</si>
  <si>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</si>
  <si>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</si>
  <si>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</si>
  <si>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</si>
  <si>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</si>
  <si>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</si>
  <si>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</si>
  <si>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</si>
  <si>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</si>
  <si>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</si>
  <si>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</si>
  <si>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</si>
  <si>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</si>
  <si>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</si>
  <si>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</si>
  <si>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</si>
  <si>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</si>
  <si>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</si>
  <si>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</si>
  <si>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</si>
  <si>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</si>
  <si>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</si>
  <si>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</si>
  <si>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</si>
  <si>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</si>
  <si>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</si>
  <si>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</si>
  <si>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</si>
  <si>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</si>
  <si>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</si>
  <si>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</si>
  <si>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</si>
  <si>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</si>
  <si>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</si>
  <si>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</si>
  <si>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</si>
  <si>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</si>
  <si>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</si>
  <si>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</si>
  <si>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</si>
  <si>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</si>
  <si>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</si>
  <si>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</si>
  <si>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</si>
  <si>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</si>
  <si>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</si>
  <si>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</si>
  <si>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</si>
  <si>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</si>
  <si>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</si>
  <si>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</si>
  <si>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</si>
  <si>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</si>
  <si>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</si>
  <si>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</si>
  <si>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</si>
  <si>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</si>
  <si>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</si>
  <si>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</si>
  <si>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</si>
  <si>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</si>
  <si>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</si>
  <si>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</si>
  <si>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</si>
  <si>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</si>
  <si>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</si>
  <si>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</si>
  <si>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</si>
  <si>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</si>
  <si>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</si>
  <si>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</si>
  <si>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</si>
  <si>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</si>
  <si>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</si>
  <si>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</si>
  <si>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</si>
  <si>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</si>
  <si>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</si>
  <si>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</si>
  <si>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</si>
  <si>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</si>
  <si>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</si>
  <si>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</si>
  <si>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</si>
  <si>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</si>
  <si>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</si>
  <si>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</si>
  <si>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</si>
  <si>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</si>
  <si>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</si>
  <si>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</si>
  <si>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</si>
  <si>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</si>
  <si>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</si>
  <si>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</si>
  <si>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</si>
  <si>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</si>
  <si>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</si>
  <si>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</si>
  <si>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</si>
  <si>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</si>
  <si>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</si>
  <si>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</si>
  <si>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</si>
  <si>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</si>
  <si>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</si>
  <si>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</si>
  <si>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</si>
  <si>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</si>
  <si>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</si>
  <si>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</si>
  <si>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</si>
  <si>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</si>
  <si>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</si>
  <si>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</si>
  <si>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</si>
  <si>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</si>
  <si>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</si>
  <si>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</si>
  <si>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</si>
  <si>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</si>
  <si>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</si>
  <si>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</si>
  <si>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</si>
  <si>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</si>
  <si>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</si>
  <si>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</si>
  <si>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</si>
  <si>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</si>
  <si>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</si>
  <si>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</si>
  <si>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</si>
  <si>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</si>
  <si>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</si>
  <si>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</si>
  <si>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</si>
  <si>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</si>
  <si>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</si>
  <si>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</si>
  <si>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</si>
  <si>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</si>
  <si>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</si>
  <si>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</si>
  <si>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</si>
  <si>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</si>
  <si>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</si>
  <si>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</si>
  <si>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</si>
  <si>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</si>
  <si>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</si>
  <si>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</si>
  <si>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</si>
  <si>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</si>
  <si>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</si>
  <si>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</si>
  <si>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</si>
  <si>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</si>
  <si>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</si>
  <si>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</si>
  <si>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</si>
  <si>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</si>
  <si>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</si>
  <si>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</si>
  <si>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</si>
  <si>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</si>
  <si>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</si>
  <si>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</si>
  <si>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</si>
  <si>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</si>
  <si>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</si>
  <si>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</si>
  <si>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</si>
  <si>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</si>
  <si>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</si>
  <si>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</si>
  <si>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</si>
  <si>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</si>
  <si>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</si>
  <si>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</si>
  <si>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</si>
  <si>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</si>
  <si>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</si>
  <si>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</si>
  <si>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</si>
  <si>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</si>
  <si>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</si>
  <si>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</si>
  <si>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</si>
  <si>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</si>
  <si>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</si>
  <si>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</si>
  <si>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</si>
  <si>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</si>
  <si>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</si>
  <si>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</si>
  <si>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</si>
  <si>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</si>
  <si>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</si>
  <si>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</si>
  <si>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</si>
  <si>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</si>
  <si>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</si>
  <si>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</si>
  <si>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</si>
  <si>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</si>
  <si>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</si>
  <si>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</si>
  <si>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</si>
  <si>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</si>
  <si>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</si>
  <si>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</si>
  <si>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</si>
  <si>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</si>
  <si>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</si>
  <si>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</si>
  <si>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</si>
  <si>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</si>
  <si>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</si>
  <si>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</si>
  <si>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</si>
  <si>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</si>
  <si>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</si>
  <si>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</si>
  <si>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</si>
  <si>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</si>
  <si>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</si>
  <si>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</si>
  <si>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</si>
  <si>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</si>
  <si>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</si>
  <si>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</si>
  <si>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</si>
  <si>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</si>
  <si>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</si>
  <si>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</si>
  <si>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</si>
  <si>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</si>
  <si>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</si>
  <si>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</si>
  <si>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</si>
  <si>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</si>
  <si>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</si>
  <si>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</si>
  <si>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</si>
  <si>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</si>
  <si>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</si>
  <si>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</si>
  <si>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</si>
  <si>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</si>
  <si>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</si>
  <si>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</si>
  <si>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</si>
  <si>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</si>
  <si>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</si>
  <si>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</si>
  <si>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</si>
  <si>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</si>
  <si>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</si>
  <si>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</si>
  <si>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</si>
  <si>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</si>
  <si>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</si>
  <si>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マスタと一致</t>
    <rPh sb="4" eb="6">
      <t>イッチ</t>
    </rPh>
    <phoneticPr fontId="2"/>
  </si>
  <si>
    <t>ランタスＸＲ注ソロスター</t>
  </si>
  <si>
    <t>ヒューマリンＲ注ミリオペン</t>
  </si>
  <si>
    <t>ビムパット錠５０ｍｇ</t>
  </si>
  <si>
    <t>クレナフィン爪外用液１０％</t>
  </si>
  <si>
    <t>ルボックス錠２５</t>
  </si>
  <si>
    <t>アレギサール点眼液０．１％</t>
  </si>
  <si>
    <t>アウィクリ注 フレックスタッチ 総量３００単位</t>
  </si>
  <si>
    <t>クラシエ小青竜湯エキス細粒</t>
  </si>
  <si>
    <t>薬品棚</t>
    <rPh sb="0" eb="2">
      <t>ヤクヒン</t>
    </rPh>
    <rPh sb="2" eb="3">
      <t>タナ</t>
    </rPh>
    <phoneticPr fontId="2"/>
  </si>
  <si>
    <t>棚</t>
    <rPh sb="0" eb="1">
      <t>タナ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</si>
</sst>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;[Red]\-#,##0.0"/>
    <numFmt numFmtId="177" formatCode="0.00_ 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5" borderId="0" xfId="3">
      <alignment vertical="center"/>
    </xf>
    <xf numFmtId="0" fontId="7" fillId="6" borderId="0" xfId="4">
      <alignment vertical="center"/>
    </xf>
    <xf numFmtId="0" fontId="9" fillId="6" borderId="2" xfId="6" applyFill="1">
      <alignment vertical="center"/>
    </xf>
    <xf numFmtId="0" fontId="3" fillId="0" borderId="0" xfId="2"/>
    <xf numFmtId="0" fontId="8" fillId="7" borderId="0" xfId="5">
      <alignment vertical="center"/>
    </xf>
    <xf numFmtId="0" fontId="8" fillId="7" borderId="2" xfId="5" applyBorder="1">
      <alignment vertical="center"/>
    </xf>
    <xf numFmtId="0" fontId="6" fillId="5" borderId="3" xfId="3" applyBorder="1">
      <alignment vertical="center"/>
    </xf>
    <xf numFmtId="0" fontId="8" fillId="7" borderId="0" xfId="5" applyAlignment="1"/>
    <xf numFmtId="0" fontId="7" fillId="6" borderId="0" xfId="4" applyAlignment="1"/>
    <xf numFmtId="0" fontId="8" fillId="7" borderId="1" xfId="5" applyBorder="1" applyAlignment="1">
      <alignment shrinkToFit="1"/>
    </xf>
    <xf numFmtId="0" fontId="8" fillId="7" borderId="1" xfId="5" applyBorder="1" applyAlignment="1">
      <alignment horizontal="center" shrinkToFit="1"/>
    </xf>
    <xf numFmtId="176" fontId="8" fillId="7" borderId="1" xfId="5" applyNumberFormat="1" applyBorder="1" applyAlignment="1">
      <alignment horizontal="right" shrinkToFit="1"/>
    </xf>
    <xf numFmtId="40" fontId="8" fillId="7" borderId="1" xfId="5" applyNumberFormat="1" applyBorder="1" applyAlignment="1">
      <alignment shrinkToFit="1"/>
    </xf>
    <xf numFmtId="38" fontId="8" fillId="7" borderId="1" xfId="5" applyNumberFormat="1" applyBorder="1" applyAlignment="1">
      <alignment horizontal="right" shrinkToFit="1"/>
    </xf>
    <xf numFmtId="40" fontId="8" fillId="7" borderId="1" xfId="5" applyNumberFormat="1" applyBorder="1" applyAlignment="1">
      <alignment horizontal="right" shrinkToFit="1"/>
    </xf>
    <xf numFmtId="177" fontId="8" fillId="7" borderId="0" xfId="5" applyNumberFormat="1">
      <alignment vertical="center"/>
    </xf>
  </cellXfs>
  <cellStyles count="7">
    <cellStyle name="どちらでもない" xfId="5" builtinId="28"/>
    <cellStyle name="リンク セル" xfId="6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4"/>
  <sheetViews>
    <sheetView zoomScale="120" zoomScaleNormal="120" workbookViewId="0">
      <pane ySplit="1" topLeftCell="A2" activePane="bottomLeft" state="frozen"/>
      <selection pane="bottomLeft" activeCell="O43" sqref="O43"/>
    </sheetView>
  </sheetViews>
  <sheetFormatPr defaultColWidth="9" defaultRowHeight="13.5" x14ac:dyDescent="0.15"/>
  <cols>
    <col min="1" max="1" width="32" style="1" customWidth="1"/>
    <col min="2" max="2" width="1.7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</cols>
  <sheetData>
    <row r="1" spans="1:15" s="23" customFormat="1" ht="84" x14ac:dyDescent="0.15">
      <c r="A1" s="18" t="s">
        <v>0</v>
      </c>
      <c r="B1" s="18" t="s">
        <v>1220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1221</v>
      </c>
      <c r="H1" s="20" t="s">
        <v>4</v>
      </c>
      <c r="I1" s="18" t="s">
        <v>5</v>
      </c>
      <c r="J1" s="21" t="s">
        <v>1222</v>
      </c>
      <c r="K1" s="20" t="s">
        <v>1223</v>
      </c>
      <c r="L1" s="18" t="s">
        <v>7</v>
      </c>
      <c r="M1" s="22" t="s">
        <v>1237</v>
      </c>
      <c r="N1" s="24" t="s">
        <v>4041</v>
      </c>
      <c r="O1" s="23" t="s">
        <v>4050</v>
      </c>
    </row>
    <row r="2" spans="1:15" x14ac:dyDescent="0.15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</row>
    <row r="3" spans="1:15" x14ac:dyDescent="0.15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</row>
    <row r="4" spans="1:15" x14ac:dyDescent="0.15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</row>
    <row r="5" spans="1:15" x14ac:dyDescent="0.15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>
        <v>4</v>
      </c>
    </row>
    <row r="6" spans="1:15" x14ac:dyDescent="0.15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>
        <v>4</v>
      </c>
    </row>
    <row r="7" spans="1:15" x14ac:dyDescent="0.15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>
        <v>4</v>
      </c>
    </row>
    <row r="8" spans="1:15" x14ac:dyDescent="0.15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>
        <v>4</v>
      </c>
    </row>
    <row r="9" spans="1:15" x14ac:dyDescent="0.15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>
        <v>4</v>
      </c>
    </row>
    <row r="10" spans="1:15" x14ac:dyDescent="0.15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>
        <v>4</v>
      </c>
    </row>
    <row r="11" spans="1:15" x14ac:dyDescent="0.15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>
        <v>4</v>
      </c>
    </row>
    <row r="12" spans="1:15" x14ac:dyDescent="0.15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>
        <v>4</v>
      </c>
    </row>
    <row r="13" spans="1:15" x14ac:dyDescent="0.15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>
        <v>4</v>
      </c>
    </row>
    <row r="14" spans="1:15" x14ac:dyDescent="0.15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>
        <v>4</v>
      </c>
    </row>
    <row r="15" spans="1:15" x14ac:dyDescent="0.15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>
        <v>4</v>
      </c>
    </row>
    <row r="16" spans="1:15" x14ac:dyDescent="0.15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>
        <v>4</v>
      </c>
    </row>
    <row r="17" spans="1:15" x14ac:dyDescent="0.15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>
        <v>5</v>
      </c>
    </row>
    <row r="18" spans="1:15" x14ac:dyDescent="0.15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>
        <v>4</v>
      </c>
    </row>
    <row r="19" spans="1:15" x14ac:dyDescent="0.15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>
        <v>4</v>
      </c>
    </row>
    <row r="20" spans="1:15" x14ac:dyDescent="0.15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>
        <v>4</v>
      </c>
    </row>
    <row r="21" spans="1:15" x14ac:dyDescent="0.15">
      <c r="A21" s="6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>
        <v>4</v>
      </c>
    </row>
    <row r="22" spans="1:15" x14ac:dyDescent="0.15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>
        <v>4</v>
      </c>
    </row>
    <row r="23" spans="1:15" x14ac:dyDescent="0.15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>
        <v>4</v>
      </c>
    </row>
    <row r="24" spans="1:15" x14ac:dyDescent="0.15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>
        <v>4</v>
      </c>
    </row>
    <row r="25" spans="1:15" x14ac:dyDescent="0.15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>
        <v>5</v>
      </c>
    </row>
    <row r="26" spans="1:15" x14ac:dyDescent="0.15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>
        <v>3</v>
      </c>
    </row>
    <row r="27" spans="1:15" x14ac:dyDescent="0.15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>
        <v>15</v>
      </c>
    </row>
    <row r="28" spans="1:15" x14ac:dyDescent="0.15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>
        <v>5</v>
      </c>
    </row>
    <row r="29" spans="1:15" x14ac:dyDescent="0.15">
      <c r="A29" s="6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>
        <v>3</v>
      </c>
    </row>
    <row r="30" spans="1:15" x14ac:dyDescent="0.15">
      <c r="A30" s="6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>
        <v>15</v>
      </c>
    </row>
    <row r="31" spans="1:15" x14ac:dyDescent="0.15">
      <c r="A31" s="6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>
        <v>2</v>
      </c>
    </row>
    <row r="32" spans="1:15" x14ac:dyDescent="0.15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>
        <v>9</v>
      </c>
    </row>
    <row r="33" spans="1:15" x14ac:dyDescent="0.15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>
        <v>3</v>
      </c>
    </row>
    <row r="34" spans="1:15" x14ac:dyDescent="0.15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>
        <v>10</v>
      </c>
    </row>
    <row r="35" spans="1:15" x14ac:dyDescent="0.15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>
        <v>3</v>
      </c>
    </row>
    <row r="36" spans="1:15" x14ac:dyDescent="0.15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>
        <v>3</v>
      </c>
    </row>
    <row r="37" spans="1:15" x14ac:dyDescent="0.15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>
        <v>9</v>
      </c>
    </row>
    <row r="38" spans="1:15" x14ac:dyDescent="0.15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>
        <v>1</v>
      </c>
    </row>
    <row r="39" spans="1:15" x14ac:dyDescent="0.15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>
        <v>1</v>
      </c>
    </row>
    <row r="40" spans="1:15" x14ac:dyDescent="0.15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>
        <v>5</v>
      </c>
    </row>
    <row r="41" spans="1:15" x14ac:dyDescent="0.15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>
        <v>11</v>
      </c>
    </row>
    <row r="42" spans="1:15" x14ac:dyDescent="0.15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</row>
    <row r="43" spans="1:15" x14ac:dyDescent="0.15">
      <c r="A43" s="6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</row>
    <row r="44" spans="1:15" x14ac:dyDescent="0.15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</row>
    <row r="45" spans="1:15" x14ac:dyDescent="0.15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</row>
    <row r="46" spans="1:15" x14ac:dyDescent="0.15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</row>
    <row r="47" spans="1:15" x14ac:dyDescent="0.15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</row>
    <row r="48" spans="1:15" x14ac:dyDescent="0.15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</row>
    <row r="49" spans="1:14" x14ac:dyDescent="0.15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</row>
    <row r="50" spans="1:14" x14ac:dyDescent="0.15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</row>
    <row r="51" spans="1:14" x14ac:dyDescent="0.15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</row>
    <row r="52" spans="1:14" x14ac:dyDescent="0.15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</row>
    <row r="53" spans="1:14" x14ac:dyDescent="0.15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</row>
    <row r="54" spans="1:14" x14ac:dyDescent="0.15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</row>
    <row r="55" spans="1:14" x14ac:dyDescent="0.15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</row>
    <row r="56" spans="1:14" x14ac:dyDescent="0.15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</row>
    <row r="57" spans="1:14" x14ac:dyDescent="0.15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</row>
    <row r="58" spans="1:14" x14ac:dyDescent="0.15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</row>
    <row r="59" spans="1:14" x14ac:dyDescent="0.15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</row>
    <row r="60" spans="1:14" x14ac:dyDescent="0.15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</row>
    <row r="61" spans="1:14" x14ac:dyDescent="0.15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</row>
    <row r="62" spans="1:14" x14ac:dyDescent="0.15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</row>
    <row r="63" spans="1:14" x14ac:dyDescent="0.15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</row>
    <row r="64" spans="1:14" x14ac:dyDescent="0.15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</row>
    <row r="65" spans="1:14" x14ac:dyDescent="0.15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</row>
    <row r="66" spans="1:14" x14ac:dyDescent="0.15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3">G66/F66</f>
        <v>140</v>
      </c>
      <c r="I66" s="7" t="s">
        <v>57</v>
      </c>
      <c r="J66" s="10">
        <v>8069</v>
      </c>
      <c r="K66" s="11">
        <f t="shared" ref="K66:K129" si="4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</row>
    <row r="67" spans="1:14" x14ac:dyDescent="0.15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3"/>
        <v>140</v>
      </c>
      <c r="I67" s="7" t="s">
        <v>57</v>
      </c>
      <c r="J67" s="10">
        <v>7156</v>
      </c>
      <c r="K67" s="11">
        <f t="shared" si="4"/>
        <v>51.114285714285714</v>
      </c>
      <c r="L67" s="7" t="s">
        <v>185</v>
      </c>
      <c r="M67" s="15">
        <f t="shared" ref="M67:M130" si="5">F67-K67</f>
        <v>13.585714285714289</v>
      </c>
      <c r="N67" t="str">
        <f>IF(match_results!C67="完全一致","〇","×")</f>
        <v>×</v>
      </c>
    </row>
    <row r="68" spans="1:14" x14ac:dyDescent="0.15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3"/>
        <v>100</v>
      </c>
      <c r="I68" s="7" t="s">
        <v>38</v>
      </c>
      <c r="J68" s="10">
        <v>1210</v>
      </c>
      <c r="K68" s="11">
        <f t="shared" si="4"/>
        <v>12.1</v>
      </c>
      <c r="L68" s="7" t="s">
        <v>59</v>
      </c>
      <c r="M68" s="15">
        <f t="shared" si="5"/>
        <v>1.8000000000000007</v>
      </c>
      <c r="N68" t="str">
        <f>IF(match_results!C68="完全一致","〇","×")</f>
        <v>〇</v>
      </c>
    </row>
    <row r="69" spans="1:14" x14ac:dyDescent="0.15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3"/>
        <v>300</v>
      </c>
      <c r="I69" s="7" t="s">
        <v>38</v>
      </c>
      <c r="J69" s="10">
        <v>3630</v>
      </c>
      <c r="K69" s="11">
        <f t="shared" si="4"/>
        <v>12.1</v>
      </c>
      <c r="L69" s="7" t="s">
        <v>59</v>
      </c>
      <c r="M69" s="15">
        <f t="shared" si="5"/>
        <v>1.8000000000000007</v>
      </c>
      <c r="N69" t="str">
        <f>IF(match_results!C69="完全一致","〇","×")</f>
        <v>〇</v>
      </c>
    </row>
    <row r="70" spans="1:14" x14ac:dyDescent="0.15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3"/>
        <v>10</v>
      </c>
      <c r="I70" s="7" t="s">
        <v>88</v>
      </c>
      <c r="J70" s="12">
        <v>891</v>
      </c>
      <c r="K70" s="11">
        <f t="shared" si="4"/>
        <v>89.1</v>
      </c>
      <c r="L70" s="7" t="s">
        <v>193</v>
      </c>
      <c r="M70" s="15">
        <f t="shared" si="5"/>
        <v>10.900000000000006</v>
      </c>
      <c r="N70" t="str">
        <f>IF(match_results!C70="完全一致","〇","×")</f>
        <v>〇</v>
      </c>
    </row>
    <row r="71" spans="1:14" x14ac:dyDescent="0.15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3"/>
        <v>30</v>
      </c>
      <c r="I71" s="7" t="s">
        <v>38</v>
      </c>
      <c r="J71" s="10">
        <v>1458</v>
      </c>
      <c r="K71" s="11">
        <f t="shared" si="4"/>
        <v>48.6</v>
      </c>
      <c r="L71" s="7" t="s">
        <v>196</v>
      </c>
      <c r="M71" s="15">
        <f t="shared" si="5"/>
        <v>9.8999999999999986</v>
      </c>
      <c r="N71" t="str">
        <f>IF(match_results!C71="完全一致","〇","×")</f>
        <v>〇</v>
      </c>
    </row>
    <row r="72" spans="1:14" x14ac:dyDescent="0.15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3"/>
        <v>300</v>
      </c>
      <c r="I72" s="7" t="s">
        <v>38</v>
      </c>
      <c r="J72" s="12">
        <v>2700</v>
      </c>
      <c r="K72" s="11">
        <f t="shared" si="4"/>
        <v>9</v>
      </c>
      <c r="L72" s="7" t="s">
        <v>185</v>
      </c>
      <c r="M72" s="15">
        <f t="shared" si="5"/>
        <v>0.90000000000000036</v>
      </c>
      <c r="N72" t="str">
        <f>IF(match_results!C72="完全一致","〇","×")</f>
        <v>×</v>
      </c>
    </row>
    <row r="73" spans="1:14" x14ac:dyDescent="0.15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3"/>
        <v>5</v>
      </c>
      <c r="I73" s="7" t="s">
        <v>88</v>
      </c>
      <c r="J73" s="10">
        <v>9005</v>
      </c>
      <c r="K73" s="11">
        <f t="shared" si="4"/>
        <v>1801</v>
      </c>
      <c r="L73" s="7" t="s">
        <v>203</v>
      </c>
      <c r="M73" s="15">
        <f t="shared" si="5"/>
        <v>200</v>
      </c>
      <c r="N73" t="str">
        <f>IF(match_results!C73="完全一致","〇","×")</f>
        <v>×</v>
      </c>
    </row>
    <row r="74" spans="1:14" x14ac:dyDescent="0.15">
      <c r="A74" s="6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3"/>
        <v>1</v>
      </c>
      <c r="I74" s="7" t="s">
        <v>206</v>
      </c>
      <c r="J74" s="12">
        <v>4726</v>
      </c>
      <c r="K74" s="11">
        <f t="shared" si="4"/>
        <v>4726</v>
      </c>
      <c r="L74" s="7" t="s">
        <v>207</v>
      </c>
      <c r="M74" s="15">
        <f t="shared" si="5"/>
        <v>719.10000000000036</v>
      </c>
      <c r="N74" t="str">
        <f>IF(match_results!C74="完全一致","〇","×")</f>
        <v>×</v>
      </c>
    </row>
    <row r="75" spans="1:14" x14ac:dyDescent="0.15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3"/>
        <v>100</v>
      </c>
      <c r="I75" s="7" t="s">
        <v>38</v>
      </c>
      <c r="J75" s="10">
        <v>510</v>
      </c>
      <c r="K75" s="11">
        <f t="shared" si="4"/>
        <v>5.0999999999999996</v>
      </c>
      <c r="L75" s="7" t="s">
        <v>85</v>
      </c>
      <c r="M75" s="15">
        <f t="shared" si="5"/>
        <v>1</v>
      </c>
      <c r="N75" t="str">
        <f>IF(match_results!C75="完全一致","〇","×")</f>
        <v>〇</v>
      </c>
    </row>
    <row r="76" spans="1:14" x14ac:dyDescent="0.15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3"/>
        <v>499.99999999999994</v>
      </c>
      <c r="I76" s="7" t="s">
        <v>57</v>
      </c>
      <c r="J76" s="10">
        <v>41183</v>
      </c>
      <c r="K76" s="11">
        <f t="shared" si="4"/>
        <v>82.366000000000014</v>
      </c>
      <c r="L76" s="7" t="s">
        <v>213</v>
      </c>
      <c r="M76" s="15">
        <f t="shared" si="5"/>
        <v>14.533999999999992</v>
      </c>
      <c r="N76" t="str">
        <f>IF(match_results!C76="完全一致","〇","×")</f>
        <v>〇</v>
      </c>
    </row>
    <row r="77" spans="1:14" x14ac:dyDescent="0.15">
      <c r="A77" s="6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3"/>
        <v>105</v>
      </c>
      <c r="I77" s="7" t="s">
        <v>127</v>
      </c>
      <c r="J77" s="12">
        <v>8295</v>
      </c>
      <c r="K77" s="11">
        <f t="shared" si="4"/>
        <v>79</v>
      </c>
      <c r="L77" s="7" t="s">
        <v>216</v>
      </c>
      <c r="M77" s="15">
        <f t="shared" si="5"/>
        <v>9.7999999999999972</v>
      </c>
      <c r="N77" t="str">
        <f>IF(match_results!C77="完全一致","〇","×")</f>
        <v>×</v>
      </c>
    </row>
    <row r="78" spans="1:14" x14ac:dyDescent="0.15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3"/>
        <v>20</v>
      </c>
      <c r="I78" s="7" t="s">
        <v>97</v>
      </c>
      <c r="J78" s="12">
        <v>12720</v>
      </c>
      <c r="K78" s="11">
        <f t="shared" si="4"/>
        <v>636</v>
      </c>
      <c r="L78" s="7" t="s">
        <v>216</v>
      </c>
      <c r="M78" s="15">
        <f t="shared" si="5"/>
        <v>79</v>
      </c>
      <c r="N78" t="str">
        <f>IF(match_results!C78="完全一致","〇","×")</f>
        <v>×</v>
      </c>
    </row>
    <row r="79" spans="1:14" x14ac:dyDescent="0.15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3"/>
        <v>500</v>
      </c>
      <c r="I79" s="7" t="s">
        <v>38</v>
      </c>
      <c r="J79" s="10">
        <v>4180</v>
      </c>
      <c r="K79" s="11">
        <f t="shared" si="4"/>
        <v>8.36</v>
      </c>
      <c r="L79" s="7" t="s">
        <v>163</v>
      </c>
      <c r="M79" s="15">
        <f t="shared" si="5"/>
        <v>2.0400000000000009</v>
      </c>
      <c r="N79" t="str">
        <f>IF(match_results!C79="完全一致","〇","×")</f>
        <v>〇</v>
      </c>
    </row>
    <row r="80" spans="1:14" x14ac:dyDescent="0.15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3"/>
        <v>500</v>
      </c>
      <c r="I80" s="7" t="s">
        <v>38</v>
      </c>
      <c r="J80" s="10">
        <v>4180</v>
      </c>
      <c r="K80" s="11">
        <f t="shared" si="4"/>
        <v>8.36</v>
      </c>
      <c r="L80" s="7" t="s">
        <v>163</v>
      </c>
      <c r="M80" s="15">
        <f t="shared" si="5"/>
        <v>2.0400000000000009</v>
      </c>
      <c r="N80" t="str">
        <f>IF(match_results!C80="完全一致","〇","×")</f>
        <v>〇</v>
      </c>
    </row>
    <row r="81" spans="1:14" x14ac:dyDescent="0.15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3"/>
        <v>28</v>
      </c>
      <c r="I81" s="7" t="s">
        <v>181</v>
      </c>
      <c r="J81" s="10">
        <v>6943</v>
      </c>
      <c r="K81" s="11">
        <f t="shared" si="4"/>
        <v>247.96428571428572</v>
      </c>
      <c r="L81" s="7" t="s">
        <v>224</v>
      </c>
      <c r="M81" s="15">
        <f t="shared" si="5"/>
        <v>38.435714285714255</v>
      </c>
      <c r="N81" t="str">
        <f>IF(match_results!C81="完全一致","〇","×")</f>
        <v>〇</v>
      </c>
    </row>
    <row r="82" spans="1:14" x14ac:dyDescent="0.15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3"/>
        <v>27.999999999999996</v>
      </c>
      <c r="I82" s="7" t="s">
        <v>181</v>
      </c>
      <c r="J82" s="10">
        <v>10608</v>
      </c>
      <c r="K82" s="11">
        <f t="shared" si="4"/>
        <v>378.85714285714289</v>
      </c>
      <c r="L82" s="7" t="s">
        <v>224</v>
      </c>
      <c r="M82" s="15">
        <f t="shared" si="5"/>
        <v>58.742857142857133</v>
      </c>
      <c r="N82" t="str">
        <f>IF(match_results!C82="完全一致","〇","×")</f>
        <v>〇</v>
      </c>
    </row>
    <row r="83" spans="1:14" x14ac:dyDescent="0.15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3"/>
        <v>100</v>
      </c>
      <c r="I83" s="7" t="s">
        <v>38</v>
      </c>
      <c r="J83" s="10">
        <v>1975</v>
      </c>
      <c r="K83" s="11">
        <f t="shared" si="4"/>
        <v>19.75</v>
      </c>
      <c r="L83" s="7" t="s">
        <v>227</v>
      </c>
      <c r="M83" s="15">
        <f t="shared" si="5"/>
        <v>2.9499999999999993</v>
      </c>
      <c r="N83" t="str">
        <f>IF(match_results!C83="完全一致","〇","×")</f>
        <v>〇</v>
      </c>
    </row>
    <row r="84" spans="1:14" x14ac:dyDescent="0.15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3"/>
        <v>500</v>
      </c>
      <c r="I84" s="7" t="s">
        <v>38</v>
      </c>
      <c r="J84" s="10">
        <v>9875</v>
      </c>
      <c r="K84" s="11">
        <f t="shared" si="4"/>
        <v>19.75</v>
      </c>
      <c r="L84" s="7" t="s">
        <v>227</v>
      </c>
      <c r="M84" s="15">
        <f t="shared" si="5"/>
        <v>2.9499999999999993</v>
      </c>
      <c r="N84" t="str">
        <f>IF(match_results!C84="完全一致","〇","×")</f>
        <v>〇</v>
      </c>
    </row>
    <row r="85" spans="1:14" x14ac:dyDescent="0.15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3"/>
        <v>100</v>
      </c>
      <c r="I85" s="7" t="s">
        <v>38</v>
      </c>
      <c r="J85" s="10">
        <v>557</v>
      </c>
      <c r="K85" s="11">
        <f t="shared" si="4"/>
        <v>5.57</v>
      </c>
      <c r="L85" s="7" t="s">
        <v>227</v>
      </c>
      <c r="M85" s="15">
        <f t="shared" si="5"/>
        <v>0.83000000000000007</v>
      </c>
      <c r="N85" t="str">
        <f>IF(match_results!C85="完全一致","〇","×")</f>
        <v>〇</v>
      </c>
    </row>
    <row r="86" spans="1:14" x14ac:dyDescent="0.15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3"/>
        <v>100</v>
      </c>
      <c r="I86" s="7" t="s">
        <v>38</v>
      </c>
      <c r="J86" s="10">
        <v>557</v>
      </c>
      <c r="K86" s="11">
        <f t="shared" si="4"/>
        <v>5.57</v>
      </c>
      <c r="L86" s="7" t="s">
        <v>227</v>
      </c>
      <c r="M86" s="15">
        <f t="shared" si="5"/>
        <v>0.83000000000000007</v>
      </c>
      <c r="N86" t="str">
        <f>IF(match_results!C86="完全一致","〇","×")</f>
        <v>〇</v>
      </c>
    </row>
    <row r="87" spans="1:14" x14ac:dyDescent="0.15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3"/>
        <v>100</v>
      </c>
      <c r="I87" s="7" t="s">
        <v>38</v>
      </c>
      <c r="J87" s="10">
        <v>1027</v>
      </c>
      <c r="K87" s="11">
        <f t="shared" si="4"/>
        <v>10.27</v>
      </c>
      <c r="L87" s="7" t="s">
        <v>227</v>
      </c>
      <c r="M87" s="15">
        <f t="shared" si="5"/>
        <v>1.5300000000000011</v>
      </c>
      <c r="N87" t="str">
        <f>IF(match_results!C87="完全一致","〇","×")</f>
        <v>〇</v>
      </c>
    </row>
    <row r="88" spans="1:14" x14ac:dyDescent="0.15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3"/>
        <v>100</v>
      </c>
      <c r="I88" s="7" t="s">
        <v>38</v>
      </c>
      <c r="J88" s="10">
        <v>1027</v>
      </c>
      <c r="K88" s="11">
        <f t="shared" si="4"/>
        <v>10.27</v>
      </c>
      <c r="L88" s="7" t="s">
        <v>227</v>
      </c>
      <c r="M88" s="15">
        <f t="shared" si="5"/>
        <v>1.5300000000000011</v>
      </c>
      <c r="N88" t="str">
        <f>IF(match_results!C88="完全一致","〇","×")</f>
        <v>〇</v>
      </c>
    </row>
    <row r="89" spans="1:14" x14ac:dyDescent="0.15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3"/>
        <v>99.999999999999986</v>
      </c>
      <c r="I89" s="7" t="s">
        <v>13</v>
      </c>
      <c r="J89" s="10">
        <v>1657</v>
      </c>
      <c r="K89" s="11">
        <f t="shared" si="4"/>
        <v>16.570000000000004</v>
      </c>
      <c r="L89" s="7" t="s">
        <v>227</v>
      </c>
      <c r="M89" s="15">
        <f t="shared" si="5"/>
        <v>2.0299999999999976</v>
      </c>
      <c r="N89" t="str">
        <f>IF(match_results!C89="完全一致","〇","×")</f>
        <v>〇</v>
      </c>
    </row>
    <row r="90" spans="1:14" x14ac:dyDescent="0.15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3"/>
        <v>100</v>
      </c>
      <c r="I90" s="7" t="s">
        <v>38</v>
      </c>
      <c r="J90" s="10">
        <v>545</v>
      </c>
      <c r="K90" s="11">
        <f t="shared" si="4"/>
        <v>5.45</v>
      </c>
      <c r="L90" s="7" t="s">
        <v>227</v>
      </c>
      <c r="M90" s="15">
        <f t="shared" si="5"/>
        <v>0.64999999999999947</v>
      </c>
      <c r="N90" t="str">
        <f>IF(match_results!C90="完全一致","〇","×")</f>
        <v>〇</v>
      </c>
    </row>
    <row r="91" spans="1:14" x14ac:dyDescent="0.15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3"/>
        <v>100</v>
      </c>
      <c r="I91" s="7" t="s">
        <v>38</v>
      </c>
      <c r="J91" s="10">
        <v>1137</v>
      </c>
      <c r="K91" s="11">
        <f t="shared" si="4"/>
        <v>11.37</v>
      </c>
      <c r="L91" s="7" t="s">
        <v>159</v>
      </c>
      <c r="M91" s="15">
        <f t="shared" si="5"/>
        <v>1.7300000000000004</v>
      </c>
      <c r="N91" t="str">
        <f>IF(match_results!C91="完全一致","〇","×")</f>
        <v>〇</v>
      </c>
    </row>
    <row r="92" spans="1:14" x14ac:dyDescent="0.15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3"/>
        <v>500.00000000000006</v>
      </c>
      <c r="I92" s="7" t="s">
        <v>57</v>
      </c>
      <c r="J92" s="10">
        <v>2684</v>
      </c>
      <c r="K92" s="11">
        <f t="shared" si="4"/>
        <v>5.3679999999999994</v>
      </c>
      <c r="L92" s="7" t="s">
        <v>234</v>
      </c>
      <c r="M92" s="15">
        <f t="shared" si="5"/>
        <v>0.73200000000000021</v>
      </c>
      <c r="N92" t="str">
        <f>IF(match_results!C92="完全一致","〇","×")</f>
        <v>〇</v>
      </c>
    </row>
    <row r="93" spans="1:14" x14ac:dyDescent="0.15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3"/>
        <v>1</v>
      </c>
      <c r="I93" s="7" t="s">
        <v>110</v>
      </c>
      <c r="J93" s="10">
        <v>3960</v>
      </c>
      <c r="K93" s="11">
        <f t="shared" si="4"/>
        <v>3960</v>
      </c>
      <c r="L93" s="7" t="s">
        <v>238</v>
      </c>
      <c r="M93" s="15">
        <f t="shared" si="5"/>
        <v>476</v>
      </c>
      <c r="N93" t="str">
        <f>IF(match_results!C93="完全一致","〇","×")</f>
        <v>×</v>
      </c>
    </row>
    <row r="94" spans="1:14" x14ac:dyDescent="0.15">
      <c r="A94" s="6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3"/>
        <v>50</v>
      </c>
      <c r="I94" s="7" t="s">
        <v>13</v>
      </c>
      <c r="J94" s="12">
        <v>917</v>
      </c>
      <c r="K94" s="11">
        <f t="shared" si="4"/>
        <v>18.34</v>
      </c>
      <c r="L94" s="7" t="s">
        <v>128</v>
      </c>
      <c r="M94" s="15">
        <f t="shared" si="5"/>
        <v>2.2600000000000016</v>
      </c>
      <c r="N94" t="str">
        <f>IF(match_results!C94="完全一致","〇","×")</f>
        <v>×</v>
      </c>
    </row>
    <row r="95" spans="1:14" x14ac:dyDescent="0.15">
      <c r="A95" s="6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3"/>
        <v>10</v>
      </c>
      <c r="I95" s="7" t="s">
        <v>244</v>
      </c>
      <c r="J95" s="12">
        <v>3750</v>
      </c>
      <c r="K95" s="11">
        <f t="shared" si="4"/>
        <v>375</v>
      </c>
      <c r="L95" s="7" t="s">
        <v>76</v>
      </c>
      <c r="M95" s="15">
        <f t="shared" si="5"/>
        <v>46.800000000000011</v>
      </c>
      <c r="N95" t="str">
        <f>IF(match_results!C95="完全一致","〇","×")</f>
        <v>×</v>
      </c>
    </row>
    <row r="96" spans="1:14" x14ac:dyDescent="0.15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3"/>
        <v>500</v>
      </c>
      <c r="I96" s="7" t="s">
        <v>13</v>
      </c>
      <c r="J96" s="12">
        <v>5389</v>
      </c>
      <c r="K96" s="11">
        <f t="shared" si="4"/>
        <v>10.778</v>
      </c>
      <c r="L96" s="7" t="s">
        <v>246</v>
      </c>
      <c r="M96" s="15">
        <f t="shared" si="5"/>
        <v>1.3219999999999992</v>
      </c>
      <c r="N96" t="str">
        <f>IF(match_results!C96="完全一致","〇","×")</f>
        <v>〇</v>
      </c>
    </row>
    <row r="97" spans="1:14" x14ac:dyDescent="0.15">
      <c r="A97" s="6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3"/>
        <v>100</v>
      </c>
      <c r="I97" s="7" t="s">
        <v>38</v>
      </c>
      <c r="J97" s="12">
        <v>1149</v>
      </c>
      <c r="K97" s="11">
        <f t="shared" si="4"/>
        <v>11.49</v>
      </c>
      <c r="L97" s="7" t="s">
        <v>246</v>
      </c>
      <c r="M97" s="15">
        <f t="shared" si="5"/>
        <v>1.4100000000000001</v>
      </c>
      <c r="N97" t="str">
        <f>IF(match_results!C97="完全一致","〇","×")</f>
        <v>×</v>
      </c>
    </row>
    <row r="98" spans="1:14" x14ac:dyDescent="0.15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3"/>
        <v>10</v>
      </c>
      <c r="I98" s="7" t="s">
        <v>88</v>
      </c>
      <c r="J98" s="12">
        <v>1095</v>
      </c>
      <c r="K98" s="11">
        <f t="shared" si="4"/>
        <v>109.5</v>
      </c>
      <c r="L98" s="7" t="s">
        <v>246</v>
      </c>
      <c r="M98" s="15">
        <f t="shared" si="5"/>
        <v>13.5</v>
      </c>
      <c r="N98" t="str">
        <f>IF(match_results!C98="完全一致","〇","×")</f>
        <v>〇</v>
      </c>
    </row>
    <row r="99" spans="1:14" x14ac:dyDescent="0.15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3"/>
        <v>100</v>
      </c>
      <c r="I99" s="7" t="s">
        <v>38</v>
      </c>
      <c r="J99" s="12">
        <v>712</v>
      </c>
      <c r="K99" s="11">
        <f t="shared" si="4"/>
        <v>7.12</v>
      </c>
      <c r="L99" s="7" t="s">
        <v>251</v>
      </c>
      <c r="M99" s="15">
        <f t="shared" si="5"/>
        <v>0.87999999999999989</v>
      </c>
      <c r="N99" t="str">
        <f>IF(match_results!C99="完全一致","〇","×")</f>
        <v>〇</v>
      </c>
    </row>
    <row r="100" spans="1:14" x14ac:dyDescent="0.15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3"/>
        <v>1000</v>
      </c>
      <c r="I100" s="7" t="s">
        <v>38</v>
      </c>
      <c r="J100" s="10">
        <v>7120</v>
      </c>
      <c r="K100" s="11">
        <f t="shared" si="4"/>
        <v>7.12</v>
      </c>
      <c r="L100" s="7" t="s">
        <v>251</v>
      </c>
      <c r="M100" s="15">
        <f t="shared" si="5"/>
        <v>0.87999999999999989</v>
      </c>
      <c r="N100" t="str">
        <f>IF(match_results!C100="完全一致","〇","×")</f>
        <v>〇</v>
      </c>
    </row>
    <row r="101" spans="1:14" x14ac:dyDescent="0.15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3"/>
        <v>100.00000000000001</v>
      </c>
      <c r="I101" s="7" t="s">
        <v>13</v>
      </c>
      <c r="J101" s="12">
        <v>1682</v>
      </c>
      <c r="K101" s="11">
        <f t="shared" si="4"/>
        <v>16.819999999999997</v>
      </c>
      <c r="L101" s="7" t="s">
        <v>128</v>
      </c>
      <c r="M101" s="15">
        <f t="shared" si="5"/>
        <v>2.0800000000000018</v>
      </c>
      <c r="N101" t="str">
        <f>IF(match_results!C101="完全一致","〇","×")</f>
        <v>×</v>
      </c>
    </row>
    <row r="102" spans="1:14" x14ac:dyDescent="0.15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3"/>
        <v>1000</v>
      </c>
      <c r="I102" s="7" t="s">
        <v>57</v>
      </c>
      <c r="J102" s="10">
        <v>11200</v>
      </c>
      <c r="K102" s="11">
        <f t="shared" si="4"/>
        <v>11.2</v>
      </c>
      <c r="L102" s="7" t="s">
        <v>258</v>
      </c>
      <c r="M102" s="15">
        <f t="shared" si="5"/>
        <v>1.3000000000000007</v>
      </c>
      <c r="N102" t="str">
        <f>IF(match_results!C102="完全一致","〇","×")</f>
        <v>×</v>
      </c>
    </row>
    <row r="103" spans="1:14" x14ac:dyDescent="0.15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3"/>
        <v>50</v>
      </c>
      <c r="I103" s="7" t="s">
        <v>143</v>
      </c>
      <c r="J103" s="10">
        <v>302</v>
      </c>
      <c r="K103" s="11">
        <f t="shared" si="4"/>
        <v>6.04</v>
      </c>
      <c r="L103" s="7" t="s">
        <v>262</v>
      </c>
      <c r="M103" s="15">
        <f t="shared" si="5"/>
        <v>0.75999999999999979</v>
      </c>
      <c r="N103" t="str">
        <f>IF(match_results!C103="完全一致","〇","×")</f>
        <v>×</v>
      </c>
    </row>
    <row r="104" spans="1:14" x14ac:dyDescent="0.15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3"/>
        <v>540</v>
      </c>
      <c r="I104" s="7" t="s">
        <v>127</v>
      </c>
      <c r="J104" s="10">
        <v>6894</v>
      </c>
      <c r="K104" s="11">
        <f t="shared" si="4"/>
        <v>12.766666666666667</v>
      </c>
      <c r="L104" s="7" t="s">
        <v>216</v>
      </c>
      <c r="M104" s="15">
        <f t="shared" si="5"/>
        <v>1.6333333333333329</v>
      </c>
      <c r="N104" t="str">
        <f>IF(match_results!C104="完全一致","〇","×")</f>
        <v>×</v>
      </c>
    </row>
    <row r="105" spans="1:14" x14ac:dyDescent="0.15">
      <c r="A105" s="6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3"/>
        <v>525</v>
      </c>
      <c r="I105" s="7" t="s">
        <v>143</v>
      </c>
      <c r="J105" s="10">
        <v>6580</v>
      </c>
      <c r="K105" s="11">
        <f t="shared" si="4"/>
        <v>12.533333333333333</v>
      </c>
      <c r="L105" s="7" t="s">
        <v>216</v>
      </c>
      <c r="M105" s="15">
        <f t="shared" si="5"/>
        <v>1.5666666666666664</v>
      </c>
      <c r="N105" t="str">
        <f>IF(match_results!C105="完全一致","〇","×")</f>
        <v>×</v>
      </c>
    </row>
    <row r="106" spans="1:14" x14ac:dyDescent="0.15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3"/>
        <v>10</v>
      </c>
      <c r="I106" s="7" t="s">
        <v>269</v>
      </c>
      <c r="J106" s="10">
        <v>12710</v>
      </c>
      <c r="K106" s="11">
        <f t="shared" si="4"/>
        <v>1271</v>
      </c>
      <c r="L106" s="7" t="s">
        <v>270</v>
      </c>
      <c r="M106" s="15">
        <f t="shared" si="5"/>
        <v>317</v>
      </c>
      <c r="N106" t="str">
        <f>IF(match_results!C106="完全一致","〇","×")</f>
        <v>〇</v>
      </c>
    </row>
    <row r="107" spans="1:14" x14ac:dyDescent="0.15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3"/>
        <v>1</v>
      </c>
      <c r="I107" s="7" t="s">
        <v>269</v>
      </c>
      <c r="J107" s="12">
        <v>1271</v>
      </c>
      <c r="K107" s="11">
        <f t="shared" si="4"/>
        <v>1271</v>
      </c>
      <c r="L107" s="7" t="s">
        <v>270</v>
      </c>
      <c r="M107" s="15">
        <f t="shared" si="5"/>
        <v>317</v>
      </c>
      <c r="N107" t="str">
        <f>IF(match_results!C107="完全一致","〇","×")</f>
        <v>〇</v>
      </c>
    </row>
    <row r="108" spans="1:14" x14ac:dyDescent="0.15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3"/>
        <v>100</v>
      </c>
      <c r="I108" s="7" t="s">
        <v>38</v>
      </c>
      <c r="J108" s="10">
        <v>8763</v>
      </c>
      <c r="K108" s="11">
        <f t="shared" si="4"/>
        <v>87.63</v>
      </c>
      <c r="L108" s="7" t="s">
        <v>185</v>
      </c>
      <c r="M108" s="15">
        <f t="shared" si="5"/>
        <v>14.27000000000001</v>
      </c>
      <c r="N108" t="str">
        <f>IF(match_results!C108="完全一致","〇","×")</f>
        <v>〇</v>
      </c>
    </row>
    <row r="109" spans="1:14" x14ac:dyDescent="0.15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3"/>
        <v>100</v>
      </c>
      <c r="I109" s="7" t="s">
        <v>38</v>
      </c>
      <c r="J109" s="10">
        <v>14414</v>
      </c>
      <c r="K109" s="11">
        <f t="shared" si="4"/>
        <v>144.13999999999999</v>
      </c>
      <c r="L109" s="7" t="s">
        <v>185</v>
      </c>
      <c r="M109" s="15">
        <f t="shared" si="5"/>
        <v>23.460000000000008</v>
      </c>
      <c r="N109" t="str">
        <f>IF(match_results!C109="完全一致","〇","×")</f>
        <v>〇</v>
      </c>
    </row>
    <row r="110" spans="1:14" x14ac:dyDescent="0.15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3"/>
        <v>2</v>
      </c>
      <c r="I110" s="7" t="s">
        <v>244</v>
      </c>
      <c r="J110" s="10">
        <v>43706</v>
      </c>
      <c r="K110" s="11">
        <f t="shared" si="4"/>
        <v>21853</v>
      </c>
      <c r="L110" s="7" t="s">
        <v>270</v>
      </c>
      <c r="M110" s="15">
        <f t="shared" si="5"/>
        <v>3208</v>
      </c>
      <c r="N110" t="str">
        <f>IF(match_results!C110="完全一致","〇","×")</f>
        <v>〇</v>
      </c>
    </row>
    <row r="111" spans="1:14" x14ac:dyDescent="0.15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3"/>
        <v>100</v>
      </c>
      <c r="I111" s="7" t="s">
        <v>38</v>
      </c>
      <c r="J111" s="12">
        <v>5338</v>
      </c>
      <c r="K111" s="11">
        <f t="shared" si="4"/>
        <v>53.38</v>
      </c>
      <c r="L111" s="7" t="s">
        <v>63</v>
      </c>
      <c r="M111" s="15">
        <f t="shared" si="5"/>
        <v>7.6199999999999974</v>
      </c>
      <c r="N111" t="str">
        <f>IF(match_results!C111="完全一致","〇","×")</f>
        <v>〇</v>
      </c>
    </row>
    <row r="112" spans="1:14" x14ac:dyDescent="0.15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3"/>
        <v>100</v>
      </c>
      <c r="I112" s="7" t="s">
        <v>38</v>
      </c>
      <c r="J112" s="10">
        <v>926</v>
      </c>
      <c r="K112" s="11">
        <f t="shared" si="4"/>
        <v>9.26</v>
      </c>
      <c r="L112" s="7" t="s">
        <v>72</v>
      </c>
      <c r="M112" s="15">
        <f t="shared" si="5"/>
        <v>1.1400000000000006</v>
      </c>
      <c r="N112" t="str">
        <f>IF(match_results!C112="完全一致","〇","×")</f>
        <v>〇</v>
      </c>
    </row>
    <row r="113" spans="1:14" x14ac:dyDescent="0.15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3"/>
        <v>200</v>
      </c>
      <c r="I113" s="7" t="s">
        <v>38</v>
      </c>
      <c r="J113" s="10">
        <v>1851</v>
      </c>
      <c r="K113" s="11">
        <f t="shared" si="4"/>
        <v>9.2550000000000008</v>
      </c>
      <c r="L113" s="7" t="s">
        <v>72</v>
      </c>
      <c r="M113" s="15">
        <f t="shared" si="5"/>
        <v>1.1449999999999996</v>
      </c>
      <c r="N113" t="str">
        <f>IF(match_results!C113="完全一致","〇","×")</f>
        <v>〇</v>
      </c>
    </row>
    <row r="114" spans="1:14" x14ac:dyDescent="0.15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3"/>
        <v>100</v>
      </c>
      <c r="I114" s="7" t="s">
        <v>38</v>
      </c>
      <c r="J114" s="10">
        <v>19130</v>
      </c>
      <c r="K114" s="11">
        <f t="shared" si="4"/>
        <v>191.3</v>
      </c>
      <c r="L114" s="7" t="s">
        <v>227</v>
      </c>
      <c r="M114" s="15">
        <f t="shared" si="5"/>
        <v>36.5</v>
      </c>
      <c r="N114" t="str">
        <f>IF(match_results!C114="完全一致","〇","×")</f>
        <v>〇</v>
      </c>
    </row>
    <row r="115" spans="1:14" x14ac:dyDescent="0.15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3"/>
        <v>100</v>
      </c>
      <c r="I115" s="7" t="s">
        <v>38</v>
      </c>
      <c r="J115" s="10">
        <v>35200</v>
      </c>
      <c r="K115" s="11">
        <f t="shared" si="4"/>
        <v>352</v>
      </c>
      <c r="L115" s="7" t="s">
        <v>227</v>
      </c>
      <c r="M115" s="15">
        <f t="shared" si="5"/>
        <v>67.699999999999989</v>
      </c>
      <c r="N115" t="str">
        <f>IF(match_results!C115="完全一致","〇","×")</f>
        <v>〇</v>
      </c>
    </row>
    <row r="116" spans="1:14" x14ac:dyDescent="0.15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3"/>
        <v>100</v>
      </c>
      <c r="I116" s="7" t="s">
        <v>38</v>
      </c>
      <c r="J116" s="10">
        <v>35500</v>
      </c>
      <c r="K116" s="11">
        <f t="shared" si="4"/>
        <v>355</v>
      </c>
      <c r="L116" s="7" t="s">
        <v>185</v>
      </c>
      <c r="M116" s="15">
        <f t="shared" si="5"/>
        <v>43.800000000000011</v>
      </c>
      <c r="N116" t="str">
        <f>IF(match_results!C116="完全一致","〇","×")</f>
        <v>〇</v>
      </c>
    </row>
    <row r="117" spans="1:14" x14ac:dyDescent="0.15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3"/>
        <v>250</v>
      </c>
      <c r="I117" s="7" t="s">
        <v>13</v>
      </c>
      <c r="J117" s="10">
        <v>735</v>
      </c>
      <c r="K117" s="11">
        <f t="shared" si="4"/>
        <v>2.94</v>
      </c>
      <c r="L117" s="7" t="s">
        <v>128</v>
      </c>
      <c r="M117" s="15">
        <f t="shared" si="5"/>
        <v>0.35999999999999988</v>
      </c>
      <c r="N117" t="str">
        <f>IF(match_results!C117="完全一致","〇","×")</f>
        <v>×</v>
      </c>
    </row>
    <row r="118" spans="1:14" x14ac:dyDescent="0.15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3"/>
        <v>500</v>
      </c>
      <c r="I118" s="7" t="s">
        <v>75</v>
      </c>
      <c r="J118" s="10">
        <v>1470</v>
      </c>
      <c r="K118" s="11">
        <f t="shared" si="4"/>
        <v>2.94</v>
      </c>
      <c r="L118" s="7" t="s">
        <v>128</v>
      </c>
      <c r="M118" s="15">
        <f t="shared" si="5"/>
        <v>0.35999999999999988</v>
      </c>
      <c r="N118" t="str">
        <f>IF(match_results!C118="完全一致","〇","×")</f>
        <v>×</v>
      </c>
    </row>
    <row r="119" spans="1:14" x14ac:dyDescent="0.15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3"/>
        <v>500</v>
      </c>
      <c r="I119" s="7" t="s">
        <v>38</v>
      </c>
      <c r="J119" s="10">
        <v>4576</v>
      </c>
      <c r="K119" s="11">
        <f t="shared" si="4"/>
        <v>9.1519999999999992</v>
      </c>
      <c r="L119" s="7" t="s">
        <v>289</v>
      </c>
      <c r="M119" s="15">
        <f t="shared" si="5"/>
        <v>1.2480000000000011</v>
      </c>
      <c r="N119" t="str">
        <f>IF(match_results!C119="完全一致","〇","×")</f>
        <v>〇</v>
      </c>
    </row>
    <row r="120" spans="1:14" x14ac:dyDescent="0.15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3"/>
        <v>10</v>
      </c>
      <c r="I120" s="7" t="s">
        <v>292</v>
      </c>
      <c r="J120" s="12">
        <v>10530</v>
      </c>
      <c r="K120" s="11">
        <f t="shared" si="4"/>
        <v>1053</v>
      </c>
      <c r="L120" s="7" t="s">
        <v>293</v>
      </c>
      <c r="M120" s="15">
        <f t="shared" si="5"/>
        <v>129</v>
      </c>
      <c r="N120" t="str">
        <f>IF(match_results!C120="完全一致","〇","×")</f>
        <v>×</v>
      </c>
    </row>
    <row r="121" spans="1:14" x14ac:dyDescent="0.15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3"/>
        <v>499.99999999999994</v>
      </c>
      <c r="I121" s="7" t="s">
        <v>13</v>
      </c>
      <c r="J121" s="12">
        <v>4365</v>
      </c>
      <c r="K121" s="11">
        <f t="shared" si="4"/>
        <v>8.73</v>
      </c>
      <c r="L121" s="7" t="s">
        <v>165</v>
      </c>
      <c r="M121" s="15">
        <f t="shared" si="5"/>
        <v>1.0700000000000003</v>
      </c>
      <c r="N121" t="str">
        <f>IF(match_results!C121="完全一致","〇","×")</f>
        <v>×</v>
      </c>
    </row>
    <row r="122" spans="1:14" x14ac:dyDescent="0.15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3"/>
        <v>1000</v>
      </c>
      <c r="I122" s="7" t="s">
        <v>38</v>
      </c>
      <c r="J122" s="10">
        <v>9387</v>
      </c>
      <c r="K122" s="11">
        <f t="shared" si="4"/>
        <v>9.3870000000000005</v>
      </c>
      <c r="L122" s="7" t="s">
        <v>298</v>
      </c>
      <c r="M122" s="15">
        <f t="shared" si="5"/>
        <v>1.0129999999999999</v>
      </c>
      <c r="N122" t="str">
        <f>IF(match_results!C122="完全一致","〇","×")</f>
        <v>〇</v>
      </c>
    </row>
    <row r="123" spans="1:14" x14ac:dyDescent="0.15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3"/>
        <v>50</v>
      </c>
      <c r="I123" s="7" t="s">
        <v>75</v>
      </c>
      <c r="J123" s="10">
        <v>6821</v>
      </c>
      <c r="K123" s="11">
        <f t="shared" si="4"/>
        <v>136.41999999999999</v>
      </c>
      <c r="L123" s="7" t="s">
        <v>76</v>
      </c>
      <c r="M123" s="15">
        <f t="shared" si="5"/>
        <v>33.880000000000024</v>
      </c>
      <c r="N123" t="str">
        <f>IF(match_results!C123="完全一致","〇","×")</f>
        <v>〇</v>
      </c>
    </row>
    <row r="124" spans="1:14" x14ac:dyDescent="0.15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3"/>
        <v>100</v>
      </c>
      <c r="I124" s="7" t="s">
        <v>38</v>
      </c>
      <c r="J124" s="10">
        <v>4050</v>
      </c>
      <c r="K124" s="11">
        <f t="shared" si="4"/>
        <v>40.5</v>
      </c>
      <c r="L124" s="7" t="s">
        <v>185</v>
      </c>
      <c r="M124" s="15">
        <f t="shared" si="5"/>
        <v>11.399999999999999</v>
      </c>
      <c r="N124" t="str">
        <f>IF(match_results!C124="完全一致","〇","×")</f>
        <v>〇</v>
      </c>
    </row>
    <row r="125" spans="1:14" x14ac:dyDescent="0.15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3"/>
        <v>300</v>
      </c>
      <c r="I125" s="7" t="s">
        <v>38</v>
      </c>
      <c r="J125" s="10">
        <v>12150</v>
      </c>
      <c r="K125" s="11">
        <f t="shared" si="4"/>
        <v>40.5</v>
      </c>
      <c r="L125" s="7" t="s">
        <v>185</v>
      </c>
      <c r="M125" s="15">
        <f t="shared" si="5"/>
        <v>11.399999999999999</v>
      </c>
      <c r="N125" t="str">
        <f>IF(match_results!C125="完全一致","〇","×")</f>
        <v>〇</v>
      </c>
    </row>
    <row r="126" spans="1:14" x14ac:dyDescent="0.15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3"/>
        <v>100</v>
      </c>
      <c r="I126" s="7" t="s">
        <v>38</v>
      </c>
      <c r="J126" s="10">
        <v>616</v>
      </c>
      <c r="K126" s="11">
        <f t="shared" si="4"/>
        <v>6.16</v>
      </c>
      <c r="L126" s="7" t="s">
        <v>303</v>
      </c>
      <c r="M126" s="15">
        <f t="shared" si="5"/>
        <v>1.54</v>
      </c>
      <c r="N126" t="str">
        <f>IF(match_results!C126="完全一致","〇","×")</f>
        <v>〇</v>
      </c>
    </row>
    <row r="127" spans="1:14" x14ac:dyDescent="0.15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3"/>
        <v>100</v>
      </c>
      <c r="I127" s="7" t="s">
        <v>38</v>
      </c>
      <c r="J127" s="10">
        <v>616</v>
      </c>
      <c r="K127" s="11">
        <f t="shared" si="4"/>
        <v>6.16</v>
      </c>
      <c r="L127" s="7" t="s">
        <v>303</v>
      </c>
      <c r="M127" s="15">
        <f t="shared" si="5"/>
        <v>1.54</v>
      </c>
      <c r="N127" t="str">
        <f>IF(match_results!C127="完全一致","〇","×")</f>
        <v>〇</v>
      </c>
    </row>
    <row r="128" spans="1:14" x14ac:dyDescent="0.15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3"/>
        <v>100</v>
      </c>
      <c r="I128" s="7" t="s">
        <v>38</v>
      </c>
      <c r="J128" s="10">
        <v>2490</v>
      </c>
      <c r="K128" s="11">
        <f t="shared" si="4"/>
        <v>24.9</v>
      </c>
      <c r="L128" s="7" t="s">
        <v>59</v>
      </c>
      <c r="M128" s="15">
        <f t="shared" si="5"/>
        <v>5.8000000000000007</v>
      </c>
      <c r="N128" t="str">
        <f>IF(match_results!C128="完全一致","〇","×")</f>
        <v>〇</v>
      </c>
    </row>
    <row r="129" spans="1:14" x14ac:dyDescent="0.15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3"/>
        <v>500.00000000000006</v>
      </c>
      <c r="I129" s="7" t="s">
        <v>57</v>
      </c>
      <c r="J129" s="12">
        <v>16238</v>
      </c>
      <c r="K129" s="11">
        <f t="shared" si="4"/>
        <v>32.475999999999999</v>
      </c>
      <c r="L129" s="7" t="s">
        <v>306</v>
      </c>
      <c r="M129" s="15">
        <f t="shared" si="5"/>
        <v>5.3239999999999981</v>
      </c>
      <c r="N129" t="str">
        <f>IF(match_results!C129="完全一致","〇","×")</f>
        <v>〇</v>
      </c>
    </row>
    <row r="130" spans="1:14" x14ac:dyDescent="0.15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6">G130/F130</f>
        <v>500.00000000000006</v>
      </c>
      <c r="I130" s="7" t="s">
        <v>57</v>
      </c>
      <c r="J130" s="10">
        <v>16238</v>
      </c>
      <c r="K130" s="11">
        <f t="shared" ref="K130:K193" si="7">J130/H130</f>
        <v>32.475999999999999</v>
      </c>
      <c r="L130" s="7" t="s">
        <v>306</v>
      </c>
      <c r="M130" s="15">
        <f t="shared" si="5"/>
        <v>5.3239999999999981</v>
      </c>
      <c r="N130" t="str">
        <f>IF(match_results!C130="完全一致","〇","×")</f>
        <v>〇</v>
      </c>
    </row>
    <row r="131" spans="1:14" x14ac:dyDescent="0.15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6"/>
        <v>1000</v>
      </c>
      <c r="I131" s="7" t="s">
        <v>38</v>
      </c>
      <c r="J131" s="10">
        <v>5610</v>
      </c>
      <c r="K131" s="11">
        <f t="shared" si="7"/>
        <v>5.61</v>
      </c>
      <c r="L131" s="7" t="s">
        <v>303</v>
      </c>
      <c r="M131" s="15">
        <f t="shared" ref="M131:M194" si="8">F131-K131</f>
        <v>0.98999999999999932</v>
      </c>
      <c r="N131" t="str">
        <f>IF(match_results!C131="完全一致","〇","×")</f>
        <v>〇</v>
      </c>
    </row>
    <row r="132" spans="1:14" x14ac:dyDescent="0.15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6"/>
        <v>1000</v>
      </c>
      <c r="I132" s="7" t="s">
        <v>38</v>
      </c>
      <c r="J132" s="10">
        <v>5610</v>
      </c>
      <c r="K132" s="11">
        <f t="shared" si="7"/>
        <v>5.61</v>
      </c>
      <c r="L132" s="7" t="s">
        <v>303</v>
      </c>
      <c r="M132" s="15">
        <f t="shared" si="8"/>
        <v>0.98999999999999932</v>
      </c>
      <c r="N132" t="str">
        <f>IF(match_results!C132="完全一致","〇","×")</f>
        <v>〇</v>
      </c>
    </row>
    <row r="133" spans="1:14" x14ac:dyDescent="0.15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6"/>
        <v>1000</v>
      </c>
      <c r="I133" s="7" t="s">
        <v>38</v>
      </c>
      <c r="J133" s="10">
        <v>8590</v>
      </c>
      <c r="K133" s="11">
        <f t="shared" si="7"/>
        <v>8.59</v>
      </c>
      <c r="L133" s="7" t="s">
        <v>303</v>
      </c>
      <c r="M133" s="15">
        <f t="shared" si="8"/>
        <v>1.5099999999999998</v>
      </c>
      <c r="N133" t="str">
        <f>IF(match_results!C133="完全一致","〇","×")</f>
        <v>〇</v>
      </c>
    </row>
    <row r="134" spans="1:14" x14ac:dyDescent="0.15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6"/>
        <v>1000</v>
      </c>
      <c r="I134" s="7" t="s">
        <v>38</v>
      </c>
      <c r="J134" s="12">
        <v>8590</v>
      </c>
      <c r="K134" s="11">
        <f t="shared" si="7"/>
        <v>8.59</v>
      </c>
      <c r="L134" s="7" t="s">
        <v>303</v>
      </c>
      <c r="M134" s="15">
        <f t="shared" si="8"/>
        <v>1.5099999999999998</v>
      </c>
      <c r="N134" t="str">
        <f>IF(match_results!C134="完全一致","〇","×")</f>
        <v>〇</v>
      </c>
    </row>
    <row r="135" spans="1:14" x14ac:dyDescent="0.15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6"/>
        <v>1000</v>
      </c>
      <c r="I135" s="7" t="s">
        <v>38</v>
      </c>
      <c r="J135" s="10">
        <v>9000</v>
      </c>
      <c r="K135" s="11">
        <f t="shared" si="7"/>
        <v>9</v>
      </c>
      <c r="L135" s="7" t="s">
        <v>72</v>
      </c>
      <c r="M135" s="15">
        <f t="shared" si="8"/>
        <v>1.4000000000000004</v>
      </c>
      <c r="N135" t="str">
        <f>IF(match_results!C135="完全一致","〇","×")</f>
        <v>×</v>
      </c>
    </row>
    <row r="136" spans="1:14" x14ac:dyDescent="0.15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6"/>
        <v>100.00000000000001</v>
      </c>
      <c r="I136" s="7" t="s">
        <v>38</v>
      </c>
      <c r="J136" s="10">
        <v>1550</v>
      </c>
      <c r="K136" s="11">
        <f t="shared" si="7"/>
        <v>15.499999999999998</v>
      </c>
      <c r="L136" s="7" t="s">
        <v>313</v>
      </c>
      <c r="M136" s="15">
        <f t="shared" si="8"/>
        <v>1.9000000000000004</v>
      </c>
      <c r="N136" t="str">
        <f>IF(match_results!C136="完全一致","〇","×")</f>
        <v>〇</v>
      </c>
    </row>
    <row r="137" spans="1:14" x14ac:dyDescent="0.15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6"/>
        <v>100</v>
      </c>
      <c r="I137" s="7" t="s">
        <v>38</v>
      </c>
      <c r="J137" s="10">
        <v>4630</v>
      </c>
      <c r="K137" s="11">
        <f t="shared" si="7"/>
        <v>46.3</v>
      </c>
      <c r="L137" s="7" t="s">
        <v>270</v>
      </c>
      <c r="M137" s="15">
        <f t="shared" si="8"/>
        <v>5.1000000000000014</v>
      </c>
      <c r="N137" t="str">
        <f>IF(match_results!C137="完全一致","〇","×")</f>
        <v>〇</v>
      </c>
    </row>
    <row r="138" spans="1:14" x14ac:dyDescent="0.15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6"/>
        <v>1000</v>
      </c>
      <c r="I138" s="7" t="s">
        <v>38</v>
      </c>
      <c r="J138" s="10">
        <v>15843</v>
      </c>
      <c r="K138" s="11">
        <f t="shared" si="7"/>
        <v>15.843</v>
      </c>
      <c r="L138" s="7" t="s">
        <v>313</v>
      </c>
      <c r="M138" s="15">
        <f t="shared" si="8"/>
        <v>2.3569999999999993</v>
      </c>
      <c r="N138" t="str">
        <f>IF(match_results!C138="完全一致","〇","×")</f>
        <v>〇</v>
      </c>
    </row>
    <row r="139" spans="1:14" x14ac:dyDescent="0.15">
      <c r="A139" s="6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6"/>
        <v>1</v>
      </c>
      <c r="I139" s="7" t="s">
        <v>80</v>
      </c>
      <c r="J139" s="12">
        <v>9089</v>
      </c>
      <c r="K139" s="11">
        <f t="shared" si="7"/>
        <v>9089</v>
      </c>
      <c r="L139" s="7" t="s">
        <v>321</v>
      </c>
      <c r="M139" s="15">
        <f t="shared" si="8"/>
        <v>1114</v>
      </c>
      <c r="N139" t="str">
        <f>IF(match_results!C139="完全一致","〇","×")</f>
        <v>×</v>
      </c>
    </row>
    <row r="140" spans="1:14" x14ac:dyDescent="0.15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6"/>
        <v>1</v>
      </c>
      <c r="I140" s="7" t="s">
        <v>80</v>
      </c>
      <c r="J140" s="12">
        <v>29800</v>
      </c>
      <c r="K140" s="11">
        <f t="shared" si="7"/>
        <v>29800</v>
      </c>
      <c r="L140" s="7" t="s">
        <v>227</v>
      </c>
      <c r="M140" s="15">
        <f t="shared" si="8"/>
        <v>4576</v>
      </c>
      <c r="N140" t="str">
        <f>IF(match_results!C140="完全一致","〇","×")</f>
        <v>×</v>
      </c>
    </row>
    <row r="141" spans="1:14" x14ac:dyDescent="0.15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6"/>
        <v>1</v>
      </c>
      <c r="I141" s="7" t="s">
        <v>80</v>
      </c>
      <c r="J141" s="10">
        <v>35700</v>
      </c>
      <c r="K141" s="11">
        <f t="shared" si="7"/>
        <v>35700</v>
      </c>
      <c r="L141" s="7" t="s">
        <v>227</v>
      </c>
      <c r="M141" s="15">
        <f t="shared" si="8"/>
        <v>5600</v>
      </c>
      <c r="N141" t="str">
        <f>IF(match_results!C141="完全一致","〇","×")</f>
        <v>×</v>
      </c>
    </row>
    <row r="142" spans="1:14" x14ac:dyDescent="0.15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6"/>
        <v>84</v>
      </c>
      <c r="I142" s="7" t="s">
        <v>75</v>
      </c>
      <c r="J142" s="10">
        <v>2301</v>
      </c>
      <c r="K142" s="11">
        <f t="shared" si="7"/>
        <v>27.392857142857142</v>
      </c>
      <c r="L142" s="7" t="s">
        <v>227</v>
      </c>
      <c r="M142" s="15">
        <f t="shared" si="8"/>
        <v>5.6071428571428577</v>
      </c>
      <c r="N142" t="str">
        <f>IF(match_results!C142="完全一致","〇","×")</f>
        <v>×</v>
      </c>
    </row>
    <row r="143" spans="1:14" x14ac:dyDescent="0.15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6"/>
        <v>168</v>
      </c>
      <c r="I143" s="7" t="s">
        <v>75</v>
      </c>
      <c r="J143" s="10">
        <v>4602</v>
      </c>
      <c r="K143" s="11">
        <f t="shared" si="7"/>
        <v>27.392857142857142</v>
      </c>
      <c r="L143" s="7" t="s">
        <v>227</v>
      </c>
      <c r="M143" s="15">
        <f t="shared" si="8"/>
        <v>5.6071428571428577</v>
      </c>
      <c r="N143" t="str">
        <f>IF(match_results!C143="完全一致","〇","×")</f>
        <v>×</v>
      </c>
    </row>
    <row r="144" spans="1:14" x14ac:dyDescent="0.15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6"/>
        <v>100</v>
      </c>
      <c r="I144" s="7" t="s">
        <v>38</v>
      </c>
      <c r="J144" s="10">
        <v>15468</v>
      </c>
      <c r="K144" s="11">
        <f t="shared" si="7"/>
        <v>154.68</v>
      </c>
      <c r="L144" s="7" t="s">
        <v>258</v>
      </c>
      <c r="M144" s="15">
        <f t="shared" si="8"/>
        <v>23.319999999999993</v>
      </c>
      <c r="N144" t="str">
        <f>IF(match_results!C144="完全一致","〇","×")</f>
        <v>〇</v>
      </c>
    </row>
    <row r="145" spans="1:14" x14ac:dyDescent="0.15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6"/>
        <v>17.8</v>
      </c>
      <c r="I145" s="7" t="s">
        <v>13</v>
      </c>
      <c r="J145" s="10">
        <v>9510</v>
      </c>
      <c r="K145" s="11">
        <f t="shared" si="7"/>
        <v>534.2696629213483</v>
      </c>
      <c r="L145" s="7" t="s">
        <v>333</v>
      </c>
      <c r="M145" s="15">
        <f t="shared" si="8"/>
        <v>142.03033707865166</v>
      </c>
      <c r="N145" t="str">
        <f>IF(match_results!C145="完全一致","〇","×")</f>
        <v>×</v>
      </c>
    </row>
    <row r="146" spans="1:14" x14ac:dyDescent="0.15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6"/>
        <v>500</v>
      </c>
      <c r="I146" s="7" t="s">
        <v>57</v>
      </c>
      <c r="J146" s="10">
        <v>7035</v>
      </c>
      <c r="K146" s="11">
        <f t="shared" si="7"/>
        <v>14.07</v>
      </c>
      <c r="L146" s="7" t="s">
        <v>72</v>
      </c>
      <c r="M146" s="15">
        <f t="shared" si="8"/>
        <v>1.7300000000000004</v>
      </c>
      <c r="N146" t="str">
        <f>IF(match_results!C146="完全一致","〇","×")</f>
        <v>×</v>
      </c>
    </row>
    <row r="147" spans="1:14" x14ac:dyDescent="0.15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6"/>
        <v>100</v>
      </c>
      <c r="I147" s="7" t="s">
        <v>38</v>
      </c>
      <c r="J147" s="12">
        <v>548</v>
      </c>
      <c r="K147" s="11">
        <f t="shared" si="7"/>
        <v>5.48</v>
      </c>
      <c r="L147" s="7" t="s">
        <v>193</v>
      </c>
      <c r="M147" s="15">
        <f t="shared" si="8"/>
        <v>0.61999999999999922</v>
      </c>
      <c r="N147" t="str">
        <f>IF(match_results!C147="完全一致","〇","×")</f>
        <v>×</v>
      </c>
    </row>
    <row r="148" spans="1:14" x14ac:dyDescent="0.15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6"/>
        <v>10</v>
      </c>
      <c r="I148" s="7" t="s">
        <v>88</v>
      </c>
      <c r="J148" s="12">
        <v>544</v>
      </c>
      <c r="K148" s="11">
        <f t="shared" si="7"/>
        <v>54.4</v>
      </c>
      <c r="L148" s="7" t="s">
        <v>341</v>
      </c>
      <c r="M148" s="15">
        <f t="shared" si="8"/>
        <v>6.6000000000000014</v>
      </c>
      <c r="N148" t="str">
        <f>IF(match_results!C148="完全一致","〇","×")</f>
        <v>〇</v>
      </c>
    </row>
    <row r="149" spans="1:14" x14ac:dyDescent="0.15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6"/>
        <v>100</v>
      </c>
      <c r="I149" s="7" t="s">
        <v>38</v>
      </c>
      <c r="J149" s="10">
        <v>10151</v>
      </c>
      <c r="K149" s="11">
        <f t="shared" si="7"/>
        <v>101.51</v>
      </c>
      <c r="L149" s="7" t="s">
        <v>343</v>
      </c>
      <c r="M149" s="15">
        <f t="shared" si="8"/>
        <v>13.189999999999998</v>
      </c>
      <c r="N149" t="str">
        <f>IF(match_results!C149="完全一致","〇","×")</f>
        <v>〇</v>
      </c>
    </row>
    <row r="150" spans="1:14" x14ac:dyDescent="0.15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6"/>
        <v>100.00000000000001</v>
      </c>
      <c r="I150" s="7" t="s">
        <v>38</v>
      </c>
      <c r="J150" s="10">
        <v>775</v>
      </c>
      <c r="K150" s="11">
        <f t="shared" si="7"/>
        <v>7.7499999999999991</v>
      </c>
      <c r="L150" s="7" t="s">
        <v>115</v>
      </c>
      <c r="M150" s="15">
        <f t="shared" si="8"/>
        <v>0.95000000000000018</v>
      </c>
      <c r="N150" t="str">
        <f>IF(match_results!C150="完全一致","〇","×")</f>
        <v>〇</v>
      </c>
    </row>
    <row r="151" spans="1:14" x14ac:dyDescent="0.15">
      <c r="A151" s="6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6"/>
        <v>70</v>
      </c>
      <c r="I151" s="7" t="s">
        <v>38</v>
      </c>
      <c r="J151" s="12">
        <v>4450</v>
      </c>
      <c r="K151" s="11">
        <f t="shared" si="7"/>
        <v>63.571428571428569</v>
      </c>
      <c r="L151" s="7" t="s">
        <v>111</v>
      </c>
      <c r="M151" s="15">
        <f t="shared" si="8"/>
        <v>7.9285714285714306</v>
      </c>
      <c r="N151" t="str">
        <f>IF(match_results!C151="完全一致","〇","×")</f>
        <v>×</v>
      </c>
    </row>
    <row r="152" spans="1:14" x14ac:dyDescent="0.15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6"/>
        <v>100</v>
      </c>
      <c r="I152" s="7" t="s">
        <v>38</v>
      </c>
      <c r="J152" s="10">
        <v>9439</v>
      </c>
      <c r="K152" s="11">
        <f t="shared" si="7"/>
        <v>94.39</v>
      </c>
      <c r="L152" s="7" t="s">
        <v>348</v>
      </c>
      <c r="M152" s="15">
        <f t="shared" si="8"/>
        <v>12.510000000000005</v>
      </c>
      <c r="N152" t="str">
        <f>IF(match_results!C152="完全一致","〇","×")</f>
        <v>〇</v>
      </c>
    </row>
    <row r="153" spans="1:14" s="29" customFormat="1" x14ac:dyDescent="0.15">
      <c r="A153" s="34" t="s">
        <v>349</v>
      </c>
      <c r="B153" s="34" t="s">
        <v>9</v>
      </c>
      <c r="C153" s="35" t="s">
        <v>10</v>
      </c>
      <c r="D153" s="34" t="s">
        <v>350</v>
      </c>
      <c r="E153" s="34" t="s">
        <v>311</v>
      </c>
      <c r="F153" s="36">
        <v>58.1</v>
      </c>
      <c r="G153" s="36">
        <v>581</v>
      </c>
      <c r="H153" s="37">
        <f t="shared" si="6"/>
        <v>10</v>
      </c>
      <c r="I153" s="35" t="s">
        <v>127</v>
      </c>
      <c r="J153" s="38">
        <v>708</v>
      </c>
      <c r="K153" s="39">
        <f t="shared" si="7"/>
        <v>70.8</v>
      </c>
      <c r="L153" s="35" t="s">
        <v>128</v>
      </c>
      <c r="M153" s="40">
        <f t="shared" si="8"/>
        <v>-12.699999999999996</v>
      </c>
      <c r="N153" s="29" t="str">
        <f>IF(match_results!C153="完全一致","〇","×")</f>
        <v>×</v>
      </c>
    </row>
    <row r="154" spans="1:14" x14ac:dyDescent="0.15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6"/>
        <v>29.999999999999996</v>
      </c>
      <c r="I154" s="7" t="s">
        <v>38</v>
      </c>
      <c r="J154" s="12">
        <v>1221</v>
      </c>
      <c r="K154" s="11">
        <f t="shared" si="7"/>
        <v>40.700000000000003</v>
      </c>
      <c r="L154" s="7" t="s">
        <v>353</v>
      </c>
      <c r="M154" s="15">
        <f t="shared" si="8"/>
        <v>5</v>
      </c>
      <c r="N154" t="str">
        <f>IF(match_results!C154="完全一致","〇","×")</f>
        <v>×</v>
      </c>
    </row>
    <row r="155" spans="1:14" x14ac:dyDescent="0.15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6"/>
        <v>100</v>
      </c>
      <c r="I155" s="7" t="s">
        <v>13</v>
      </c>
      <c r="J155" s="10">
        <v>4189</v>
      </c>
      <c r="K155" s="11">
        <f t="shared" si="7"/>
        <v>41.89</v>
      </c>
      <c r="L155" s="7" t="s">
        <v>102</v>
      </c>
      <c r="M155" s="15">
        <f t="shared" si="8"/>
        <v>8.3100000000000023</v>
      </c>
      <c r="N155" t="str">
        <f>IF(match_results!C155="完全一致","〇","×")</f>
        <v>×</v>
      </c>
    </row>
    <row r="156" spans="1:14" x14ac:dyDescent="0.15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6"/>
        <v>10</v>
      </c>
      <c r="I156" s="7" t="s">
        <v>57</v>
      </c>
      <c r="J156" s="12">
        <v>1007</v>
      </c>
      <c r="K156" s="11">
        <f t="shared" si="7"/>
        <v>100.7</v>
      </c>
      <c r="L156" s="7" t="s">
        <v>111</v>
      </c>
      <c r="M156" s="15">
        <f t="shared" si="8"/>
        <v>10.899999999999991</v>
      </c>
      <c r="N156" t="str">
        <f>IF(match_results!C156="完全一致","〇","×")</f>
        <v>〇</v>
      </c>
    </row>
    <row r="157" spans="1:14" x14ac:dyDescent="0.15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6"/>
        <v>50</v>
      </c>
      <c r="I157" s="7" t="s">
        <v>75</v>
      </c>
      <c r="J157" s="10">
        <v>4881</v>
      </c>
      <c r="K157" s="11">
        <f t="shared" si="7"/>
        <v>97.62</v>
      </c>
      <c r="L157" s="7" t="s">
        <v>76</v>
      </c>
      <c r="M157" s="15">
        <f t="shared" si="8"/>
        <v>9.7800000000000011</v>
      </c>
      <c r="N157" t="str">
        <f>IF(match_results!C157="完全一致","〇","×")</f>
        <v>〇</v>
      </c>
    </row>
    <row r="158" spans="1:14" x14ac:dyDescent="0.15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6"/>
        <v>100</v>
      </c>
      <c r="I158" s="7" t="s">
        <v>38</v>
      </c>
      <c r="J158" s="10">
        <v>2600</v>
      </c>
      <c r="K158" s="11">
        <f t="shared" si="7"/>
        <v>26</v>
      </c>
      <c r="L158" s="7" t="s">
        <v>227</v>
      </c>
      <c r="M158" s="15">
        <f t="shared" si="8"/>
        <v>4.6999999999999993</v>
      </c>
      <c r="N158" t="str">
        <f>IF(match_results!C158="完全一致","〇","×")</f>
        <v>〇</v>
      </c>
    </row>
    <row r="159" spans="1:14" x14ac:dyDescent="0.15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6"/>
        <v>100</v>
      </c>
      <c r="I159" s="7" t="s">
        <v>38</v>
      </c>
      <c r="J159" s="10">
        <v>2600</v>
      </c>
      <c r="K159" s="11">
        <f t="shared" si="7"/>
        <v>26</v>
      </c>
      <c r="L159" s="7" t="s">
        <v>227</v>
      </c>
      <c r="M159" s="15">
        <f t="shared" si="8"/>
        <v>4.6999999999999993</v>
      </c>
      <c r="N159" t="str">
        <f>IF(match_results!C159="完全一致","〇","×")</f>
        <v>〇</v>
      </c>
    </row>
    <row r="160" spans="1:14" x14ac:dyDescent="0.15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6"/>
        <v>100</v>
      </c>
      <c r="I160" s="7" t="s">
        <v>38</v>
      </c>
      <c r="J160" s="10">
        <v>1440</v>
      </c>
      <c r="K160" s="11">
        <f t="shared" si="7"/>
        <v>14.4</v>
      </c>
      <c r="L160" s="7" t="s">
        <v>227</v>
      </c>
      <c r="M160" s="15">
        <f t="shared" si="8"/>
        <v>2.5999999999999996</v>
      </c>
      <c r="N160" t="str">
        <f>IF(match_results!C160="完全一致","〇","×")</f>
        <v>〇</v>
      </c>
    </row>
    <row r="161" spans="1:14" x14ac:dyDescent="0.15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6"/>
        <v>100</v>
      </c>
      <c r="I161" s="7" t="s">
        <v>38</v>
      </c>
      <c r="J161" s="10">
        <v>1440</v>
      </c>
      <c r="K161" s="11">
        <f t="shared" si="7"/>
        <v>14.4</v>
      </c>
      <c r="L161" s="7" t="s">
        <v>227</v>
      </c>
      <c r="M161" s="15">
        <f t="shared" si="8"/>
        <v>2.5999999999999996</v>
      </c>
      <c r="N161" t="str">
        <f>IF(match_results!C161="完全一致","〇","×")</f>
        <v>〇</v>
      </c>
    </row>
    <row r="162" spans="1:14" x14ac:dyDescent="0.15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6"/>
        <v>100</v>
      </c>
      <c r="I162" s="7" t="s">
        <v>13</v>
      </c>
      <c r="J162" s="10">
        <v>3300</v>
      </c>
      <c r="K162" s="11">
        <f t="shared" si="7"/>
        <v>33</v>
      </c>
      <c r="L162" s="7" t="s">
        <v>227</v>
      </c>
      <c r="M162" s="15">
        <f t="shared" si="8"/>
        <v>5.6000000000000014</v>
      </c>
      <c r="N162" t="str">
        <f>IF(match_results!C162="完全一致","〇","×")</f>
        <v>〇</v>
      </c>
    </row>
    <row r="163" spans="1:14" x14ac:dyDescent="0.15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6"/>
        <v>100.00000000000001</v>
      </c>
      <c r="I163" s="7" t="s">
        <v>38</v>
      </c>
      <c r="J163" s="10">
        <v>700</v>
      </c>
      <c r="K163" s="11">
        <f t="shared" si="7"/>
        <v>6.9999999999999991</v>
      </c>
      <c r="L163" s="7" t="s">
        <v>227</v>
      </c>
      <c r="M163" s="15">
        <f t="shared" si="8"/>
        <v>1.2000000000000002</v>
      </c>
      <c r="N163" t="str">
        <f>IF(match_results!C163="完全一致","〇","×")</f>
        <v>×</v>
      </c>
    </row>
    <row r="164" spans="1:14" x14ac:dyDescent="0.15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6"/>
        <v>100.00000000000001</v>
      </c>
      <c r="I164" s="7" t="s">
        <v>38</v>
      </c>
      <c r="J164" s="10">
        <v>700</v>
      </c>
      <c r="K164" s="11">
        <f t="shared" si="7"/>
        <v>6.9999999999999991</v>
      </c>
      <c r="L164" s="7" t="s">
        <v>227</v>
      </c>
      <c r="M164" s="15">
        <f t="shared" si="8"/>
        <v>1.2000000000000002</v>
      </c>
      <c r="N164" t="str">
        <f>IF(match_results!C164="完全一致","〇","×")</f>
        <v>×</v>
      </c>
    </row>
    <row r="165" spans="1:14" x14ac:dyDescent="0.15">
      <c r="A165" s="6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6"/>
        <v>50</v>
      </c>
      <c r="I165" s="7" t="s">
        <v>143</v>
      </c>
      <c r="J165" s="12">
        <v>770</v>
      </c>
      <c r="K165" s="11">
        <f t="shared" si="7"/>
        <v>15.4</v>
      </c>
      <c r="L165" s="7" t="s">
        <v>367</v>
      </c>
      <c r="M165" s="15">
        <f t="shared" si="8"/>
        <v>1.9000000000000004</v>
      </c>
      <c r="N165" t="str">
        <f>IF(match_results!C165="完全一致","〇","×")</f>
        <v>×</v>
      </c>
    </row>
    <row r="166" spans="1:14" x14ac:dyDescent="0.15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6"/>
        <v>100</v>
      </c>
      <c r="I166" s="7" t="s">
        <v>38</v>
      </c>
      <c r="J166" s="10">
        <v>1505</v>
      </c>
      <c r="K166" s="11">
        <f t="shared" si="7"/>
        <v>15.05</v>
      </c>
      <c r="L166" s="7" t="s">
        <v>72</v>
      </c>
      <c r="M166" s="15">
        <f t="shared" si="8"/>
        <v>2.4499999999999993</v>
      </c>
      <c r="N166" t="str">
        <f>IF(match_results!C166="完全一致","〇","×")</f>
        <v>〇</v>
      </c>
    </row>
    <row r="167" spans="1:14" x14ac:dyDescent="0.15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6"/>
        <v>100</v>
      </c>
      <c r="I167" s="7" t="s">
        <v>38</v>
      </c>
      <c r="J167" s="10">
        <v>905</v>
      </c>
      <c r="K167" s="11">
        <f t="shared" si="7"/>
        <v>9.0500000000000007</v>
      </c>
      <c r="L167" s="7" t="s">
        <v>313</v>
      </c>
      <c r="M167" s="15">
        <f t="shared" si="8"/>
        <v>1.3499999999999996</v>
      </c>
      <c r="N167" t="str">
        <f>IF(match_results!C167="完全一致","〇","×")</f>
        <v>〇</v>
      </c>
    </row>
    <row r="168" spans="1:14" x14ac:dyDescent="0.15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6"/>
        <v>100</v>
      </c>
      <c r="I168" s="7" t="s">
        <v>38</v>
      </c>
      <c r="J168" s="10">
        <v>905</v>
      </c>
      <c r="K168" s="11">
        <f t="shared" si="7"/>
        <v>9.0500000000000007</v>
      </c>
      <c r="L168" s="7" t="s">
        <v>313</v>
      </c>
      <c r="M168" s="15">
        <f t="shared" si="8"/>
        <v>1.3499999999999996</v>
      </c>
      <c r="N168" t="str">
        <f>IF(match_results!C168="完全一致","〇","×")</f>
        <v>〇</v>
      </c>
    </row>
    <row r="169" spans="1:14" x14ac:dyDescent="0.15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6"/>
        <v>100</v>
      </c>
      <c r="I169" s="7" t="s">
        <v>38</v>
      </c>
      <c r="J169" s="10">
        <v>903</v>
      </c>
      <c r="K169" s="11">
        <f t="shared" si="7"/>
        <v>9.0299999999999994</v>
      </c>
      <c r="L169" s="7" t="s">
        <v>270</v>
      </c>
      <c r="M169" s="15">
        <f t="shared" si="8"/>
        <v>0.97000000000000064</v>
      </c>
      <c r="N169" t="str">
        <f>IF(match_results!C169="完全一致","〇","×")</f>
        <v>〇</v>
      </c>
    </row>
    <row r="170" spans="1:14" x14ac:dyDescent="0.15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6"/>
        <v>55.999999999999993</v>
      </c>
      <c r="I170" s="7" t="s">
        <v>38</v>
      </c>
      <c r="J170" s="10">
        <v>1318</v>
      </c>
      <c r="K170" s="11">
        <f t="shared" si="7"/>
        <v>23.535714285714288</v>
      </c>
      <c r="L170" s="7" t="s">
        <v>224</v>
      </c>
      <c r="M170" s="15">
        <f t="shared" si="8"/>
        <v>4.0642857142857132</v>
      </c>
      <c r="N170" t="str">
        <f>IF(match_results!C170="完全一致","〇","×")</f>
        <v>〇</v>
      </c>
    </row>
    <row r="171" spans="1:14" x14ac:dyDescent="0.15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6"/>
        <v>140</v>
      </c>
      <c r="I171" s="7" t="s">
        <v>38</v>
      </c>
      <c r="J171" s="10">
        <v>2197</v>
      </c>
      <c r="K171" s="11">
        <f t="shared" si="7"/>
        <v>15.692857142857143</v>
      </c>
      <c r="L171" s="7" t="s">
        <v>224</v>
      </c>
      <c r="M171" s="15">
        <f t="shared" si="8"/>
        <v>2.7071428571428555</v>
      </c>
      <c r="N171" t="str">
        <f>IF(match_results!C171="完全一致","〇","×")</f>
        <v>〇</v>
      </c>
    </row>
    <row r="172" spans="1:14" x14ac:dyDescent="0.15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6"/>
        <v>680.40000000000009</v>
      </c>
      <c r="I172" s="7" t="s">
        <v>13</v>
      </c>
      <c r="J172" s="12">
        <v>5819</v>
      </c>
      <c r="K172" s="11">
        <f t="shared" si="7"/>
        <v>8.5523221634332742</v>
      </c>
      <c r="L172" s="7" t="s">
        <v>348</v>
      </c>
      <c r="M172" s="15">
        <f t="shared" si="8"/>
        <v>1.0476778365667254</v>
      </c>
      <c r="N172" t="str">
        <f>IF(match_results!C172="完全一致","〇","×")</f>
        <v>〇</v>
      </c>
    </row>
    <row r="173" spans="1:14" x14ac:dyDescent="0.15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6"/>
        <v>500</v>
      </c>
      <c r="I173" s="7" t="s">
        <v>13</v>
      </c>
      <c r="J173" s="12">
        <v>10089</v>
      </c>
      <c r="K173" s="11">
        <f t="shared" si="7"/>
        <v>20.178000000000001</v>
      </c>
      <c r="L173" s="7" t="s">
        <v>246</v>
      </c>
      <c r="M173" s="15">
        <f t="shared" si="8"/>
        <v>2.0219999999999985</v>
      </c>
      <c r="N173" t="str">
        <f>IF(match_results!C173="完全一致","〇","×")</f>
        <v>×</v>
      </c>
    </row>
    <row r="174" spans="1:14" x14ac:dyDescent="0.15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6"/>
        <v>499.99999999999994</v>
      </c>
      <c r="I174" s="7" t="s">
        <v>38</v>
      </c>
      <c r="J174" s="10">
        <v>2680</v>
      </c>
      <c r="K174" s="11">
        <f t="shared" si="7"/>
        <v>5.36</v>
      </c>
      <c r="L174" s="7" t="s">
        <v>246</v>
      </c>
      <c r="M174" s="15">
        <f t="shared" si="8"/>
        <v>0.54</v>
      </c>
      <c r="N174" t="str">
        <f>IF(match_results!C174="完全一致","〇","×")</f>
        <v>〇</v>
      </c>
    </row>
    <row r="175" spans="1:14" x14ac:dyDescent="0.15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6"/>
        <v>100</v>
      </c>
      <c r="I175" s="7" t="s">
        <v>38</v>
      </c>
      <c r="J175" s="12">
        <v>909</v>
      </c>
      <c r="K175" s="11">
        <f t="shared" si="7"/>
        <v>9.09</v>
      </c>
      <c r="L175" s="7" t="s">
        <v>246</v>
      </c>
      <c r="M175" s="15">
        <f t="shared" si="8"/>
        <v>0.91000000000000014</v>
      </c>
      <c r="N175" t="str">
        <f>IF(match_results!C175="完全一致","〇","×")</f>
        <v>〇</v>
      </c>
    </row>
    <row r="176" spans="1:14" x14ac:dyDescent="0.15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6"/>
        <v>500</v>
      </c>
      <c r="I176" s="7" t="s">
        <v>38</v>
      </c>
      <c r="J176" s="10">
        <v>4454</v>
      </c>
      <c r="K176" s="11">
        <f t="shared" si="7"/>
        <v>8.9079999999999995</v>
      </c>
      <c r="L176" s="7" t="s">
        <v>246</v>
      </c>
      <c r="M176" s="15">
        <f t="shared" si="8"/>
        <v>1.0920000000000005</v>
      </c>
      <c r="N176" t="str">
        <f>IF(match_results!C176="完全一致","〇","×")</f>
        <v>〇</v>
      </c>
    </row>
    <row r="177" spans="1:14" x14ac:dyDescent="0.15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6"/>
        <v>100</v>
      </c>
      <c r="I177" s="7" t="s">
        <v>38</v>
      </c>
      <c r="J177" s="10">
        <v>926</v>
      </c>
      <c r="K177" s="11">
        <f t="shared" si="7"/>
        <v>9.26</v>
      </c>
      <c r="L177" s="7" t="s">
        <v>72</v>
      </c>
      <c r="M177" s="15">
        <f t="shared" si="8"/>
        <v>1.1400000000000006</v>
      </c>
      <c r="N177" t="str">
        <f>IF(match_results!C177="完全一致","〇","×")</f>
        <v>〇</v>
      </c>
    </row>
    <row r="178" spans="1:14" x14ac:dyDescent="0.15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6"/>
        <v>1000</v>
      </c>
      <c r="I178" s="7" t="s">
        <v>38</v>
      </c>
      <c r="J178" s="10">
        <v>9270</v>
      </c>
      <c r="K178" s="11">
        <f t="shared" si="7"/>
        <v>9.27</v>
      </c>
      <c r="L178" s="7" t="s">
        <v>382</v>
      </c>
      <c r="M178" s="15">
        <f t="shared" si="8"/>
        <v>1.1300000000000008</v>
      </c>
      <c r="N178" t="str">
        <f>IF(match_results!C178="完全一致","〇","×")</f>
        <v>〇</v>
      </c>
    </row>
    <row r="179" spans="1:14" x14ac:dyDescent="0.15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6"/>
        <v>50</v>
      </c>
      <c r="I179" s="7" t="s">
        <v>169</v>
      </c>
      <c r="J179" s="10">
        <v>1384</v>
      </c>
      <c r="K179" s="11">
        <f t="shared" si="7"/>
        <v>27.68</v>
      </c>
      <c r="L179" s="7" t="s">
        <v>154</v>
      </c>
      <c r="M179" s="15">
        <f t="shared" si="8"/>
        <v>3.7199999999999989</v>
      </c>
      <c r="N179" t="str">
        <f>IF(match_results!C179="完全一致","〇","×")</f>
        <v>〇</v>
      </c>
    </row>
    <row r="180" spans="1:14" x14ac:dyDescent="0.15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6"/>
        <v>1000</v>
      </c>
      <c r="I180" s="7" t="s">
        <v>38</v>
      </c>
      <c r="J180" s="10">
        <v>5906</v>
      </c>
      <c r="K180" s="11">
        <f t="shared" si="7"/>
        <v>5.9059999999999997</v>
      </c>
      <c r="L180" s="7" t="s">
        <v>154</v>
      </c>
      <c r="M180" s="15">
        <f t="shared" si="8"/>
        <v>0.79400000000000048</v>
      </c>
      <c r="N180" t="str">
        <f>IF(match_results!C180="完全一致","〇","×")</f>
        <v>〇</v>
      </c>
    </row>
    <row r="181" spans="1:14" x14ac:dyDescent="0.15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6"/>
        <v>500</v>
      </c>
      <c r="I181" s="7" t="s">
        <v>38</v>
      </c>
      <c r="J181" s="10">
        <v>2953</v>
      </c>
      <c r="K181" s="11">
        <f t="shared" si="7"/>
        <v>5.9059999999999997</v>
      </c>
      <c r="L181" s="7" t="s">
        <v>154</v>
      </c>
      <c r="M181" s="15">
        <f t="shared" si="8"/>
        <v>0.79400000000000048</v>
      </c>
      <c r="N181" t="str">
        <f>IF(match_results!C181="完全一致","〇","×")</f>
        <v>〇</v>
      </c>
    </row>
    <row r="182" spans="1:14" x14ac:dyDescent="0.15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6"/>
        <v>10</v>
      </c>
      <c r="I182" s="7" t="s">
        <v>143</v>
      </c>
      <c r="J182" s="10">
        <v>1890</v>
      </c>
      <c r="K182" s="11">
        <f t="shared" si="7"/>
        <v>189</v>
      </c>
      <c r="L182" s="7" t="s">
        <v>388</v>
      </c>
      <c r="M182" s="15">
        <f t="shared" si="8"/>
        <v>21</v>
      </c>
      <c r="N182" t="str">
        <f>IF(match_results!C182="完全一致","〇","×")</f>
        <v>×</v>
      </c>
    </row>
    <row r="183" spans="1:14" x14ac:dyDescent="0.15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6"/>
        <v>5</v>
      </c>
      <c r="I183" s="7" t="s">
        <v>88</v>
      </c>
      <c r="J183" s="12">
        <v>271</v>
      </c>
      <c r="K183" s="11">
        <f t="shared" si="7"/>
        <v>54.2</v>
      </c>
      <c r="L183" s="7" t="s">
        <v>388</v>
      </c>
      <c r="M183" s="15">
        <f t="shared" si="8"/>
        <v>6.7999999999999972</v>
      </c>
      <c r="N183" t="str">
        <f>IF(match_results!C183="完全一致","〇","×")</f>
        <v>×</v>
      </c>
    </row>
    <row r="184" spans="1:14" x14ac:dyDescent="0.15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6"/>
        <v>1</v>
      </c>
      <c r="I184" s="7" t="s">
        <v>244</v>
      </c>
      <c r="J184" s="10">
        <v>1543</v>
      </c>
      <c r="K184" s="11">
        <f t="shared" si="7"/>
        <v>1543</v>
      </c>
      <c r="L184" s="7" t="s">
        <v>170</v>
      </c>
      <c r="M184" s="15">
        <f t="shared" si="8"/>
        <v>189.20000000000005</v>
      </c>
      <c r="N184" t="str">
        <f>IF(match_results!C184="完全一致","〇","×")</f>
        <v>×</v>
      </c>
    </row>
    <row r="185" spans="1:14" x14ac:dyDescent="0.15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6"/>
        <v>100</v>
      </c>
      <c r="I185" s="7" t="s">
        <v>38</v>
      </c>
      <c r="J185" s="10">
        <v>1900</v>
      </c>
      <c r="K185" s="11">
        <f t="shared" si="7"/>
        <v>19</v>
      </c>
      <c r="L185" s="7" t="s">
        <v>303</v>
      </c>
      <c r="M185" s="15">
        <f t="shared" si="8"/>
        <v>2.6999999999999993</v>
      </c>
      <c r="N185" t="str">
        <f>IF(match_results!C185="完全一致","〇","×")</f>
        <v>〇</v>
      </c>
    </row>
    <row r="186" spans="1:14" x14ac:dyDescent="0.15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6"/>
        <v>500</v>
      </c>
      <c r="I186" s="7" t="s">
        <v>38</v>
      </c>
      <c r="J186" s="12">
        <v>9500</v>
      </c>
      <c r="K186" s="11">
        <f t="shared" si="7"/>
        <v>19</v>
      </c>
      <c r="L186" s="7" t="s">
        <v>303</v>
      </c>
      <c r="M186" s="15">
        <f t="shared" si="8"/>
        <v>2.6999999999999993</v>
      </c>
      <c r="N186" t="str">
        <f>IF(match_results!C186="完全一致","〇","×")</f>
        <v>〇</v>
      </c>
    </row>
    <row r="187" spans="1:14" x14ac:dyDescent="0.15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6"/>
        <v>100</v>
      </c>
      <c r="I187" s="7" t="s">
        <v>38</v>
      </c>
      <c r="J187" s="10">
        <v>5048</v>
      </c>
      <c r="K187" s="11">
        <f t="shared" si="7"/>
        <v>50.48</v>
      </c>
      <c r="L187" s="7" t="s">
        <v>224</v>
      </c>
      <c r="M187" s="15">
        <f t="shared" si="8"/>
        <v>6.82</v>
      </c>
      <c r="N187" t="str">
        <f>IF(match_results!C187="完全一致","〇","×")</f>
        <v>〇</v>
      </c>
    </row>
    <row r="188" spans="1:14" x14ac:dyDescent="0.15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6"/>
        <v>100</v>
      </c>
      <c r="I188" s="7" t="s">
        <v>38</v>
      </c>
      <c r="J188" s="10">
        <v>7999</v>
      </c>
      <c r="K188" s="11">
        <f t="shared" si="7"/>
        <v>79.989999999999995</v>
      </c>
      <c r="L188" s="7" t="s">
        <v>224</v>
      </c>
      <c r="M188" s="15">
        <f t="shared" si="8"/>
        <v>10.810000000000002</v>
      </c>
      <c r="N188" t="str">
        <f>IF(match_results!C188="完全一致","〇","×")</f>
        <v>×</v>
      </c>
    </row>
    <row r="189" spans="1:14" x14ac:dyDescent="0.15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6"/>
        <v>500</v>
      </c>
      <c r="I189" s="7" t="s">
        <v>38</v>
      </c>
      <c r="J189" s="10">
        <v>34309</v>
      </c>
      <c r="K189" s="11">
        <f t="shared" si="7"/>
        <v>68.617999999999995</v>
      </c>
      <c r="L189" s="7" t="s">
        <v>213</v>
      </c>
      <c r="M189" s="15">
        <f t="shared" si="8"/>
        <v>11.582000000000008</v>
      </c>
      <c r="N189" t="str">
        <f>IF(match_results!C189="完全一致","〇","×")</f>
        <v>〇</v>
      </c>
    </row>
    <row r="190" spans="1:14" x14ac:dyDescent="0.15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6"/>
        <v>100</v>
      </c>
      <c r="I190" s="7" t="s">
        <v>13</v>
      </c>
      <c r="J190" s="10">
        <v>11467</v>
      </c>
      <c r="K190" s="11">
        <f t="shared" si="7"/>
        <v>114.67</v>
      </c>
      <c r="L190" s="7" t="s">
        <v>227</v>
      </c>
      <c r="M190" s="15">
        <f t="shared" si="8"/>
        <v>20.230000000000004</v>
      </c>
      <c r="N190" t="str">
        <f>IF(match_results!C190="完全一致","〇","×")</f>
        <v>〇</v>
      </c>
    </row>
    <row r="191" spans="1:14" x14ac:dyDescent="0.15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6"/>
        <v>100</v>
      </c>
      <c r="I191" s="7" t="s">
        <v>38</v>
      </c>
      <c r="J191" s="10">
        <v>1445</v>
      </c>
      <c r="K191" s="11">
        <f t="shared" si="7"/>
        <v>14.45</v>
      </c>
      <c r="L191" s="7" t="s">
        <v>227</v>
      </c>
      <c r="M191" s="15">
        <f t="shared" si="8"/>
        <v>2.3500000000000014</v>
      </c>
      <c r="N191" t="str">
        <f>IF(match_results!C191="完全一致","〇","×")</f>
        <v>〇</v>
      </c>
    </row>
    <row r="192" spans="1:14" x14ac:dyDescent="0.15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6"/>
        <v>1000</v>
      </c>
      <c r="I192" s="7" t="s">
        <v>38</v>
      </c>
      <c r="J192" s="10">
        <v>14448</v>
      </c>
      <c r="K192" s="11">
        <f t="shared" si="7"/>
        <v>14.448</v>
      </c>
      <c r="L192" s="7" t="s">
        <v>227</v>
      </c>
      <c r="M192" s="15">
        <f t="shared" si="8"/>
        <v>2.3520000000000003</v>
      </c>
      <c r="N192" t="str">
        <f>IF(match_results!C192="完全一致","〇","×")</f>
        <v>〇</v>
      </c>
    </row>
    <row r="193" spans="1:14" x14ac:dyDescent="0.15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6"/>
        <v>100</v>
      </c>
      <c r="I193" s="7" t="s">
        <v>38</v>
      </c>
      <c r="J193" s="10">
        <v>676</v>
      </c>
      <c r="K193" s="11">
        <f t="shared" si="7"/>
        <v>6.76</v>
      </c>
      <c r="L193" s="7" t="s">
        <v>227</v>
      </c>
      <c r="M193" s="15">
        <f t="shared" si="8"/>
        <v>3.6400000000000006</v>
      </c>
      <c r="N193" t="str">
        <f>IF(match_results!C193="完全一致","〇","×")</f>
        <v>〇</v>
      </c>
    </row>
    <row r="194" spans="1:14" x14ac:dyDescent="0.15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9">G194/F194</f>
        <v>200</v>
      </c>
      <c r="I194" s="7" t="s">
        <v>38</v>
      </c>
      <c r="J194" s="10">
        <v>1352</v>
      </c>
      <c r="K194" s="11">
        <f t="shared" ref="K194:K257" si="10">J194/H194</f>
        <v>6.76</v>
      </c>
      <c r="L194" s="7" t="s">
        <v>227</v>
      </c>
      <c r="M194" s="15">
        <f t="shared" si="8"/>
        <v>3.6400000000000006</v>
      </c>
      <c r="N194" t="str">
        <f>IF(match_results!C194="完全一致","〇","×")</f>
        <v>〇</v>
      </c>
    </row>
    <row r="195" spans="1:14" x14ac:dyDescent="0.15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9"/>
        <v>100</v>
      </c>
      <c r="I195" s="7" t="s">
        <v>38</v>
      </c>
      <c r="J195" s="10">
        <v>2510</v>
      </c>
      <c r="K195" s="11">
        <f t="shared" si="10"/>
        <v>25.1</v>
      </c>
      <c r="L195" s="7" t="s">
        <v>227</v>
      </c>
      <c r="M195" s="15">
        <f t="shared" ref="M195:M258" si="11">F195-K195</f>
        <v>4.1999999999999993</v>
      </c>
      <c r="N195" t="str">
        <f>IF(match_results!C195="完全一致","〇","×")</f>
        <v>〇</v>
      </c>
    </row>
    <row r="196" spans="1:14" x14ac:dyDescent="0.15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9"/>
        <v>500</v>
      </c>
      <c r="I196" s="7" t="s">
        <v>38</v>
      </c>
      <c r="J196" s="10">
        <v>12599</v>
      </c>
      <c r="K196" s="11">
        <f t="shared" si="10"/>
        <v>25.198</v>
      </c>
      <c r="L196" s="7" t="s">
        <v>227</v>
      </c>
      <c r="M196" s="15">
        <f t="shared" si="11"/>
        <v>4.1020000000000003</v>
      </c>
      <c r="N196" t="str">
        <f>IF(match_results!C196="完全一致","〇","×")</f>
        <v>〇</v>
      </c>
    </row>
    <row r="197" spans="1:14" x14ac:dyDescent="0.15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9"/>
        <v>100</v>
      </c>
      <c r="I197" s="7" t="s">
        <v>38</v>
      </c>
      <c r="J197" s="10">
        <v>772</v>
      </c>
      <c r="K197" s="11">
        <f t="shared" si="10"/>
        <v>7.72</v>
      </c>
      <c r="L197" s="7" t="s">
        <v>227</v>
      </c>
      <c r="M197" s="15">
        <f t="shared" si="11"/>
        <v>2.6800000000000006</v>
      </c>
      <c r="N197" t="str">
        <f>IF(match_results!C197="完全一致","〇","×")</f>
        <v>〇</v>
      </c>
    </row>
    <row r="198" spans="1:14" x14ac:dyDescent="0.15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9"/>
        <v>1000</v>
      </c>
      <c r="I198" s="7" t="s">
        <v>38</v>
      </c>
      <c r="J198" s="10">
        <v>7725</v>
      </c>
      <c r="K198" s="11">
        <f t="shared" si="10"/>
        <v>7.7249999999999996</v>
      </c>
      <c r="L198" s="7" t="s">
        <v>227</v>
      </c>
      <c r="M198" s="15">
        <f t="shared" si="11"/>
        <v>2.6750000000000007</v>
      </c>
      <c r="N198" t="str">
        <f>IF(match_results!C198="完全一致","〇","×")</f>
        <v>〇</v>
      </c>
    </row>
    <row r="199" spans="1:14" x14ac:dyDescent="0.15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9"/>
        <v>25</v>
      </c>
      <c r="I199" s="7" t="s">
        <v>75</v>
      </c>
      <c r="J199" s="10">
        <v>11245</v>
      </c>
      <c r="K199" s="11">
        <f t="shared" si="10"/>
        <v>449.8</v>
      </c>
      <c r="L199" s="7" t="s">
        <v>76</v>
      </c>
      <c r="M199" s="15">
        <f t="shared" si="11"/>
        <v>55.599999999999966</v>
      </c>
      <c r="N199" t="str">
        <f>IF(match_results!C199="完全一致","〇","×")</f>
        <v>〇</v>
      </c>
    </row>
    <row r="200" spans="1:14" x14ac:dyDescent="0.15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9"/>
        <v>100</v>
      </c>
      <c r="I200" s="7" t="s">
        <v>38</v>
      </c>
      <c r="J200" s="10">
        <v>7285</v>
      </c>
      <c r="K200" s="11">
        <f t="shared" si="10"/>
        <v>72.849999999999994</v>
      </c>
      <c r="L200" s="7" t="s">
        <v>407</v>
      </c>
      <c r="M200" s="15">
        <f t="shared" si="11"/>
        <v>12.350000000000009</v>
      </c>
      <c r="N200" t="str">
        <f>IF(match_results!C200="完全一致","〇","×")</f>
        <v>〇</v>
      </c>
    </row>
    <row r="201" spans="1:14" x14ac:dyDescent="0.15">
      <c r="A201" s="6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9"/>
        <v>25</v>
      </c>
      <c r="I201" s="7" t="s">
        <v>75</v>
      </c>
      <c r="J201" s="12">
        <v>10009</v>
      </c>
      <c r="K201" s="11">
        <f t="shared" si="10"/>
        <v>400.36</v>
      </c>
      <c r="L201" s="7" t="s">
        <v>76</v>
      </c>
      <c r="M201" s="15">
        <f t="shared" si="11"/>
        <v>49.039999999999964</v>
      </c>
      <c r="N201" t="str">
        <f>IF(match_results!C201="完全一致","〇","×")</f>
        <v>×</v>
      </c>
    </row>
    <row r="202" spans="1:14" x14ac:dyDescent="0.15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9"/>
        <v>100</v>
      </c>
      <c r="I202" s="7" t="s">
        <v>13</v>
      </c>
      <c r="J202" s="10">
        <v>1800</v>
      </c>
      <c r="K202" s="11">
        <f t="shared" si="10"/>
        <v>18</v>
      </c>
      <c r="L202" s="7" t="s">
        <v>224</v>
      </c>
      <c r="M202" s="15">
        <f t="shared" si="11"/>
        <v>1.8000000000000007</v>
      </c>
      <c r="N202" t="str">
        <f>IF(match_results!C202="完全一致","〇","×")</f>
        <v>〇</v>
      </c>
    </row>
    <row r="203" spans="1:14" x14ac:dyDescent="0.15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9"/>
        <v>1000</v>
      </c>
      <c r="I203" s="7" t="s">
        <v>38</v>
      </c>
      <c r="J203" s="10">
        <v>10750</v>
      </c>
      <c r="K203" s="11">
        <f t="shared" si="10"/>
        <v>10.75</v>
      </c>
      <c r="L203" s="7" t="s">
        <v>224</v>
      </c>
      <c r="M203" s="15">
        <f t="shared" si="11"/>
        <v>1.75</v>
      </c>
      <c r="N203" t="str">
        <f>IF(match_results!C203="完全一致","〇","×")</f>
        <v>〇</v>
      </c>
    </row>
    <row r="204" spans="1:14" x14ac:dyDescent="0.15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9"/>
        <v>99.999999999999986</v>
      </c>
      <c r="I204" s="7" t="s">
        <v>38</v>
      </c>
      <c r="J204" s="10">
        <v>1385</v>
      </c>
      <c r="K204" s="11">
        <f t="shared" si="10"/>
        <v>13.850000000000001</v>
      </c>
      <c r="L204" s="7" t="s">
        <v>224</v>
      </c>
      <c r="M204" s="15">
        <f t="shared" si="11"/>
        <v>2.25</v>
      </c>
      <c r="N204" t="str">
        <f>IF(match_results!C204="完全一致","〇","×")</f>
        <v>〇</v>
      </c>
    </row>
    <row r="205" spans="1:14" x14ac:dyDescent="0.15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9"/>
        <v>100</v>
      </c>
      <c r="I205" s="7" t="s">
        <v>38</v>
      </c>
      <c r="J205" s="10">
        <v>2263</v>
      </c>
      <c r="K205" s="11">
        <f t="shared" si="10"/>
        <v>22.63</v>
      </c>
      <c r="L205" s="7" t="s">
        <v>115</v>
      </c>
      <c r="M205" s="15">
        <f t="shared" si="11"/>
        <v>2.2699999999999996</v>
      </c>
      <c r="N205" t="str">
        <f>IF(match_results!C205="完全一致","〇","×")</f>
        <v>〇</v>
      </c>
    </row>
    <row r="206" spans="1:14" x14ac:dyDescent="0.15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9"/>
        <v>100</v>
      </c>
      <c r="I206" s="7" t="s">
        <v>38</v>
      </c>
      <c r="J206" s="10">
        <v>2710</v>
      </c>
      <c r="K206" s="11">
        <f t="shared" si="10"/>
        <v>27.1</v>
      </c>
      <c r="L206" s="7" t="s">
        <v>313</v>
      </c>
      <c r="M206" s="15">
        <f t="shared" si="11"/>
        <v>4.5999999999999979</v>
      </c>
      <c r="N206" t="str">
        <f>IF(match_results!C206="完全一致","〇","×")</f>
        <v>〇</v>
      </c>
    </row>
    <row r="207" spans="1:14" x14ac:dyDescent="0.15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9"/>
        <v>100.00000000000001</v>
      </c>
      <c r="I207" s="7" t="s">
        <v>38</v>
      </c>
      <c r="J207" s="10">
        <v>730</v>
      </c>
      <c r="K207" s="11">
        <f t="shared" si="10"/>
        <v>7.2999999999999989</v>
      </c>
      <c r="L207" s="7" t="s">
        <v>303</v>
      </c>
      <c r="M207" s="15">
        <f t="shared" si="11"/>
        <v>0.90000000000000036</v>
      </c>
      <c r="N207" t="str">
        <f>IF(match_results!C207="完全一致","〇","×")</f>
        <v>〇</v>
      </c>
    </row>
    <row r="208" spans="1:14" x14ac:dyDescent="0.15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9"/>
        <v>10</v>
      </c>
      <c r="I208" s="7" t="s">
        <v>97</v>
      </c>
      <c r="J208" s="12">
        <v>2691</v>
      </c>
      <c r="K208" s="11">
        <f t="shared" si="10"/>
        <v>269.10000000000002</v>
      </c>
      <c r="L208" s="7" t="s">
        <v>270</v>
      </c>
      <c r="M208" s="15">
        <f t="shared" si="11"/>
        <v>32.899999999999977</v>
      </c>
      <c r="N208" t="str">
        <f>IF(match_results!C208="完全一致","〇","×")</f>
        <v>〇</v>
      </c>
    </row>
    <row r="209" spans="1:14" x14ac:dyDescent="0.15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9"/>
        <v>10</v>
      </c>
      <c r="I209" s="7" t="s">
        <v>244</v>
      </c>
      <c r="J209" s="10">
        <v>1096</v>
      </c>
      <c r="K209" s="11">
        <f t="shared" si="10"/>
        <v>109.6</v>
      </c>
      <c r="L209" s="7" t="s">
        <v>213</v>
      </c>
      <c r="M209" s="15">
        <f t="shared" si="11"/>
        <v>14.600000000000009</v>
      </c>
      <c r="N209" t="str">
        <f>IF(match_results!C209="完全一致","〇","×")</f>
        <v>×</v>
      </c>
    </row>
    <row r="210" spans="1:14" x14ac:dyDescent="0.15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9"/>
        <v>999.99999999999989</v>
      </c>
      <c r="I210" s="7" t="s">
        <v>38</v>
      </c>
      <c r="J210" s="10">
        <v>5363</v>
      </c>
      <c r="K210" s="11">
        <f t="shared" si="10"/>
        <v>5.3630000000000004</v>
      </c>
      <c r="L210" s="7" t="s">
        <v>423</v>
      </c>
      <c r="M210" s="15">
        <f t="shared" si="11"/>
        <v>0.53699999999999992</v>
      </c>
      <c r="N210" t="str">
        <f>IF(match_results!C210="完全一致","〇","×")</f>
        <v>〇</v>
      </c>
    </row>
    <row r="211" spans="1:14" x14ac:dyDescent="0.15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9"/>
        <v>300</v>
      </c>
      <c r="I211" s="7" t="s">
        <v>38</v>
      </c>
      <c r="J211" s="10">
        <v>2715</v>
      </c>
      <c r="K211" s="11">
        <f t="shared" si="10"/>
        <v>9.0500000000000007</v>
      </c>
      <c r="L211" s="7" t="s">
        <v>407</v>
      </c>
      <c r="M211" s="15">
        <f t="shared" si="11"/>
        <v>1.3499999999999996</v>
      </c>
      <c r="N211" t="str">
        <f>IF(match_results!C211="完全一致","〇","×")</f>
        <v>〇</v>
      </c>
    </row>
    <row r="212" spans="1:14" x14ac:dyDescent="0.15">
      <c r="A212" s="6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9"/>
        <v>17.8</v>
      </c>
      <c r="I212" s="7" t="s">
        <v>13</v>
      </c>
      <c r="J212" s="10">
        <v>21879</v>
      </c>
      <c r="K212" s="11">
        <f t="shared" si="10"/>
        <v>1229.1573033707864</v>
      </c>
      <c r="L212" s="7" t="s">
        <v>333</v>
      </c>
      <c r="M212" s="15">
        <f t="shared" si="11"/>
        <v>167.64269662921356</v>
      </c>
      <c r="N212" t="str">
        <f>IF(match_results!C212="完全一致","〇","×")</f>
        <v>×</v>
      </c>
    </row>
    <row r="213" spans="1:14" x14ac:dyDescent="0.15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9"/>
        <v>168</v>
      </c>
      <c r="I213" s="7" t="s">
        <v>13</v>
      </c>
      <c r="J213" s="10">
        <v>7229</v>
      </c>
      <c r="K213" s="11">
        <f t="shared" si="10"/>
        <v>43.029761904761905</v>
      </c>
      <c r="L213" s="7" t="s">
        <v>433</v>
      </c>
      <c r="M213" s="15">
        <f t="shared" si="11"/>
        <v>5.2702380952380921</v>
      </c>
      <c r="N213" t="str">
        <f>IF(match_results!C213="完全一致","〇","×")</f>
        <v>〇</v>
      </c>
    </row>
    <row r="214" spans="1:14" x14ac:dyDescent="0.15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9"/>
        <v>100</v>
      </c>
      <c r="I214" s="7" t="s">
        <v>38</v>
      </c>
      <c r="J214" s="10">
        <v>910</v>
      </c>
      <c r="K214" s="11">
        <f t="shared" si="10"/>
        <v>9.1</v>
      </c>
      <c r="L214" s="7" t="s">
        <v>258</v>
      </c>
      <c r="M214" s="15">
        <f t="shared" si="11"/>
        <v>3.5999999999999996</v>
      </c>
      <c r="N214" t="str">
        <f>IF(match_results!C214="完全一致","〇","×")</f>
        <v>〇</v>
      </c>
    </row>
    <row r="215" spans="1:14" x14ac:dyDescent="0.15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9"/>
        <v>100</v>
      </c>
      <c r="I215" s="7" t="s">
        <v>38</v>
      </c>
      <c r="J215" s="10">
        <v>2280</v>
      </c>
      <c r="K215" s="11">
        <f t="shared" si="10"/>
        <v>22.8</v>
      </c>
      <c r="L215" s="7" t="s">
        <v>258</v>
      </c>
      <c r="M215" s="15">
        <f t="shared" si="11"/>
        <v>9.0999999999999979</v>
      </c>
      <c r="N215" t="str">
        <f>IF(match_results!C215="完全一致","〇","×")</f>
        <v>〇</v>
      </c>
    </row>
    <row r="216" spans="1:14" x14ac:dyDescent="0.15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9"/>
        <v>500</v>
      </c>
      <c r="I216" s="7" t="s">
        <v>38</v>
      </c>
      <c r="J216" s="10">
        <v>11400</v>
      </c>
      <c r="K216" s="11">
        <f t="shared" si="10"/>
        <v>22.8</v>
      </c>
      <c r="L216" s="7" t="s">
        <v>258</v>
      </c>
      <c r="M216" s="15">
        <f t="shared" si="11"/>
        <v>9.0999999999999979</v>
      </c>
      <c r="N216" t="str">
        <f>IF(match_results!C216="完全一致","〇","×")</f>
        <v>〇</v>
      </c>
    </row>
    <row r="217" spans="1:14" x14ac:dyDescent="0.15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9"/>
        <v>99.999999999999986</v>
      </c>
      <c r="I217" s="7" t="s">
        <v>38</v>
      </c>
      <c r="J217" s="10">
        <v>1434</v>
      </c>
      <c r="K217" s="11">
        <f t="shared" si="10"/>
        <v>14.340000000000002</v>
      </c>
      <c r="L217" s="7" t="s">
        <v>165</v>
      </c>
      <c r="M217" s="15">
        <f t="shared" si="11"/>
        <v>1.7599999999999998</v>
      </c>
      <c r="N217" t="str">
        <f>IF(match_results!C217="完全一致","〇","×")</f>
        <v>〇</v>
      </c>
    </row>
    <row r="218" spans="1:14" x14ac:dyDescent="0.15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9"/>
        <v>50</v>
      </c>
      <c r="I218" s="7" t="s">
        <v>13</v>
      </c>
      <c r="J218" s="10">
        <v>521</v>
      </c>
      <c r="K218" s="11">
        <f t="shared" si="10"/>
        <v>10.42</v>
      </c>
      <c r="L218" s="7" t="s">
        <v>128</v>
      </c>
      <c r="M218" s="15">
        <f t="shared" si="11"/>
        <v>1.2799999999999994</v>
      </c>
      <c r="N218" t="str">
        <f>IF(match_results!C218="完全一致","〇","×")</f>
        <v>〇</v>
      </c>
    </row>
    <row r="219" spans="1:14" x14ac:dyDescent="0.15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9"/>
        <v>100</v>
      </c>
      <c r="I219" s="7" t="s">
        <v>38</v>
      </c>
      <c r="J219" s="12">
        <v>6388</v>
      </c>
      <c r="K219" s="11">
        <f t="shared" si="10"/>
        <v>63.88</v>
      </c>
      <c r="L219" s="7" t="s">
        <v>441</v>
      </c>
      <c r="M219" s="15">
        <f t="shared" si="11"/>
        <v>7.82</v>
      </c>
      <c r="N219" t="str">
        <f>IF(match_results!C219="完全一致","〇","×")</f>
        <v>〇</v>
      </c>
    </row>
    <row r="220" spans="1:14" x14ac:dyDescent="0.15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9"/>
        <v>5</v>
      </c>
      <c r="I220" s="7" t="s">
        <v>147</v>
      </c>
      <c r="J220" s="12">
        <v>836</v>
      </c>
      <c r="K220" s="11">
        <f t="shared" si="10"/>
        <v>167.2</v>
      </c>
      <c r="L220" s="7" t="s">
        <v>76</v>
      </c>
      <c r="M220" s="15">
        <f t="shared" si="11"/>
        <v>20.600000000000023</v>
      </c>
      <c r="N220" t="str">
        <f>IF(match_results!C220="完全一致","〇","×")</f>
        <v>×</v>
      </c>
    </row>
    <row r="221" spans="1:14" x14ac:dyDescent="0.15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9"/>
        <v>10</v>
      </c>
      <c r="I221" s="7" t="s">
        <v>147</v>
      </c>
      <c r="J221" s="10">
        <v>1673</v>
      </c>
      <c r="K221" s="11">
        <f t="shared" si="10"/>
        <v>167.3</v>
      </c>
      <c r="L221" s="7" t="s">
        <v>76</v>
      </c>
      <c r="M221" s="15">
        <f t="shared" si="11"/>
        <v>20.5</v>
      </c>
      <c r="N221" t="str">
        <f>IF(match_results!C221="完全一致","〇","×")</f>
        <v>×</v>
      </c>
    </row>
    <row r="222" spans="1:14" x14ac:dyDescent="0.15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9"/>
        <v>10</v>
      </c>
      <c r="I222" s="7" t="s">
        <v>88</v>
      </c>
      <c r="J222" s="10">
        <v>544</v>
      </c>
      <c r="K222" s="11">
        <f t="shared" si="10"/>
        <v>54.4</v>
      </c>
      <c r="L222" s="7" t="s">
        <v>448</v>
      </c>
      <c r="M222" s="15">
        <f t="shared" si="11"/>
        <v>6.6000000000000014</v>
      </c>
      <c r="N222" t="str">
        <f>IF(match_results!C222="完全一致","〇","×")</f>
        <v>〇</v>
      </c>
    </row>
    <row r="223" spans="1:14" x14ac:dyDescent="0.15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9"/>
        <v>100</v>
      </c>
      <c r="I223" s="7" t="s">
        <v>13</v>
      </c>
      <c r="J223" s="10">
        <v>1140</v>
      </c>
      <c r="K223" s="11">
        <f t="shared" si="10"/>
        <v>11.4</v>
      </c>
      <c r="L223" s="7" t="s">
        <v>93</v>
      </c>
      <c r="M223" s="15">
        <f t="shared" si="11"/>
        <v>1.4000000000000004</v>
      </c>
      <c r="N223" t="str">
        <f>IF(match_results!C223="完全一致","〇","×")</f>
        <v>×</v>
      </c>
    </row>
    <row r="224" spans="1:14" x14ac:dyDescent="0.15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9"/>
        <v>10</v>
      </c>
      <c r="I224" s="7" t="s">
        <v>147</v>
      </c>
      <c r="J224" s="12">
        <v>2084</v>
      </c>
      <c r="K224" s="11">
        <f t="shared" si="10"/>
        <v>208.4</v>
      </c>
      <c r="L224" s="7" t="s">
        <v>453</v>
      </c>
      <c r="M224" s="15">
        <f t="shared" si="11"/>
        <v>22.599999999999994</v>
      </c>
      <c r="N224" t="str">
        <f>IF(match_results!C224="完全一致","〇","×")</f>
        <v>〇</v>
      </c>
    </row>
    <row r="225" spans="1:14" x14ac:dyDescent="0.15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9"/>
        <v>700</v>
      </c>
      <c r="I225" s="7" t="s">
        <v>181</v>
      </c>
      <c r="J225" s="10">
        <v>7766</v>
      </c>
      <c r="K225" s="11">
        <f t="shared" si="10"/>
        <v>11.094285714285714</v>
      </c>
      <c r="L225" s="7" t="s">
        <v>128</v>
      </c>
      <c r="M225" s="15">
        <f t="shared" si="11"/>
        <v>1.2057142857142864</v>
      </c>
      <c r="N225" t="str">
        <f>IF(match_results!C225="完全一致","〇","×")</f>
        <v>×</v>
      </c>
    </row>
    <row r="226" spans="1:14" x14ac:dyDescent="0.15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9"/>
        <v>100</v>
      </c>
      <c r="I226" s="7" t="s">
        <v>57</v>
      </c>
      <c r="J226" s="10">
        <v>4972</v>
      </c>
      <c r="K226" s="11">
        <f t="shared" si="10"/>
        <v>49.72</v>
      </c>
      <c r="L226" s="7" t="s">
        <v>353</v>
      </c>
      <c r="M226" s="15">
        <f t="shared" si="11"/>
        <v>4.980000000000004</v>
      </c>
      <c r="N226" t="str">
        <f>IF(match_results!C226="完全一致","〇","×")</f>
        <v>〇</v>
      </c>
    </row>
    <row r="227" spans="1:14" x14ac:dyDescent="0.15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9"/>
        <v>100</v>
      </c>
      <c r="I227" s="7" t="s">
        <v>57</v>
      </c>
      <c r="J227" s="10">
        <v>2863</v>
      </c>
      <c r="K227" s="11">
        <f t="shared" si="10"/>
        <v>28.63</v>
      </c>
      <c r="L227" s="7" t="s">
        <v>353</v>
      </c>
      <c r="M227" s="15">
        <f t="shared" si="11"/>
        <v>2.870000000000001</v>
      </c>
      <c r="N227" t="str">
        <f>IF(match_results!C227="完全一致","〇","×")</f>
        <v>×</v>
      </c>
    </row>
    <row r="228" spans="1:14" x14ac:dyDescent="0.15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9"/>
        <v>100</v>
      </c>
      <c r="I228" s="7" t="s">
        <v>38</v>
      </c>
      <c r="J228" s="10">
        <v>4049</v>
      </c>
      <c r="K228" s="11">
        <f t="shared" si="10"/>
        <v>40.49</v>
      </c>
      <c r="L228" s="7" t="s">
        <v>72</v>
      </c>
      <c r="M228" s="15">
        <f t="shared" si="11"/>
        <v>5.4099999999999966</v>
      </c>
      <c r="N228" t="str">
        <f>IF(match_results!C228="完全一致","〇","×")</f>
        <v>〇</v>
      </c>
    </row>
    <row r="229" spans="1:14" x14ac:dyDescent="0.15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9"/>
        <v>100.00000000000001</v>
      </c>
      <c r="I229" s="7" t="s">
        <v>13</v>
      </c>
      <c r="J229" s="10">
        <v>775</v>
      </c>
      <c r="K229" s="11">
        <f t="shared" si="10"/>
        <v>7.7499999999999991</v>
      </c>
      <c r="L229" s="7" t="s">
        <v>102</v>
      </c>
      <c r="M229" s="15">
        <f t="shared" si="11"/>
        <v>0.95000000000000018</v>
      </c>
      <c r="N229" t="str">
        <f>IF(match_results!C229="完全一致","〇","×")</f>
        <v>〇</v>
      </c>
    </row>
    <row r="230" spans="1:14" x14ac:dyDescent="0.15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9"/>
        <v>100</v>
      </c>
      <c r="I230" s="7" t="s">
        <v>38</v>
      </c>
      <c r="J230" s="10">
        <v>659</v>
      </c>
      <c r="K230" s="11">
        <f t="shared" si="10"/>
        <v>6.59</v>
      </c>
      <c r="L230" s="7" t="s">
        <v>321</v>
      </c>
      <c r="M230" s="15">
        <f t="shared" si="11"/>
        <v>0.8100000000000005</v>
      </c>
      <c r="N230" t="str">
        <f>IF(match_results!C230="完全一致","〇","×")</f>
        <v>×</v>
      </c>
    </row>
    <row r="231" spans="1:14" x14ac:dyDescent="0.15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9"/>
        <v>150</v>
      </c>
      <c r="I231" s="7" t="s">
        <v>75</v>
      </c>
      <c r="J231" s="10">
        <v>1023</v>
      </c>
      <c r="K231" s="11">
        <f t="shared" si="10"/>
        <v>6.82</v>
      </c>
      <c r="L231" s="7" t="s">
        <v>453</v>
      </c>
      <c r="M231" s="15">
        <f t="shared" si="11"/>
        <v>0.67999999999999972</v>
      </c>
      <c r="N231" t="str">
        <f>IF(match_results!C231="完全一致","〇","×")</f>
        <v>〇</v>
      </c>
    </row>
    <row r="232" spans="1:14" x14ac:dyDescent="0.15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9"/>
        <v>50</v>
      </c>
      <c r="I232" s="7" t="s">
        <v>75</v>
      </c>
      <c r="J232" s="10">
        <v>14263</v>
      </c>
      <c r="K232" s="11">
        <f t="shared" si="10"/>
        <v>285.26</v>
      </c>
      <c r="L232" s="7" t="s">
        <v>76</v>
      </c>
      <c r="M232" s="15">
        <f t="shared" si="11"/>
        <v>40.740000000000009</v>
      </c>
      <c r="N232" t="str">
        <f>IF(match_results!C232="完全一致","〇","×")</f>
        <v>〇</v>
      </c>
    </row>
    <row r="233" spans="1:14" x14ac:dyDescent="0.15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9"/>
        <v>500</v>
      </c>
      <c r="I233" s="7" t="s">
        <v>13</v>
      </c>
      <c r="J233" s="12">
        <v>3786</v>
      </c>
      <c r="K233" s="11">
        <f t="shared" si="10"/>
        <v>7.5720000000000001</v>
      </c>
      <c r="L233" s="7" t="s">
        <v>469</v>
      </c>
      <c r="M233" s="15">
        <f t="shared" si="11"/>
        <v>0.92799999999999994</v>
      </c>
      <c r="N233" t="str">
        <f>IF(match_results!C233="完全一致","〇","×")</f>
        <v>×</v>
      </c>
    </row>
    <row r="234" spans="1:14" x14ac:dyDescent="0.15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9"/>
        <v>#DIV/0!</v>
      </c>
      <c r="I234" s="7" t="s">
        <v>471</v>
      </c>
      <c r="J234" s="10">
        <v>10450</v>
      </c>
      <c r="K234" s="11" t="e">
        <f t="shared" si="10"/>
        <v>#DIV/0!</v>
      </c>
      <c r="L234" s="7" t="s">
        <v>294</v>
      </c>
      <c r="M234" s="15" t="e">
        <f t="shared" si="11"/>
        <v>#DIV/0!</v>
      </c>
      <c r="N234" t="str">
        <f>IF(match_results!C234="完全一致","〇","×")</f>
        <v>×</v>
      </c>
    </row>
    <row r="235" spans="1:14" x14ac:dyDescent="0.15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9"/>
        <v>100</v>
      </c>
      <c r="I235" s="7" t="s">
        <v>38</v>
      </c>
      <c r="J235" s="10">
        <v>20562</v>
      </c>
      <c r="K235" s="11">
        <f t="shared" si="10"/>
        <v>205.62</v>
      </c>
      <c r="L235" s="7" t="s">
        <v>185</v>
      </c>
      <c r="M235" s="15">
        <f t="shared" si="11"/>
        <v>30.180000000000007</v>
      </c>
      <c r="N235" t="str">
        <f>IF(match_results!C235="完全一致","〇","×")</f>
        <v>〇</v>
      </c>
    </row>
    <row r="236" spans="1:14" x14ac:dyDescent="0.15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9"/>
        <v>100.00000000000001</v>
      </c>
      <c r="I236" s="7" t="s">
        <v>38</v>
      </c>
      <c r="J236" s="10">
        <v>816</v>
      </c>
      <c r="K236" s="11">
        <f t="shared" si="10"/>
        <v>8.1599999999999984</v>
      </c>
      <c r="L236" s="7" t="s">
        <v>165</v>
      </c>
      <c r="M236" s="15">
        <f t="shared" si="11"/>
        <v>1.5400000000000009</v>
      </c>
      <c r="N236" t="str">
        <f>IF(match_results!C236="完全一致","〇","×")</f>
        <v>〇</v>
      </c>
    </row>
    <row r="237" spans="1:14" x14ac:dyDescent="0.15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9"/>
        <v>100.00000000000001</v>
      </c>
      <c r="I237" s="7" t="s">
        <v>38</v>
      </c>
      <c r="J237" s="12">
        <v>816</v>
      </c>
      <c r="K237" s="11">
        <f t="shared" si="10"/>
        <v>8.1599999999999984</v>
      </c>
      <c r="L237" s="7" t="s">
        <v>165</v>
      </c>
      <c r="M237" s="15">
        <f t="shared" si="11"/>
        <v>1.5400000000000009</v>
      </c>
      <c r="N237" t="str">
        <f>IF(match_results!C237="完全一致","〇","×")</f>
        <v>〇</v>
      </c>
    </row>
    <row r="238" spans="1:14" x14ac:dyDescent="0.15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9"/>
        <v>1000.0000000000001</v>
      </c>
      <c r="I238" s="7" t="s">
        <v>38</v>
      </c>
      <c r="J238" s="12">
        <v>8160</v>
      </c>
      <c r="K238" s="11">
        <f t="shared" si="10"/>
        <v>8.1599999999999984</v>
      </c>
      <c r="L238" s="7" t="s">
        <v>165</v>
      </c>
      <c r="M238" s="15">
        <f t="shared" si="11"/>
        <v>1.5400000000000009</v>
      </c>
      <c r="N238" t="str">
        <f>IF(match_results!C238="完全一致","〇","×")</f>
        <v>〇</v>
      </c>
    </row>
    <row r="239" spans="1:14" x14ac:dyDescent="0.15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9"/>
        <v>1000.0000000000001</v>
      </c>
      <c r="I239" s="7" t="s">
        <v>38</v>
      </c>
      <c r="J239" s="10">
        <v>8160</v>
      </c>
      <c r="K239" s="11">
        <f t="shared" si="10"/>
        <v>8.1599999999999984</v>
      </c>
      <c r="L239" s="7" t="s">
        <v>165</v>
      </c>
      <c r="M239" s="15">
        <f t="shared" si="11"/>
        <v>1.5400000000000009</v>
      </c>
      <c r="N239" t="str">
        <f>IF(match_results!C239="完全一致","〇","×")</f>
        <v>〇</v>
      </c>
    </row>
    <row r="240" spans="1:14" x14ac:dyDescent="0.15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9"/>
        <v>100.00000000000001</v>
      </c>
      <c r="I240" s="7" t="s">
        <v>38</v>
      </c>
      <c r="J240" s="12">
        <v>816</v>
      </c>
      <c r="K240" s="11">
        <f t="shared" si="10"/>
        <v>8.1599999999999984</v>
      </c>
      <c r="L240" s="7" t="s">
        <v>165</v>
      </c>
      <c r="M240" s="15">
        <f t="shared" si="11"/>
        <v>1.5400000000000009</v>
      </c>
      <c r="N240" t="str">
        <f>IF(match_results!C240="完全一致","〇","×")</f>
        <v>〇</v>
      </c>
    </row>
    <row r="241" spans="1:14" x14ac:dyDescent="0.15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9"/>
        <v>1000.0000000000001</v>
      </c>
      <c r="I241" s="7" t="s">
        <v>38</v>
      </c>
      <c r="J241" s="10">
        <v>8160</v>
      </c>
      <c r="K241" s="11">
        <f t="shared" si="10"/>
        <v>8.1599999999999984</v>
      </c>
      <c r="L241" s="7" t="s">
        <v>165</v>
      </c>
      <c r="M241" s="15">
        <f t="shared" si="11"/>
        <v>1.5400000000000009</v>
      </c>
      <c r="N241" t="str">
        <f>IF(match_results!C241="完全一致","〇","×")</f>
        <v>〇</v>
      </c>
    </row>
    <row r="242" spans="1:14" x14ac:dyDescent="0.15">
      <c r="A242" s="6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9"/>
        <v>5.9999999999999991</v>
      </c>
      <c r="I242" s="7" t="s">
        <v>169</v>
      </c>
      <c r="J242" s="12">
        <v>1973</v>
      </c>
      <c r="K242" s="11">
        <f t="shared" si="10"/>
        <v>328.83333333333337</v>
      </c>
      <c r="L242" s="7" t="s">
        <v>63</v>
      </c>
      <c r="M242" s="15">
        <f t="shared" si="11"/>
        <v>40.266666666666652</v>
      </c>
      <c r="N242" t="str">
        <f>IF(match_results!C242="完全一致","〇","×")</f>
        <v>×</v>
      </c>
    </row>
    <row r="243" spans="1:14" x14ac:dyDescent="0.15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9"/>
        <v>100</v>
      </c>
      <c r="I243" s="7" t="s">
        <v>38</v>
      </c>
      <c r="J243" s="10">
        <v>1363</v>
      </c>
      <c r="K243" s="11">
        <f t="shared" si="10"/>
        <v>13.63</v>
      </c>
      <c r="L243" s="7" t="s">
        <v>427</v>
      </c>
      <c r="M243" s="15">
        <f t="shared" si="11"/>
        <v>1.67</v>
      </c>
      <c r="N243" t="str">
        <f>IF(match_results!C243="完全一致","〇","×")</f>
        <v>〇</v>
      </c>
    </row>
    <row r="244" spans="1:14" x14ac:dyDescent="0.15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9"/>
        <v>100</v>
      </c>
      <c r="I244" s="7" t="s">
        <v>57</v>
      </c>
      <c r="J244" s="12">
        <v>1760</v>
      </c>
      <c r="K244" s="11">
        <f t="shared" si="10"/>
        <v>17.600000000000001</v>
      </c>
      <c r="L244" s="7" t="s">
        <v>289</v>
      </c>
      <c r="M244" s="15">
        <f t="shared" si="11"/>
        <v>3.5999999999999979</v>
      </c>
      <c r="N244" t="str">
        <f>IF(match_results!C244="完全一致","〇","×")</f>
        <v>〇</v>
      </c>
    </row>
    <row r="245" spans="1:14" x14ac:dyDescent="0.15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9"/>
        <v>100</v>
      </c>
      <c r="I245" s="7" t="s">
        <v>38</v>
      </c>
      <c r="J245" s="10">
        <v>502</v>
      </c>
      <c r="K245" s="11">
        <f t="shared" si="10"/>
        <v>5.0199999999999996</v>
      </c>
      <c r="L245" s="7" t="s">
        <v>303</v>
      </c>
      <c r="M245" s="15">
        <f t="shared" si="11"/>
        <v>0.88000000000000078</v>
      </c>
      <c r="N245" t="str">
        <f>IF(match_results!C245="完全一致","〇","×")</f>
        <v>〇</v>
      </c>
    </row>
    <row r="246" spans="1:14" x14ac:dyDescent="0.15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9"/>
        <v>100</v>
      </c>
      <c r="I246" s="7" t="s">
        <v>38</v>
      </c>
      <c r="J246" s="10">
        <v>515</v>
      </c>
      <c r="K246" s="11">
        <f t="shared" si="10"/>
        <v>5.15</v>
      </c>
      <c r="L246" s="7" t="s">
        <v>303</v>
      </c>
      <c r="M246" s="15">
        <f t="shared" si="11"/>
        <v>0.84999999999999964</v>
      </c>
      <c r="N246" t="str">
        <f>IF(match_results!C246="完全一致","〇","×")</f>
        <v>〇</v>
      </c>
    </row>
    <row r="247" spans="1:14" x14ac:dyDescent="0.15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9"/>
        <v>10</v>
      </c>
      <c r="I247" s="7" t="s">
        <v>486</v>
      </c>
      <c r="J247" s="12">
        <v>1090</v>
      </c>
      <c r="K247" s="11">
        <f t="shared" si="10"/>
        <v>109</v>
      </c>
      <c r="L247" s="7" t="s">
        <v>303</v>
      </c>
      <c r="M247" s="15">
        <f t="shared" si="11"/>
        <v>11</v>
      </c>
      <c r="N247" t="str">
        <f>IF(match_results!C247="完全一致","〇","×")</f>
        <v>〇</v>
      </c>
    </row>
    <row r="248" spans="1:14" x14ac:dyDescent="0.15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9"/>
        <v>100</v>
      </c>
      <c r="I248" s="7" t="s">
        <v>75</v>
      </c>
      <c r="J248" s="10">
        <v>454</v>
      </c>
      <c r="K248" s="11">
        <f t="shared" si="10"/>
        <v>4.54</v>
      </c>
      <c r="L248" s="7" t="s">
        <v>488</v>
      </c>
      <c r="M248" s="15">
        <f t="shared" si="11"/>
        <v>0.55999999999999961</v>
      </c>
      <c r="N248" t="str">
        <f>IF(match_results!C248="完全一致","〇","×")</f>
        <v>〇</v>
      </c>
    </row>
    <row r="249" spans="1:14" x14ac:dyDescent="0.15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9"/>
        <v>10</v>
      </c>
      <c r="I249" s="7" t="s">
        <v>244</v>
      </c>
      <c r="J249" s="10">
        <v>795</v>
      </c>
      <c r="K249" s="11">
        <f t="shared" si="10"/>
        <v>79.5</v>
      </c>
      <c r="L249" s="7" t="s">
        <v>76</v>
      </c>
      <c r="M249" s="15">
        <f t="shared" si="11"/>
        <v>9.7000000000000028</v>
      </c>
      <c r="N249" t="str">
        <f>IF(match_results!C249="完全一致","〇","×")</f>
        <v>〇</v>
      </c>
    </row>
    <row r="250" spans="1:14" x14ac:dyDescent="0.15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9"/>
        <v>1050</v>
      </c>
      <c r="I250" s="7" t="s">
        <v>13</v>
      </c>
      <c r="J250" s="10">
        <v>6090</v>
      </c>
      <c r="K250" s="11">
        <f t="shared" si="10"/>
        <v>5.8</v>
      </c>
      <c r="L250" s="7" t="s">
        <v>494</v>
      </c>
      <c r="M250" s="15">
        <f t="shared" si="11"/>
        <v>0.70000000000000018</v>
      </c>
      <c r="N250" t="str">
        <f>IF(match_results!C250="完全一致","〇","×")</f>
        <v>〇</v>
      </c>
    </row>
    <row r="251" spans="1:14" x14ac:dyDescent="0.15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9"/>
        <v>100</v>
      </c>
      <c r="I251" s="7" t="s">
        <v>38</v>
      </c>
      <c r="J251" s="12">
        <v>12671</v>
      </c>
      <c r="K251" s="11">
        <f t="shared" si="10"/>
        <v>126.71</v>
      </c>
      <c r="L251" s="7" t="s">
        <v>115</v>
      </c>
      <c r="M251" s="15">
        <f t="shared" si="11"/>
        <v>12.690000000000012</v>
      </c>
      <c r="N251" t="str">
        <f>IF(match_results!C251="完全一致","〇","×")</f>
        <v>×</v>
      </c>
    </row>
    <row r="252" spans="1:14" x14ac:dyDescent="0.15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9"/>
        <v>10</v>
      </c>
      <c r="I252" s="7" t="s">
        <v>88</v>
      </c>
      <c r="J252" s="12">
        <v>1238</v>
      </c>
      <c r="K252" s="11">
        <f t="shared" si="10"/>
        <v>123.8</v>
      </c>
      <c r="L252" s="7" t="s">
        <v>341</v>
      </c>
      <c r="M252" s="15">
        <f t="shared" si="11"/>
        <v>15.200000000000003</v>
      </c>
      <c r="N252" t="str">
        <f>IF(match_results!C252="完全一致","〇","×")</f>
        <v>×</v>
      </c>
    </row>
    <row r="253" spans="1:14" s="29" customFormat="1" x14ac:dyDescent="0.15">
      <c r="A253" s="34" t="s">
        <v>499</v>
      </c>
      <c r="B253" s="34" t="s">
        <v>109</v>
      </c>
      <c r="C253" s="35" t="s">
        <v>10</v>
      </c>
      <c r="D253" s="34" t="s">
        <v>145</v>
      </c>
      <c r="E253" s="34" t="s">
        <v>243</v>
      </c>
      <c r="F253" s="36">
        <v>343.5</v>
      </c>
      <c r="G253" s="36">
        <v>3435</v>
      </c>
      <c r="H253" s="37">
        <f t="shared" si="9"/>
        <v>10</v>
      </c>
      <c r="I253" s="35" t="s">
        <v>244</v>
      </c>
      <c r="J253" s="38">
        <v>3050</v>
      </c>
      <c r="K253" s="39">
        <f t="shared" si="10"/>
        <v>305</v>
      </c>
      <c r="L253" s="35" t="s">
        <v>76</v>
      </c>
      <c r="M253" s="40">
        <f t="shared" si="11"/>
        <v>38.5</v>
      </c>
      <c r="N253" s="29" t="str">
        <f>IF(match_results!C253="完全一致","〇","×")</f>
        <v>×</v>
      </c>
    </row>
    <row r="254" spans="1:14" x14ac:dyDescent="0.15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9"/>
        <v>100</v>
      </c>
      <c r="I254" s="7" t="s">
        <v>38</v>
      </c>
      <c r="J254" s="10">
        <v>27016</v>
      </c>
      <c r="K254" s="11">
        <f t="shared" si="10"/>
        <v>270.16000000000003</v>
      </c>
      <c r="L254" s="7" t="s">
        <v>227</v>
      </c>
      <c r="M254" s="15">
        <f t="shared" si="11"/>
        <v>36.839999999999975</v>
      </c>
      <c r="N254" t="str">
        <f>IF(match_results!C254="完全一致","〇","×")</f>
        <v>〇</v>
      </c>
    </row>
    <row r="255" spans="1:14" x14ac:dyDescent="0.15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9"/>
        <v>100</v>
      </c>
      <c r="I255" s="7" t="s">
        <v>38</v>
      </c>
      <c r="J255" s="10">
        <v>17565</v>
      </c>
      <c r="K255" s="11">
        <f t="shared" si="10"/>
        <v>175.65</v>
      </c>
      <c r="L255" s="7" t="s">
        <v>227</v>
      </c>
      <c r="M255" s="15">
        <f t="shared" si="11"/>
        <v>23.949999999999989</v>
      </c>
      <c r="N255" t="str">
        <f>IF(match_results!C255="完全一致","〇","×")</f>
        <v>〇</v>
      </c>
    </row>
    <row r="256" spans="1:14" x14ac:dyDescent="0.15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9"/>
        <v>100</v>
      </c>
      <c r="I256" s="7" t="s">
        <v>57</v>
      </c>
      <c r="J256" s="12">
        <v>6765</v>
      </c>
      <c r="K256" s="11">
        <f t="shared" si="10"/>
        <v>67.650000000000006</v>
      </c>
      <c r="L256" s="7" t="s">
        <v>270</v>
      </c>
      <c r="M256" s="15">
        <f t="shared" si="11"/>
        <v>8.3499999999999943</v>
      </c>
      <c r="N256" t="str">
        <f>IF(match_results!C256="完全一致","〇","×")</f>
        <v>〇</v>
      </c>
    </row>
    <row r="257" spans="1:14" x14ac:dyDescent="0.15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9"/>
        <v>50</v>
      </c>
      <c r="I257" s="7" t="s">
        <v>169</v>
      </c>
      <c r="J257" s="10">
        <v>950</v>
      </c>
      <c r="K257" s="11">
        <f t="shared" si="10"/>
        <v>19</v>
      </c>
      <c r="L257" s="7" t="s">
        <v>154</v>
      </c>
      <c r="M257" s="15">
        <f t="shared" si="11"/>
        <v>1.8999999999999986</v>
      </c>
      <c r="N257" t="str">
        <f>IF(match_results!C257="完全一致","〇","×")</f>
        <v>〇</v>
      </c>
    </row>
    <row r="258" spans="1:14" x14ac:dyDescent="0.15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12">G258/F258</f>
        <v>100</v>
      </c>
      <c r="I258" s="7" t="s">
        <v>38</v>
      </c>
      <c r="J258" s="10">
        <v>945</v>
      </c>
      <c r="K258" s="11">
        <f t="shared" ref="K258:K321" si="13">J258/H258</f>
        <v>9.4499999999999993</v>
      </c>
      <c r="L258" s="7" t="s">
        <v>508</v>
      </c>
      <c r="M258" s="15">
        <f t="shared" si="11"/>
        <v>0.95000000000000107</v>
      </c>
      <c r="N258" t="str">
        <f>IF(match_results!C258="完全一致","〇","×")</f>
        <v>〇</v>
      </c>
    </row>
    <row r="259" spans="1:14" x14ac:dyDescent="0.15">
      <c r="A259" s="6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12"/>
        <v>100</v>
      </c>
      <c r="I259" s="7" t="s">
        <v>38</v>
      </c>
      <c r="J259" s="12">
        <v>204627</v>
      </c>
      <c r="K259" s="11">
        <f t="shared" si="13"/>
        <v>2046.27</v>
      </c>
      <c r="L259" s="7" t="s">
        <v>224</v>
      </c>
      <c r="M259" s="15">
        <f t="shared" ref="M259:M322" si="14">F259-K259</f>
        <v>251.63000000000011</v>
      </c>
      <c r="N259" t="str">
        <f>IF(match_results!C259="完全一致","〇","×")</f>
        <v>×</v>
      </c>
    </row>
    <row r="260" spans="1:14" x14ac:dyDescent="0.15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12"/>
        <v>999.99999999999989</v>
      </c>
      <c r="I260" s="7" t="s">
        <v>38</v>
      </c>
      <c r="J260" s="10">
        <v>5070</v>
      </c>
      <c r="K260" s="11">
        <f t="shared" si="13"/>
        <v>5.07</v>
      </c>
      <c r="L260" s="7" t="s">
        <v>511</v>
      </c>
      <c r="M260" s="15">
        <f t="shared" si="14"/>
        <v>0.83000000000000007</v>
      </c>
      <c r="N260" t="str">
        <f>IF(match_results!C260="完全一致","〇","×")</f>
        <v>〇</v>
      </c>
    </row>
    <row r="261" spans="1:14" x14ac:dyDescent="0.15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12"/>
        <v>350</v>
      </c>
      <c r="I261" s="7" t="s">
        <v>38</v>
      </c>
      <c r="J261" s="10">
        <v>51479</v>
      </c>
      <c r="K261" s="11">
        <f t="shared" si="13"/>
        <v>147.08285714285714</v>
      </c>
      <c r="L261" s="7" t="s">
        <v>227</v>
      </c>
      <c r="M261" s="15">
        <f t="shared" si="14"/>
        <v>31.417142857142863</v>
      </c>
      <c r="N261" t="str">
        <f>IF(match_results!C261="完全一致","〇","×")</f>
        <v>×</v>
      </c>
    </row>
    <row r="262" spans="1:14" x14ac:dyDescent="0.15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12"/>
        <v>70</v>
      </c>
      <c r="I262" s="7" t="s">
        <v>38</v>
      </c>
      <c r="J262" s="10">
        <v>2561</v>
      </c>
      <c r="K262" s="11">
        <f t="shared" si="13"/>
        <v>36.585714285714289</v>
      </c>
      <c r="L262" s="7" t="s">
        <v>227</v>
      </c>
      <c r="M262" s="15">
        <f t="shared" si="14"/>
        <v>7.8142857142857096</v>
      </c>
      <c r="N262" t="str">
        <f>IF(match_results!C262="完全一致","〇","×")</f>
        <v>×</v>
      </c>
    </row>
    <row r="263" spans="1:14" x14ac:dyDescent="0.15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12"/>
        <v>350</v>
      </c>
      <c r="I263" s="7" t="s">
        <v>38</v>
      </c>
      <c r="J263" s="10">
        <v>25695</v>
      </c>
      <c r="K263" s="11">
        <f t="shared" si="13"/>
        <v>73.414285714285711</v>
      </c>
      <c r="L263" s="7" t="s">
        <v>227</v>
      </c>
      <c r="M263" s="15">
        <f t="shared" si="14"/>
        <v>15.685714285714283</v>
      </c>
      <c r="N263" t="str">
        <f>IF(match_results!C263="完全一致","〇","×")</f>
        <v>×</v>
      </c>
    </row>
    <row r="264" spans="1:14" x14ac:dyDescent="0.15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12"/>
        <v>100</v>
      </c>
      <c r="I264" s="7" t="s">
        <v>38</v>
      </c>
      <c r="J264" s="10">
        <v>1383</v>
      </c>
      <c r="K264" s="11">
        <f t="shared" si="13"/>
        <v>13.83</v>
      </c>
      <c r="L264" s="7" t="s">
        <v>289</v>
      </c>
      <c r="M264" s="15">
        <f t="shared" si="14"/>
        <v>2.0700000000000003</v>
      </c>
      <c r="N264" t="str">
        <f>IF(match_results!C264="完全一致","〇","×")</f>
        <v>〇</v>
      </c>
    </row>
    <row r="265" spans="1:14" x14ac:dyDescent="0.15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12"/>
        <v>100</v>
      </c>
      <c r="I265" s="7" t="s">
        <v>38</v>
      </c>
      <c r="J265" s="10">
        <v>506</v>
      </c>
      <c r="K265" s="11">
        <f t="shared" si="13"/>
        <v>5.0599999999999996</v>
      </c>
      <c r="L265" s="7" t="s">
        <v>519</v>
      </c>
      <c r="M265" s="15">
        <f t="shared" si="14"/>
        <v>0.84000000000000075</v>
      </c>
      <c r="N265" t="str">
        <f>IF(match_results!C265="完全一致","〇","×")</f>
        <v>〇</v>
      </c>
    </row>
    <row r="266" spans="1:14" x14ac:dyDescent="0.15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12"/>
        <v>999.99999999999989</v>
      </c>
      <c r="I266" s="7" t="s">
        <v>38</v>
      </c>
      <c r="J266" s="10">
        <v>5049</v>
      </c>
      <c r="K266" s="11">
        <f t="shared" si="13"/>
        <v>5.0490000000000004</v>
      </c>
      <c r="L266" s="7" t="s">
        <v>519</v>
      </c>
      <c r="M266" s="15">
        <f t="shared" si="14"/>
        <v>0.85099999999999998</v>
      </c>
      <c r="N266" t="str">
        <f>IF(match_results!C266="完全一致","〇","×")</f>
        <v>〇</v>
      </c>
    </row>
    <row r="267" spans="1:14" x14ac:dyDescent="0.15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12"/>
        <v>100</v>
      </c>
      <c r="I267" s="7" t="s">
        <v>38</v>
      </c>
      <c r="J267" s="10">
        <v>1800</v>
      </c>
      <c r="K267" s="11">
        <f t="shared" si="13"/>
        <v>18</v>
      </c>
      <c r="L267" s="7" t="s">
        <v>258</v>
      </c>
      <c r="M267" s="15">
        <f t="shared" si="14"/>
        <v>6.3999999999999986</v>
      </c>
      <c r="N267" t="str">
        <f>IF(match_results!C267="完全一致","〇","×")</f>
        <v>〇</v>
      </c>
    </row>
    <row r="268" spans="1:14" x14ac:dyDescent="0.15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12"/>
        <v>500.00000000000006</v>
      </c>
      <c r="I268" s="7" t="s">
        <v>38</v>
      </c>
      <c r="J268" s="10">
        <v>9000</v>
      </c>
      <c r="K268" s="11">
        <f t="shared" si="13"/>
        <v>17.999999999999996</v>
      </c>
      <c r="L268" s="7" t="s">
        <v>258</v>
      </c>
      <c r="M268" s="15">
        <f t="shared" si="14"/>
        <v>6.4000000000000021</v>
      </c>
      <c r="N268" t="str">
        <f>IF(match_results!C268="完全一致","〇","×")</f>
        <v>×</v>
      </c>
    </row>
    <row r="269" spans="1:14" x14ac:dyDescent="0.15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12"/>
        <v>100</v>
      </c>
      <c r="I269" s="7" t="s">
        <v>38</v>
      </c>
      <c r="J269" s="10">
        <v>1198</v>
      </c>
      <c r="K269" s="11">
        <f t="shared" si="13"/>
        <v>11.98</v>
      </c>
      <c r="L269" s="7" t="s">
        <v>525</v>
      </c>
      <c r="M269" s="15">
        <f t="shared" si="14"/>
        <v>1.2199999999999989</v>
      </c>
      <c r="N269" t="str">
        <f>IF(match_results!C269="完全一致","〇","×")</f>
        <v>〇</v>
      </c>
    </row>
    <row r="270" spans="1:14" x14ac:dyDescent="0.15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12"/>
        <v>100</v>
      </c>
      <c r="I270" s="7" t="s">
        <v>38</v>
      </c>
      <c r="J270" s="10">
        <v>5237</v>
      </c>
      <c r="K270" s="11">
        <f t="shared" si="13"/>
        <v>52.37</v>
      </c>
      <c r="L270" s="7" t="s">
        <v>313</v>
      </c>
      <c r="M270" s="15">
        <f t="shared" si="14"/>
        <v>8.5300000000000011</v>
      </c>
      <c r="N270" t="str">
        <f>IF(match_results!C270="完全一致","〇","×")</f>
        <v>〇</v>
      </c>
    </row>
    <row r="271" spans="1:14" x14ac:dyDescent="0.15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12"/>
        <v>100.00000000000001</v>
      </c>
      <c r="I271" s="7" t="s">
        <v>13</v>
      </c>
      <c r="J271" s="10">
        <v>864</v>
      </c>
      <c r="K271" s="11">
        <f t="shared" si="13"/>
        <v>8.6399999999999988</v>
      </c>
      <c r="L271" s="7" t="s">
        <v>102</v>
      </c>
      <c r="M271" s="15">
        <f t="shared" si="14"/>
        <v>1.0600000000000005</v>
      </c>
      <c r="N271" t="str">
        <f>IF(match_results!C271="完全一致","〇","×")</f>
        <v>〇</v>
      </c>
    </row>
    <row r="272" spans="1:14" x14ac:dyDescent="0.15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12"/>
        <v>100</v>
      </c>
      <c r="I272" s="7" t="s">
        <v>13</v>
      </c>
      <c r="J272" s="10">
        <v>980</v>
      </c>
      <c r="K272" s="11">
        <f t="shared" si="13"/>
        <v>9.8000000000000007</v>
      </c>
      <c r="L272" s="7" t="s">
        <v>128</v>
      </c>
      <c r="M272" s="15">
        <f t="shared" si="14"/>
        <v>1.2999999999999989</v>
      </c>
      <c r="N272" t="str">
        <f>IF(match_results!C272="完全一致","〇","×")</f>
        <v>〇</v>
      </c>
    </row>
    <row r="273" spans="1:14" x14ac:dyDescent="0.15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12"/>
        <v>10</v>
      </c>
      <c r="I273" s="7" t="s">
        <v>38</v>
      </c>
      <c r="J273" s="10">
        <v>5058</v>
      </c>
      <c r="K273" s="11">
        <f t="shared" si="13"/>
        <v>505.8</v>
      </c>
      <c r="L273" s="7" t="s">
        <v>533</v>
      </c>
      <c r="M273" s="15">
        <f t="shared" si="14"/>
        <v>68.999999999999943</v>
      </c>
      <c r="N273" t="str">
        <f>IF(match_results!C273="完全一致","〇","×")</f>
        <v>〇</v>
      </c>
    </row>
    <row r="274" spans="1:14" x14ac:dyDescent="0.15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12"/>
        <v>6.0000000000000009</v>
      </c>
      <c r="I274" s="7" t="s">
        <v>181</v>
      </c>
      <c r="J274" s="10">
        <v>388</v>
      </c>
      <c r="K274" s="11">
        <f t="shared" si="13"/>
        <v>64.666666666666657</v>
      </c>
      <c r="L274" s="7" t="s">
        <v>537</v>
      </c>
      <c r="M274" s="15">
        <f t="shared" si="14"/>
        <v>5.9333333333333371</v>
      </c>
      <c r="N274" t="str">
        <f>IF(match_results!C274="完全一致","〇","×")</f>
        <v>×</v>
      </c>
    </row>
    <row r="275" spans="1:14" x14ac:dyDescent="0.15">
      <c r="A275" s="6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12"/>
        <v>1</v>
      </c>
      <c r="I275" s="7" t="s">
        <v>169</v>
      </c>
      <c r="J275" s="12">
        <v>2755</v>
      </c>
      <c r="K275" s="11">
        <f t="shared" si="13"/>
        <v>2755</v>
      </c>
      <c r="L275" s="7" t="s">
        <v>207</v>
      </c>
      <c r="M275" s="15">
        <f t="shared" si="14"/>
        <v>345.90000000000009</v>
      </c>
      <c r="N275" t="str">
        <f>IF(match_results!C275="完全一致","〇","×")</f>
        <v>×</v>
      </c>
    </row>
    <row r="276" spans="1:14" x14ac:dyDescent="0.15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12"/>
        <v>100</v>
      </c>
      <c r="I276" s="7" t="s">
        <v>38</v>
      </c>
      <c r="J276" s="10">
        <v>644</v>
      </c>
      <c r="K276" s="11">
        <f t="shared" si="13"/>
        <v>6.44</v>
      </c>
      <c r="L276" s="7" t="s">
        <v>207</v>
      </c>
      <c r="M276" s="15">
        <f t="shared" si="14"/>
        <v>0.85999999999999943</v>
      </c>
      <c r="N276" t="str">
        <f>IF(match_results!C276="完全一致","〇","×")</f>
        <v>〇</v>
      </c>
    </row>
    <row r="277" spans="1:14" x14ac:dyDescent="0.15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12"/>
        <v>60.000000000000007</v>
      </c>
      <c r="I277" s="7" t="s">
        <v>13</v>
      </c>
      <c r="J277" s="10">
        <v>3850</v>
      </c>
      <c r="K277" s="11">
        <f t="shared" si="13"/>
        <v>64.166666666666657</v>
      </c>
      <c r="L277" s="7" t="s">
        <v>533</v>
      </c>
      <c r="M277" s="15">
        <f t="shared" si="14"/>
        <v>6.4333333333333371</v>
      </c>
      <c r="N277" t="str">
        <f>IF(match_results!C277="完全一致","〇","×")</f>
        <v>×</v>
      </c>
    </row>
    <row r="278" spans="1:14" x14ac:dyDescent="0.15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12"/>
        <v>10</v>
      </c>
      <c r="I278" s="7" t="s">
        <v>110</v>
      </c>
      <c r="J278" s="10">
        <v>5383</v>
      </c>
      <c r="K278" s="11">
        <f t="shared" si="13"/>
        <v>538.29999999999995</v>
      </c>
      <c r="L278" s="7" t="s">
        <v>353</v>
      </c>
      <c r="M278" s="15">
        <f t="shared" si="14"/>
        <v>58.700000000000045</v>
      </c>
      <c r="N278" t="str">
        <f>IF(match_results!C278="完全一致","〇","×")</f>
        <v>〇</v>
      </c>
    </row>
    <row r="279" spans="1:14" x14ac:dyDescent="0.15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12"/>
        <v>100</v>
      </c>
      <c r="I279" s="7" t="s">
        <v>38</v>
      </c>
      <c r="J279" s="10">
        <v>561</v>
      </c>
      <c r="K279" s="11">
        <f t="shared" si="13"/>
        <v>5.61</v>
      </c>
      <c r="L279" s="7" t="s">
        <v>165</v>
      </c>
      <c r="M279" s="15">
        <f t="shared" si="14"/>
        <v>0.98999999999999932</v>
      </c>
      <c r="N279" t="str">
        <f>IF(match_results!C279="完全一致","〇","×")</f>
        <v>〇</v>
      </c>
    </row>
    <row r="280" spans="1:14" x14ac:dyDescent="0.15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12"/>
        <v>99.999999999999986</v>
      </c>
      <c r="I280" s="7" t="s">
        <v>38</v>
      </c>
      <c r="J280" s="10">
        <v>706</v>
      </c>
      <c r="K280" s="11">
        <f t="shared" si="13"/>
        <v>7.0600000000000014</v>
      </c>
      <c r="L280" s="7" t="s">
        <v>165</v>
      </c>
      <c r="M280" s="15">
        <f t="shared" si="14"/>
        <v>1.2399999999999993</v>
      </c>
      <c r="N280" t="str">
        <f>IF(match_results!C280="完全一致","〇","×")</f>
        <v>〇</v>
      </c>
    </row>
    <row r="281" spans="1:14" x14ac:dyDescent="0.15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12"/>
        <v>100</v>
      </c>
      <c r="I281" s="7" t="s">
        <v>38</v>
      </c>
      <c r="J281" s="10">
        <v>561</v>
      </c>
      <c r="K281" s="11">
        <f t="shared" si="13"/>
        <v>5.61</v>
      </c>
      <c r="L281" s="7" t="s">
        <v>165</v>
      </c>
      <c r="M281" s="15">
        <f t="shared" si="14"/>
        <v>0.98999999999999932</v>
      </c>
      <c r="N281" t="str">
        <f>IF(match_results!C281="完全一致","〇","×")</f>
        <v>〇</v>
      </c>
    </row>
    <row r="282" spans="1:14" x14ac:dyDescent="0.15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12"/>
        <v>1000</v>
      </c>
      <c r="I282" s="7" t="s">
        <v>38</v>
      </c>
      <c r="J282" s="10">
        <v>5610</v>
      </c>
      <c r="K282" s="11">
        <f t="shared" si="13"/>
        <v>5.61</v>
      </c>
      <c r="L282" s="7" t="s">
        <v>165</v>
      </c>
      <c r="M282" s="15">
        <f t="shared" si="14"/>
        <v>0.98999999999999932</v>
      </c>
      <c r="N282" t="str">
        <f>IF(match_results!C282="完全一致","〇","×")</f>
        <v>〇</v>
      </c>
    </row>
    <row r="283" spans="1:14" x14ac:dyDescent="0.15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12"/>
        <v>#DIV/0!</v>
      </c>
      <c r="I283" s="7" t="s">
        <v>10</v>
      </c>
      <c r="J283" s="10">
        <v>2930</v>
      </c>
      <c r="K283" s="11" t="e">
        <f t="shared" si="13"/>
        <v>#DIV/0!</v>
      </c>
      <c r="L283" s="7" t="s">
        <v>151</v>
      </c>
      <c r="M283" s="15" t="e">
        <f t="shared" si="14"/>
        <v>#DIV/0!</v>
      </c>
      <c r="N283" t="str">
        <f>IF(match_results!C283="完全一致","〇","×")</f>
        <v>×</v>
      </c>
    </row>
    <row r="284" spans="1:14" x14ac:dyDescent="0.15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12"/>
        <v>#DIV/0!</v>
      </c>
      <c r="I284" s="7" t="s">
        <v>554</v>
      </c>
      <c r="J284" s="10">
        <v>2930</v>
      </c>
      <c r="K284" s="11" t="e">
        <f t="shared" si="13"/>
        <v>#DIV/0!</v>
      </c>
      <c r="L284" s="7" t="s">
        <v>151</v>
      </c>
      <c r="M284" s="15" t="e">
        <f t="shared" si="14"/>
        <v>#DIV/0!</v>
      </c>
      <c r="N284" t="str">
        <f>IF(match_results!C284="完全一致","〇","×")</f>
        <v>×</v>
      </c>
    </row>
    <row r="285" spans="1:14" x14ac:dyDescent="0.15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12"/>
        <v>100</v>
      </c>
      <c r="I285" s="7" t="s">
        <v>38</v>
      </c>
      <c r="J285" s="10">
        <v>1345</v>
      </c>
      <c r="K285" s="11">
        <f t="shared" si="13"/>
        <v>13.45</v>
      </c>
      <c r="L285" s="7" t="s">
        <v>303</v>
      </c>
      <c r="M285" s="15">
        <f t="shared" si="14"/>
        <v>2.0500000000000007</v>
      </c>
      <c r="N285" t="str">
        <f>IF(match_results!C285="完全一致","〇","×")</f>
        <v>×</v>
      </c>
    </row>
    <row r="286" spans="1:14" x14ac:dyDescent="0.15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12"/>
        <v>500</v>
      </c>
      <c r="I286" s="7" t="s">
        <v>38</v>
      </c>
      <c r="J286" s="10">
        <v>6725</v>
      </c>
      <c r="K286" s="11">
        <f t="shared" si="13"/>
        <v>13.45</v>
      </c>
      <c r="L286" s="7" t="s">
        <v>303</v>
      </c>
      <c r="M286" s="15">
        <f t="shared" si="14"/>
        <v>2.0500000000000007</v>
      </c>
      <c r="N286" t="str">
        <f>IF(match_results!C286="完全一致","〇","×")</f>
        <v>×</v>
      </c>
    </row>
    <row r="287" spans="1:14" x14ac:dyDescent="0.15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12"/>
        <v>100</v>
      </c>
      <c r="I287" s="7" t="s">
        <v>38</v>
      </c>
      <c r="J287" s="12">
        <v>536</v>
      </c>
      <c r="K287" s="11">
        <f t="shared" si="13"/>
        <v>5.36</v>
      </c>
      <c r="L287" s="7" t="s">
        <v>303</v>
      </c>
      <c r="M287" s="15">
        <f t="shared" si="14"/>
        <v>0.54</v>
      </c>
      <c r="N287" t="str">
        <f>IF(match_results!C287="完全一致","〇","×")</f>
        <v>〇</v>
      </c>
    </row>
    <row r="288" spans="1:14" x14ac:dyDescent="0.15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12"/>
        <v>999.99999999999989</v>
      </c>
      <c r="I288" s="7" t="s">
        <v>38</v>
      </c>
      <c r="J288" s="10">
        <v>5363</v>
      </c>
      <c r="K288" s="11">
        <f t="shared" si="13"/>
        <v>5.3630000000000004</v>
      </c>
      <c r="L288" s="7" t="s">
        <v>303</v>
      </c>
      <c r="M288" s="15">
        <f t="shared" si="14"/>
        <v>0.53699999999999992</v>
      </c>
      <c r="N288" t="str">
        <f>IF(match_results!C288="完全一致","〇","×")</f>
        <v>〇</v>
      </c>
    </row>
    <row r="289" spans="1:14" x14ac:dyDescent="0.15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12"/>
        <v>100</v>
      </c>
      <c r="I289" s="7" t="s">
        <v>38</v>
      </c>
      <c r="J289" s="10">
        <v>545</v>
      </c>
      <c r="K289" s="11">
        <f t="shared" si="13"/>
        <v>5.45</v>
      </c>
      <c r="L289" s="7" t="s">
        <v>303</v>
      </c>
      <c r="M289" s="15">
        <f t="shared" si="14"/>
        <v>0.54999999999999982</v>
      </c>
      <c r="N289" t="str">
        <f>IF(match_results!C289="完全一致","〇","×")</f>
        <v>〇</v>
      </c>
    </row>
    <row r="290" spans="1:14" x14ac:dyDescent="0.15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12"/>
        <v>300</v>
      </c>
      <c r="I290" s="7" t="s">
        <v>13</v>
      </c>
      <c r="J290" s="10">
        <v>3654</v>
      </c>
      <c r="K290" s="11">
        <f t="shared" si="13"/>
        <v>12.18</v>
      </c>
      <c r="L290" s="7" t="s">
        <v>163</v>
      </c>
      <c r="M290" s="15">
        <f t="shared" si="14"/>
        <v>1.2200000000000006</v>
      </c>
      <c r="N290" t="str">
        <f>IF(match_results!C290="完全一致","〇","×")</f>
        <v>〇</v>
      </c>
    </row>
    <row r="291" spans="1:14" x14ac:dyDescent="0.15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12"/>
        <v>10</v>
      </c>
      <c r="I291" s="7" t="s">
        <v>147</v>
      </c>
      <c r="J291" s="12">
        <v>4698</v>
      </c>
      <c r="K291" s="11">
        <f t="shared" si="13"/>
        <v>469.8</v>
      </c>
      <c r="L291" s="7" t="s">
        <v>353</v>
      </c>
      <c r="M291" s="15">
        <f t="shared" si="14"/>
        <v>52.199999999999989</v>
      </c>
      <c r="N291" t="str">
        <f>IF(match_results!C291="完全一致","〇","×")</f>
        <v>〇</v>
      </c>
    </row>
    <row r="292" spans="1:14" x14ac:dyDescent="0.15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12"/>
        <v>10</v>
      </c>
      <c r="I292" s="7" t="s">
        <v>110</v>
      </c>
      <c r="J292" s="10">
        <v>6111</v>
      </c>
      <c r="K292" s="11">
        <f t="shared" si="13"/>
        <v>611.1</v>
      </c>
      <c r="L292" s="7" t="s">
        <v>353</v>
      </c>
      <c r="M292" s="15">
        <f t="shared" si="14"/>
        <v>74.899999999999977</v>
      </c>
      <c r="N292" t="str">
        <f>IF(match_results!C292="完全一致","〇","×")</f>
        <v>〇</v>
      </c>
    </row>
    <row r="293" spans="1:14" x14ac:dyDescent="0.15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12"/>
        <v>10</v>
      </c>
      <c r="I293" s="7" t="s">
        <v>110</v>
      </c>
      <c r="J293" s="10">
        <v>3835</v>
      </c>
      <c r="K293" s="11">
        <f t="shared" si="13"/>
        <v>383.5</v>
      </c>
      <c r="L293" s="7" t="s">
        <v>427</v>
      </c>
      <c r="M293" s="15">
        <f t="shared" si="14"/>
        <v>38.5</v>
      </c>
      <c r="N293" t="str">
        <f>IF(match_results!C293="完全一致","〇","×")</f>
        <v>×</v>
      </c>
    </row>
    <row r="294" spans="1:14" x14ac:dyDescent="0.15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12"/>
        <v>1</v>
      </c>
      <c r="I294" s="7" t="s">
        <v>269</v>
      </c>
      <c r="J294" s="10">
        <v>38961</v>
      </c>
      <c r="K294" s="11">
        <f t="shared" si="13"/>
        <v>38961</v>
      </c>
      <c r="L294" s="7" t="s">
        <v>227</v>
      </c>
      <c r="M294" s="15">
        <f t="shared" si="14"/>
        <v>5719</v>
      </c>
      <c r="N294" t="str">
        <f>IF(match_results!C294="完全一致","〇","×")</f>
        <v>×</v>
      </c>
    </row>
    <row r="295" spans="1:14" x14ac:dyDescent="0.15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12"/>
        <v>1</v>
      </c>
      <c r="I295" s="7" t="s">
        <v>269</v>
      </c>
      <c r="J295" s="10">
        <v>49996</v>
      </c>
      <c r="K295" s="11">
        <f t="shared" si="13"/>
        <v>49996</v>
      </c>
      <c r="L295" s="7" t="s">
        <v>227</v>
      </c>
      <c r="M295" s="15">
        <f t="shared" si="14"/>
        <v>7339</v>
      </c>
      <c r="N295" t="str">
        <f>IF(match_results!C295="完全一致","〇","×")</f>
        <v>×</v>
      </c>
    </row>
    <row r="296" spans="1:14" x14ac:dyDescent="0.15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12"/>
        <v>1</v>
      </c>
      <c r="I296" s="7" t="s">
        <v>80</v>
      </c>
      <c r="J296" s="12">
        <v>24411</v>
      </c>
      <c r="K296" s="11">
        <f t="shared" si="13"/>
        <v>24411</v>
      </c>
      <c r="L296" s="7" t="s">
        <v>227</v>
      </c>
      <c r="M296" s="15">
        <f t="shared" si="14"/>
        <v>3583</v>
      </c>
      <c r="N296" t="str">
        <f>IF(match_results!C296="完全一致","〇","×")</f>
        <v>〇</v>
      </c>
    </row>
    <row r="297" spans="1:14" x14ac:dyDescent="0.15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12"/>
        <v>1</v>
      </c>
      <c r="I297" s="7" t="s">
        <v>80</v>
      </c>
      <c r="J297" s="10">
        <v>32112</v>
      </c>
      <c r="K297" s="11">
        <f t="shared" si="13"/>
        <v>32112</v>
      </c>
      <c r="L297" s="7" t="s">
        <v>227</v>
      </c>
      <c r="M297" s="15">
        <f t="shared" si="14"/>
        <v>4714</v>
      </c>
      <c r="N297" t="str">
        <f>IF(match_results!C297="完全一致","〇","×")</f>
        <v>〇</v>
      </c>
    </row>
    <row r="298" spans="1:14" x14ac:dyDescent="0.15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12"/>
        <v>100</v>
      </c>
      <c r="I298" s="7" t="s">
        <v>38</v>
      </c>
      <c r="J298" s="10">
        <v>3581</v>
      </c>
      <c r="K298" s="11">
        <f t="shared" si="13"/>
        <v>35.81</v>
      </c>
      <c r="L298" s="7" t="s">
        <v>72</v>
      </c>
      <c r="M298" s="15">
        <f t="shared" si="14"/>
        <v>4.3900000000000006</v>
      </c>
      <c r="N298" t="str">
        <f>IF(match_results!C298="完全一致","〇","×")</f>
        <v>〇</v>
      </c>
    </row>
    <row r="299" spans="1:14" x14ac:dyDescent="0.15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12"/>
        <v>100</v>
      </c>
      <c r="I299" s="7" t="s">
        <v>38</v>
      </c>
      <c r="J299" s="10">
        <v>1250</v>
      </c>
      <c r="K299" s="11">
        <f t="shared" si="13"/>
        <v>12.5</v>
      </c>
      <c r="L299" s="7" t="s">
        <v>185</v>
      </c>
      <c r="M299" s="15">
        <f t="shared" si="14"/>
        <v>1.9000000000000004</v>
      </c>
      <c r="N299" t="str">
        <f>IF(match_results!C299="完全一致","〇","×")</f>
        <v>〇</v>
      </c>
    </row>
    <row r="300" spans="1:14" x14ac:dyDescent="0.15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12"/>
        <v>500</v>
      </c>
      <c r="I300" s="7" t="s">
        <v>38</v>
      </c>
      <c r="J300" s="10">
        <v>6250</v>
      </c>
      <c r="K300" s="11">
        <f t="shared" si="13"/>
        <v>12.5</v>
      </c>
      <c r="L300" s="7" t="s">
        <v>185</v>
      </c>
      <c r="M300" s="15">
        <f t="shared" si="14"/>
        <v>1.9000000000000004</v>
      </c>
      <c r="N300" t="str">
        <f>IF(match_results!C300="完全一致","〇","×")</f>
        <v>〇</v>
      </c>
    </row>
    <row r="301" spans="1:14" x14ac:dyDescent="0.15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12"/>
        <v>100</v>
      </c>
      <c r="I301" s="7" t="s">
        <v>38</v>
      </c>
      <c r="J301" s="10">
        <v>543</v>
      </c>
      <c r="K301" s="11">
        <f t="shared" si="13"/>
        <v>5.43</v>
      </c>
      <c r="L301" s="7" t="s">
        <v>154</v>
      </c>
      <c r="M301" s="15">
        <f t="shared" si="14"/>
        <v>0.66999999999999993</v>
      </c>
      <c r="N301" t="str">
        <f>IF(match_results!C301="完全一致","〇","×")</f>
        <v>〇</v>
      </c>
    </row>
    <row r="302" spans="1:14" x14ac:dyDescent="0.15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12"/>
        <v>500.00000000000006</v>
      </c>
      <c r="I302" s="7" t="s">
        <v>38</v>
      </c>
      <c r="J302" s="10">
        <v>2714</v>
      </c>
      <c r="K302" s="11">
        <f t="shared" si="13"/>
        <v>5.427999999999999</v>
      </c>
      <c r="L302" s="7" t="s">
        <v>154</v>
      </c>
      <c r="M302" s="15">
        <f t="shared" si="14"/>
        <v>0.6720000000000006</v>
      </c>
      <c r="N302" t="str">
        <f>IF(match_results!C302="完全一致","〇","×")</f>
        <v>〇</v>
      </c>
    </row>
    <row r="303" spans="1:14" x14ac:dyDescent="0.15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12"/>
        <v>100</v>
      </c>
      <c r="I303" s="7" t="s">
        <v>38</v>
      </c>
      <c r="J303" s="12">
        <v>727</v>
      </c>
      <c r="K303" s="11">
        <f t="shared" si="13"/>
        <v>7.27</v>
      </c>
      <c r="L303" s="7" t="s">
        <v>321</v>
      </c>
      <c r="M303" s="15">
        <f t="shared" si="14"/>
        <v>0.73000000000000043</v>
      </c>
      <c r="N303" t="str">
        <f>IF(match_results!C303="完全一致","〇","×")</f>
        <v>〇</v>
      </c>
    </row>
    <row r="304" spans="1:14" x14ac:dyDescent="0.15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12"/>
        <v>499.99999999999994</v>
      </c>
      <c r="I304" s="7" t="s">
        <v>13</v>
      </c>
      <c r="J304" s="10">
        <v>16348</v>
      </c>
      <c r="K304" s="11">
        <f t="shared" si="13"/>
        <v>32.696000000000005</v>
      </c>
      <c r="L304" s="7" t="s">
        <v>246</v>
      </c>
      <c r="M304" s="15">
        <f t="shared" si="14"/>
        <v>4.0039999999999978</v>
      </c>
      <c r="N304" t="str">
        <f>IF(match_results!C304="完全一致","〇","×")</f>
        <v>〇</v>
      </c>
    </row>
    <row r="305" spans="1:14" x14ac:dyDescent="0.15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12"/>
        <v>50</v>
      </c>
      <c r="I305" s="7" t="s">
        <v>88</v>
      </c>
      <c r="J305" s="10">
        <v>4454</v>
      </c>
      <c r="K305" s="11">
        <f t="shared" si="13"/>
        <v>89.08</v>
      </c>
      <c r="L305" s="7" t="s">
        <v>165</v>
      </c>
      <c r="M305" s="15">
        <f t="shared" si="14"/>
        <v>10.920000000000002</v>
      </c>
      <c r="N305" t="str">
        <f>IF(match_results!C305="完全一致","〇","×")</f>
        <v>〇</v>
      </c>
    </row>
    <row r="306" spans="1:14" x14ac:dyDescent="0.15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12"/>
        <v>500</v>
      </c>
      <c r="I306" s="7" t="s">
        <v>75</v>
      </c>
      <c r="J306" s="10">
        <v>6569</v>
      </c>
      <c r="K306" s="11">
        <f t="shared" si="13"/>
        <v>13.138</v>
      </c>
      <c r="L306" s="7" t="s">
        <v>165</v>
      </c>
      <c r="M306" s="15">
        <f t="shared" si="14"/>
        <v>1.9619999999999997</v>
      </c>
      <c r="N306" t="str">
        <f>IF(match_results!C306="完全一致","〇","×")</f>
        <v>〇</v>
      </c>
    </row>
    <row r="307" spans="1:14" x14ac:dyDescent="0.15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12"/>
        <v>1000</v>
      </c>
      <c r="I307" s="7" t="s">
        <v>38</v>
      </c>
      <c r="J307" s="10">
        <v>2494</v>
      </c>
      <c r="K307" s="11">
        <f t="shared" si="13"/>
        <v>2.4940000000000002</v>
      </c>
      <c r="L307" s="7" t="s">
        <v>213</v>
      </c>
      <c r="M307" s="15">
        <f t="shared" si="14"/>
        <v>2.8059999999999996</v>
      </c>
      <c r="N307" t="str">
        <f>IF(match_results!C307="完全一致","〇","×")</f>
        <v>〇</v>
      </c>
    </row>
    <row r="308" spans="1:14" x14ac:dyDescent="0.15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12"/>
        <v>1000</v>
      </c>
      <c r="I308" s="7" t="s">
        <v>38</v>
      </c>
      <c r="J308" s="10">
        <v>2494</v>
      </c>
      <c r="K308" s="11">
        <f t="shared" si="13"/>
        <v>2.4940000000000002</v>
      </c>
      <c r="L308" s="7" t="s">
        <v>213</v>
      </c>
      <c r="M308" s="15">
        <f t="shared" si="14"/>
        <v>2.8059999999999996</v>
      </c>
      <c r="N308" t="str">
        <f>IF(match_results!C308="完全一致","〇","×")</f>
        <v>〇</v>
      </c>
    </row>
    <row r="309" spans="1:14" x14ac:dyDescent="0.15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12"/>
        <v>500</v>
      </c>
      <c r="I309" s="7" t="s">
        <v>13</v>
      </c>
      <c r="J309" s="12">
        <v>3369</v>
      </c>
      <c r="K309" s="11">
        <f t="shared" si="13"/>
        <v>6.7380000000000004</v>
      </c>
      <c r="L309" s="7" t="s">
        <v>585</v>
      </c>
      <c r="M309" s="15">
        <f t="shared" si="14"/>
        <v>0.96199999999999974</v>
      </c>
      <c r="N309" t="str">
        <f>IF(match_results!C309="完全一致","〇","×")</f>
        <v>×</v>
      </c>
    </row>
    <row r="310" spans="1:14" x14ac:dyDescent="0.15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12"/>
        <v>10</v>
      </c>
      <c r="I310" s="7" t="s">
        <v>110</v>
      </c>
      <c r="J310" s="10">
        <v>10191</v>
      </c>
      <c r="K310" s="11">
        <f t="shared" si="13"/>
        <v>1019.1</v>
      </c>
      <c r="L310" s="7" t="s">
        <v>353</v>
      </c>
      <c r="M310" s="15">
        <f t="shared" si="14"/>
        <v>124.89999999999998</v>
      </c>
      <c r="N310" t="str">
        <f>IF(match_results!C310="完全一致","〇","×")</f>
        <v>〇</v>
      </c>
    </row>
    <row r="311" spans="1:14" x14ac:dyDescent="0.15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12"/>
        <v>140</v>
      </c>
      <c r="I311" s="7" t="s">
        <v>38</v>
      </c>
      <c r="J311" s="12">
        <v>7429</v>
      </c>
      <c r="K311" s="11">
        <f t="shared" si="13"/>
        <v>53.064285714285717</v>
      </c>
      <c r="L311" s="7" t="s">
        <v>289</v>
      </c>
      <c r="M311" s="15">
        <f t="shared" si="14"/>
        <v>7.2357142857142804</v>
      </c>
      <c r="N311" t="str">
        <f>IF(match_results!C311="完全一致","〇","×")</f>
        <v>〇</v>
      </c>
    </row>
    <row r="312" spans="1:14" x14ac:dyDescent="0.15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12"/>
        <v>100</v>
      </c>
      <c r="I312" s="7" t="s">
        <v>38</v>
      </c>
      <c r="J312" s="10">
        <v>22013</v>
      </c>
      <c r="K312" s="11">
        <f t="shared" si="13"/>
        <v>220.13</v>
      </c>
      <c r="L312" s="7" t="s">
        <v>85</v>
      </c>
      <c r="M312" s="15">
        <f t="shared" si="14"/>
        <v>54.870000000000005</v>
      </c>
      <c r="N312" t="str">
        <f>IF(match_results!C312="完全一致","〇","×")</f>
        <v>〇</v>
      </c>
    </row>
    <row r="313" spans="1:14" x14ac:dyDescent="0.15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12"/>
        <v>1000.0000000000001</v>
      </c>
      <c r="I313" s="7" t="s">
        <v>38</v>
      </c>
      <c r="J313" s="12">
        <v>10423</v>
      </c>
      <c r="K313" s="11">
        <f t="shared" si="13"/>
        <v>10.422999999999998</v>
      </c>
      <c r="L313" s="7" t="s">
        <v>246</v>
      </c>
      <c r="M313" s="15">
        <f t="shared" si="14"/>
        <v>1.277000000000001</v>
      </c>
      <c r="N313" t="str">
        <f>IF(match_results!C313="完全一致","〇","×")</f>
        <v>×</v>
      </c>
    </row>
    <row r="314" spans="1:14" x14ac:dyDescent="0.15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12"/>
        <v>100</v>
      </c>
      <c r="I314" s="7" t="s">
        <v>38</v>
      </c>
      <c r="J314" s="10">
        <v>597</v>
      </c>
      <c r="K314" s="11">
        <f t="shared" si="13"/>
        <v>5.97</v>
      </c>
      <c r="L314" s="7" t="s">
        <v>303</v>
      </c>
      <c r="M314" s="15">
        <f t="shared" si="14"/>
        <v>0.73000000000000043</v>
      </c>
      <c r="N314" t="str">
        <f>IF(match_results!C314="完全一致","〇","×")</f>
        <v>〇</v>
      </c>
    </row>
    <row r="315" spans="1:14" x14ac:dyDescent="0.15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12"/>
        <v>1000</v>
      </c>
      <c r="I315" s="7" t="s">
        <v>38</v>
      </c>
      <c r="J315" s="10">
        <v>5970</v>
      </c>
      <c r="K315" s="11">
        <f t="shared" si="13"/>
        <v>5.97</v>
      </c>
      <c r="L315" s="7" t="s">
        <v>303</v>
      </c>
      <c r="M315" s="15">
        <f t="shared" si="14"/>
        <v>0.73000000000000043</v>
      </c>
      <c r="N315" t="str">
        <f>IF(match_results!C315="完全一致","〇","×")</f>
        <v>〇</v>
      </c>
    </row>
    <row r="316" spans="1:14" x14ac:dyDescent="0.15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12"/>
        <v>10</v>
      </c>
      <c r="I316" s="7" t="s">
        <v>38</v>
      </c>
      <c r="J316" s="12">
        <v>21709</v>
      </c>
      <c r="K316" s="11">
        <f t="shared" si="13"/>
        <v>2170.9</v>
      </c>
      <c r="L316" s="7" t="s">
        <v>111</v>
      </c>
      <c r="M316" s="15">
        <f t="shared" si="14"/>
        <v>267.90000000000009</v>
      </c>
      <c r="N316" t="str">
        <f>IF(match_results!C316="完全一致","〇","×")</f>
        <v>〇</v>
      </c>
    </row>
    <row r="317" spans="1:14" x14ac:dyDescent="0.15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12"/>
        <v>1000.0000000000001</v>
      </c>
      <c r="I317" s="7" t="s">
        <v>38</v>
      </c>
      <c r="J317" s="10">
        <v>5429</v>
      </c>
      <c r="K317" s="11">
        <f t="shared" si="13"/>
        <v>5.4289999999999994</v>
      </c>
      <c r="L317" s="7" t="s">
        <v>303</v>
      </c>
      <c r="M317" s="15">
        <f t="shared" si="14"/>
        <v>0.67100000000000026</v>
      </c>
      <c r="N317" t="str">
        <f>IF(match_results!C317="完全一致","〇","×")</f>
        <v>〇</v>
      </c>
    </row>
    <row r="318" spans="1:14" x14ac:dyDescent="0.15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12"/>
        <v>500.00000000000006</v>
      </c>
      <c r="I318" s="7" t="s">
        <v>38</v>
      </c>
      <c r="J318" s="10">
        <v>2715</v>
      </c>
      <c r="K318" s="11">
        <f t="shared" si="13"/>
        <v>5.43</v>
      </c>
      <c r="L318" s="7" t="s">
        <v>303</v>
      </c>
      <c r="M318" s="15">
        <f t="shared" si="14"/>
        <v>0.66999999999999993</v>
      </c>
      <c r="N318" t="str">
        <f>IF(match_results!C318="完全一致","〇","×")</f>
        <v>〇</v>
      </c>
    </row>
    <row r="319" spans="1:14" x14ac:dyDescent="0.15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12"/>
        <v>500</v>
      </c>
      <c r="I319" s="7" t="s">
        <v>38</v>
      </c>
      <c r="J319" s="10">
        <v>3385</v>
      </c>
      <c r="K319" s="11">
        <f t="shared" si="13"/>
        <v>6.77</v>
      </c>
      <c r="L319" s="7" t="s">
        <v>303</v>
      </c>
      <c r="M319" s="15">
        <f t="shared" si="14"/>
        <v>0.83000000000000007</v>
      </c>
      <c r="N319" t="str">
        <f>IF(match_results!C319="完全一致","〇","×")</f>
        <v>〇</v>
      </c>
    </row>
    <row r="320" spans="1:14" x14ac:dyDescent="0.15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12"/>
        <v>500</v>
      </c>
      <c r="I320" s="7" t="s">
        <v>38</v>
      </c>
      <c r="J320" s="10">
        <v>3382</v>
      </c>
      <c r="K320" s="11">
        <f t="shared" si="13"/>
        <v>6.7640000000000002</v>
      </c>
      <c r="L320" s="7" t="s">
        <v>303</v>
      </c>
      <c r="M320" s="15">
        <f t="shared" si="14"/>
        <v>0.83599999999999941</v>
      </c>
      <c r="N320" t="str">
        <f>IF(match_results!C320="完全一致","〇","×")</f>
        <v>〇</v>
      </c>
    </row>
    <row r="321" spans="1:14" x14ac:dyDescent="0.15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12"/>
        <v>100</v>
      </c>
      <c r="I321" s="7" t="s">
        <v>38</v>
      </c>
      <c r="J321" s="10">
        <v>2540</v>
      </c>
      <c r="K321" s="11">
        <f t="shared" si="13"/>
        <v>25.4</v>
      </c>
      <c r="L321" s="7" t="s">
        <v>525</v>
      </c>
      <c r="M321" s="15">
        <f t="shared" si="14"/>
        <v>7.6000000000000014</v>
      </c>
      <c r="N321" t="str">
        <f>IF(match_results!C321="完全一致","〇","×")</f>
        <v>〇</v>
      </c>
    </row>
    <row r="322" spans="1:14" x14ac:dyDescent="0.15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15">G322/F322</f>
        <v>100</v>
      </c>
      <c r="I322" s="7" t="s">
        <v>38</v>
      </c>
      <c r="J322" s="10">
        <v>2540</v>
      </c>
      <c r="K322" s="11">
        <f t="shared" ref="K322:K385" si="16">J322/H322</f>
        <v>25.4</v>
      </c>
      <c r="L322" s="7" t="s">
        <v>525</v>
      </c>
      <c r="M322" s="15">
        <f t="shared" si="14"/>
        <v>7.6000000000000014</v>
      </c>
      <c r="N322" t="str">
        <f>IF(match_results!C322="完全一致","〇","×")</f>
        <v>〇</v>
      </c>
    </row>
    <row r="323" spans="1:14" x14ac:dyDescent="0.15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15"/>
        <v>10</v>
      </c>
      <c r="I323" s="7" t="s">
        <v>486</v>
      </c>
      <c r="J323" s="12">
        <v>1876</v>
      </c>
      <c r="K323" s="11">
        <f t="shared" si="16"/>
        <v>187.6</v>
      </c>
      <c r="L323" s="7" t="s">
        <v>159</v>
      </c>
      <c r="M323" s="15">
        <f t="shared" ref="M323:M386" si="17">F323-K323</f>
        <v>28.400000000000006</v>
      </c>
      <c r="N323" t="str">
        <f>IF(match_results!C323="完全一致","〇","×")</f>
        <v>〇</v>
      </c>
    </row>
    <row r="324" spans="1:14" x14ac:dyDescent="0.15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15"/>
        <v>30</v>
      </c>
      <c r="I324" s="7" t="s">
        <v>97</v>
      </c>
      <c r="J324" s="10">
        <v>3876</v>
      </c>
      <c r="K324" s="11">
        <f t="shared" si="16"/>
        <v>129.19999999999999</v>
      </c>
      <c r="L324" s="7" t="s">
        <v>98</v>
      </c>
      <c r="M324" s="15">
        <f t="shared" si="17"/>
        <v>15.800000000000011</v>
      </c>
      <c r="N324" t="str">
        <f>IF(match_results!C324="完全一致","〇","×")</f>
        <v>×</v>
      </c>
    </row>
    <row r="325" spans="1:14" x14ac:dyDescent="0.15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15"/>
        <v>20</v>
      </c>
      <c r="I325" s="7" t="s">
        <v>97</v>
      </c>
      <c r="J325" s="10">
        <v>3280</v>
      </c>
      <c r="K325" s="11">
        <f t="shared" si="16"/>
        <v>164</v>
      </c>
      <c r="L325" s="7" t="s">
        <v>98</v>
      </c>
      <c r="M325" s="15">
        <f t="shared" si="17"/>
        <v>20</v>
      </c>
      <c r="N325" t="str">
        <f>IF(match_results!C325="完全一致","〇","×")</f>
        <v>×</v>
      </c>
    </row>
    <row r="326" spans="1:14" x14ac:dyDescent="0.15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15"/>
        <v>100</v>
      </c>
      <c r="I326" s="7" t="s">
        <v>38</v>
      </c>
      <c r="J326" s="10">
        <v>13617</v>
      </c>
      <c r="K326" s="11">
        <f t="shared" si="16"/>
        <v>136.16999999999999</v>
      </c>
      <c r="L326" s="7" t="s">
        <v>270</v>
      </c>
      <c r="M326" s="15">
        <f t="shared" si="17"/>
        <v>21.230000000000018</v>
      </c>
      <c r="N326" t="str">
        <f>IF(match_results!C326="完全一致","〇","×")</f>
        <v>〇</v>
      </c>
    </row>
    <row r="327" spans="1:14" x14ac:dyDescent="0.15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15"/>
        <v>50</v>
      </c>
      <c r="I327" s="7" t="s">
        <v>169</v>
      </c>
      <c r="J327" s="10">
        <v>2304</v>
      </c>
      <c r="K327" s="11">
        <f t="shared" si="16"/>
        <v>46.08</v>
      </c>
      <c r="L327" s="7" t="s">
        <v>246</v>
      </c>
      <c r="M327" s="15">
        <f t="shared" si="17"/>
        <v>4.6200000000000045</v>
      </c>
      <c r="N327" t="str">
        <f>IF(match_results!C327="完全一致","〇","×")</f>
        <v>〇</v>
      </c>
    </row>
    <row r="328" spans="1:14" x14ac:dyDescent="0.15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15"/>
        <v>50</v>
      </c>
      <c r="I328" s="7" t="s">
        <v>486</v>
      </c>
      <c r="J328" s="10">
        <v>2772</v>
      </c>
      <c r="K328" s="11">
        <f t="shared" si="16"/>
        <v>55.44</v>
      </c>
      <c r="L328" s="7" t="s">
        <v>494</v>
      </c>
      <c r="M328" s="15">
        <f t="shared" si="17"/>
        <v>5.5600000000000023</v>
      </c>
      <c r="N328" t="str">
        <f>IF(match_results!C328="完全一致","〇","×")</f>
        <v>〇</v>
      </c>
    </row>
    <row r="329" spans="1:14" x14ac:dyDescent="0.15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15"/>
        <v>100</v>
      </c>
      <c r="I329" s="7" t="s">
        <v>38</v>
      </c>
      <c r="J329" s="12">
        <v>1346</v>
      </c>
      <c r="K329" s="11">
        <f t="shared" si="16"/>
        <v>13.46</v>
      </c>
      <c r="L329" s="7" t="s">
        <v>333</v>
      </c>
      <c r="M329" s="15">
        <f t="shared" si="17"/>
        <v>1.6399999999999988</v>
      </c>
      <c r="N329" t="str">
        <f>IF(match_results!C329="完全一致","〇","×")</f>
        <v>〇</v>
      </c>
    </row>
    <row r="330" spans="1:14" x14ac:dyDescent="0.15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15"/>
        <v>100</v>
      </c>
      <c r="I330" s="7" t="s">
        <v>57</v>
      </c>
      <c r="J330" s="12">
        <v>13675</v>
      </c>
      <c r="K330" s="11">
        <f t="shared" si="16"/>
        <v>136.75</v>
      </c>
      <c r="L330" s="7" t="s">
        <v>270</v>
      </c>
      <c r="M330" s="15">
        <f t="shared" si="17"/>
        <v>16.75</v>
      </c>
      <c r="N330" t="str">
        <f>IF(match_results!C330="完全一致","〇","×")</f>
        <v>〇</v>
      </c>
    </row>
    <row r="331" spans="1:14" x14ac:dyDescent="0.15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15"/>
        <v>100</v>
      </c>
      <c r="I331" s="7" t="s">
        <v>38</v>
      </c>
      <c r="J331" s="10">
        <v>8355</v>
      </c>
      <c r="K331" s="11">
        <f t="shared" si="16"/>
        <v>83.55</v>
      </c>
      <c r="L331" s="7" t="s">
        <v>306</v>
      </c>
      <c r="M331" s="15">
        <f t="shared" si="17"/>
        <v>10.75</v>
      </c>
      <c r="N331" t="str">
        <f>IF(match_results!C331="完全一致","〇","×")</f>
        <v>〇</v>
      </c>
    </row>
    <row r="332" spans="1:14" x14ac:dyDescent="0.15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15"/>
        <v>200</v>
      </c>
      <c r="I332" s="7" t="s">
        <v>38</v>
      </c>
      <c r="J332" s="10">
        <v>16710</v>
      </c>
      <c r="K332" s="11">
        <f t="shared" si="16"/>
        <v>83.55</v>
      </c>
      <c r="L332" s="7" t="s">
        <v>306</v>
      </c>
      <c r="M332" s="15">
        <f t="shared" si="17"/>
        <v>10.75</v>
      </c>
      <c r="N332" t="str">
        <f>IF(match_results!C332="完全一致","〇","×")</f>
        <v>〇</v>
      </c>
    </row>
    <row r="333" spans="1:14" x14ac:dyDescent="0.15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15"/>
        <v>100</v>
      </c>
      <c r="I333" s="7" t="s">
        <v>38</v>
      </c>
      <c r="J333" s="10">
        <v>12490</v>
      </c>
      <c r="K333" s="11">
        <f t="shared" si="16"/>
        <v>124.9</v>
      </c>
      <c r="L333" s="7" t="s">
        <v>306</v>
      </c>
      <c r="M333" s="15">
        <f t="shared" si="17"/>
        <v>16.099999999999994</v>
      </c>
      <c r="N333" t="str">
        <f>IF(match_results!C333="完全一致","〇","×")</f>
        <v>〇</v>
      </c>
    </row>
    <row r="334" spans="1:14" x14ac:dyDescent="0.15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15"/>
        <v>10</v>
      </c>
      <c r="I334" s="7" t="s">
        <v>110</v>
      </c>
      <c r="J334" s="10">
        <v>4026</v>
      </c>
      <c r="K334" s="11">
        <f t="shared" si="16"/>
        <v>402.6</v>
      </c>
      <c r="L334" s="7" t="s">
        <v>306</v>
      </c>
      <c r="M334" s="15">
        <f t="shared" si="17"/>
        <v>49.399999999999977</v>
      </c>
      <c r="N334" t="str">
        <f>IF(match_results!C334="完全一致","〇","×")</f>
        <v>〇</v>
      </c>
    </row>
    <row r="335" spans="1:14" x14ac:dyDescent="0.15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15"/>
        <v>120</v>
      </c>
      <c r="I335" s="7" t="s">
        <v>38</v>
      </c>
      <c r="J335" s="10">
        <v>785</v>
      </c>
      <c r="K335" s="11">
        <f t="shared" si="16"/>
        <v>6.541666666666667</v>
      </c>
      <c r="L335" s="7" t="s">
        <v>433</v>
      </c>
      <c r="M335" s="15">
        <f t="shared" si="17"/>
        <v>0.65833333333333321</v>
      </c>
      <c r="N335" t="str">
        <f>IF(match_results!C335="完全一致","〇","×")</f>
        <v>〇</v>
      </c>
    </row>
    <row r="336" spans="1:14" x14ac:dyDescent="0.15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15"/>
        <v>140</v>
      </c>
      <c r="I336" s="7" t="s">
        <v>38</v>
      </c>
      <c r="J336" s="12">
        <v>2059</v>
      </c>
      <c r="K336" s="11">
        <f t="shared" si="16"/>
        <v>14.707142857142857</v>
      </c>
      <c r="L336" s="7" t="s">
        <v>525</v>
      </c>
      <c r="M336" s="15">
        <f t="shared" si="17"/>
        <v>3.7928571428571427</v>
      </c>
      <c r="N336" t="str">
        <f>IF(match_results!C336="完全一致","〇","×")</f>
        <v>〇</v>
      </c>
    </row>
    <row r="337" spans="1:14" x14ac:dyDescent="0.15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15"/>
        <v>300</v>
      </c>
      <c r="I337" s="7" t="s">
        <v>38</v>
      </c>
      <c r="J337" s="10">
        <v>4412</v>
      </c>
      <c r="K337" s="11">
        <f t="shared" si="16"/>
        <v>14.706666666666667</v>
      </c>
      <c r="L337" s="7" t="s">
        <v>525</v>
      </c>
      <c r="M337" s="15">
        <f t="shared" si="17"/>
        <v>3.793333333333333</v>
      </c>
      <c r="N337" t="str">
        <f>IF(match_results!C337="完全一致","〇","×")</f>
        <v>〇</v>
      </c>
    </row>
    <row r="338" spans="1:14" x14ac:dyDescent="0.15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15"/>
        <v>100</v>
      </c>
      <c r="I338" s="7" t="s">
        <v>57</v>
      </c>
      <c r="J338" s="10">
        <v>2120</v>
      </c>
      <c r="K338" s="11">
        <f t="shared" si="16"/>
        <v>21.2</v>
      </c>
      <c r="L338" s="7" t="s">
        <v>427</v>
      </c>
      <c r="M338" s="15">
        <f t="shared" si="17"/>
        <v>2.6000000000000014</v>
      </c>
      <c r="N338" t="str">
        <f>IF(match_results!C338="完全一致","〇","×")</f>
        <v>〇</v>
      </c>
    </row>
    <row r="339" spans="1:14" x14ac:dyDescent="0.15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15"/>
        <v>100</v>
      </c>
      <c r="I339" s="7" t="s">
        <v>38</v>
      </c>
      <c r="J339" s="10">
        <v>8000</v>
      </c>
      <c r="K339" s="11">
        <f t="shared" si="16"/>
        <v>80</v>
      </c>
      <c r="L339" s="7" t="s">
        <v>224</v>
      </c>
      <c r="M339" s="15">
        <f t="shared" si="17"/>
        <v>12.5</v>
      </c>
      <c r="N339" t="str">
        <f>IF(match_results!C339="完全一致","〇","×")</f>
        <v>〇</v>
      </c>
    </row>
    <row r="340" spans="1:14" x14ac:dyDescent="0.15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15"/>
        <v>35</v>
      </c>
      <c r="I340" s="7" t="s">
        <v>13</v>
      </c>
      <c r="J340" s="10">
        <v>3541</v>
      </c>
      <c r="K340" s="11">
        <f t="shared" si="16"/>
        <v>101.17142857142858</v>
      </c>
      <c r="L340" s="7" t="s">
        <v>76</v>
      </c>
      <c r="M340" s="15">
        <f t="shared" si="17"/>
        <v>12.328571428571422</v>
      </c>
      <c r="N340" t="str">
        <f>IF(match_results!C340="完全一致","〇","×")</f>
        <v>〇</v>
      </c>
    </row>
    <row r="341" spans="1:14" x14ac:dyDescent="0.15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15"/>
        <v>25</v>
      </c>
      <c r="I341" s="7" t="s">
        <v>75</v>
      </c>
      <c r="J341" s="10">
        <v>2477</v>
      </c>
      <c r="K341" s="11">
        <f t="shared" si="16"/>
        <v>99.08</v>
      </c>
      <c r="L341" s="7" t="s">
        <v>453</v>
      </c>
      <c r="M341" s="15">
        <f t="shared" si="17"/>
        <v>12.120000000000005</v>
      </c>
      <c r="N341" t="str">
        <f>IF(match_results!C341="完全一致","〇","×")</f>
        <v>〇</v>
      </c>
    </row>
    <row r="342" spans="1:14" x14ac:dyDescent="0.15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15"/>
        <v>1</v>
      </c>
      <c r="I342" s="7" t="s">
        <v>471</v>
      </c>
      <c r="J342" s="10">
        <v>5430</v>
      </c>
      <c r="K342" s="11">
        <f t="shared" si="16"/>
        <v>5430</v>
      </c>
      <c r="L342" s="7" t="s">
        <v>270</v>
      </c>
      <c r="M342" s="15">
        <f t="shared" si="17"/>
        <v>725</v>
      </c>
      <c r="N342" t="str">
        <f>IF(match_results!C342="完全一致","〇","×")</f>
        <v>×</v>
      </c>
    </row>
    <row r="343" spans="1:14" x14ac:dyDescent="0.15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15"/>
        <v>1</v>
      </c>
      <c r="I343" s="7" t="s">
        <v>471</v>
      </c>
      <c r="J343" s="10">
        <v>1621</v>
      </c>
      <c r="K343" s="11">
        <f t="shared" si="16"/>
        <v>1621</v>
      </c>
      <c r="L343" s="7" t="s">
        <v>270</v>
      </c>
      <c r="M343" s="15">
        <f t="shared" si="17"/>
        <v>355</v>
      </c>
      <c r="N343" t="str">
        <f>IF(match_results!C343="完全一致","〇","×")</f>
        <v>×</v>
      </c>
    </row>
    <row r="344" spans="1:14" x14ac:dyDescent="0.15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15"/>
        <v>1</v>
      </c>
      <c r="I344" s="7" t="s">
        <v>471</v>
      </c>
      <c r="J344" s="10">
        <v>2809</v>
      </c>
      <c r="K344" s="11">
        <f t="shared" si="16"/>
        <v>2809</v>
      </c>
      <c r="L344" s="7" t="s">
        <v>270</v>
      </c>
      <c r="M344" s="15">
        <f t="shared" si="17"/>
        <v>615</v>
      </c>
      <c r="N344" t="str">
        <f>IF(match_results!C344="完全一致","〇","×")</f>
        <v>×</v>
      </c>
    </row>
    <row r="345" spans="1:14" x14ac:dyDescent="0.15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15"/>
        <v>99.999999999999986</v>
      </c>
      <c r="I345" s="7" t="s">
        <v>57</v>
      </c>
      <c r="J345" s="12">
        <v>1568</v>
      </c>
      <c r="K345" s="11">
        <f t="shared" si="16"/>
        <v>15.680000000000001</v>
      </c>
      <c r="L345" s="7" t="s">
        <v>633</v>
      </c>
      <c r="M345" s="15">
        <f t="shared" si="17"/>
        <v>1.92</v>
      </c>
      <c r="N345" t="str">
        <f>IF(match_results!C345="完全一致","〇","×")</f>
        <v>×</v>
      </c>
    </row>
    <row r="346" spans="1:14" x14ac:dyDescent="0.15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15"/>
        <v>5</v>
      </c>
      <c r="I346" s="7" t="s">
        <v>110</v>
      </c>
      <c r="J346" s="12">
        <v>39772</v>
      </c>
      <c r="K346" s="11">
        <f t="shared" si="16"/>
        <v>7954.4</v>
      </c>
      <c r="L346" s="7" t="s">
        <v>633</v>
      </c>
      <c r="M346" s="15">
        <f t="shared" si="17"/>
        <v>1084.6000000000004</v>
      </c>
      <c r="N346" t="str">
        <f>IF(match_results!C346="完全一致","〇","×")</f>
        <v>×</v>
      </c>
    </row>
    <row r="347" spans="1:14" x14ac:dyDescent="0.15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15"/>
        <v>500</v>
      </c>
      <c r="I347" s="7" t="s">
        <v>13</v>
      </c>
      <c r="J347" s="10">
        <v>3207</v>
      </c>
      <c r="K347" s="11">
        <f t="shared" si="16"/>
        <v>6.4139999999999997</v>
      </c>
      <c r="L347" s="7" t="s">
        <v>519</v>
      </c>
      <c r="M347" s="15">
        <f t="shared" si="17"/>
        <v>0.78600000000000048</v>
      </c>
      <c r="N347" t="str">
        <f>IF(match_results!C347="完全一致","〇","×")</f>
        <v>×</v>
      </c>
    </row>
    <row r="348" spans="1:14" x14ac:dyDescent="0.15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15"/>
        <v>100</v>
      </c>
      <c r="I348" s="7" t="s">
        <v>38</v>
      </c>
      <c r="J348" s="10">
        <v>3550</v>
      </c>
      <c r="K348" s="11">
        <f t="shared" si="16"/>
        <v>35.5</v>
      </c>
      <c r="L348" s="7" t="s">
        <v>289</v>
      </c>
      <c r="M348" s="15">
        <f t="shared" si="17"/>
        <v>5</v>
      </c>
      <c r="N348" t="str">
        <f>IF(match_results!C348="完全一致","〇","×")</f>
        <v>〇</v>
      </c>
    </row>
    <row r="349" spans="1:14" x14ac:dyDescent="0.15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15"/>
        <v>10</v>
      </c>
      <c r="I349" s="7" t="s">
        <v>147</v>
      </c>
      <c r="J349" s="12">
        <v>8160</v>
      </c>
      <c r="K349" s="11">
        <f t="shared" si="16"/>
        <v>816</v>
      </c>
      <c r="L349" s="7" t="s">
        <v>353</v>
      </c>
      <c r="M349" s="15">
        <f t="shared" si="17"/>
        <v>144</v>
      </c>
      <c r="N349" t="str">
        <f>IF(match_results!C349="完全一致","〇","×")</f>
        <v>〇</v>
      </c>
    </row>
    <row r="350" spans="1:14" x14ac:dyDescent="0.15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15"/>
        <v>100</v>
      </c>
      <c r="I350" s="7" t="s">
        <v>38</v>
      </c>
      <c r="J350" s="10">
        <v>544</v>
      </c>
      <c r="K350" s="11">
        <f t="shared" si="16"/>
        <v>5.44</v>
      </c>
      <c r="L350" s="7" t="s">
        <v>193</v>
      </c>
      <c r="M350" s="15">
        <f t="shared" si="17"/>
        <v>0.65999999999999925</v>
      </c>
      <c r="N350" t="str">
        <f>IF(match_results!C350="完全一致","〇","×")</f>
        <v>×</v>
      </c>
    </row>
    <row r="351" spans="1:14" x14ac:dyDescent="0.15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15"/>
        <v>1000.0000000000001</v>
      </c>
      <c r="I351" s="7" t="s">
        <v>38</v>
      </c>
      <c r="J351" s="12">
        <v>5440</v>
      </c>
      <c r="K351" s="11">
        <f t="shared" si="16"/>
        <v>5.4399999999999995</v>
      </c>
      <c r="L351" s="7" t="s">
        <v>193</v>
      </c>
      <c r="M351" s="15">
        <f t="shared" si="17"/>
        <v>0.66000000000000014</v>
      </c>
      <c r="N351" t="str">
        <f>IF(match_results!C351="完全一致","〇","×")</f>
        <v>×</v>
      </c>
    </row>
    <row r="352" spans="1:14" x14ac:dyDescent="0.15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15"/>
        <v>50</v>
      </c>
      <c r="I352" s="7" t="s">
        <v>75</v>
      </c>
      <c r="J352" s="12">
        <v>2300</v>
      </c>
      <c r="K352" s="11">
        <f t="shared" si="16"/>
        <v>46</v>
      </c>
      <c r="L352" s="7" t="s">
        <v>76</v>
      </c>
      <c r="M352" s="15">
        <f t="shared" si="17"/>
        <v>6.2999999999999972</v>
      </c>
      <c r="N352" t="str">
        <f>IF(match_results!C352="完全一致","〇","×")</f>
        <v>〇</v>
      </c>
    </row>
    <row r="353" spans="1:14" x14ac:dyDescent="0.15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15"/>
        <v>500</v>
      </c>
      <c r="I353" s="7" t="s">
        <v>38</v>
      </c>
      <c r="J353" s="10">
        <v>4632</v>
      </c>
      <c r="K353" s="11">
        <f t="shared" si="16"/>
        <v>9.2639999999999993</v>
      </c>
      <c r="L353" s="7" t="s">
        <v>644</v>
      </c>
      <c r="M353" s="15">
        <f t="shared" si="17"/>
        <v>1.136000000000001</v>
      </c>
      <c r="N353" t="str">
        <f>IF(match_results!C353="完全一致","〇","×")</f>
        <v>〇</v>
      </c>
    </row>
    <row r="354" spans="1:14" x14ac:dyDescent="0.15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15"/>
        <v>500</v>
      </c>
      <c r="I354" s="7" t="s">
        <v>38</v>
      </c>
      <c r="J354" s="10">
        <v>4632</v>
      </c>
      <c r="K354" s="11">
        <f t="shared" si="16"/>
        <v>9.2639999999999993</v>
      </c>
      <c r="L354" s="7" t="s">
        <v>644</v>
      </c>
      <c r="M354" s="15">
        <f t="shared" si="17"/>
        <v>1.136000000000001</v>
      </c>
      <c r="N354" t="str">
        <f>IF(match_results!C354="完全一致","〇","×")</f>
        <v>〇</v>
      </c>
    </row>
    <row r="355" spans="1:14" x14ac:dyDescent="0.15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15"/>
        <v>2</v>
      </c>
      <c r="I355" s="7" t="s">
        <v>88</v>
      </c>
      <c r="J355" s="12">
        <v>35978</v>
      </c>
      <c r="K355" s="11">
        <f t="shared" si="16"/>
        <v>17989</v>
      </c>
      <c r="L355" s="7" t="s">
        <v>644</v>
      </c>
      <c r="M355" s="15">
        <f t="shared" si="17"/>
        <v>2203</v>
      </c>
      <c r="N355" t="str">
        <f>IF(match_results!C355="完全一致","〇","×")</f>
        <v>〇</v>
      </c>
    </row>
    <row r="356" spans="1:14" x14ac:dyDescent="0.15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15"/>
        <v>100</v>
      </c>
      <c r="I356" s="7" t="s">
        <v>10</v>
      </c>
      <c r="J356" s="10">
        <v>3007</v>
      </c>
      <c r="K356" s="11">
        <f t="shared" si="16"/>
        <v>30.07</v>
      </c>
      <c r="L356" s="7" t="s">
        <v>407</v>
      </c>
      <c r="M356" s="15">
        <f t="shared" si="17"/>
        <v>4.0300000000000011</v>
      </c>
      <c r="N356" t="str">
        <f>IF(match_results!C356="完全一致","〇","×")</f>
        <v>〇</v>
      </c>
    </row>
    <row r="357" spans="1:14" x14ac:dyDescent="0.15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15"/>
        <v>70</v>
      </c>
      <c r="I357" s="7" t="s">
        <v>181</v>
      </c>
      <c r="J357" s="10">
        <v>1440</v>
      </c>
      <c r="K357" s="11">
        <f t="shared" si="16"/>
        <v>20.571428571428573</v>
      </c>
      <c r="L357" s="7" t="s">
        <v>207</v>
      </c>
      <c r="M357" s="15">
        <f t="shared" si="17"/>
        <v>2.2285714285714278</v>
      </c>
      <c r="N357" t="str">
        <f>IF(match_results!C357="完全一致","〇","×")</f>
        <v>〇</v>
      </c>
    </row>
    <row r="358" spans="1:14" x14ac:dyDescent="0.15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15"/>
        <v>100</v>
      </c>
      <c r="I358" s="7" t="s">
        <v>38</v>
      </c>
      <c r="J358" s="10">
        <v>3860</v>
      </c>
      <c r="K358" s="11">
        <f t="shared" si="16"/>
        <v>38.6</v>
      </c>
      <c r="L358" s="7" t="s">
        <v>224</v>
      </c>
      <c r="M358" s="15">
        <f t="shared" si="17"/>
        <v>6.2999999999999972</v>
      </c>
      <c r="N358" t="str">
        <f>IF(match_results!C358="完全一致","〇","×")</f>
        <v>〇</v>
      </c>
    </row>
    <row r="359" spans="1:14" x14ac:dyDescent="0.15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15"/>
        <v>100</v>
      </c>
      <c r="I359" s="7" t="s">
        <v>38</v>
      </c>
      <c r="J359" s="10">
        <v>3860</v>
      </c>
      <c r="K359" s="11">
        <f t="shared" si="16"/>
        <v>38.6</v>
      </c>
      <c r="L359" s="7" t="s">
        <v>224</v>
      </c>
      <c r="M359" s="15">
        <f t="shared" si="17"/>
        <v>6.2999999999999972</v>
      </c>
      <c r="N359" t="str">
        <f>IF(match_results!C359="完全一致","〇","×")</f>
        <v>〇</v>
      </c>
    </row>
    <row r="360" spans="1:14" x14ac:dyDescent="0.15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15"/>
        <v>500</v>
      </c>
      <c r="I360" s="7" t="s">
        <v>38</v>
      </c>
      <c r="J360" s="10">
        <v>30650</v>
      </c>
      <c r="K360" s="11">
        <f t="shared" si="16"/>
        <v>61.3</v>
      </c>
      <c r="L360" s="7" t="s">
        <v>224</v>
      </c>
      <c r="M360" s="15">
        <f t="shared" si="17"/>
        <v>10</v>
      </c>
      <c r="N360" t="str">
        <f>IF(match_results!C360="完全一致","〇","×")</f>
        <v>〇</v>
      </c>
    </row>
    <row r="361" spans="1:14" x14ac:dyDescent="0.15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15"/>
        <v>100</v>
      </c>
      <c r="I361" s="7" t="s">
        <v>38</v>
      </c>
      <c r="J361" s="10">
        <v>6130</v>
      </c>
      <c r="K361" s="11">
        <f t="shared" si="16"/>
        <v>61.3</v>
      </c>
      <c r="L361" s="7" t="s">
        <v>224</v>
      </c>
      <c r="M361" s="15">
        <f t="shared" si="17"/>
        <v>10</v>
      </c>
      <c r="N361" t="str">
        <f>IF(match_results!C361="完全一致","〇","×")</f>
        <v>〇</v>
      </c>
    </row>
    <row r="362" spans="1:14" x14ac:dyDescent="0.15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15"/>
        <v>100</v>
      </c>
      <c r="I362" s="7" t="s">
        <v>38</v>
      </c>
      <c r="J362" s="10">
        <v>544</v>
      </c>
      <c r="K362" s="11">
        <f t="shared" si="16"/>
        <v>5.44</v>
      </c>
      <c r="L362" s="7" t="s">
        <v>207</v>
      </c>
      <c r="M362" s="15">
        <f t="shared" si="17"/>
        <v>0.65999999999999925</v>
      </c>
      <c r="N362" t="str">
        <f>IF(match_results!C362="完全一致","〇","×")</f>
        <v>〇</v>
      </c>
    </row>
    <row r="363" spans="1:14" x14ac:dyDescent="0.15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15"/>
        <v>100</v>
      </c>
      <c r="I363" s="7" t="s">
        <v>38</v>
      </c>
      <c r="J363" s="12">
        <v>546</v>
      </c>
      <c r="K363" s="11">
        <f t="shared" si="16"/>
        <v>5.46</v>
      </c>
      <c r="L363" s="7" t="s">
        <v>321</v>
      </c>
      <c r="M363" s="15">
        <f t="shared" si="17"/>
        <v>0.63999999999999968</v>
      </c>
      <c r="N363" t="str">
        <f>IF(match_results!C363="完全一致","〇","×")</f>
        <v>×</v>
      </c>
    </row>
    <row r="364" spans="1:14" x14ac:dyDescent="0.15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15"/>
        <v>10</v>
      </c>
      <c r="I364" s="7" t="s">
        <v>486</v>
      </c>
      <c r="J364" s="12">
        <v>1572</v>
      </c>
      <c r="K364" s="11">
        <f t="shared" si="16"/>
        <v>157.19999999999999</v>
      </c>
      <c r="L364" s="7" t="s">
        <v>321</v>
      </c>
      <c r="M364" s="15">
        <f t="shared" si="17"/>
        <v>15.800000000000011</v>
      </c>
      <c r="N364" t="str">
        <f>IF(match_results!C364="完全一致","〇","×")</f>
        <v>〇</v>
      </c>
    </row>
    <row r="365" spans="1:14" x14ac:dyDescent="0.15">
      <c r="A365" s="6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15"/>
        <v>10</v>
      </c>
      <c r="I365" s="7" t="s">
        <v>88</v>
      </c>
      <c r="J365" s="12">
        <v>1762.8</v>
      </c>
      <c r="K365" s="11">
        <f t="shared" si="16"/>
        <v>176.28</v>
      </c>
      <c r="L365" s="7" t="s">
        <v>321</v>
      </c>
      <c r="M365" s="15">
        <f t="shared" si="17"/>
        <v>17.72</v>
      </c>
      <c r="N365" t="str">
        <f>IF(match_results!C365="完全一致","〇","×")</f>
        <v>×</v>
      </c>
    </row>
    <row r="366" spans="1:14" x14ac:dyDescent="0.15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15"/>
        <v>50</v>
      </c>
      <c r="I366" s="7" t="s">
        <v>13</v>
      </c>
      <c r="J366" s="10">
        <v>1772</v>
      </c>
      <c r="K366" s="11">
        <f t="shared" si="16"/>
        <v>35.44</v>
      </c>
      <c r="L366" s="7" t="s">
        <v>63</v>
      </c>
      <c r="M366" s="15">
        <f t="shared" si="17"/>
        <v>3.5600000000000023</v>
      </c>
      <c r="N366" t="str">
        <f>IF(match_results!C366="完全一致","〇","×")</f>
        <v>〇</v>
      </c>
    </row>
    <row r="367" spans="1:14" x14ac:dyDescent="0.15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15"/>
        <v>999.99999999999989</v>
      </c>
      <c r="I367" s="7" t="s">
        <v>38</v>
      </c>
      <c r="J367" s="10">
        <v>5260</v>
      </c>
      <c r="K367" s="11">
        <f t="shared" si="16"/>
        <v>5.2600000000000007</v>
      </c>
      <c r="L367" s="7" t="s">
        <v>662</v>
      </c>
      <c r="M367" s="15">
        <f t="shared" si="17"/>
        <v>0.63999999999999968</v>
      </c>
      <c r="N367" t="str">
        <f>IF(match_results!C367="完全一致","〇","×")</f>
        <v>〇</v>
      </c>
    </row>
    <row r="368" spans="1:14" x14ac:dyDescent="0.15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15"/>
        <v>100</v>
      </c>
      <c r="I368" s="7" t="s">
        <v>13</v>
      </c>
      <c r="J368" s="10">
        <v>1728</v>
      </c>
      <c r="K368" s="11">
        <f t="shared" si="16"/>
        <v>17.28</v>
      </c>
      <c r="L368" s="7" t="s">
        <v>128</v>
      </c>
      <c r="M368" s="15">
        <f t="shared" si="17"/>
        <v>1.9199999999999982</v>
      </c>
      <c r="N368" t="str">
        <f>IF(match_results!C368="完全一致","〇","×")</f>
        <v>×</v>
      </c>
    </row>
    <row r="369" spans="1:14" x14ac:dyDescent="0.15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15"/>
        <v>105</v>
      </c>
      <c r="I369" s="7" t="s">
        <v>38</v>
      </c>
      <c r="J369" s="10">
        <v>836</v>
      </c>
      <c r="K369" s="11">
        <f t="shared" si="16"/>
        <v>7.961904761904762</v>
      </c>
      <c r="L369" s="7" t="s">
        <v>185</v>
      </c>
      <c r="M369" s="15">
        <f t="shared" si="17"/>
        <v>1.1380952380952376</v>
      </c>
      <c r="N369" t="str">
        <f>IF(match_results!C369="完全一致","〇","×")</f>
        <v>〇</v>
      </c>
    </row>
    <row r="370" spans="1:14" x14ac:dyDescent="0.15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15"/>
        <v>100</v>
      </c>
      <c r="I370" s="7" t="s">
        <v>38</v>
      </c>
      <c r="J370" s="10">
        <v>2188</v>
      </c>
      <c r="K370" s="11">
        <f t="shared" si="16"/>
        <v>21.88</v>
      </c>
      <c r="L370" s="7" t="s">
        <v>185</v>
      </c>
      <c r="M370" s="15">
        <f t="shared" si="17"/>
        <v>3.120000000000001</v>
      </c>
      <c r="N370" t="str">
        <f>IF(match_results!C370="完全一致","〇","×")</f>
        <v>〇</v>
      </c>
    </row>
    <row r="371" spans="1:14" x14ac:dyDescent="0.15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15"/>
        <v>59.999999999999993</v>
      </c>
      <c r="I371" s="7" t="s">
        <v>38</v>
      </c>
      <c r="J371" s="10">
        <v>610</v>
      </c>
      <c r="K371" s="11">
        <f t="shared" si="16"/>
        <v>10.166666666666668</v>
      </c>
      <c r="L371" s="7" t="s">
        <v>131</v>
      </c>
      <c r="M371" s="15">
        <f t="shared" si="17"/>
        <v>1.1333333333333329</v>
      </c>
      <c r="N371" t="str">
        <f>IF(match_results!C371="完全一致","〇","×")</f>
        <v>×</v>
      </c>
    </row>
    <row r="372" spans="1:14" x14ac:dyDescent="0.15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15"/>
        <v>100</v>
      </c>
      <c r="I372" s="7" t="s">
        <v>38</v>
      </c>
      <c r="J372" s="10">
        <v>961</v>
      </c>
      <c r="K372" s="11">
        <f t="shared" si="16"/>
        <v>9.61</v>
      </c>
      <c r="L372" s="7" t="s">
        <v>246</v>
      </c>
      <c r="M372" s="15">
        <f t="shared" si="17"/>
        <v>1.6900000000000013</v>
      </c>
      <c r="N372" t="str">
        <f>IF(match_results!C372="完全一致","〇","×")</f>
        <v>〇</v>
      </c>
    </row>
    <row r="373" spans="1:14" x14ac:dyDescent="0.15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15"/>
        <v>999.99999999999989</v>
      </c>
      <c r="I373" s="7" t="s">
        <v>38</v>
      </c>
      <c r="J373" s="10">
        <v>9605</v>
      </c>
      <c r="K373" s="11">
        <f t="shared" si="16"/>
        <v>9.6050000000000004</v>
      </c>
      <c r="L373" s="7" t="s">
        <v>246</v>
      </c>
      <c r="M373" s="15">
        <f t="shared" si="17"/>
        <v>1.6950000000000003</v>
      </c>
      <c r="N373" t="str">
        <f>IF(match_results!C373="完全一致","〇","×")</f>
        <v>〇</v>
      </c>
    </row>
    <row r="374" spans="1:14" x14ac:dyDescent="0.15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15"/>
        <v>100</v>
      </c>
      <c r="I374" s="7" t="s">
        <v>13</v>
      </c>
      <c r="J374" s="12">
        <v>2992</v>
      </c>
      <c r="K374" s="11">
        <f t="shared" si="16"/>
        <v>29.92</v>
      </c>
      <c r="L374" s="7" t="s">
        <v>303</v>
      </c>
      <c r="M374" s="15">
        <f t="shared" si="17"/>
        <v>4.0799999999999983</v>
      </c>
      <c r="N374" t="str">
        <f>IF(match_results!C374="完全一致","〇","×")</f>
        <v>〇</v>
      </c>
    </row>
    <row r="375" spans="1:14" x14ac:dyDescent="0.15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15"/>
        <v>1000</v>
      </c>
      <c r="I375" s="7" t="s">
        <v>38</v>
      </c>
      <c r="J375" s="10">
        <v>5909</v>
      </c>
      <c r="K375" s="11">
        <f t="shared" si="16"/>
        <v>5.9089999999999998</v>
      </c>
      <c r="L375" s="7" t="s">
        <v>306</v>
      </c>
      <c r="M375" s="15">
        <f t="shared" si="17"/>
        <v>0.59100000000000019</v>
      </c>
      <c r="N375" t="str">
        <f>IF(match_results!C375="完全一致","〇","×")</f>
        <v>〇</v>
      </c>
    </row>
    <row r="376" spans="1:14" x14ac:dyDescent="0.15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15"/>
        <v>100</v>
      </c>
      <c r="I376" s="7" t="s">
        <v>13</v>
      </c>
      <c r="J376" s="10">
        <v>854</v>
      </c>
      <c r="K376" s="11">
        <f t="shared" si="16"/>
        <v>8.5399999999999991</v>
      </c>
      <c r="L376" s="7" t="s">
        <v>306</v>
      </c>
      <c r="M376" s="15">
        <f t="shared" si="17"/>
        <v>0.86000000000000121</v>
      </c>
      <c r="N376" t="str">
        <f>IF(match_results!C376="完全一致","〇","×")</f>
        <v>〇</v>
      </c>
    </row>
    <row r="377" spans="1:14" x14ac:dyDescent="0.15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15"/>
        <v>500</v>
      </c>
      <c r="I377" s="7" t="s">
        <v>38</v>
      </c>
      <c r="J377" s="10">
        <v>8144</v>
      </c>
      <c r="K377" s="11">
        <f t="shared" si="16"/>
        <v>16.288</v>
      </c>
      <c r="L377" s="7" t="s">
        <v>185</v>
      </c>
      <c r="M377" s="15">
        <f t="shared" si="17"/>
        <v>2.0120000000000005</v>
      </c>
      <c r="N377" t="str">
        <f>IF(match_results!C377="完全一致","〇","×")</f>
        <v>〇</v>
      </c>
    </row>
    <row r="378" spans="1:14" x14ac:dyDescent="0.15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15"/>
        <v>1000</v>
      </c>
      <c r="I378" s="7" t="s">
        <v>38</v>
      </c>
      <c r="J378" s="10">
        <v>16287</v>
      </c>
      <c r="K378" s="11">
        <f t="shared" si="16"/>
        <v>16.286999999999999</v>
      </c>
      <c r="L378" s="7" t="s">
        <v>185</v>
      </c>
      <c r="M378" s="15">
        <f t="shared" si="17"/>
        <v>2.0130000000000017</v>
      </c>
      <c r="N378" t="str">
        <f>IF(match_results!C378="完全一致","〇","×")</f>
        <v>〇</v>
      </c>
    </row>
    <row r="379" spans="1:14" x14ac:dyDescent="0.15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15"/>
        <v>30</v>
      </c>
      <c r="I379" s="7" t="s">
        <v>57</v>
      </c>
      <c r="J379" s="10">
        <v>710</v>
      </c>
      <c r="K379" s="11">
        <f t="shared" si="16"/>
        <v>23.666666666666668</v>
      </c>
      <c r="L379" s="7" t="s">
        <v>81</v>
      </c>
      <c r="M379" s="15">
        <f t="shared" si="17"/>
        <v>3.1333333333333329</v>
      </c>
      <c r="N379" t="str">
        <f>IF(match_results!C379="完全一致","〇","×")</f>
        <v>〇</v>
      </c>
    </row>
    <row r="380" spans="1:14" x14ac:dyDescent="0.15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15"/>
        <v>100</v>
      </c>
      <c r="I380" s="7" t="s">
        <v>57</v>
      </c>
      <c r="J380" s="10">
        <v>2056</v>
      </c>
      <c r="K380" s="11">
        <f t="shared" si="16"/>
        <v>20.56</v>
      </c>
      <c r="L380" s="7" t="s">
        <v>185</v>
      </c>
      <c r="M380" s="15">
        <f t="shared" si="17"/>
        <v>5.1400000000000006</v>
      </c>
      <c r="N380" t="str">
        <f>IF(match_results!C380="完全一致","〇","×")</f>
        <v>〇</v>
      </c>
    </row>
    <row r="381" spans="1:14" x14ac:dyDescent="0.15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15"/>
        <v>500</v>
      </c>
      <c r="I381" s="7" t="s">
        <v>57</v>
      </c>
      <c r="J381" s="10">
        <v>10280</v>
      </c>
      <c r="K381" s="11">
        <f t="shared" si="16"/>
        <v>20.56</v>
      </c>
      <c r="L381" s="7" t="s">
        <v>185</v>
      </c>
      <c r="M381" s="15">
        <f t="shared" si="17"/>
        <v>5.1400000000000006</v>
      </c>
      <c r="N381" t="str">
        <f>IF(match_results!C381="完全一致","〇","×")</f>
        <v>〇</v>
      </c>
    </row>
    <row r="382" spans="1:14" x14ac:dyDescent="0.15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15"/>
        <v>1</v>
      </c>
      <c r="I382" s="7" t="s">
        <v>147</v>
      </c>
      <c r="J382" s="12">
        <v>8639</v>
      </c>
      <c r="K382" s="11">
        <f t="shared" si="16"/>
        <v>8639</v>
      </c>
      <c r="L382" s="7" t="s">
        <v>644</v>
      </c>
      <c r="M382" s="15">
        <f t="shared" si="17"/>
        <v>1406</v>
      </c>
      <c r="N382" t="str">
        <f>IF(match_results!C382="完全一致","〇","×")</f>
        <v>×</v>
      </c>
    </row>
    <row r="383" spans="1:14" x14ac:dyDescent="0.15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15"/>
        <v>100</v>
      </c>
      <c r="I383" s="7" t="s">
        <v>13</v>
      </c>
      <c r="J383" s="10">
        <v>857</v>
      </c>
      <c r="K383" s="11">
        <f t="shared" si="16"/>
        <v>8.57</v>
      </c>
      <c r="L383" s="7" t="s">
        <v>682</v>
      </c>
      <c r="M383" s="15">
        <f t="shared" si="17"/>
        <v>0.92999999999999972</v>
      </c>
      <c r="N383" t="str">
        <f>IF(match_results!C383="完全一致","〇","×")</f>
        <v>×</v>
      </c>
    </row>
    <row r="384" spans="1:14" x14ac:dyDescent="0.15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15"/>
        <v>100</v>
      </c>
      <c r="I384" s="7" t="s">
        <v>13</v>
      </c>
      <c r="J384" s="10">
        <v>857</v>
      </c>
      <c r="K384" s="11">
        <f t="shared" si="16"/>
        <v>8.57</v>
      </c>
      <c r="L384" s="7" t="s">
        <v>682</v>
      </c>
      <c r="M384" s="15">
        <f t="shared" si="17"/>
        <v>0.92999999999999972</v>
      </c>
      <c r="N384" t="str">
        <f>IF(match_results!C384="完全一致","〇","×")</f>
        <v>〇</v>
      </c>
    </row>
    <row r="385" spans="1:14" x14ac:dyDescent="0.15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15"/>
        <v>100</v>
      </c>
      <c r="I385" s="7" t="s">
        <v>38</v>
      </c>
      <c r="J385" s="10">
        <v>905</v>
      </c>
      <c r="K385" s="11">
        <f t="shared" si="16"/>
        <v>9.0500000000000007</v>
      </c>
      <c r="L385" s="7" t="s">
        <v>72</v>
      </c>
      <c r="M385" s="15">
        <f t="shared" si="17"/>
        <v>1.3499999999999996</v>
      </c>
      <c r="N385" t="str">
        <f>IF(match_results!C385="完全一致","〇","×")</f>
        <v>〇</v>
      </c>
    </row>
    <row r="386" spans="1:14" x14ac:dyDescent="0.15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18">G386/F386</f>
        <v>300</v>
      </c>
      <c r="I386" s="7" t="s">
        <v>38</v>
      </c>
      <c r="J386" s="10">
        <v>2715</v>
      </c>
      <c r="K386" s="11">
        <f t="shared" ref="K386:K448" si="19">J386/H386</f>
        <v>9.0500000000000007</v>
      </c>
      <c r="L386" s="7" t="s">
        <v>72</v>
      </c>
      <c r="M386" s="15">
        <f t="shared" si="17"/>
        <v>1.3499999999999996</v>
      </c>
      <c r="N386" t="str">
        <f>IF(match_results!C386="完全一致","〇","×")</f>
        <v>〇</v>
      </c>
    </row>
    <row r="387" spans="1:14" x14ac:dyDescent="0.15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18"/>
        <v>250</v>
      </c>
      <c r="I387" s="7" t="s">
        <v>13</v>
      </c>
      <c r="J387" s="10">
        <v>6169</v>
      </c>
      <c r="K387" s="11">
        <f t="shared" si="19"/>
        <v>24.675999999999998</v>
      </c>
      <c r="L387" s="7" t="s">
        <v>128</v>
      </c>
      <c r="M387" s="15">
        <f t="shared" ref="M387:M450" si="20">F387-K387</f>
        <v>3.0240000000000009</v>
      </c>
      <c r="N387" t="str">
        <f>IF(match_results!C387="完全一致","〇","×")</f>
        <v>〇</v>
      </c>
    </row>
    <row r="388" spans="1:14" x14ac:dyDescent="0.15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18"/>
        <v>500</v>
      </c>
      <c r="I388" s="7" t="s">
        <v>13</v>
      </c>
      <c r="J388" s="10">
        <v>12338</v>
      </c>
      <c r="K388" s="11">
        <f t="shared" si="19"/>
        <v>24.675999999999998</v>
      </c>
      <c r="L388" s="7" t="s">
        <v>128</v>
      </c>
      <c r="M388" s="15">
        <f t="shared" si="20"/>
        <v>3.0240000000000009</v>
      </c>
      <c r="N388" t="str">
        <f>IF(match_results!C388="完全一致","〇","×")</f>
        <v>〇</v>
      </c>
    </row>
    <row r="389" spans="1:14" x14ac:dyDescent="0.15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18"/>
        <v>50</v>
      </c>
      <c r="I389" s="7" t="s">
        <v>13</v>
      </c>
      <c r="J389" s="12">
        <v>621</v>
      </c>
      <c r="K389" s="11">
        <f t="shared" si="19"/>
        <v>12.42</v>
      </c>
      <c r="L389" s="7" t="s">
        <v>128</v>
      </c>
      <c r="M389" s="15">
        <f t="shared" si="20"/>
        <v>2.1799999999999997</v>
      </c>
      <c r="N389" t="str">
        <f>IF(match_results!C389="完全一致","〇","×")</f>
        <v>×</v>
      </c>
    </row>
    <row r="390" spans="1:14" x14ac:dyDescent="0.15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18"/>
        <v>100</v>
      </c>
      <c r="I390" s="7" t="s">
        <v>38</v>
      </c>
      <c r="J390" s="10">
        <v>648</v>
      </c>
      <c r="K390" s="11">
        <f t="shared" si="19"/>
        <v>6.48</v>
      </c>
      <c r="L390" s="7" t="s">
        <v>154</v>
      </c>
      <c r="M390" s="15">
        <f t="shared" si="20"/>
        <v>0.71999999999999975</v>
      </c>
      <c r="N390" t="str">
        <f>IF(match_results!C390="完全一致","〇","×")</f>
        <v>〇</v>
      </c>
    </row>
    <row r="391" spans="1:14" x14ac:dyDescent="0.15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18"/>
        <v>800</v>
      </c>
      <c r="I391" s="7" t="s">
        <v>13</v>
      </c>
      <c r="J391" s="10">
        <v>4630</v>
      </c>
      <c r="K391" s="11">
        <f t="shared" si="19"/>
        <v>5.7874999999999996</v>
      </c>
      <c r="L391" s="7" t="s">
        <v>694</v>
      </c>
      <c r="M391" s="15">
        <f t="shared" si="20"/>
        <v>0.71250000000000036</v>
      </c>
      <c r="N391" t="str">
        <f>IF(match_results!C391="完全一致","〇","×")</f>
        <v>〇</v>
      </c>
    </row>
    <row r="392" spans="1:14" x14ac:dyDescent="0.15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18"/>
        <v>140</v>
      </c>
      <c r="I392" s="7" t="s">
        <v>38</v>
      </c>
      <c r="J392" s="10">
        <v>7770</v>
      </c>
      <c r="K392" s="11">
        <f t="shared" si="19"/>
        <v>55.5</v>
      </c>
      <c r="L392" s="7" t="s">
        <v>224</v>
      </c>
      <c r="M392" s="15">
        <f t="shared" si="20"/>
        <v>17.599999999999994</v>
      </c>
      <c r="N392" t="str">
        <f>IF(match_results!C392="完全一致","〇","×")</f>
        <v>〇</v>
      </c>
    </row>
    <row r="393" spans="1:14" x14ac:dyDescent="0.15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18"/>
        <v>100.00000000000001</v>
      </c>
      <c r="I393" s="7" t="s">
        <v>38</v>
      </c>
      <c r="J393" s="10">
        <v>5550</v>
      </c>
      <c r="K393" s="11">
        <f t="shared" si="19"/>
        <v>55.499999999999993</v>
      </c>
      <c r="L393" s="7" t="s">
        <v>224</v>
      </c>
      <c r="M393" s="15">
        <f t="shared" si="20"/>
        <v>17.600000000000001</v>
      </c>
      <c r="N393" t="str">
        <f>IF(match_results!C393="完全一致","〇","×")</f>
        <v>〇</v>
      </c>
    </row>
    <row r="394" spans="1:14" x14ac:dyDescent="0.15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18"/>
        <v>27.999999999999996</v>
      </c>
      <c r="I394" s="7" t="s">
        <v>38</v>
      </c>
      <c r="J394" s="10">
        <v>616</v>
      </c>
      <c r="K394" s="11">
        <f t="shared" si="19"/>
        <v>22.000000000000004</v>
      </c>
      <c r="L394" s="7" t="s">
        <v>224</v>
      </c>
      <c r="M394" s="15">
        <f t="shared" si="20"/>
        <v>7.0999999999999979</v>
      </c>
      <c r="N394" t="str">
        <f>IF(match_results!C394="完全一致","〇","×")</f>
        <v>〇</v>
      </c>
    </row>
    <row r="395" spans="1:14" x14ac:dyDescent="0.15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18"/>
        <v>100</v>
      </c>
      <c r="I395" s="7" t="s">
        <v>38</v>
      </c>
      <c r="J395" s="10">
        <v>2207</v>
      </c>
      <c r="K395" s="11">
        <f t="shared" si="19"/>
        <v>22.07</v>
      </c>
      <c r="L395" s="7" t="s">
        <v>224</v>
      </c>
      <c r="M395" s="15">
        <f t="shared" si="20"/>
        <v>7.0300000000000011</v>
      </c>
      <c r="N395" t="str">
        <f>IF(match_results!C395="完全一致","〇","×")</f>
        <v>〇</v>
      </c>
    </row>
    <row r="396" spans="1:14" x14ac:dyDescent="0.15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18"/>
        <v>140</v>
      </c>
      <c r="I396" s="7" t="s">
        <v>38</v>
      </c>
      <c r="J396" s="10">
        <v>4585</v>
      </c>
      <c r="K396" s="11">
        <f t="shared" si="19"/>
        <v>32.75</v>
      </c>
      <c r="L396" s="7" t="s">
        <v>224</v>
      </c>
      <c r="M396" s="15">
        <f t="shared" si="20"/>
        <v>10.649999999999999</v>
      </c>
      <c r="N396" t="str">
        <f>IF(match_results!C396="完全一致","〇","×")</f>
        <v>〇</v>
      </c>
    </row>
    <row r="397" spans="1:14" x14ac:dyDescent="0.15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18"/>
        <v>100</v>
      </c>
      <c r="I397" s="7" t="s">
        <v>38</v>
      </c>
      <c r="J397" s="10">
        <v>3275</v>
      </c>
      <c r="K397" s="11">
        <f t="shared" si="19"/>
        <v>32.75</v>
      </c>
      <c r="L397" s="7" t="s">
        <v>224</v>
      </c>
      <c r="M397" s="15">
        <f t="shared" si="20"/>
        <v>10.649999999999999</v>
      </c>
      <c r="N397" t="str">
        <f>IF(match_results!C397="完全一致","〇","×")</f>
        <v>〇</v>
      </c>
    </row>
    <row r="398" spans="1:14" x14ac:dyDescent="0.15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18"/>
        <v>10</v>
      </c>
      <c r="I398" s="7" t="s">
        <v>88</v>
      </c>
      <c r="J398" s="12">
        <v>3051</v>
      </c>
      <c r="K398" s="11">
        <f t="shared" si="19"/>
        <v>305.10000000000002</v>
      </c>
      <c r="L398" s="7" t="s">
        <v>85</v>
      </c>
      <c r="M398" s="15">
        <f t="shared" si="20"/>
        <v>33.899999999999977</v>
      </c>
      <c r="N398" t="str">
        <f>IF(match_results!C398="完全一致","〇","×")</f>
        <v>〇</v>
      </c>
    </row>
    <row r="399" spans="1:14" x14ac:dyDescent="0.15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18"/>
        <v>10</v>
      </c>
      <c r="I399" s="7" t="s">
        <v>88</v>
      </c>
      <c r="J399" s="12">
        <v>1300</v>
      </c>
      <c r="K399" s="11">
        <f t="shared" si="19"/>
        <v>130</v>
      </c>
      <c r="L399" s="7" t="s">
        <v>341</v>
      </c>
      <c r="M399" s="15">
        <f t="shared" si="20"/>
        <v>16</v>
      </c>
      <c r="N399" t="str">
        <f>IF(match_results!C399="完全一致","〇","×")</f>
        <v>〇</v>
      </c>
    </row>
    <row r="400" spans="1:14" x14ac:dyDescent="0.15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18"/>
        <v>100</v>
      </c>
      <c r="I400" s="7" t="s">
        <v>38</v>
      </c>
      <c r="J400" s="10">
        <v>2600</v>
      </c>
      <c r="K400" s="11">
        <f t="shared" si="19"/>
        <v>26</v>
      </c>
      <c r="L400" s="7" t="s">
        <v>251</v>
      </c>
      <c r="M400" s="15">
        <f t="shared" si="20"/>
        <v>3.6999999999999993</v>
      </c>
      <c r="N400" t="str">
        <f>IF(match_results!C400="完全一致","〇","×")</f>
        <v>〇</v>
      </c>
    </row>
    <row r="401" spans="1:14" x14ac:dyDescent="0.15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18"/>
        <v>99.999999999999986</v>
      </c>
      <c r="I401" s="7" t="s">
        <v>38</v>
      </c>
      <c r="J401" s="10">
        <v>2913</v>
      </c>
      <c r="K401" s="11">
        <f t="shared" si="19"/>
        <v>29.130000000000003</v>
      </c>
      <c r="L401" s="7" t="s">
        <v>85</v>
      </c>
      <c r="M401" s="15">
        <f t="shared" si="20"/>
        <v>3.5700000000000003</v>
      </c>
      <c r="N401" t="str">
        <f>IF(match_results!C401="完全一致","〇","×")</f>
        <v>〇</v>
      </c>
    </row>
    <row r="402" spans="1:14" x14ac:dyDescent="0.15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18"/>
        <v>300</v>
      </c>
      <c r="I402" s="7" t="s">
        <v>38</v>
      </c>
      <c r="J402" s="10">
        <v>2636</v>
      </c>
      <c r="K402" s="11">
        <f t="shared" si="19"/>
        <v>8.7866666666666671</v>
      </c>
      <c r="L402" s="7" t="s">
        <v>185</v>
      </c>
      <c r="M402" s="15">
        <f t="shared" si="20"/>
        <v>1.3133333333333326</v>
      </c>
      <c r="N402" t="str">
        <f>IF(match_results!C402="完全一致","〇","×")</f>
        <v>〇</v>
      </c>
    </row>
    <row r="403" spans="1:14" x14ac:dyDescent="0.15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18"/>
        <v>100</v>
      </c>
      <c r="I403" s="7" t="s">
        <v>38</v>
      </c>
      <c r="J403" s="10">
        <v>544</v>
      </c>
      <c r="K403" s="11">
        <f t="shared" si="19"/>
        <v>5.44</v>
      </c>
      <c r="L403" s="7" t="s">
        <v>159</v>
      </c>
      <c r="M403" s="15">
        <f t="shared" si="20"/>
        <v>0.65999999999999925</v>
      </c>
      <c r="N403" t="str">
        <f>IF(match_results!C403="完全一致","〇","×")</f>
        <v>〇</v>
      </c>
    </row>
    <row r="404" spans="1:14" x14ac:dyDescent="0.15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18"/>
        <v>100</v>
      </c>
      <c r="I404" s="7" t="s">
        <v>38</v>
      </c>
      <c r="J404" s="10">
        <v>10255</v>
      </c>
      <c r="K404" s="11">
        <f t="shared" si="19"/>
        <v>102.55</v>
      </c>
      <c r="L404" s="7" t="s">
        <v>407</v>
      </c>
      <c r="M404" s="15">
        <f t="shared" si="20"/>
        <v>16.350000000000009</v>
      </c>
      <c r="N404" t="str">
        <f>IF(match_results!C404="完全一致","〇","×")</f>
        <v>〇</v>
      </c>
    </row>
    <row r="405" spans="1:14" x14ac:dyDescent="0.15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18"/>
        <v>100</v>
      </c>
      <c r="I405" s="7" t="s">
        <v>38</v>
      </c>
      <c r="J405" s="10">
        <v>543</v>
      </c>
      <c r="K405" s="11">
        <f t="shared" si="19"/>
        <v>5.43</v>
      </c>
      <c r="L405" s="7" t="s">
        <v>185</v>
      </c>
      <c r="M405" s="15">
        <f t="shared" si="20"/>
        <v>0.66999999999999993</v>
      </c>
      <c r="N405" t="str">
        <f>IF(match_results!C405="完全一致","〇","×")</f>
        <v>〇</v>
      </c>
    </row>
    <row r="406" spans="1:14" x14ac:dyDescent="0.15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18"/>
        <v>1000.0000000000001</v>
      </c>
      <c r="I406" s="7" t="s">
        <v>38</v>
      </c>
      <c r="J406" s="10">
        <v>5425</v>
      </c>
      <c r="K406" s="11">
        <f t="shared" si="19"/>
        <v>5.4249999999999998</v>
      </c>
      <c r="L406" s="7" t="s">
        <v>185</v>
      </c>
      <c r="M406" s="15">
        <f t="shared" si="20"/>
        <v>0.67499999999999982</v>
      </c>
      <c r="N406" t="str">
        <f>IF(match_results!C406="完全一致","〇","×")</f>
        <v>〇</v>
      </c>
    </row>
    <row r="407" spans="1:14" x14ac:dyDescent="0.15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18"/>
        <v>100</v>
      </c>
      <c r="I407" s="7" t="s">
        <v>38</v>
      </c>
      <c r="J407" s="10">
        <v>1386</v>
      </c>
      <c r="K407" s="11">
        <f t="shared" si="19"/>
        <v>13.86</v>
      </c>
      <c r="L407" s="7" t="s">
        <v>154</v>
      </c>
      <c r="M407" s="15">
        <f t="shared" si="20"/>
        <v>3.1400000000000006</v>
      </c>
      <c r="N407" t="str">
        <f>IF(match_results!C407="完全一致","〇","×")</f>
        <v>〇</v>
      </c>
    </row>
    <row r="408" spans="1:14" x14ac:dyDescent="0.15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18"/>
        <v>100</v>
      </c>
      <c r="I408" s="7" t="s">
        <v>57</v>
      </c>
      <c r="J408" s="10">
        <v>927</v>
      </c>
      <c r="K408" s="11">
        <f t="shared" si="19"/>
        <v>9.27</v>
      </c>
      <c r="L408" s="7" t="s">
        <v>172</v>
      </c>
      <c r="M408" s="15">
        <f t="shared" si="20"/>
        <v>1.1300000000000008</v>
      </c>
      <c r="N408" t="str">
        <f>IF(match_results!C408="完全一致","〇","×")</f>
        <v>×</v>
      </c>
    </row>
    <row r="409" spans="1:14" x14ac:dyDescent="0.15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18"/>
        <v>10</v>
      </c>
      <c r="I409" s="7" t="s">
        <v>88</v>
      </c>
      <c r="J409" s="10">
        <v>891</v>
      </c>
      <c r="K409" s="11">
        <f t="shared" si="19"/>
        <v>89.1</v>
      </c>
      <c r="L409" s="7" t="s">
        <v>172</v>
      </c>
      <c r="M409" s="15">
        <f t="shared" si="20"/>
        <v>10.900000000000006</v>
      </c>
      <c r="N409" t="str">
        <f>IF(match_results!C409="完全一致","〇","×")</f>
        <v>×</v>
      </c>
    </row>
    <row r="410" spans="1:14" x14ac:dyDescent="0.15">
      <c r="A410" s="6" t="s">
        <v>1233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18"/>
        <v>100</v>
      </c>
      <c r="I410" s="7" t="s">
        <v>38</v>
      </c>
      <c r="J410" s="10">
        <v>536</v>
      </c>
      <c r="K410" s="11">
        <f t="shared" si="19"/>
        <v>5.36</v>
      </c>
      <c r="L410" s="7" t="s">
        <v>303</v>
      </c>
      <c r="M410" s="15">
        <f t="shared" si="20"/>
        <v>0.54</v>
      </c>
      <c r="N410" t="str">
        <f>IF(match_results!C410="完全一致","〇","×")</f>
        <v>×</v>
      </c>
    </row>
    <row r="411" spans="1:14" x14ac:dyDescent="0.15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18"/>
        <v>100</v>
      </c>
      <c r="I411" s="7" t="s">
        <v>38</v>
      </c>
      <c r="J411" s="10">
        <v>554</v>
      </c>
      <c r="K411" s="11">
        <f t="shared" si="19"/>
        <v>5.54</v>
      </c>
      <c r="L411" s="7" t="s">
        <v>303</v>
      </c>
      <c r="M411" s="15">
        <f t="shared" si="20"/>
        <v>0.55999999999999961</v>
      </c>
      <c r="N411" t="str">
        <f>IF(match_results!C411="完全一致","〇","×")</f>
        <v>×</v>
      </c>
    </row>
    <row r="412" spans="1:14" x14ac:dyDescent="0.15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18"/>
        <v>100</v>
      </c>
      <c r="I412" s="7" t="s">
        <v>38</v>
      </c>
      <c r="J412" s="10">
        <v>543</v>
      </c>
      <c r="K412" s="11">
        <f t="shared" si="19"/>
        <v>5.43</v>
      </c>
      <c r="L412" s="7" t="s">
        <v>303</v>
      </c>
      <c r="M412" s="15">
        <f t="shared" si="20"/>
        <v>0.66999999999999993</v>
      </c>
      <c r="N412" t="str">
        <f>IF(match_results!C412="完全一致","〇","×")</f>
        <v>×</v>
      </c>
    </row>
    <row r="413" spans="1:14" x14ac:dyDescent="0.15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18"/>
        <v>100</v>
      </c>
      <c r="I413" s="7" t="s">
        <v>38</v>
      </c>
      <c r="J413" s="10">
        <v>900</v>
      </c>
      <c r="K413" s="11">
        <f t="shared" si="19"/>
        <v>9</v>
      </c>
      <c r="L413" s="7" t="s">
        <v>185</v>
      </c>
      <c r="M413" s="15">
        <f t="shared" si="20"/>
        <v>1.0999999999999996</v>
      </c>
      <c r="N413" t="str">
        <f>IF(match_results!C413="完全一致","〇","×")</f>
        <v>〇</v>
      </c>
    </row>
    <row r="414" spans="1:14" x14ac:dyDescent="0.15">
      <c r="A414" s="6" t="s">
        <v>1232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18"/>
        <v>20</v>
      </c>
      <c r="I414" s="7" t="s">
        <v>97</v>
      </c>
      <c r="J414" s="10">
        <v>4560</v>
      </c>
      <c r="K414" s="11">
        <f t="shared" si="19"/>
        <v>228</v>
      </c>
      <c r="L414" s="7" t="s">
        <v>98</v>
      </c>
      <c r="M414" s="15">
        <f t="shared" si="20"/>
        <v>28</v>
      </c>
      <c r="N414" t="str">
        <f>IF(match_results!C414="完全一致","〇","×")</f>
        <v>×</v>
      </c>
    </row>
    <row r="415" spans="1:14" x14ac:dyDescent="0.15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18"/>
        <v>100</v>
      </c>
      <c r="I415" s="7" t="s">
        <v>38</v>
      </c>
      <c r="J415" s="10">
        <v>802</v>
      </c>
      <c r="K415" s="11">
        <f t="shared" si="19"/>
        <v>8.02</v>
      </c>
      <c r="L415" s="7" t="s">
        <v>85</v>
      </c>
      <c r="M415" s="15">
        <f t="shared" si="20"/>
        <v>0.98000000000000043</v>
      </c>
      <c r="N415" t="str">
        <f>IF(match_results!C415="完全一致","〇","×")</f>
        <v>×</v>
      </c>
    </row>
    <row r="416" spans="1:14" x14ac:dyDescent="0.15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18"/>
        <v>1200</v>
      </c>
      <c r="I416" s="7" t="s">
        <v>38</v>
      </c>
      <c r="J416" s="10">
        <v>9621</v>
      </c>
      <c r="K416" s="11">
        <f t="shared" si="19"/>
        <v>8.0175000000000001</v>
      </c>
      <c r="L416" s="7" t="s">
        <v>85</v>
      </c>
      <c r="M416" s="15">
        <f t="shared" si="20"/>
        <v>0.98249999999999993</v>
      </c>
      <c r="N416" t="str">
        <f>IF(match_results!C416="完全一致","〇","×")</f>
        <v>×</v>
      </c>
    </row>
    <row r="417" spans="1:14" x14ac:dyDescent="0.15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18"/>
        <v>1000.0000000000001</v>
      </c>
      <c r="I417" s="7" t="s">
        <v>38</v>
      </c>
      <c r="J417" s="10">
        <v>5440</v>
      </c>
      <c r="K417" s="11">
        <f t="shared" si="19"/>
        <v>5.4399999999999995</v>
      </c>
      <c r="L417" s="7" t="s">
        <v>63</v>
      </c>
      <c r="M417" s="15">
        <f t="shared" si="20"/>
        <v>0.66000000000000014</v>
      </c>
      <c r="N417" t="str">
        <f>IF(match_results!C417="完全一致","〇","×")</f>
        <v>〇</v>
      </c>
    </row>
    <row r="418" spans="1:14" x14ac:dyDescent="0.15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18"/>
        <v>100</v>
      </c>
      <c r="I418" s="7" t="s">
        <v>38</v>
      </c>
      <c r="J418" s="10">
        <v>14387</v>
      </c>
      <c r="K418" s="11">
        <f t="shared" si="19"/>
        <v>143.87</v>
      </c>
      <c r="L418" s="7" t="s">
        <v>185</v>
      </c>
      <c r="M418" s="15">
        <f t="shared" si="20"/>
        <v>17.829999999999984</v>
      </c>
      <c r="N418" t="str">
        <f>IF(match_results!C418="完全一致","〇","×")</f>
        <v>〇</v>
      </c>
    </row>
    <row r="419" spans="1:14" x14ac:dyDescent="0.15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18"/>
        <v>20</v>
      </c>
      <c r="I419" s="7" t="s">
        <v>38</v>
      </c>
      <c r="J419" s="10">
        <v>4388</v>
      </c>
      <c r="K419" s="11">
        <f t="shared" si="19"/>
        <v>219.4</v>
      </c>
      <c r="L419" s="7" t="s">
        <v>159</v>
      </c>
      <c r="M419" s="15">
        <f t="shared" si="20"/>
        <v>89.6</v>
      </c>
      <c r="N419" t="str">
        <f>IF(match_results!C419="完全一致","〇","×")</f>
        <v>〇</v>
      </c>
    </row>
    <row r="420" spans="1:14" x14ac:dyDescent="0.15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18"/>
        <v>10</v>
      </c>
      <c r="I420" s="7" t="s">
        <v>88</v>
      </c>
      <c r="J420" s="12">
        <v>984</v>
      </c>
      <c r="K420" s="11">
        <f t="shared" si="19"/>
        <v>98.4</v>
      </c>
      <c r="L420" s="7" t="s">
        <v>303</v>
      </c>
      <c r="M420" s="15">
        <f t="shared" si="20"/>
        <v>16.599999999999994</v>
      </c>
      <c r="N420" t="str">
        <f>IF(match_results!C420="完全一致","〇","×")</f>
        <v>〇</v>
      </c>
    </row>
    <row r="421" spans="1:14" x14ac:dyDescent="0.15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18"/>
        <v>2</v>
      </c>
      <c r="I421" s="7" t="s">
        <v>80</v>
      </c>
      <c r="J421" s="10">
        <v>4874</v>
      </c>
      <c r="K421" s="11">
        <f t="shared" si="19"/>
        <v>2437</v>
      </c>
      <c r="L421" s="7" t="s">
        <v>81</v>
      </c>
      <c r="M421" s="15">
        <f t="shared" si="20"/>
        <v>312</v>
      </c>
      <c r="N421" t="str">
        <f>IF(match_results!C421="完全一致","〇","×")</f>
        <v>〇</v>
      </c>
    </row>
    <row r="422" spans="1:14" x14ac:dyDescent="0.15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18"/>
        <v>2</v>
      </c>
      <c r="I422" s="7" t="s">
        <v>206</v>
      </c>
      <c r="J422" s="10">
        <v>3263</v>
      </c>
      <c r="K422" s="11">
        <f t="shared" si="19"/>
        <v>1631.5</v>
      </c>
      <c r="L422" s="7" t="s">
        <v>81</v>
      </c>
      <c r="M422" s="15">
        <f t="shared" si="20"/>
        <v>209.5</v>
      </c>
      <c r="N422" t="str">
        <f>IF(match_results!C422="完全一致","〇","×")</f>
        <v>×</v>
      </c>
    </row>
    <row r="423" spans="1:14" x14ac:dyDescent="0.15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18"/>
        <v>100.00000000000001</v>
      </c>
      <c r="I423" s="7" t="s">
        <v>38</v>
      </c>
      <c r="J423" s="10">
        <v>793</v>
      </c>
      <c r="K423" s="11">
        <f t="shared" si="19"/>
        <v>7.9299999999999988</v>
      </c>
      <c r="L423" s="7" t="s">
        <v>185</v>
      </c>
      <c r="M423" s="15">
        <f t="shared" si="20"/>
        <v>1.2700000000000005</v>
      </c>
      <c r="N423" t="str">
        <f>IF(match_results!C423="完全一致","〇","×")</f>
        <v>×</v>
      </c>
    </row>
    <row r="424" spans="1:14" x14ac:dyDescent="0.15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18"/>
        <v>100</v>
      </c>
      <c r="I424" s="7" t="s">
        <v>38</v>
      </c>
      <c r="J424" s="10">
        <v>1105</v>
      </c>
      <c r="K424" s="11">
        <f t="shared" si="19"/>
        <v>11.05</v>
      </c>
      <c r="L424" s="7" t="s">
        <v>185</v>
      </c>
      <c r="M424" s="15">
        <f t="shared" si="20"/>
        <v>1.75</v>
      </c>
      <c r="N424" t="str">
        <f>IF(match_results!C424="完全一致","〇","×")</f>
        <v>×</v>
      </c>
    </row>
    <row r="425" spans="1:14" x14ac:dyDescent="0.15">
      <c r="A425" s="6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18"/>
        <v>100</v>
      </c>
      <c r="I425" s="7" t="s">
        <v>38</v>
      </c>
      <c r="J425" s="12">
        <v>4427</v>
      </c>
      <c r="K425" s="11">
        <f t="shared" si="19"/>
        <v>44.27</v>
      </c>
      <c r="L425" s="7" t="s">
        <v>85</v>
      </c>
      <c r="M425" s="15">
        <f t="shared" si="20"/>
        <v>5.43</v>
      </c>
      <c r="N425" t="str">
        <f>IF(match_results!C425="完全一致","〇","×")</f>
        <v>×</v>
      </c>
    </row>
    <row r="426" spans="1:14" x14ac:dyDescent="0.15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18"/>
        <v>1000.0000000000001</v>
      </c>
      <c r="I426" s="7" t="s">
        <v>38</v>
      </c>
      <c r="J426" s="10">
        <v>5190</v>
      </c>
      <c r="K426" s="11">
        <f t="shared" si="19"/>
        <v>5.1899999999999995</v>
      </c>
      <c r="L426" s="7" t="s">
        <v>63</v>
      </c>
      <c r="M426" s="15">
        <f t="shared" si="20"/>
        <v>0.91000000000000014</v>
      </c>
      <c r="N426" t="str">
        <f>IF(match_results!C426="完全一致","〇","×")</f>
        <v>〇</v>
      </c>
    </row>
    <row r="427" spans="1:14" x14ac:dyDescent="0.15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18"/>
        <v>20</v>
      </c>
      <c r="I427" s="7" t="s">
        <v>169</v>
      </c>
      <c r="J427" s="10">
        <v>1363</v>
      </c>
      <c r="K427" s="11">
        <f t="shared" si="19"/>
        <v>68.150000000000006</v>
      </c>
      <c r="L427" s="7" t="s">
        <v>63</v>
      </c>
      <c r="M427" s="15">
        <f t="shared" si="20"/>
        <v>8.3499999999999943</v>
      </c>
      <c r="N427" t="str">
        <f>IF(match_results!C427="完全一致","〇","×")</f>
        <v>〇</v>
      </c>
    </row>
    <row r="428" spans="1:14" x14ac:dyDescent="0.15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18"/>
        <v>100</v>
      </c>
      <c r="I428" s="7" t="s">
        <v>38</v>
      </c>
      <c r="J428" s="10">
        <v>920</v>
      </c>
      <c r="K428" s="11">
        <f t="shared" si="19"/>
        <v>9.1999999999999993</v>
      </c>
      <c r="L428" s="7" t="s">
        <v>72</v>
      </c>
      <c r="M428" s="15">
        <f t="shared" si="20"/>
        <v>1.2000000000000011</v>
      </c>
      <c r="N428" t="str">
        <f>IF(match_results!C428="完全一致","〇","×")</f>
        <v>〇</v>
      </c>
    </row>
    <row r="429" spans="1:14" x14ac:dyDescent="0.15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18"/>
        <v>1000.0000000000001</v>
      </c>
      <c r="I429" s="7" t="s">
        <v>38</v>
      </c>
      <c r="J429" s="12">
        <v>5429</v>
      </c>
      <c r="K429" s="11">
        <f t="shared" si="19"/>
        <v>5.4289999999999994</v>
      </c>
      <c r="L429" s="7" t="s">
        <v>163</v>
      </c>
      <c r="M429" s="15">
        <f t="shared" si="20"/>
        <v>0.67100000000000026</v>
      </c>
      <c r="N429" t="str">
        <f>IF(match_results!C429="完全一致","〇","×")</f>
        <v>×</v>
      </c>
    </row>
    <row r="430" spans="1:14" x14ac:dyDescent="0.15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18"/>
        <v>1000</v>
      </c>
      <c r="I430" s="7" t="s">
        <v>38</v>
      </c>
      <c r="J430" s="10">
        <v>8790</v>
      </c>
      <c r="K430" s="11">
        <f t="shared" si="19"/>
        <v>8.7899999999999991</v>
      </c>
      <c r="L430" s="7" t="s">
        <v>348</v>
      </c>
      <c r="M430" s="15">
        <f t="shared" si="20"/>
        <v>1.3100000000000005</v>
      </c>
      <c r="N430" t="str">
        <f>IF(match_results!C430="完全一致","〇","×")</f>
        <v>〇</v>
      </c>
    </row>
    <row r="431" spans="1:14" x14ac:dyDescent="0.15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18"/>
        <v>200</v>
      </c>
      <c r="I431" s="7" t="s">
        <v>13</v>
      </c>
      <c r="J431" s="10">
        <v>2905</v>
      </c>
      <c r="K431" s="11">
        <f t="shared" si="19"/>
        <v>14.525</v>
      </c>
      <c r="L431" s="7" t="s">
        <v>682</v>
      </c>
      <c r="M431" s="15">
        <f t="shared" si="20"/>
        <v>1.4749999999999996</v>
      </c>
      <c r="N431" t="str">
        <f>IF(match_results!C431="完全一致","〇","×")</f>
        <v>×</v>
      </c>
    </row>
    <row r="432" spans="1:14" x14ac:dyDescent="0.15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18"/>
        <v>100</v>
      </c>
      <c r="I432" s="7" t="s">
        <v>13</v>
      </c>
      <c r="J432" s="10">
        <v>2009</v>
      </c>
      <c r="K432" s="11">
        <f t="shared" si="19"/>
        <v>20.09</v>
      </c>
      <c r="L432" s="7" t="s">
        <v>682</v>
      </c>
      <c r="M432" s="15">
        <f t="shared" si="20"/>
        <v>2.0100000000000016</v>
      </c>
      <c r="N432" t="str">
        <f>IF(match_results!C432="完全一致","〇","×")</f>
        <v>〇</v>
      </c>
    </row>
    <row r="433" spans="1:14" x14ac:dyDescent="0.15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18"/>
        <v>100</v>
      </c>
      <c r="I433" s="7" t="s">
        <v>38</v>
      </c>
      <c r="J433" s="10">
        <v>909</v>
      </c>
      <c r="K433" s="11">
        <f t="shared" si="19"/>
        <v>9.09</v>
      </c>
      <c r="L433" s="7" t="s">
        <v>163</v>
      </c>
      <c r="M433" s="15">
        <f t="shared" si="20"/>
        <v>0.91000000000000014</v>
      </c>
      <c r="N433" t="str">
        <f>IF(match_results!C433="完全一致","〇","×")</f>
        <v>〇</v>
      </c>
    </row>
    <row r="434" spans="1:14" x14ac:dyDescent="0.15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18"/>
        <v>99.999999999999986</v>
      </c>
      <c r="I434" s="7" t="s">
        <v>57</v>
      </c>
      <c r="J434" s="12">
        <v>749</v>
      </c>
      <c r="K434" s="11">
        <f t="shared" si="19"/>
        <v>7.4900000000000011</v>
      </c>
      <c r="L434" s="7" t="s">
        <v>163</v>
      </c>
      <c r="M434" s="15">
        <f t="shared" si="20"/>
        <v>0.80999999999999961</v>
      </c>
      <c r="N434" t="str">
        <f>IF(match_results!C434="完全一致","〇","×")</f>
        <v>〇</v>
      </c>
    </row>
    <row r="435" spans="1:14" x14ac:dyDescent="0.15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18"/>
        <v>27.999999999999996</v>
      </c>
      <c r="I435" s="7" t="s">
        <v>181</v>
      </c>
      <c r="J435" s="10">
        <v>7289</v>
      </c>
      <c r="K435" s="11">
        <f t="shared" si="19"/>
        <v>260.32142857142861</v>
      </c>
      <c r="L435" s="7" t="s">
        <v>85</v>
      </c>
      <c r="M435" s="15">
        <f t="shared" si="20"/>
        <v>35.778571428571411</v>
      </c>
      <c r="N435" t="str">
        <f>IF(match_results!C435="完全一致","〇","×")</f>
        <v>〇</v>
      </c>
    </row>
    <row r="436" spans="1:14" x14ac:dyDescent="0.15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18"/>
        <v>1</v>
      </c>
      <c r="I436" s="7" t="s">
        <v>80</v>
      </c>
      <c r="J436" s="12">
        <v>4185</v>
      </c>
      <c r="K436" s="11">
        <f t="shared" si="19"/>
        <v>4185</v>
      </c>
      <c r="L436" s="7" t="s">
        <v>294</v>
      </c>
      <c r="M436" s="15">
        <f t="shared" si="20"/>
        <v>550</v>
      </c>
      <c r="N436" t="str">
        <f>IF(match_results!C436="完全一致","〇","×")</f>
        <v>×</v>
      </c>
    </row>
    <row r="437" spans="1:14" x14ac:dyDescent="0.15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18"/>
        <v>1000</v>
      </c>
      <c r="I437" s="7" t="s">
        <v>38</v>
      </c>
      <c r="J437" s="10">
        <v>6090</v>
      </c>
      <c r="K437" s="11">
        <f t="shared" si="19"/>
        <v>6.09</v>
      </c>
      <c r="L437" s="7" t="s">
        <v>165</v>
      </c>
      <c r="M437" s="15">
        <f t="shared" si="20"/>
        <v>0.61000000000000032</v>
      </c>
      <c r="N437" t="str">
        <f>IF(match_results!C437="完全一致","〇","×")</f>
        <v>〇</v>
      </c>
    </row>
    <row r="438" spans="1:14" x14ac:dyDescent="0.15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18"/>
        <v>1000.0000000000001</v>
      </c>
      <c r="I438" s="7" t="s">
        <v>38</v>
      </c>
      <c r="J438" s="12">
        <v>5540</v>
      </c>
      <c r="K438" s="11">
        <f t="shared" si="19"/>
        <v>5.5399999999999991</v>
      </c>
      <c r="L438" s="7" t="s">
        <v>165</v>
      </c>
      <c r="M438" s="15">
        <f t="shared" si="20"/>
        <v>0.5600000000000005</v>
      </c>
      <c r="N438" t="str">
        <f>IF(match_results!C438="完全一致","〇","×")</f>
        <v>〇</v>
      </c>
    </row>
    <row r="439" spans="1:14" x14ac:dyDescent="0.15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18"/>
        <v>500</v>
      </c>
      <c r="I439" s="7" t="s">
        <v>38</v>
      </c>
      <c r="J439" s="12">
        <v>4554</v>
      </c>
      <c r="K439" s="11">
        <f t="shared" si="19"/>
        <v>9.1080000000000005</v>
      </c>
      <c r="L439" s="7" t="s">
        <v>163</v>
      </c>
      <c r="M439" s="15">
        <f t="shared" si="20"/>
        <v>0.9919999999999991</v>
      </c>
      <c r="N439" t="str">
        <f>IF(match_results!C439="完全一致","〇","×")</f>
        <v>×</v>
      </c>
    </row>
    <row r="440" spans="1:14" x14ac:dyDescent="0.15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18"/>
        <v>100</v>
      </c>
      <c r="I440" s="7" t="s">
        <v>38</v>
      </c>
      <c r="J440" s="10">
        <v>936</v>
      </c>
      <c r="K440" s="11">
        <f t="shared" si="19"/>
        <v>9.36</v>
      </c>
      <c r="L440" s="7" t="s">
        <v>163</v>
      </c>
      <c r="M440" s="15">
        <f t="shared" si="20"/>
        <v>1.0400000000000009</v>
      </c>
      <c r="N440" t="str">
        <f>IF(match_results!C440="完全一致","〇","×")</f>
        <v>〇</v>
      </c>
    </row>
    <row r="441" spans="1:14" x14ac:dyDescent="0.15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18"/>
        <v>84</v>
      </c>
      <c r="I441" s="7" t="s">
        <v>57</v>
      </c>
      <c r="J441" s="10">
        <v>60976</v>
      </c>
      <c r="K441" s="11">
        <f t="shared" si="19"/>
        <v>725.90476190476193</v>
      </c>
      <c r="L441" s="7" t="s">
        <v>333</v>
      </c>
      <c r="M441" s="15">
        <f t="shared" si="20"/>
        <v>88.895238095238028</v>
      </c>
      <c r="N441" t="str">
        <f>IF(match_results!C441="完全一致","〇","×")</f>
        <v>×</v>
      </c>
    </row>
    <row r="442" spans="1:14" x14ac:dyDescent="0.15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18"/>
        <v>1000</v>
      </c>
      <c r="I442" s="7" t="s">
        <v>38</v>
      </c>
      <c r="J442" s="10">
        <v>12789</v>
      </c>
      <c r="K442" s="11">
        <f t="shared" si="19"/>
        <v>12.789</v>
      </c>
      <c r="L442" s="7" t="s">
        <v>85</v>
      </c>
      <c r="M442" s="15">
        <f t="shared" si="20"/>
        <v>1.9109999999999996</v>
      </c>
      <c r="N442" t="str">
        <f>IF(match_results!C442="完全一致","〇","×")</f>
        <v>〇</v>
      </c>
    </row>
    <row r="443" spans="1:14" x14ac:dyDescent="0.15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18"/>
        <v>50</v>
      </c>
      <c r="I443" s="7" t="s">
        <v>88</v>
      </c>
      <c r="J443" s="10">
        <v>2717</v>
      </c>
      <c r="K443" s="11">
        <f t="shared" si="19"/>
        <v>54.34</v>
      </c>
      <c r="L443" s="7" t="s">
        <v>423</v>
      </c>
      <c r="M443" s="15">
        <f t="shared" si="20"/>
        <v>6.6599999999999966</v>
      </c>
      <c r="N443" t="str">
        <f>IF(match_results!C443="完全一致","〇","×")</f>
        <v>×</v>
      </c>
    </row>
    <row r="444" spans="1:14" x14ac:dyDescent="0.15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18"/>
        <v>10</v>
      </c>
      <c r="I444" s="7" t="s">
        <v>486</v>
      </c>
      <c r="J444" s="12">
        <v>877</v>
      </c>
      <c r="K444" s="11">
        <f t="shared" si="19"/>
        <v>87.7</v>
      </c>
      <c r="L444" s="7" t="s">
        <v>341</v>
      </c>
      <c r="M444" s="15">
        <f t="shared" si="20"/>
        <v>12.299999999999997</v>
      </c>
      <c r="N444" t="str">
        <f>IF(match_results!C444="完全一致","〇","×")</f>
        <v>〇</v>
      </c>
    </row>
    <row r="445" spans="1:14" s="29" customFormat="1" x14ac:dyDescent="0.15">
      <c r="A445" s="34" t="s">
        <v>761</v>
      </c>
      <c r="B445" s="34" t="s">
        <v>44</v>
      </c>
      <c r="C445" s="35" t="s">
        <v>10</v>
      </c>
      <c r="D445" s="34" t="s">
        <v>762</v>
      </c>
      <c r="E445" s="34" t="s">
        <v>104</v>
      </c>
      <c r="F445" s="36">
        <v>41</v>
      </c>
      <c r="G445" s="36">
        <v>1230</v>
      </c>
      <c r="H445" s="37">
        <f t="shared" si="18"/>
        <v>30</v>
      </c>
      <c r="I445" s="35" t="s">
        <v>13</v>
      </c>
      <c r="J445" s="38">
        <v>1066</v>
      </c>
      <c r="K445" s="39">
        <f t="shared" si="19"/>
        <v>35.533333333333331</v>
      </c>
      <c r="L445" s="35" t="s">
        <v>76</v>
      </c>
      <c r="M445" s="40">
        <f t="shared" si="20"/>
        <v>5.4666666666666686</v>
      </c>
      <c r="N445" s="29" t="str">
        <f>IF(match_results!C445="完全一致","〇","×")</f>
        <v>×</v>
      </c>
    </row>
    <row r="446" spans="1:14" x14ac:dyDescent="0.15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18"/>
        <v>1000</v>
      </c>
      <c r="I446" s="7" t="s">
        <v>38</v>
      </c>
      <c r="J446" s="10">
        <v>25390</v>
      </c>
      <c r="K446" s="11">
        <f t="shared" si="19"/>
        <v>25.39</v>
      </c>
      <c r="L446" s="7" t="s">
        <v>154</v>
      </c>
      <c r="M446" s="15">
        <f t="shared" si="20"/>
        <v>3.1099999999999994</v>
      </c>
      <c r="N446" t="str">
        <f>IF(match_results!C446="完全一致","〇","×")</f>
        <v>〇</v>
      </c>
    </row>
    <row r="447" spans="1:14" x14ac:dyDescent="0.15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18"/>
        <v>500</v>
      </c>
      <c r="I447" s="7" t="s">
        <v>38</v>
      </c>
      <c r="J447" s="10">
        <v>2625</v>
      </c>
      <c r="K447" s="11">
        <f t="shared" si="19"/>
        <v>5.25</v>
      </c>
      <c r="L447" s="7" t="s">
        <v>494</v>
      </c>
      <c r="M447" s="15">
        <f t="shared" si="20"/>
        <v>0.75</v>
      </c>
      <c r="N447" t="str">
        <f>IF(match_results!C447="完全一致","〇","×")</f>
        <v>〇</v>
      </c>
    </row>
    <row r="448" spans="1:14" x14ac:dyDescent="0.15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18"/>
        <v>1000</v>
      </c>
      <c r="I448" s="7" t="s">
        <v>38</v>
      </c>
      <c r="J448" s="10">
        <v>5250</v>
      </c>
      <c r="K448" s="11">
        <f t="shared" si="19"/>
        <v>5.25</v>
      </c>
      <c r="L448" s="7" t="s">
        <v>494</v>
      </c>
      <c r="M448" s="15">
        <f t="shared" si="20"/>
        <v>0.75</v>
      </c>
      <c r="N448" t="str">
        <f>IF(match_results!C448="完全一致","〇","×")</f>
        <v>〇</v>
      </c>
    </row>
    <row r="449" spans="1:14" x14ac:dyDescent="0.15">
      <c r="A449" s="6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21">G449/F449</f>
        <v>100</v>
      </c>
      <c r="I449" s="7" t="s">
        <v>38</v>
      </c>
      <c r="J449" s="10">
        <v>68652</v>
      </c>
      <c r="K449" s="11">
        <f t="shared" ref="K449:K512" si="22">J449/H449</f>
        <v>686.52</v>
      </c>
      <c r="L449" s="7" t="s">
        <v>85</v>
      </c>
      <c r="M449" s="15">
        <f t="shared" si="20"/>
        <v>84.080000000000041</v>
      </c>
      <c r="N449" t="str">
        <f>IF(match_results!C449="完全一致","〇","×")</f>
        <v>×</v>
      </c>
    </row>
    <row r="450" spans="1:14" x14ac:dyDescent="0.15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21"/>
        <v>100</v>
      </c>
      <c r="I450" s="7" t="s">
        <v>38</v>
      </c>
      <c r="J450" s="10">
        <v>18279</v>
      </c>
      <c r="K450" s="11">
        <f t="shared" si="22"/>
        <v>182.79</v>
      </c>
      <c r="L450" s="7" t="s">
        <v>433</v>
      </c>
      <c r="M450" s="15">
        <f t="shared" si="20"/>
        <v>18.310000000000002</v>
      </c>
      <c r="N450" t="str">
        <f>IF(match_results!C450="完全一致","〇","×")</f>
        <v>〇</v>
      </c>
    </row>
    <row r="451" spans="1:14" x14ac:dyDescent="0.15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21"/>
        <v>10</v>
      </c>
      <c r="I451" s="7" t="s">
        <v>88</v>
      </c>
      <c r="J451" s="12">
        <v>837</v>
      </c>
      <c r="K451" s="11">
        <f t="shared" si="22"/>
        <v>83.7</v>
      </c>
      <c r="L451" s="7" t="s">
        <v>321</v>
      </c>
      <c r="M451" s="15">
        <f t="shared" ref="M451:M514" si="23">F451-K451</f>
        <v>16.299999999999997</v>
      </c>
      <c r="N451" t="str">
        <f>IF(match_results!C451="完全一致","〇","×")</f>
        <v>×</v>
      </c>
    </row>
    <row r="452" spans="1:14" x14ac:dyDescent="0.15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21"/>
        <v>100</v>
      </c>
      <c r="I452" s="7" t="s">
        <v>38</v>
      </c>
      <c r="J452" s="12">
        <v>900</v>
      </c>
      <c r="K452" s="11">
        <f t="shared" si="22"/>
        <v>9</v>
      </c>
      <c r="L452" s="7" t="s">
        <v>341</v>
      </c>
      <c r="M452" s="15">
        <f t="shared" si="23"/>
        <v>1.0999999999999996</v>
      </c>
      <c r="N452" t="str">
        <f>IF(match_results!C452="完全一致","〇","×")</f>
        <v>〇</v>
      </c>
    </row>
    <row r="453" spans="1:14" x14ac:dyDescent="0.15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21"/>
        <v>100</v>
      </c>
      <c r="I453" s="7" t="s">
        <v>38</v>
      </c>
      <c r="J453" s="10">
        <v>1041</v>
      </c>
      <c r="K453" s="11">
        <f t="shared" si="22"/>
        <v>10.41</v>
      </c>
      <c r="L453" s="7" t="s">
        <v>154</v>
      </c>
      <c r="M453" s="15">
        <f t="shared" si="23"/>
        <v>1.8900000000000006</v>
      </c>
      <c r="N453" t="str">
        <f>IF(match_results!C453="完全一致","〇","×")</f>
        <v>〇</v>
      </c>
    </row>
    <row r="454" spans="1:14" x14ac:dyDescent="0.15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21"/>
        <v>140</v>
      </c>
      <c r="I454" s="7" t="s">
        <v>38</v>
      </c>
      <c r="J454" s="10">
        <v>3774</v>
      </c>
      <c r="K454" s="11">
        <f t="shared" si="22"/>
        <v>26.957142857142856</v>
      </c>
      <c r="L454" s="7" t="s">
        <v>185</v>
      </c>
      <c r="M454" s="15">
        <f t="shared" si="23"/>
        <v>6.7428571428571473</v>
      </c>
      <c r="N454" t="str">
        <f>IF(match_results!C454="完全一致","〇","×")</f>
        <v>〇</v>
      </c>
    </row>
    <row r="455" spans="1:14" x14ac:dyDescent="0.15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21"/>
        <v>499.99999999999994</v>
      </c>
      <c r="I455" s="7" t="s">
        <v>38</v>
      </c>
      <c r="J455" s="10">
        <v>13480</v>
      </c>
      <c r="K455" s="11">
        <f t="shared" si="22"/>
        <v>26.960000000000004</v>
      </c>
      <c r="L455" s="7" t="s">
        <v>185</v>
      </c>
      <c r="M455" s="15">
        <f t="shared" si="23"/>
        <v>6.7399999999999984</v>
      </c>
      <c r="N455" t="str">
        <f>IF(match_results!C455="完全一致","〇","×")</f>
        <v>〇</v>
      </c>
    </row>
    <row r="456" spans="1:14" x14ac:dyDescent="0.15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21"/>
        <v>999.99999999999989</v>
      </c>
      <c r="I456" s="7" t="s">
        <v>38</v>
      </c>
      <c r="J456" s="10">
        <v>5251</v>
      </c>
      <c r="K456" s="11">
        <f t="shared" si="22"/>
        <v>5.2510000000000003</v>
      </c>
      <c r="L456" s="7" t="s">
        <v>258</v>
      </c>
      <c r="M456" s="15">
        <f t="shared" si="23"/>
        <v>0.64900000000000002</v>
      </c>
      <c r="N456" t="str">
        <f>IF(match_results!C456="完全一致","〇","×")</f>
        <v>〇</v>
      </c>
    </row>
    <row r="457" spans="1:14" x14ac:dyDescent="0.15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21"/>
        <v>100</v>
      </c>
      <c r="I457" s="7" t="s">
        <v>38</v>
      </c>
      <c r="J457" s="10">
        <v>3795</v>
      </c>
      <c r="K457" s="11">
        <f t="shared" si="22"/>
        <v>37.950000000000003</v>
      </c>
      <c r="L457" s="7" t="s">
        <v>353</v>
      </c>
      <c r="M457" s="15">
        <f t="shared" si="23"/>
        <v>4.6499999999999986</v>
      </c>
      <c r="N457" t="str">
        <f>IF(match_results!C457="完全一致","〇","×")</f>
        <v>×</v>
      </c>
    </row>
    <row r="458" spans="1:14" x14ac:dyDescent="0.15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21"/>
        <v>10</v>
      </c>
      <c r="I458" s="7" t="s">
        <v>778</v>
      </c>
      <c r="J458" s="10">
        <v>42420</v>
      </c>
      <c r="K458" s="11">
        <f t="shared" si="22"/>
        <v>4242</v>
      </c>
      <c r="L458" s="7" t="s">
        <v>427</v>
      </c>
      <c r="M458" s="15">
        <f t="shared" si="23"/>
        <v>449</v>
      </c>
      <c r="N458" t="str">
        <f>IF(match_results!C458="完全一致","〇","×")</f>
        <v>〇</v>
      </c>
    </row>
    <row r="459" spans="1:14" x14ac:dyDescent="0.15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21"/>
        <v>42</v>
      </c>
      <c r="I459" s="7" t="s">
        <v>38</v>
      </c>
      <c r="J459" s="10">
        <v>2552</v>
      </c>
      <c r="K459" s="11">
        <f t="shared" si="22"/>
        <v>60.761904761904759</v>
      </c>
      <c r="L459" s="7" t="s">
        <v>111</v>
      </c>
      <c r="M459" s="15">
        <f t="shared" si="23"/>
        <v>6.7380952380952408</v>
      </c>
      <c r="N459" t="str">
        <f>IF(match_results!C459="完全一致","〇","×")</f>
        <v>〇</v>
      </c>
    </row>
    <row r="460" spans="1:14" x14ac:dyDescent="0.15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21"/>
        <v>500</v>
      </c>
      <c r="I460" s="7" t="s">
        <v>13</v>
      </c>
      <c r="J460" s="12">
        <v>11715</v>
      </c>
      <c r="K460" s="11">
        <f t="shared" si="22"/>
        <v>23.43</v>
      </c>
      <c r="L460" s="7" t="s">
        <v>246</v>
      </c>
      <c r="M460" s="15">
        <f t="shared" si="23"/>
        <v>2.870000000000001</v>
      </c>
      <c r="N460" t="str">
        <f>IF(match_results!C460="完全一致","〇","×")</f>
        <v>×</v>
      </c>
    </row>
    <row r="461" spans="1:14" x14ac:dyDescent="0.15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21"/>
        <v>120</v>
      </c>
      <c r="I461" s="7" t="s">
        <v>75</v>
      </c>
      <c r="J461" s="12">
        <v>748</v>
      </c>
      <c r="K461" s="11">
        <f t="shared" si="22"/>
        <v>6.2333333333333334</v>
      </c>
      <c r="L461" s="7" t="s">
        <v>246</v>
      </c>
      <c r="M461" s="15">
        <f t="shared" si="23"/>
        <v>0.76666666666666661</v>
      </c>
      <c r="N461" t="str">
        <f>IF(match_results!C461="完全一致","〇","×")</f>
        <v>〇</v>
      </c>
    </row>
    <row r="462" spans="1:14" x14ac:dyDescent="0.15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21"/>
        <v>500</v>
      </c>
      <c r="I462" s="7" t="s">
        <v>38</v>
      </c>
      <c r="J462" s="10">
        <v>6343</v>
      </c>
      <c r="K462" s="11">
        <f t="shared" si="22"/>
        <v>12.686</v>
      </c>
      <c r="L462" s="7" t="s">
        <v>246</v>
      </c>
      <c r="M462" s="15">
        <f t="shared" si="23"/>
        <v>1.6140000000000008</v>
      </c>
      <c r="N462" t="str">
        <f>IF(match_results!C462="完全一致","〇","×")</f>
        <v>〇</v>
      </c>
    </row>
    <row r="463" spans="1:14" x14ac:dyDescent="0.15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21"/>
        <v>20</v>
      </c>
      <c r="I463" s="7" t="s">
        <v>97</v>
      </c>
      <c r="J463" s="10">
        <v>9870</v>
      </c>
      <c r="K463" s="11">
        <f t="shared" si="22"/>
        <v>493.5</v>
      </c>
      <c r="L463" s="7" t="s">
        <v>216</v>
      </c>
      <c r="M463" s="15">
        <f t="shared" si="23"/>
        <v>60.5</v>
      </c>
      <c r="N463" t="str">
        <f>IF(match_results!C463="完全一致","〇","×")</f>
        <v>〇</v>
      </c>
    </row>
    <row r="464" spans="1:14" x14ac:dyDescent="0.15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21"/>
        <v>100</v>
      </c>
      <c r="I464" s="7" t="s">
        <v>38</v>
      </c>
      <c r="J464" s="10">
        <v>1305</v>
      </c>
      <c r="K464" s="11">
        <f t="shared" si="22"/>
        <v>13.05</v>
      </c>
      <c r="L464" s="7" t="s">
        <v>185</v>
      </c>
      <c r="M464" s="15">
        <f t="shared" si="23"/>
        <v>1.5499999999999989</v>
      </c>
      <c r="N464" t="str">
        <f>IF(match_results!C464="完全一致","〇","×")</f>
        <v>〇</v>
      </c>
    </row>
    <row r="465" spans="1:14" x14ac:dyDescent="0.15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21"/>
        <v>300</v>
      </c>
      <c r="I465" s="7" t="s">
        <v>38</v>
      </c>
      <c r="J465" s="10">
        <v>3915</v>
      </c>
      <c r="K465" s="11">
        <f t="shared" si="22"/>
        <v>13.05</v>
      </c>
      <c r="L465" s="7" t="s">
        <v>185</v>
      </c>
      <c r="M465" s="15">
        <f t="shared" si="23"/>
        <v>1.5499999999999989</v>
      </c>
      <c r="N465" t="str">
        <f>IF(match_results!C465="完全一致","〇","×")</f>
        <v>〇</v>
      </c>
    </row>
    <row r="466" spans="1:14" x14ac:dyDescent="0.15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21"/>
        <v>100</v>
      </c>
      <c r="I466" s="7" t="s">
        <v>13</v>
      </c>
      <c r="J466" s="10">
        <v>899</v>
      </c>
      <c r="K466" s="11">
        <f t="shared" si="22"/>
        <v>8.99</v>
      </c>
      <c r="L466" s="7" t="s">
        <v>165</v>
      </c>
      <c r="M466" s="15">
        <f t="shared" si="23"/>
        <v>1.1099999999999994</v>
      </c>
      <c r="N466" t="str">
        <f>IF(match_results!C466="完全一致","〇","×")</f>
        <v>×</v>
      </c>
    </row>
    <row r="467" spans="1:14" x14ac:dyDescent="0.15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21"/>
        <v>1000</v>
      </c>
      <c r="I467" s="7" t="s">
        <v>38</v>
      </c>
      <c r="J467" s="12">
        <v>5270</v>
      </c>
      <c r="K467" s="11">
        <f t="shared" si="22"/>
        <v>5.27</v>
      </c>
      <c r="L467" s="7" t="s">
        <v>165</v>
      </c>
      <c r="M467" s="15">
        <f t="shared" si="23"/>
        <v>0.9300000000000006</v>
      </c>
      <c r="N467" t="str">
        <f>IF(match_results!C467="完全一致","〇","×")</f>
        <v>×</v>
      </c>
    </row>
    <row r="468" spans="1:14" x14ac:dyDescent="0.15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21"/>
        <v>1000</v>
      </c>
      <c r="I468" s="7" t="s">
        <v>38</v>
      </c>
      <c r="J468" s="12">
        <v>5360</v>
      </c>
      <c r="K468" s="11">
        <f t="shared" si="22"/>
        <v>5.36</v>
      </c>
      <c r="L468" s="7" t="s">
        <v>165</v>
      </c>
      <c r="M468" s="15">
        <f t="shared" si="23"/>
        <v>0.9399999999999995</v>
      </c>
      <c r="N468" t="str">
        <f>IF(match_results!C468="完全一致","〇","×")</f>
        <v>×</v>
      </c>
    </row>
    <row r="469" spans="1:14" x14ac:dyDescent="0.15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21"/>
        <v>100</v>
      </c>
      <c r="I469" s="7" t="s">
        <v>38</v>
      </c>
      <c r="J469" s="12">
        <v>536</v>
      </c>
      <c r="K469" s="11">
        <f t="shared" si="22"/>
        <v>5.36</v>
      </c>
      <c r="L469" s="7" t="s">
        <v>165</v>
      </c>
      <c r="M469" s="15">
        <f t="shared" si="23"/>
        <v>0.9399999999999995</v>
      </c>
      <c r="N469" t="str">
        <f>IF(match_results!C469="完全一致","〇","×")</f>
        <v>〇</v>
      </c>
    </row>
    <row r="470" spans="1:14" x14ac:dyDescent="0.15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21"/>
        <v>1000</v>
      </c>
      <c r="I470" s="7" t="s">
        <v>38</v>
      </c>
      <c r="J470" s="10">
        <v>5360</v>
      </c>
      <c r="K470" s="11">
        <f t="shared" si="22"/>
        <v>5.36</v>
      </c>
      <c r="L470" s="7" t="s">
        <v>165</v>
      </c>
      <c r="M470" s="15">
        <f t="shared" si="23"/>
        <v>0.9399999999999995</v>
      </c>
      <c r="N470" t="str">
        <f>IF(match_results!C470="完全一致","〇","×")</f>
        <v>〇</v>
      </c>
    </row>
    <row r="471" spans="1:14" x14ac:dyDescent="0.15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21"/>
        <v>1000</v>
      </c>
      <c r="I471" s="7" t="s">
        <v>38</v>
      </c>
      <c r="J471" s="10">
        <v>5610</v>
      </c>
      <c r="K471" s="11">
        <f t="shared" si="22"/>
        <v>5.61</v>
      </c>
      <c r="L471" s="7" t="s">
        <v>165</v>
      </c>
      <c r="M471" s="15">
        <f t="shared" si="23"/>
        <v>0.98999999999999932</v>
      </c>
      <c r="N471" t="str">
        <f>IF(match_results!C471="完全一致","〇","×")</f>
        <v>〇</v>
      </c>
    </row>
    <row r="472" spans="1:14" x14ac:dyDescent="0.15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21"/>
        <v>10</v>
      </c>
      <c r="I472" s="7" t="s">
        <v>88</v>
      </c>
      <c r="J472" s="10">
        <v>20387</v>
      </c>
      <c r="K472" s="11">
        <f t="shared" si="22"/>
        <v>2038.7</v>
      </c>
      <c r="L472" s="7" t="s">
        <v>165</v>
      </c>
      <c r="M472" s="15">
        <f t="shared" si="23"/>
        <v>224.29999999999995</v>
      </c>
      <c r="N472" t="str">
        <f>IF(match_results!C472="完全一致","〇","×")</f>
        <v>〇</v>
      </c>
    </row>
    <row r="473" spans="1:14" x14ac:dyDescent="0.15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21"/>
        <v>10</v>
      </c>
      <c r="I473" s="7" t="s">
        <v>88</v>
      </c>
      <c r="J473" s="12">
        <v>12473</v>
      </c>
      <c r="K473" s="11">
        <f t="shared" si="22"/>
        <v>1247.3</v>
      </c>
      <c r="L473" s="7" t="s">
        <v>165</v>
      </c>
      <c r="M473" s="15">
        <f t="shared" si="23"/>
        <v>195.70000000000005</v>
      </c>
      <c r="N473" t="str">
        <f>IF(match_results!C473="完全一致","〇","×")</f>
        <v>〇</v>
      </c>
    </row>
    <row r="474" spans="1:14" x14ac:dyDescent="0.15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21"/>
        <v>10</v>
      </c>
      <c r="I474" s="7" t="s">
        <v>110</v>
      </c>
      <c r="J474" s="12">
        <v>6703</v>
      </c>
      <c r="K474" s="11">
        <f t="shared" si="22"/>
        <v>670.3</v>
      </c>
      <c r="L474" s="7" t="s">
        <v>427</v>
      </c>
      <c r="M474" s="15">
        <f t="shared" si="23"/>
        <v>83.700000000000045</v>
      </c>
      <c r="N474" t="str">
        <f>IF(match_results!C474="完全一致","〇","×")</f>
        <v>〇</v>
      </c>
    </row>
    <row r="475" spans="1:14" x14ac:dyDescent="0.15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21"/>
        <v>50</v>
      </c>
      <c r="I475" s="7" t="s">
        <v>88</v>
      </c>
      <c r="J475" s="12">
        <v>2717</v>
      </c>
      <c r="K475" s="11">
        <f t="shared" si="22"/>
        <v>54.34</v>
      </c>
      <c r="L475" s="7" t="s">
        <v>799</v>
      </c>
      <c r="M475" s="15">
        <f t="shared" si="23"/>
        <v>6.6599999999999966</v>
      </c>
      <c r="N475" t="str">
        <f>IF(match_results!C475="完全一致","〇","×")</f>
        <v>×</v>
      </c>
    </row>
    <row r="476" spans="1:14" x14ac:dyDescent="0.15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21"/>
        <v>100</v>
      </c>
      <c r="I476" s="7" t="s">
        <v>13</v>
      </c>
      <c r="J476" s="10">
        <v>999</v>
      </c>
      <c r="K476" s="11">
        <f t="shared" si="22"/>
        <v>9.99</v>
      </c>
      <c r="L476" s="7" t="s">
        <v>799</v>
      </c>
      <c r="M476" s="15">
        <f t="shared" si="23"/>
        <v>1.1099999999999994</v>
      </c>
      <c r="N476" t="str">
        <f>IF(match_results!C476="完全一致","〇","×")</f>
        <v>〇</v>
      </c>
    </row>
    <row r="477" spans="1:14" x14ac:dyDescent="0.15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21"/>
        <v>100</v>
      </c>
      <c r="I477" s="7" t="s">
        <v>38</v>
      </c>
      <c r="J477" s="10">
        <v>972</v>
      </c>
      <c r="K477" s="11">
        <f t="shared" si="22"/>
        <v>9.7200000000000006</v>
      </c>
      <c r="L477" s="7" t="s">
        <v>799</v>
      </c>
      <c r="M477" s="15">
        <f t="shared" si="23"/>
        <v>1.08</v>
      </c>
      <c r="N477" t="str">
        <f>IF(match_results!C477="完全一致","〇","×")</f>
        <v>〇</v>
      </c>
    </row>
    <row r="478" spans="1:14" x14ac:dyDescent="0.15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21"/>
        <v>499.99999999999994</v>
      </c>
      <c r="I478" s="7" t="s">
        <v>38</v>
      </c>
      <c r="J478" s="10">
        <v>4860</v>
      </c>
      <c r="K478" s="11">
        <f t="shared" si="22"/>
        <v>9.7200000000000006</v>
      </c>
      <c r="L478" s="7" t="s">
        <v>799</v>
      </c>
      <c r="M478" s="15">
        <f t="shared" si="23"/>
        <v>1.08</v>
      </c>
      <c r="N478" t="str">
        <f>IF(match_results!C478="完全一致","〇","×")</f>
        <v>〇</v>
      </c>
    </row>
    <row r="479" spans="1:14" x14ac:dyDescent="0.15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21"/>
        <v>99.999999999999986</v>
      </c>
      <c r="I479" s="7" t="s">
        <v>38</v>
      </c>
      <c r="J479" s="10">
        <v>1464</v>
      </c>
      <c r="K479" s="11">
        <f t="shared" si="22"/>
        <v>14.640000000000002</v>
      </c>
      <c r="L479" s="7" t="s">
        <v>224</v>
      </c>
      <c r="M479" s="15">
        <f t="shared" si="23"/>
        <v>1.9599999999999991</v>
      </c>
      <c r="N479" t="str">
        <f>IF(match_results!C479="完全一致","〇","×")</f>
        <v>〇</v>
      </c>
    </row>
    <row r="480" spans="1:14" s="29" customFormat="1" x14ac:dyDescent="0.15">
      <c r="A480" s="34" t="s">
        <v>803</v>
      </c>
      <c r="B480" s="34" t="s">
        <v>44</v>
      </c>
      <c r="C480" s="35" t="s">
        <v>10</v>
      </c>
      <c r="D480" s="34" t="s">
        <v>145</v>
      </c>
      <c r="E480" s="34" t="s">
        <v>146</v>
      </c>
      <c r="F480" s="36">
        <v>144.1</v>
      </c>
      <c r="G480" s="36">
        <v>1441</v>
      </c>
      <c r="H480" s="37">
        <f t="shared" si="21"/>
        <v>10</v>
      </c>
      <c r="I480" s="35" t="s">
        <v>147</v>
      </c>
      <c r="J480" s="38">
        <v>1283</v>
      </c>
      <c r="K480" s="39">
        <f t="shared" si="22"/>
        <v>128.30000000000001</v>
      </c>
      <c r="L480" s="35" t="s">
        <v>76</v>
      </c>
      <c r="M480" s="40">
        <f t="shared" si="23"/>
        <v>15.799999999999983</v>
      </c>
      <c r="N480" s="29" t="str">
        <f>IF(match_results!C480="完全一致","〇","×")</f>
        <v>×</v>
      </c>
    </row>
    <row r="481" spans="1:14" x14ac:dyDescent="0.15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21"/>
        <v>100.00000000000001</v>
      </c>
      <c r="I481" s="7" t="s">
        <v>38</v>
      </c>
      <c r="J481" s="10">
        <v>864</v>
      </c>
      <c r="K481" s="11">
        <f t="shared" si="22"/>
        <v>8.6399999999999988</v>
      </c>
      <c r="L481" s="7" t="s">
        <v>165</v>
      </c>
      <c r="M481" s="15">
        <f t="shared" si="23"/>
        <v>1.0600000000000005</v>
      </c>
      <c r="N481" t="str">
        <f>IF(match_results!C481="完全一致","〇","×")</f>
        <v>〇</v>
      </c>
    </row>
    <row r="482" spans="1:14" x14ac:dyDescent="0.15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21"/>
        <v>100</v>
      </c>
      <c r="I482" s="7" t="s">
        <v>38</v>
      </c>
      <c r="J482" s="12">
        <v>915</v>
      </c>
      <c r="K482" s="11">
        <f t="shared" si="22"/>
        <v>9.15</v>
      </c>
      <c r="L482" s="7" t="s">
        <v>407</v>
      </c>
      <c r="M482" s="15">
        <f t="shared" si="23"/>
        <v>2.5499999999999989</v>
      </c>
      <c r="N482" t="str">
        <f>IF(match_results!C482="完全一致","〇","×")</f>
        <v>×</v>
      </c>
    </row>
    <row r="483" spans="1:14" x14ac:dyDescent="0.15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21"/>
        <v>630</v>
      </c>
      <c r="I483" s="7" t="s">
        <v>38</v>
      </c>
      <c r="J483" s="10">
        <v>3140</v>
      </c>
      <c r="K483" s="11">
        <f t="shared" si="22"/>
        <v>4.9841269841269842</v>
      </c>
      <c r="L483" s="7" t="s">
        <v>519</v>
      </c>
      <c r="M483" s="15">
        <f t="shared" si="23"/>
        <v>0.91587301587301617</v>
      </c>
      <c r="N483" t="str">
        <f>IF(match_results!C483="完全一致","〇","×")</f>
        <v>〇</v>
      </c>
    </row>
    <row r="484" spans="1:14" x14ac:dyDescent="0.15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21"/>
        <v>999.99999999999989</v>
      </c>
      <c r="I484" s="7" t="s">
        <v>38</v>
      </c>
      <c r="J484" s="10">
        <v>4980</v>
      </c>
      <c r="K484" s="11">
        <f t="shared" si="22"/>
        <v>4.9800000000000004</v>
      </c>
      <c r="L484" s="7" t="s">
        <v>519</v>
      </c>
      <c r="M484" s="15">
        <f t="shared" si="23"/>
        <v>0.91999999999999993</v>
      </c>
      <c r="N484" t="str">
        <f>IF(match_results!C484="完全一致","〇","×")</f>
        <v>〇</v>
      </c>
    </row>
    <row r="485" spans="1:14" x14ac:dyDescent="0.15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21"/>
        <v>120</v>
      </c>
      <c r="I485" s="7" t="s">
        <v>13</v>
      </c>
      <c r="J485" s="10">
        <v>658</v>
      </c>
      <c r="K485" s="11">
        <f t="shared" si="22"/>
        <v>5.4833333333333334</v>
      </c>
      <c r="L485" s="7" t="s">
        <v>519</v>
      </c>
      <c r="M485" s="15">
        <f t="shared" si="23"/>
        <v>1.0166666666666666</v>
      </c>
      <c r="N485" t="str">
        <f>IF(match_results!C485="完全一致","〇","×")</f>
        <v>〇</v>
      </c>
    </row>
    <row r="486" spans="1:14" x14ac:dyDescent="0.15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21"/>
        <v>600</v>
      </c>
      <c r="I486" s="7" t="s">
        <v>13</v>
      </c>
      <c r="J486" s="10">
        <v>3294</v>
      </c>
      <c r="K486" s="11">
        <f t="shared" si="22"/>
        <v>5.49</v>
      </c>
      <c r="L486" s="7" t="s">
        <v>519</v>
      </c>
      <c r="M486" s="15">
        <f t="shared" si="23"/>
        <v>1.0099999999999998</v>
      </c>
      <c r="N486" t="str">
        <f>IF(match_results!C486="完全一致","〇","×")</f>
        <v>〇</v>
      </c>
    </row>
    <row r="487" spans="1:14" x14ac:dyDescent="0.15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21"/>
        <v>1000</v>
      </c>
      <c r="I487" s="7" t="s">
        <v>13</v>
      </c>
      <c r="J487" s="10">
        <v>5490</v>
      </c>
      <c r="K487" s="11">
        <f t="shared" si="22"/>
        <v>5.49</v>
      </c>
      <c r="L487" s="7" t="s">
        <v>519</v>
      </c>
      <c r="M487" s="15">
        <f t="shared" si="23"/>
        <v>1.0099999999999998</v>
      </c>
      <c r="N487" t="str">
        <f>IF(match_results!C487="完全一致","〇","×")</f>
        <v>〇</v>
      </c>
    </row>
    <row r="488" spans="1:14" x14ac:dyDescent="0.15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21"/>
        <v>30</v>
      </c>
      <c r="I488" s="7" t="s">
        <v>38</v>
      </c>
      <c r="J488" s="10">
        <v>2700</v>
      </c>
      <c r="K488" s="11">
        <f t="shared" si="22"/>
        <v>90</v>
      </c>
      <c r="L488" s="7" t="s">
        <v>196</v>
      </c>
      <c r="M488" s="15">
        <f t="shared" si="23"/>
        <v>20.900000000000006</v>
      </c>
      <c r="N488" t="str">
        <f>IF(match_results!C488="完全一致","〇","×")</f>
        <v>〇</v>
      </c>
    </row>
    <row r="489" spans="1:14" x14ac:dyDescent="0.15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21"/>
        <v>1000.0000000000001</v>
      </c>
      <c r="I489" s="7" t="s">
        <v>38</v>
      </c>
      <c r="J489" s="10">
        <v>5185</v>
      </c>
      <c r="K489" s="11">
        <f t="shared" si="22"/>
        <v>5.1849999999999996</v>
      </c>
      <c r="L489" s="7" t="s">
        <v>213</v>
      </c>
      <c r="M489" s="15">
        <f t="shared" si="23"/>
        <v>0.91500000000000004</v>
      </c>
      <c r="N489" t="str">
        <f>IF(match_results!C489="完全一致","〇","×")</f>
        <v>〇</v>
      </c>
    </row>
    <row r="490" spans="1:14" x14ac:dyDescent="0.15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21"/>
        <v>1000.0000000000001</v>
      </c>
      <c r="I490" s="7" t="s">
        <v>38</v>
      </c>
      <c r="J490" s="10">
        <v>5185</v>
      </c>
      <c r="K490" s="11">
        <f t="shared" si="22"/>
        <v>5.1849999999999996</v>
      </c>
      <c r="L490" s="7" t="s">
        <v>213</v>
      </c>
      <c r="M490" s="15">
        <f t="shared" si="23"/>
        <v>0.91500000000000004</v>
      </c>
      <c r="N490" t="str">
        <f>IF(match_results!C490="完全一致","〇","×")</f>
        <v>〇</v>
      </c>
    </row>
    <row r="491" spans="1:14" x14ac:dyDescent="0.15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21"/>
        <v>100</v>
      </c>
      <c r="I491" s="7" t="s">
        <v>75</v>
      </c>
      <c r="J491" s="10">
        <v>681</v>
      </c>
      <c r="K491" s="11">
        <f t="shared" si="22"/>
        <v>6.81</v>
      </c>
      <c r="L491" s="7" t="s">
        <v>213</v>
      </c>
      <c r="M491" s="15">
        <f t="shared" si="23"/>
        <v>0.69000000000000039</v>
      </c>
      <c r="N491" t="str">
        <f>IF(match_results!C491="完全一致","〇","×")</f>
        <v>〇</v>
      </c>
    </row>
    <row r="492" spans="1:14" x14ac:dyDescent="0.15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21"/>
        <v>70</v>
      </c>
      <c r="I492" s="7" t="s">
        <v>181</v>
      </c>
      <c r="J492" s="10">
        <v>2586</v>
      </c>
      <c r="K492" s="11">
        <f t="shared" si="22"/>
        <v>36.942857142857143</v>
      </c>
      <c r="L492" s="7" t="s">
        <v>72</v>
      </c>
      <c r="M492" s="15">
        <f t="shared" si="23"/>
        <v>4.5571428571428569</v>
      </c>
      <c r="N492" t="str">
        <f>IF(match_results!C492="完全一致","〇","×")</f>
        <v>〇</v>
      </c>
    </row>
    <row r="493" spans="1:14" x14ac:dyDescent="0.15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21"/>
        <v>70</v>
      </c>
      <c r="I493" s="7" t="s">
        <v>181</v>
      </c>
      <c r="J493" s="10">
        <v>3551</v>
      </c>
      <c r="K493" s="11">
        <f t="shared" si="22"/>
        <v>50.728571428571428</v>
      </c>
      <c r="L493" s="7" t="s">
        <v>72</v>
      </c>
      <c r="M493" s="15">
        <f t="shared" si="23"/>
        <v>6.2714285714285722</v>
      </c>
      <c r="N493" t="str">
        <f>IF(match_results!C493="完全一致","〇","×")</f>
        <v>〇</v>
      </c>
    </row>
    <row r="494" spans="1:14" x14ac:dyDescent="0.15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21"/>
        <v>100</v>
      </c>
      <c r="I494" s="7" t="s">
        <v>38</v>
      </c>
      <c r="J494" s="10">
        <v>905</v>
      </c>
      <c r="K494" s="11">
        <f t="shared" si="22"/>
        <v>9.0500000000000007</v>
      </c>
      <c r="L494" s="7" t="s">
        <v>289</v>
      </c>
      <c r="M494" s="15">
        <f t="shared" si="23"/>
        <v>1.3499999999999996</v>
      </c>
      <c r="N494" t="str">
        <f>IF(match_results!C494="完全一致","〇","×")</f>
        <v>〇</v>
      </c>
    </row>
    <row r="495" spans="1:14" x14ac:dyDescent="0.15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21"/>
        <v>100</v>
      </c>
      <c r="I495" s="7" t="s">
        <v>38</v>
      </c>
      <c r="J495" s="10">
        <v>905</v>
      </c>
      <c r="K495" s="11">
        <f t="shared" si="22"/>
        <v>9.0500000000000007</v>
      </c>
      <c r="L495" s="7" t="s">
        <v>289</v>
      </c>
      <c r="M495" s="15">
        <f t="shared" si="23"/>
        <v>1.3499999999999996</v>
      </c>
      <c r="N495" t="str">
        <f>IF(match_results!C495="完全一致","〇","×")</f>
        <v>〇</v>
      </c>
    </row>
    <row r="496" spans="1:14" x14ac:dyDescent="0.15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21"/>
        <v>25.000000000000004</v>
      </c>
      <c r="I496" s="7" t="s">
        <v>13</v>
      </c>
      <c r="J496" s="10">
        <v>1671</v>
      </c>
      <c r="K496" s="11">
        <f t="shared" si="22"/>
        <v>66.839999999999989</v>
      </c>
      <c r="L496" s="7" t="s">
        <v>333</v>
      </c>
      <c r="M496" s="15">
        <f t="shared" si="23"/>
        <v>7.2600000000000051</v>
      </c>
      <c r="N496" t="str">
        <f>IF(match_results!C496="完全一致","〇","×")</f>
        <v>〇</v>
      </c>
    </row>
    <row r="497" spans="1:14" x14ac:dyDescent="0.15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21"/>
        <v>100</v>
      </c>
      <c r="I497" s="7" t="s">
        <v>38</v>
      </c>
      <c r="J497" s="10">
        <v>1113</v>
      </c>
      <c r="K497" s="11">
        <f t="shared" si="22"/>
        <v>11.13</v>
      </c>
      <c r="L497" s="7" t="s">
        <v>824</v>
      </c>
      <c r="M497" s="15">
        <f t="shared" si="23"/>
        <v>1.3699999999999992</v>
      </c>
      <c r="N497" t="str">
        <f>IF(match_results!C497="完全一致","〇","×")</f>
        <v>〇</v>
      </c>
    </row>
    <row r="498" spans="1:14" x14ac:dyDescent="0.15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21"/>
        <v>99.999999999999986</v>
      </c>
      <c r="I498" s="7" t="s">
        <v>38</v>
      </c>
      <c r="J498" s="10">
        <v>11554</v>
      </c>
      <c r="K498" s="11">
        <f t="shared" si="22"/>
        <v>115.54000000000002</v>
      </c>
      <c r="L498" s="7" t="s">
        <v>185</v>
      </c>
      <c r="M498" s="15">
        <f t="shared" si="23"/>
        <v>15.759999999999991</v>
      </c>
      <c r="N498" t="str">
        <f>IF(match_results!C498="完全一致","〇","×")</f>
        <v>〇</v>
      </c>
    </row>
    <row r="499" spans="1:14" x14ac:dyDescent="0.15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21"/>
        <v>99.999999999999986</v>
      </c>
      <c r="I499" s="7" t="s">
        <v>38</v>
      </c>
      <c r="J499" s="12">
        <v>11554</v>
      </c>
      <c r="K499" s="11">
        <f t="shared" si="22"/>
        <v>115.54000000000002</v>
      </c>
      <c r="L499" s="7" t="s">
        <v>185</v>
      </c>
      <c r="M499" s="15">
        <f t="shared" si="23"/>
        <v>15.759999999999991</v>
      </c>
      <c r="N499" t="str">
        <f>IF(match_results!C499="完全一致","〇","×")</f>
        <v>〇</v>
      </c>
    </row>
    <row r="500" spans="1:14" x14ac:dyDescent="0.15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21"/>
        <v>100</v>
      </c>
      <c r="I500" s="7" t="s">
        <v>38</v>
      </c>
      <c r="J500" s="10">
        <v>4286</v>
      </c>
      <c r="K500" s="11">
        <f t="shared" si="22"/>
        <v>42.86</v>
      </c>
      <c r="L500" s="7" t="s">
        <v>185</v>
      </c>
      <c r="M500" s="15">
        <f t="shared" si="23"/>
        <v>5.8400000000000034</v>
      </c>
      <c r="N500" t="str">
        <f>IF(match_results!C500="完全一致","〇","×")</f>
        <v>〇</v>
      </c>
    </row>
    <row r="501" spans="1:14" x14ac:dyDescent="0.15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21"/>
        <v>100</v>
      </c>
      <c r="I501" s="7" t="s">
        <v>38</v>
      </c>
      <c r="J501" s="10">
        <v>4286</v>
      </c>
      <c r="K501" s="11">
        <f t="shared" si="22"/>
        <v>42.86</v>
      </c>
      <c r="L501" s="7" t="s">
        <v>185</v>
      </c>
      <c r="M501" s="15">
        <f t="shared" si="23"/>
        <v>5.8400000000000034</v>
      </c>
      <c r="N501" t="str">
        <f>IF(match_results!C501="完全一致","〇","×")</f>
        <v>〇</v>
      </c>
    </row>
    <row r="502" spans="1:14" x14ac:dyDescent="0.15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21"/>
        <v>999.99999999999989</v>
      </c>
      <c r="I502" s="7" t="s">
        <v>38</v>
      </c>
      <c r="J502" s="10">
        <v>5015</v>
      </c>
      <c r="K502" s="11">
        <f t="shared" si="22"/>
        <v>5.0150000000000006</v>
      </c>
      <c r="L502" s="7" t="s">
        <v>85</v>
      </c>
      <c r="M502" s="15">
        <f t="shared" si="23"/>
        <v>0.88499999999999979</v>
      </c>
      <c r="N502" t="str">
        <f>IF(match_results!C502="完全一致","〇","×")</f>
        <v>〇</v>
      </c>
    </row>
    <row r="503" spans="1:14" x14ac:dyDescent="0.15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21"/>
        <v>999.99999999999989</v>
      </c>
      <c r="I503" s="7" t="s">
        <v>38</v>
      </c>
      <c r="J503" s="10">
        <v>5015</v>
      </c>
      <c r="K503" s="11">
        <f t="shared" si="22"/>
        <v>5.0150000000000006</v>
      </c>
      <c r="L503" s="7" t="s">
        <v>85</v>
      </c>
      <c r="M503" s="15">
        <f t="shared" si="23"/>
        <v>0.88499999999999979</v>
      </c>
      <c r="N503" t="str">
        <f>IF(match_results!C503="完全一致","〇","×")</f>
        <v>〇</v>
      </c>
    </row>
    <row r="504" spans="1:14" x14ac:dyDescent="0.15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21"/>
        <v>50</v>
      </c>
      <c r="I504" s="7" t="s">
        <v>486</v>
      </c>
      <c r="J504" s="12">
        <v>2772</v>
      </c>
      <c r="K504" s="11">
        <f t="shared" si="22"/>
        <v>55.44</v>
      </c>
      <c r="L504" s="7" t="s">
        <v>830</v>
      </c>
      <c r="M504" s="15">
        <f t="shared" si="23"/>
        <v>5.5600000000000023</v>
      </c>
      <c r="N504" t="str">
        <f>IF(match_results!C504="完全一致","〇","×")</f>
        <v>×</v>
      </c>
    </row>
    <row r="505" spans="1:14" x14ac:dyDescent="0.15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21"/>
        <v>100</v>
      </c>
      <c r="I505" s="7" t="s">
        <v>38</v>
      </c>
      <c r="J505" s="12">
        <v>519</v>
      </c>
      <c r="K505" s="11">
        <f t="shared" si="22"/>
        <v>5.19</v>
      </c>
      <c r="L505" s="7" t="s">
        <v>830</v>
      </c>
      <c r="M505" s="15">
        <f t="shared" si="23"/>
        <v>0.71</v>
      </c>
      <c r="N505" t="str">
        <f>IF(match_results!C505="完全一致","〇","×")</f>
        <v>〇</v>
      </c>
    </row>
    <row r="506" spans="1:14" x14ac:dyDescent="0.15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21"/>
        <v>999.99999999999989</v>
      </c>
      <c r="I506" s="7" t="s">
        <v>38</v>
      </c>
      <c r="J506" s="10">
        <v>5192</v>
      </c>
      <c r="K506" s="11">
        <f t="shared" si="22"/>
        <v>5.1920000000000002</v>
      </c>
      <c r="L506" s="7" t="s">
        <v>830</v>
      </c>
      <c r="M506" s="15">
        <f t="shared" si="23"/>
        <v>0.70800000000000018</v>
      </c>
      <c r="N506" t="str">
        <f>IF(match_results!C506="完全一致","〇","×")</f>
        <v>〇</v>
      </c>
    </row>
    <row r="507" spans="1:14" x14ac:dyDescent="0.15">
      <c r="A507" s="6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21"/>
        <v>100</v>
      </c>
      <c r="I507" s="7" t="s">
        <v>38</v>
      </c>
      <c r="J507" s="12">
        <v>30893</v>
      </c>
      <c r="K507" s="11">
        <f t="shared" si="22"/>
        <v>308.93</v>
      </c>
      <c r="L507" s="7" t="s">
        <v>246</v>
      </c>
      <c r="M507" s="15">
        <f t="shared" si="23"/>
        <v>46.569999999999993</v>
      </c>
      <c r="N507" t="str">
        <f>IF(match_results!C507="完全一致","〇","×")</f>
        <v>×</v>
      </c>
    </row>
    <row r="508" spans="1:14" x14ac:dyDescent="0.15">
      <c r="A508" s="6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21"/>
        <v>100</v>
      </c>
      <c r="I508" s="7" t="s">
        <v>38</v>
      </c>
      <c r="J508" s="10">
        <v>18927</v>
      </c>
      <c r="K508" s="11">
        <f t="shared" si="22"/>
        <v>189.27</v>
      </c>
      <c r="L508" s="7" t="s">
        <v>246</v>
      </c>
      <c r="M508" s="15">
        <f t="shared" si="23"/>
        <v>28.53</v>
      </c>
      <c r="N508" t="str">
        <f>IF(match_results!C508="完全一致","〇","×")</f>
        <v>×</v>
      </c>
    </row>
    <row r="509" spans="1:14" x14ac:dyDescent="0.15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21"/>
        <v>99.999999999999986</v>
      </c>
      <c r="I509" s="7" t="s">
        <v>835</v>
      </c>
      <c r="J509" s="10">
        <v>3293</v>
      </c>
      <c r="K509" s="11">
        <f t="shared" si="22"/>
        <v>32.930000000000007</v>
      </c>
      <c r="L509" s="7" t="s">
        <v>289</v>
      </c>
      <c r="M509" s="15">
        <f t="shared" si="23"/>
        <v>6.269999999999996</v>
      </c>
      <c r="N509" t="str">
        <f>IF(match_results!C509="完全一致","〇","×")</f>
        <v>〇</v>
      </c>
    </row>
    <row r="510" spans="1:14" x14ac:dyDescent="0.15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21"/>
        <v>100</v>
      </c>
      <c r="I510" s="7" t="s">
        <v>38</v>
      </c>
      <c r="J510" s="12">
        <v>2839</v>
      </c>
      <c r="K510" s="11">
        <f t="shared" si="22"/>
        <v>28.39</v>
      </c>
      <c r="L510" s="7" t="s">
        <v>341</v>
      </c>
      <c r="M510" s="15">
        <f t="shared" si="23"/>
        <v>3.509999999999998</v>
      </c>
      <c r="N510" t="str">
        <f>IF(match_results!C510="完全一致","〇","×")</f>
        <v>〇</v>
      </c>
    </row>
    <row r="511" spans="1:14" x14ac:dyDescent="0.15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21"/>
        <v>10</v>
      </c>
      <c r="I511" s="7" t="s">
        <v>110</v>
      </c>
      <c r="J511" s="10">
        <v>2066</v>
      </c>
      <c r="K511" s="11">
        <f t="shared" si="22"/>
        <v>206.6</v>
      </c>
      <c r="L511" s="7" t="s">
        <v>81</v>
      </c>
      <c r="M511" s="15">
        <f t="shared" si="23"/>
        <v>25.400000000000006</v>
      </c>
      <c r="N511" t="str">
        <f>IF(match_results!C511="完全一致","〇","×")</f>
        <v>×</v>
      </c>
    </row>
    <row r="512" spans="1:14" x14ac:dyDescent="0.15">
      <c r="A512" s="6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21"/>
        <v>2</v>
      </c>
      <c r="I512" s="7" t="s">
        <v>244</v>
      </c>
      <c r="J512" s="12">
        <v>2066</v>
      </c>
      <c r="K512" s="11">
        <f t="shared" si="22"/>
        <v>1033</v>
      </c>
      <c r="L512" s="7" t="s">
        <v>81</v>
      </c>
      <c r="M512" s="15">
        <f t="shared" si="23"/>
        <v>141</v>
      </c>
      <c r="N512" t="str">
        <f>IF(match_results!C512="完全一致","〇","×")</f>
        <v>×</v>
      </c>
    </row>
    <row r="513" spans="1:14" x14ac:dyDescent="0.15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24">G513/F513</f>
        <v>2</v>
      </c>
      <c r="I513" s="7" t="s">
        <v>244</v>
      </c>
      <c r="J513" s="12">
        <v>2120</v>
      </c>
      <c r="K513" s="11">
        <f t="shared" ref="K513:K576" si="25">J513/H513</f>
        <v>1060</v>
      </c>
      <c r="L513" s="7" t="s">
        <v>81</v>
      </c>
      <c r="M513" s="15">
        <f t="shared" si="23"/>
        <v>130</v>
      </c>
      <c r="N513" t="str">
        <f>IF(match_results!C513="完全一致","〇","×")</f>
        <v>×</v>
      </c>
    </row>
    <row r="514" spans="1:14" x14ac:dyDescent="0.15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24"/>
        <v>#DIV/0!</v>
      </c>
      <c r="I514" s="7" t="s">
        <v>10</v>
      </c>
      <c r="J514" s="10">
        <v>394</v>
      </c>
      <c r="K514" s="11" t="e">
        <f t="shared" si="25"/>
        <v>#DIV/0!</v>
      </c>
      <c r="L514" s="7" t="s">
        <v>151</v>
      </c>
      <c r="M514" s="15" t="e">
        <f t="shared" si="23"/>
        <v>#DIV/0!</v>
      </c>
      <c r="N514" t="str">
        <f>IF(match_results!C514="完全一致","〇","×")</f>
        <v>×</v>
      </c>
    </row>
    <row r="515" spans="1:14" x14ac:dyDescent="0.15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24"/>
        <v>100</v>
      </c>
      <c r="I515" s="7" t="s">
        <v>38</v>
      </c>
      <c r="J515" s="10">
        <v>4152</v>
      </c>
      <c r="K515" s="11">
        <f t="shared" si="25"/>
        <v>41.52</v>
      </c>
      <c r="L515" s="7" t="s">
        <v>313</v>
      </c>
      <c r="M515" s="15">
        <f t="shared" ref="M515:M578" si="26">F515-K515</f>
        <v>7.5799999999999983</v>
      </c>
      <c r="N515" t="str">
        <f>IF(match_results!C515="完全一致","〇","×")</f>
        <v>〇</v>
      </c>
    </row>
    <row r="516" spans="1:14" x14ac:dyDescent="0.15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24"/>
        <v>500</v>
      </c>
      <c r="I516" s="7" t="s">
        <v>38</v>
      </c>
      <c r="J516" s="10">
        <v>20760</v>
      </c>
      <c r="K516" s="11">
        <f t="shared" si="25"/>
        <v>41.52</v>
      </c>
      <c r="L516" s="7" t="s">
        <v>313</v>
      </c>
      <c r="M516" s="15">
        <f t="shared" si="26"/>
        <v>7.5799999999999983</v>
      </c>
      <c r="N516" t="str">
        <f>IF(match_results!C516="完全一致","〇","×")</f>
        <v>〇</v>
      </c>
    </row>
    <row r="517" spans="1:14" x14ac:dyDescent="0.15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24"/>
        <v>250</v>
      </c>
      <c r="I517" s="7" t="s">
        <v>13</v>
      </c>
      <c r="J517" s="10">
        <v>4053</v>
      </c>
      <c r="K517" s="11">
        <f t="shared" si="25"/>
        <v>16.212</v>
      </c>
      <c r="L517" s="7" t="s">
        <v>537</v>
      </c>
      <c r="M517" s="15">
        <f t="shared" si="26"/>
        <v>1.9879999999999995</v>
      </c>
      <c r="N517" t="str">
        <f>IF(match_results!C517="完全一致","〇","×")</f>
        <v>×</v>
      </c>
    </row>
    <row r="518" spans="1:14" x14ac:dyDescent="0.15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24"/>
        <v>500</v>
      </c>
      <c r="I518" s="7" t="s">
        <v>13</v>
      </c>
      <c r="J518" s="10">
        <v>6370</v>
      </c>
      <c r="K518" s="11">
        <f t="shared" si="25"/>
        <v>12.74</v>
      </c>
      <c r="L518" s="7" t="s">
        <v>165</v>
      </c>
      <c r="M518" s="15">
        <f t="shared" si="26"/>
        <v>1.5600000000000005</v>
      </c>
      <c r="N518" t="str">
        <f>IF(match_results!C518="完全一致","〇","×")</f>
        <v>〇</v>
      </c>
    </row>
    <row r="519" spans="1:14" x14ac:dyDescent="0.15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24"/>
        <v>100</v>
      </c>
      <c r="I519" s="7" t="s">
        <v>38</v>
      </c>
      <c r="J519" s="10">
        <v>526</v>
      </c>
      <c r="K519" s="11">
        <f t="shared" si="25"/>
        <v>5.26</v>
      </c>
      <c r="L519" s="7" t="s">
        <v>165</v>
      </c>
      <c r="M519" s="15">
        <f t="shared" si="26"/>
        <v>0.64000000000000057</v>
      </c>
      <c r="N519" t="str">
        <f>IF(match_results!C519="完全一致","〇","×")</f>
        <v>〇</v>
      </c>
    </row>
    <row r="520" spans="1:14" x14ac:dyDescent="0.15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24"/>
        <v>999.99999999999989</v>
      </c>
      <c r="I520" s="7" t="s">
        <v>38</v>
      </c>
      <c r="J520" s="10">
        <v>5256</v>
      </c>
      <c r="K520" s="11">
        <f t="shared" si="25"/>
        <v>5.2560000000000002</v>
      </c>
      <c r="L520" s="7" t="s">
        <v>165</v>
      </c>
      <c r="M520" s="15">
        <f t="shared" si="26"/>
        <v>0.64400000000000013</v>
      </c>
      <c r="N520" t="str">
        <f>IF(match_results!C520="完全一致","〇","×")</f>
        <v>〇</v>
      </c>
    </row>
    <row r="521" spans="1:14" x14ac:dyDescent="0.15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24"/>
        <v>1000</v>
      </c>
      <c r="I521" s="7" t="s">
        <v>38</v>
      </c>
      <c r="J521" s="10">
        <v>7929</v>
      </c>
      <c r="K521" s="11">
        <f t="shared" si="25"/>
        <v>7.9290000000000003</v>
      </c>
      <c r="L521" s="7" t="s">
        <v>165</v>
      </c>
      <c r="M521" s="15">
        <f t="shared" si="26"/>
        <v>0.97100000000000009</v>
      </c>
      <c r="N521" t="str">
        <f>IF(match_results!C521="完全一致","〇","×")</f>
        <v>〇</v>
      </c>
    </row>
    <row r="522" spans="1:14" x14ac:dyDescent="0.15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24"/>
        <v>999.99999999999989</v>
      </c>
      <c r="I522" s="7" t="s">
        <v>38</v>
      </c>
      <c r="J522" s="10">
        <v>5256</v>
      </c>
      <c r="K522" s="11">
        <f t="shared" si="25"/>
        <v>5.2560000000000002</v>
      </c>
      <c r="L522" s="7" t="s">
        <v>165</v>
      </c>
      <c r="M522" s="15">
        <f t="shared" si="26"/>
        <v>0.64400000000000013</v>
      </c>
      <c r="N522" t="str">
        <f>IF(match_results!C522="完全一致","〇","×")</f>
        <v>〇</v>
      </c>
    </row>
    <row r="523" spans="1:14" x14ac:dyDescent="0.15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24"/>
        <v>999.99999999999989</v>
      </c>
      <c r="I523" s="7" t="s">
        <v>38</v>
      </c>
      <c r="J523" s="10">
        <v>5256</v>
      </c>
      <c r="K523" s="11">
        <f t="shared" si="25"/>
        <v>5.2560000000000002</v>
      </c>
      <c r="L523" s="7" t="s">
        <v>165</v>
      </c>
      <c r="M523" s="15">
        <f t="shared" si="26"/>
        <v>0.64400000000000013</v>
      </c>
      <c r="N523" t="str">
        <f>IF(match_results!C523="完全一致","〇","×")</f>
        <v>〇</v>
      </c>
    </row>
    <row r="524" spans="1:14" x14ac:dyDescent="0.15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24"/>
        <v>10</v>
      </c>
      <c r="I524" s="7" t="s">
        <v>147</v>
      </c>
      <c r="J524" s="10">
        <v>609</v>
      </c>
      <c r="K524" s="11">
        <f t="shared" si="25"/>
        <v>60.9</v>
      </c>
      <c r="L524" s="7" t="s">
        <v>76</v>
      </c>
      <c r="M524" s="15">
        <f t="shared" si="26"/>
        <v>6.1000000000000014</v>
      </c>
      <c r="N524" t="str">
        <f>IF(match_results!C524="完全一致","〇","×")</f>
        <v>〇</v>
      </c>
    </row>
    <row r="525" spans="1:14" x14ac:dyDescent="0.15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24"/>
        <v>100</v>
      </c>
      <c r="I525" s="7" t="s">
        <v>38</v>
      </c>
      <c r="J525" s="10">
        <v>920</v>
      </c>
      <c r="K525" s="11">
        <f t="shared" si="25"/>
        <v>9.1999999999999993</v>
      </c>
      <c r="L525" s="7" t="s">
        <v>306</v>
      </c>
      <c r="M525" s="15">
        <f t="shared" si="26"/>
        <v>1.2000000000000011</v>
      </c>
      <c r="N525" t="str">
        <f>IF(match_results!C525="完全一致","〇","×")</f>
        <v>〇</v>
      </c>
    </row>
    <row r="526" spans="1:14" x14ac:dyDescent="0.15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24"/>
        <v>500</v>
      </c>
      <c r="I526" s="7" t="s">
        <v>38</v>
      </c>
      <c r="J526" s="10">
        <v>4600</v>
      </c>
      <c r="K526" s="11">
        <f t="shared" si="25"/>
        <v>9.1999999999999993</v>
      </c>
      <c r="L526" s="7" t="s">
        <v>306</v>
      </c>
      <c r="M526" s="15">
        <f t="shared" si="26"/>
        <v>1.2000000000000011</v>
      </c>
      <c r="N526" t="str">
        <f>IF(match_results!C526="完全一致","〇","×")</f>
        <v>〇</v>
      </c>
    </row>
    <row r="527" spans="1:14" x14ac:dyDescent="0.15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24"/>
        <v>10</v>
      </c>
      <c r="I527" s="7" t="s">
        <v>88</v>
      </c>
      <c r="J527" s="12">
        <v>880</v>
      </c>
      <c r="K527" s="11">
        <f t="shared" si="25"/>
        <v>88</v>
      </c>
      <c r="L527" s="7" t="s">
        <v>306</v>
      </c>
      <c r="M527" s="15">
        <f t="shared" si="26"/>
        <v>12</v>
      </c>
      <c r="N527" t="str">
        <f>IF(match_results!C527="完全一致","〇","×")</f>
        <v>〇</v>
      </c>
    </row>
    <row r="528" spans="1:14" x14ac:dyDescent="0.15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24"/>
        <v>100</v>
      </c>
      <c r="I528" s="7" t="s">
        <v>38</v>
      </c>
      <c r="J528" s="10">
        <v>13630</v>
      </c>
      <c r="K528" s="11">
        <f t="shared" si="25"/>
        <v>136.30000000000001</v>
      </c>
      <c r="L528" s="7" t="s">
        <v>353</v>
      </c>
      <c r="M528" s="15">
        <f t="shared" si="26"/>
        <v>16.699999999999989</v>
      </c>
      <c r="N528" t="str">
        <f>IF(match_results!C528="完全一致","〇","×")</f>
        <v>〇</v>
      </c>
    </row>
    <row r="529" spans="1:14" x14ac:dyDescent="0.15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24"/>
        <v>56.000000000000007</v>
      </c>
      <c r="I529" s="7" t="s">
        <v>38</v>
      </c>
      <c r="J529" s="10">
        <v>9480</v>
      </c>
      <c r="K529" s="11">
        <f t="shared" si="25"/>
        <v>169.28571428571428</v>
      </c>
      <c r="L529" s="7" t="s">
        <v>246</v>
      </c>
      <c r="M529" s="15">
        <f t="shared" si="26"/>
        <v>26.414285714285711</v>
      </c>
      <c r="N529" t="str">
        <f>IF(match_results!C529="完全一致","〇","×")</f>
        <v>〇</v>
      </c>
    </row>
    <row r="530" spans="1:14" x14ac:dyDescent="0.15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24"/>
        <v>10</v>
      </c>
      <c r="I530" s="7" t="s">
        <v>778</v>
      </c>
      <c r="J530" s="10">
        <v>1154</v>
      </c>
      <c r="K530" s="11">
        <f t="shared" si="25"/>
        <v>115.4</v>
      </c>
      <c r="L530" s="7" t="s">
        <v>136</v>
      </c>
      <c r="M530" s="15">
        <f t="shared" si="26"/>
        <v>11.599999999999994</v>
      </c>
      <c r="N530" t="str">
        <f>IF(match_results!C530="完全一致","〇","×")</f>
        <v>〇</v>
      </c>
    </row>
    <row r="531" spans="1:14" x14ac:dyDescent="0.15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24"/>
        <v>100</v>
      </c>
      <c r="I531" s="7" t="s">
        <v>38</v>
      </c>
      <c r="J531" s="10">
        <v>940</v>
      </c>
      <c r="K531" s="11">
        <f t="shared" si="25"/>
        <v>9.4</v>
      </c>
      <c r="L531" s="7" t="s">
        <v>303</v>
      </c>
      <c r="M531" s="15">
        <f t="shared" si="26"/>
        <v>1</v>
      </c>
      <c r="N531" t="str">
        <f>IF(match_results!C531="完全一致","〇","×")</f>
        <v>〇</v>
      </c>
    </row>
    <row r="532" spans="1:14" x14ac:dyDescent="0.15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24"/>
        <v>10</v>
      </c>
      <c r="I532" s="7" t="s">
        <v>88</v>
      </c>
      <c r="J532" s="12">
        <v>623</v>
      </c>
      <c r="K532" s="11">
        <f t="shared" si="25"/>
        <v>62.3</v>
      </c>
      <c r="L532" s="7" t="s">
        <v>303</v>
      </c>
      <c r="M532" s="15">
        <f t="shared" si="26"/>
        <v>7.7000000000000028</v>
      </c>
      <c r="N532" t="str">
        <f>IF(match_results!C532="完全一致","〇","×")</f>
        <v>〇</v>
      </c>
    </row>
    <row r="533" spans="1:14" x14ac:dyDescent="0.15">
      <c r="A533" s="6" t="s">
        <v>862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24"/>
        <v>500</v>
      </c>
      <c r="I533" s="7" t="s">
        <v>13</v>
      </c>
      <c r="J533" s="10">
        <v>3391</v>
      </c>
      <c r="K533" s="11">
        <f t="shared" si="25"/>
        <v>6.782</v>
      </c>
      <c r="L533" s="7" t="s">
        <v>303</v>
      </c>
      <c r="M533" s="15">
        <f t="shared" si="26"/>
        <v>0.71799999999999997</v>
      </c>
      <c r="N533" t="str">
        <f>IF(match_results!C533="完全一致","〇","×")</f>
        <v>×</v>
      </c>
    </row>
    <row r="534" spans="1:14" x14ac:dyDescent="0.15">
      <c r="A534" s="6" t="s">
        <v>863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24"/>
        <v>100</v>
      </c>
      <c r="I534" s="7" t="s">
        <v>38</v>
      </c>
      <c r="J534" s="10">
        <v>530</v>
      </c>
      <c r="K534" s="11">
        <f t="shared" si="25"/>
        <v>5.3</v>
      </c>
      <c r="L534" s="7" t="s">
        <v>251</v>
      </c>
      <c r="M534" s="15">
        <f t="shared" si="26"/>
        <v>0.79999999999999982</v>
      </c>
      <c r="N534" t="str">
        <f>IF(match_results!C534="完全一致","〇","×")</f>
        <v>×</v>
      </c>
    </row>
    <row r="535" spans="1:14" x14ac:dyDescent="0.15">
      <c r="A535" s="6" t="s">
        <v>864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24"/>
        <v>100</v>
      </c>
      <c r="I535" s="7" t="s">
        <v>38</v>
      </c>
      <c r="J535" s="10">
        <v>1006</v>
      </c>
      <c r="K535" s="11">
        <f t="shared" si="25"/>
        <v>10.06</v>
      </c>
      <c r="L535" s="7" t="s">
        <v>72</v>
      </c>
      <c r="M535" s="15">
        <f t="shared" si="26"/>
        <v>1.2400000000000002</v>
      </c>
      <c r="N535" t="str">
        <f>IF(match_results!C535="完全一致","〇","×")</f>
        <v>〇</v>
      </c>
    </row>
    <row r="536" spans="1:14" x14ac:dyDescent="0.15">
      <c r="A536" s="6" t="s">
        <v>865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24"/>
        <v>500.00000000000006</v>
      </c>
      <c r="I536" s="7" t="s">
        <v>38</v>
      </c>
      <c r="J536" s="10">
        <v>2623</v>
      </c>
      <c r="K536" s="11">
        <f t="shared" si="25"/>
        <v>5.2459999999999996</v>
      </c>
      <c r="L536" s="7" t="s">
        <v>136</v>
      </c>
      <c r="M536" s="15">
        <f t="shared" si="26"/>
        <v>0.85400000000000009</v>
      </c>
      <c r="N536" t="str">
        <f>IF(match_results!C536="完全一致","〇","×")</f>
        <v>〇</v>
      </c>
    </row>
    <row r="537" spans="1:14" x14ac:dyDescent="0.15">
      <c r="A537" s="6" t="s">
        <v>865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24"/>
        <v>500.00000000000006</v>
      </c>
      <c r="I537" s="7" t="s">
        <v>38</v>
      </c>
      <c r="J537" s="10">
        <v>2623</v>
      </c>
      <c r="K537" s="11">
        <f t="shared" si="25"/>
        <v>5.2459999999999996</v>
      </c>
      <c r="L537" s="7" t="s">
        <v>136</v>
      </c>
      <c r="M537" s="15">
        <f t="shared" si="26"/>
        <v>0.85400000000000009</v>
      </c>
      <c r="N537" t="str">
        <f>IF(match_results!C537="完全一致","〇","×")</f>
        <v>〇</v>
      </c>
    </row>
    <row r="538" spans="1:14" x14ac:dyDescent="0.15">
      <c r="A538" s="6" t="s">
        <v>866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24"/>
        <v>500</v>
      </c>
      <c r="I538" s="7" t="s">
        <v>13</v>
      </c>
      <c r="J538" s="12">
        <v>4040</v>
      </c>
      <c r="K538" s="11">
        <f t="shared" si="25"/>
        <v>8.08</v>
      </c>
      <c r="L538" s="7" t="s">
        <v>136</v>
      </c>
      <c r="M538" s="15">
        <f t="shared" si="26"/>
        <v>1.3200000000000003</v>
      </c>
      <c r="N538" t="str">
        <f>IF(match_results!C538="完全一致","〇","×")</f>
        <v>×</v>
      </c>
    </row>
    <row r="539" spans="1:14" x14ac:dyDescent="0.15">
      <c r="A539" s="6" t="s">
        <v>867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24"/>
        <v>99.999999999999986</v>
      </c>
      <c r="I539" s="7" t="s">
        <v>38</v>
      </c>
      <c r="J539" s="10">
        <v>12765</v>
      </c>
      <c r="K539" s="11">
        <f t="shared" si="25"/>
        <v>127.65000000000002</v>
      </c>
      <c r="L539" s="7" t="s">
        <v>407</v>
      </c>
      <c r="M539" s="15">
        <f t="shared" si="26"/>
        <v>21.649999999999991</v>
      </c>
      <c r="N539" t="str">
        <f>IF(match_results!C539="完全一致","〇","×")</f>
        <v>〇</v>
      </c>
    </row>
    <row r="540" spans="1:14" x14ac:dyDescent="0.15">
      <c r="A540" s="6" t="s">
        <v>868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24"/>
        <v>100</v>
      </c>
      <c r="I540" s="7" t="s">
        <v>38</v>
      </c>
      <c r="J540" s="10">
        <v>900</v>
      </c>
      <c r="K540" s="11">
        <f t="shared" si="25"/>
        <v>9</v>
      </c>
      <c r="L540" s="7" t="s">
        <v>799</v>
      </c>
      <c r="M540" s="15">
        <f t="shared" si="26"/>
        <v>1.0999999999999996</v>
      </c>
      <c r="N540" t="str">
        <f>IF(match_results!C540="完全一致","〇","×")</f>
        <v>×</v>
      </c>
    </row>
    <row r="541" spans="1:14" x14ac:dyDescent="0.15">
      <c r="A541" s="6" t="s">
        <v>869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24"/>
        <v>10</v>
      </c>
      <c r="I541" s="7" t="s">
        <v>1224</v>
      </c>
      <c r="J541" s="10">
        <v>532</v>
      </c>
      <c r="K541" s="11">
        <f t="shared" si="25"/>
        <v>53.2</v>
      </c>
      <c r="L541" s="7" t="s">
        <v>193</v>
      </c>
      <c r="M541" s="15">
        <f t="shared" si="26"/>
        <v>7.7999999999999972</v>
      </c>
      <c r="N541" t="str">
        <f>IF(match_results!C541="完全一致","〇","×")</f>
        <v>×</v>
      </c>
    </row>
    <row r="542" spans="1:14" x14ac:dyDescent="0.15">
      <c r="A542" s="6" t="s">
        <v>870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24"/>
        <v>50</v>
      </c>
      <c r="I542" s="7" t="s">
        <v>127</v>
      </c>
      <c r="J542" s="10">
        <v>349</v>
      </c>
      <c r="K542" s="11">
        <f t="shared" si="25"/>
        <v>6.98</v>
      </c>
      <c r="L542" s="7" t="s">
        <v>871</v>
      </c>
      <c r="M542" s="15">
        <f t="shared" si="26"/>
        <v>0.71999999999999975</v>
      </c>
      <c r="N542" t="str">
        <f>IF(match_results!C542="完全一致","〇","×")</f>
        <v>×</v>
      </c>
    </row>
    <row r="543" spans="1:14" x14ac:dyDescent="0.15">
      <c r="A543" s="6" t="s">
        <v>872</v>
      </c>
      <c r="B543" s="6" t="s">
        <v>9</v>
      </c>
      <c r="C543" s="7" t="s">
        <v>10</v>
      </c>
      <c r="D543" s="6" t="s">
        <v>873</v>
      </c>
      <c r="E543" s="6" t="s">
        <v>96</v>
      </c>
      <c r="F543" s="8">
        <v>100</v>
      </c>
      <c r="G543" s="8">
        <v>1000</v>
      </c>
      <c r="H543" s="9">
        <f t="shared" si="24"/>
        <v>10</v>
      </c>
      <c r="I543" s="7" t="s">
        <v>874</v>
      </c>
      <c r="J543" s="10">
        <v>890</v>
      </c>
      <c r="K543" s="11">
        <f t="shared" si="25"/>
        <v>89</v>
      </c>
      <c r="L543" s="7" t="s">
        <v>871</v>
      </c>
      <c r="M543" s="15">
        <f t="shared" si="26"/>
        <v>11</v>
      </c>
      <c r="N543" t="str">
        <f>IF(match_results!C543="完全一致","〇","×")</f>
        <v>×</v>
      </c>
    </row>
    <row r="544" spans="1:14" x14ac:dyDescent="0.15">
      <c r="A544" s="6" t="s">
        <v>875</v>
      </c>
      <c r="B544" s="6" t="s">
        <v>9</v>
      </c>
      <c r="C544" s="7" t="s">
        <v>10</v>
      </c>
      <c r="D544" s="6" t="s">
        <v>876</v>
      </c>
      <c r="E544" s="6" t="s">
        <v>96</v>
      </c>
      <c r="F544" s="8">
        <v>151</v>
      </c>
      <c r="G544" s="8">
        <v>1510</v>
      </c>
      <c r="H544" s="9">
        <f t="shared" si="24"/>
        <v>10</v>
      </c>
      <c r="I544" s="7" t="s">
        <v>147</v>
      </c>
      <c r="J544" s="10">
        <v>1345</v>
      </c>
      <c r="K544" s="11">
        <f t="shared" si="25"/>
        <v>134.5</v>
      </c>
      <c r="L544" s="7" t="s">
        <v>871</v>
      </c>
      <c r="M544" s="15">
        <f t="shared" si="26"/>
        <v>16.5</v>
      </c>
      <c r="N544" t="str">
        <f>IF(match_results!C544="完全一致","〇","×")</f>
        <v>×</v>
      </c>
    </row>
    <row r="545" spans="1:14" x14ac:dyDescent="0.15">
      <c r="A545" s="6" t="s">
        <v>877</v>
      </c>
      <c r="B545" s="6" t="s">
        <v>9</v>
      </c>
      <c r="C545" s="7" t="s">
        <v>10</v>
      </c>
      <c r="D545" s="6" t="s">
        <v>878</v>
      </c>
      <c r="E545" s="6" t="s">
        <v>96</v>
      </c>
      <c r="F545" s="8">
        <v>100</v>
      </c>
      <c r="G545" s="8">
        <v>1000</v>
      </c>
      <c r="H545" s="9">
        <f t="shared" si="24"/>
        <v>10</v>
      </c>
      <c r="I545" s="7" t="s">
        <v>874</v>
      </c>
      <c r="J545" s="10">
        <v>890</v>
      </c>
      <c r="K545" s="11">
        <f t="shared" si="25"/>
        <v>89</v>
      </c>
      <c r="L545" s="7" t="s">
        <v>871</v>
      </c>
      <c r="M545" s="15">
        <f t="shared" si="26"/>
        <v>11</v>
      </c>
      <c r="N545" t="str">
        <f>IF(match_results!C545="完全一致","〇","×")</f>
        <v>×</v>
      </c>
    </row>
    <row r="546" spans="1:14" x14ac:dyDescent="0.15">
      <c r="A546" s="6" t="s">
        <v>879</v>
      </c>
      <c r="B546" s="6" t="s">
        <v>90</v>
      </c>
      <c r="C546" s="7" t="s">
        <v>39</v>
      </c>
      <c r="D546" s="6" t="s">
        <v>880</v>
      </c>
      <c r="E546" s="6" t="s">
        <v>241</v>
      </c>
      <c r="F546" s="8">
        <v>36.200000000000003</v>
      </c>
      <c r="G546" s="8">
        <v>3620</v>
      </c>
      <c r="H546" s="9">
        <f t="shared" si="24"/>
        <v>99.999999999999986</v>
      </c>
      <c r="I546" s="7" t="s">
        <v>38</v>
      </c>
      <c r="J546" s="10">
        <v>3221</v>
      </c>
      <c r="K546" s="11">
        <f t="shared" si="25"/>
        <v>32.210000000000008</v>
      </c>
      <c r="L546" s="7" t="s">
        <v>881</v>
      </c>
      <c r="M546" s="15">
        <f t="shared" si="26"/>
        <v>3.9899999999999949</v>
      </c>
      <c r="N546" t="str">
        <f>IF(match_results!C546="完全一致","〇","×")</f>
        <v>〇</v>
      </c>
    </row>
    <row r="547" spans="1:14" x14ac:dyDescent="0.15">
      <c r="A547" s="6" t="s">
        <v>882</v>
      </c>
      <c r="B547" s="6" t="s">
        <v>71</v>
      </c>
      <c r="C547" s="7" t="s">
        <v>39</v>
      </c>
      <c r="D547" s="6" t="s">
        <v>113</v>
      </c>
      <c r="E547" s="6" t="s">
        <v>883</v>
      </c>
      <c r="F547" s="8">
        <v>54.3</v>
      </c>
      <c r="G547" s="8">
        <v>3258</v>
      </c>
      <c r="H547" s="9">
        <f t="shared" si="24"/>
        <v>60</v>
      </c>
      <c r="I547" s="7" t="s">
        <v>38</v>
      </c>
      <c r="J547" s="10">
        <v>2961</v>
      </c>
      <c r="K547" s="11">
        <f t="shared" si="25"/>
        <v>49.35</v>
      </c>
      <c r="L547" s="7" t="s">
        <v>441</v>
      </c>
      <c r="M547" s="15">
        <f t="shared" si="26"/>
        <v>4.9499999999999957</v>
      </c>
      <c r="N547" t="str">
        <f>IF(match_results!C547="完全一致","〇","×")</f>
        <v>〇</v>
      </c>
    </row>
    <row r="548" spans="1:14" x14ac:dyDescent="0.15">
      <c r="A548" s="6" t="s">
        <v>884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24"/>
        <v>100</v>
      </c>
      <c r="I548" s="7" t="s">
        <v>38</v>
      </c>
      <c r="J548" s="10">
        <v>910</v>
      </c>
      <c r="K548" s="11">
        <f t="shared" si="25"/>
        <v>9.1</v>
      </c>
      <c r="L548" s="7" t="s">
        <v>59</v>
      </c>
      <c r="M548" s="15">
        <f t="shared" si="26"/>
        <v>1.3000000000000007</v>
      </c>
      <c r="N548" t="str">
        <f>IF(match_results!C548="完全一致","〇","×")</f>
        <v>〇</v>
      </c>
    </row>
    <row r="549" spans="1:14" x14ac:dyDescent="0.15">
      <c r="A549" s="6" t="s">
        <v>884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24"/>
        <v>1000</v>
      </c>
      <c r="I549" s="7" t="s">
        <v>38</v>
      </c>
      <c r="J549" s="10">
        <v>9100</v>
      </c>
      <c r="K549" s="11">
        <f t="shared" si="25"/>
        <v>9.1</v>
      </c>
      <c r="L549" s="7" t="s">
        <v>59</v>
      </c>
      <c r="M549" s="15">
        <f t="shared" si="26"/>
        <v>1.3000000000000007</v>
      </c>
      <c r="N549" t="str">
        <f>IF(match_results!C549="完全一致","〇","×")</f>
        <v>〇</v>
      </c>
    </row>
    <row r="550" spans="1:14" x14ac:dyDescent="0.15">
      <c r="A550" s="6" t="s">
        <v>885</v>
      </c>
      <c r="B550" s="6" t="s">
        <v>9</v>
      </c>
      <c r="C550" s="7" t="s">
        <v>10</v>
      </c>
      <c r="D550" s="6" t="s">
        <v>886</v>
      </c>
      <c r="E550" s="6" t="s">
        <v>70</v>
      </c>
      <c r="F550" s="8">
        <v>24939</v>
      </c>
      <c r="G550" s="8">
        <v>24939</v>
      </c>
      <c r="H550" s="9">
        <f t="shared" si="24"/>
        <v>1</v>
      </c>
      <c r="I550" s="7" t="s">
        <v>269</v>
      </c>
      <c r="J550" s="10">
        <v>21600</v>
      </c>
      <c r="K550" s="11">
        <f t="shared" si="25"/>
        <v>21600</v>
      </c>
      <c r="L550" s="7" t="s">
        <v>270</v>
      </c>
      <c r="M550" s="15">
        <f t="shared" si="26"/>
        <v>3339</v>
      </c>
      <c r="N550" t="str">
        <f>IF(match_results!C550="完全一致","〇","×")</f>
        <v>×</v>
      </c>
    </row>
    <row r="551" spans="1:14" x14ac:dyDescent="0.15">
      <c r="A551" s="6" t="s">
        <v>887</v>
      </c>
      <c r="B551" s="6" t="s">
        <v>44</v>
      </c>
      <c r="C551" s="7" t="s">
        <v>10</v>
      </c>
      <c r="D551" s="6" t="s">
        <v>888</v>
      </c>
      <c r="E551" s="6" t="s">
        <v>591</v>
      </c>
      <c r="F551" s="8">
        <v>38.4</v>
      </c>
      <c r="G551" s="8">
        <v>2688</v>
      </c>
      <c r="H551" s="9">
        <f t="shared" si="24"/>
        <v>70</v>
      </c>
      <c r="I551" s="7" t="s">
        <v>181</v>
      </c>
      <c r="J551" s="10">
        <v>2394</v>
      </c>
      <c r="K551" s="11">
        <f t="shared" si="25"/>
        <v>34.200000000000003</v>
      </c>
      <c r="L551" s="7" t="s">
        <v>163</v>
      </c>
      <c r="M551" s="15">
        <f t="shared" si="26"/>
        <v>4.1999999999999957</v>
      </c>
      <c r="N551" t="str">
        <f>IF(match_results!C551="完全一致","〇","×")</f>
        <v>〇</v>
      </c>
    </row>
    <row r="552" spans="1:14" x14ac:dyDescent="0.15">
      <c r="A552" s="6" t="s">
        <v>889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24"/>
        <v>10</v>
      </c>
      <c r="I552" s="7" t="s">
        <v>88</v>
      </c>
      <c r="J552" s="10">
        <v>544</v>
      </c>
      <c r="K552" s="11">
        <f t="shared" si="25"/>
        <v>54.4</v>
      </c>
      <c r="L552" s="7" t="s">
        <v>63</v>
      </c>
      <c r="M552" s="15">
        <f t="shared" si="26"/>
        <v>6.6000000000000014</v>
      </c>
      <c r="N552" t="str">
        <f>IF(match_results!C552="完全一致","〇","×")</f>
        <v>〇</v>
      </c>
    </row>
    <row r="553" spans="1:14" x14ac:dyDescent="0.15">
      <c r="A553" s="6" t="s">
        <v>890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24"/>
        <v>100</v>
      </c>
      <c r="I553" s="7" t="s">
        <v>38</v>
      </c>
      <c r="J553" s="10">
        <v>899</v>
      </c>
      <c r="K553" s="11">
        <f t="shared" si="25"/>
        <v>8.99</v>
      </c>
      <c r="L553" s="7" t="s">
        <v>159</v>
      </c>
      <c r="M553" s="15">
        <f t="shared" si="26"/>
        <v>1.1099999999999994</v>
      </c>
      <c r="N553" t="str">
        <f>IF(match_results!C553="完全一致","〇","×")</f>
        <v>〇</v>
      </c>
    </row>
    <row r="554" spans="1:14" x14ac:dyDescent="0.15">
      <c r="A554" s="6" t="s">
        <v>891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24"/>
        <v>50</v>
      </c>
      <c r="I554" s="7" t="s">
        <v>75</v>
      </c>
      <c r="J554" s="12">
        <v>824</v>
      </c>
      <c r="K554" s="11">
        <f t="shared" si="25"/>
        <v>16.48</v>
      </c>
      <c r="L554" s="7" t="s">
        <v>76</v>
      </c>
      <c r="M554" s="15">
        <f t="shared" si="26"/>
        <v>2.0199999999999996</v>
      </c>
      <c r="N554" t="str">
        <f>IF(match_results!C554="完全一致","〇","×")</f>
        <v>×</v>
      </c>
    </row>
    <row r="555" spans="1:14" x14ac:dyDescent="0.15">
      <c r="A555" s="6" t="s">
        <v>892</v>
      </c>
      <c r="B555" s="6" t="s">
        <v>10</v>
      </c>
      <c r="C555" s="7" t="s">
        <v>10</v>
      </c>
      <c r="D555" s="6" t="s">
        <v>893</v>
      </c>
      <c r="E555" s="6" t="s">
        <v>432</v>
      </c>
      <c r="F555" s="8">
        <v>1416</v>
      </c>
      <c r="G555" s="8">
        <v>7080</v>
      </c>
      <c r="H555" s="9">
        <f t="shared" si="24"/>
        <v>5</v>
      </c>
      <c r="I555" s="7" t="s">
        <v>110</v>
      </c>
      <c r="J555" s="12">
        <v>6307</v>
      </c>
      <c r="K555" s="11">
        <f t="shared" si="25"/>
        <v>1261.4000000000001</v>
      </c>
      <c r="L555" s="7" t="s">
        <v>165</v>
      </c>
      <c r="M555" s="15">
        <f t="shared" si="26"/>
        <v>154.59999999999991</v>
      </c>
      <c r="N555" t="str">
        <f>IF(match_results!C555="完全一致","〇","×")</f>
        <v>〇</v>
      </c>
    </row>
    <row r="556" spans="1:14" x14ac:dyDescent="0.15">
      <c r="A556" s="6" t="s">
        <v>894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24"/>
        <v>999.99999999999989</v>
      </c>
      <c r="I556" s="7" t="s">
        <v>38</v>
      </c>
      <c r="J556" s="10">
        <v>5180</v>
      </c>
      <c r="K556" s="11">
        <f t="shared" si="25"/>
        <v>5.1800000000000006</v>
      </c>
      <c r="L556" s="7" t="s">
        <v>303</v>
      </c>
      <c r="M556" s="15">
        <f t="shared" si="26"/>
        <v>0.71999999999999975</v>
      </c>
      <c r="N556" t="str">
        <f>IF(match_results!C556="完全一致","〇","×")</f>
        <v>〇</v>
      </c>
    </row>
    <row r="557" spans="1:14" x14ac:dyDescent="0.15">
      <c r="A557" s="6" t="s">
        <v>894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24"/>
        <v>999.99999999999989</v>
      </c>
      <c r="I557" s="7" t="s">
        <v>38</v>
      </c>
      <c r="J557" s="10">
        <v>5180</v>
      </c>
      <c r="K557" s="11">
        <f t="shared" si="25"/>
        <v>5.1800000000000006</v>
      </c>
      <c r="L557" s="7" t="s">
        <v>303</v>
      </c>
      <c r="M557" s="15">
        <f t="shared" si="26"/>
        <v>0.71999999999999975</v>
      </c>
      <c r="N557" t="str">
        <f>IF(match_results!C557="完全一致","〇","×")</f>
        <v>〇</v>
      </c>
    </row>
    <row r="558" spans="1:14" x14ac:dyDescent="0.15">
      <c r="A558" s="6" t="s">
        <v>895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24"/>
        <v>1000.0000000000001</v>
      </c>
      <c r="I558" s="7" t="s">
        <v>38</v>
      </c>
      <c r="J558" s="10">
        <v>5356</v>
      </c>
      <c r="K558" s="11">
        <f t="shared" si="25"/>
        <v>5.355999999999999</v>
      </c>
      <c r="L558" s="7" t="s">
        <v>303</v>
      </c>
      <c r="M558" s="15">
        <f t="shared" si="26"/>
        <v>0.74400000000000066</v>
      </c>
      <c r="N558" t="str">
        <f>IF(match_results!C558="完全一致","〇","×")</f>
        <v>〇</v>
      </c>
    </row>
    <row r="559" spans="1:14" x14ac:dyDescent="0.15">
      <c r="A559" s="6" t="s">
        <v>895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24"/>
        <v>1000.0000000000001</v>
      </c>
      <c r="I559" s="7" t="s">
        <v>38</v>
      </c>
      <c r="J559" s="10">
        <v>5356</v>
      </c>
      <c r="K559" s="11">
        <f t="shared" si="25"/>
        <v>5.355999999999999</v>
      </c>
      <c r="L559" s="7" t="s">
        <v>303</v>
      </c>
      <c r="M559" s="15">
        <f t="shared" si="26"/>
        <v>0.74400000000000066</v>
      </c>
      <c r="N559" t="str">
        <f>IF(match_results!C559="完全一致","〇","×")</f>
        <v>〇</v>
      </c>
    </row>
    <row r="560" spans="1:14" x14ac:dyDescent="0.15">
      <c r="A560" s="6" t="s">
        <v>896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24"/>
        <v>100</v>
      </c>
      <c r="I560" s="7" t="s">
        <v>38</v>
      </c>
      <c r="J560" s="10">
        <v>918</v>
      </c>
      <c r="K560" s="11">
        <f t="shared" si="25"/>
        <v>9.18</v>
      </c>
      <c r="L560" s="7" t="s">
        <v>224</v>
      </c>
      <c r="M560" s="15">
        <f t="shared" si="26"/>
        <v>2.2200000000000006</v>
      </c>
      <c r="N560" t="str">
        <f>IF(match_results!C560="完全一致","〇","×")</f>
        <v>〇</v>
      </c>
    </row>
    <row r="561" spans="1:14" x14ac:dyDescent="0.15">
      <c r="A561" s="6" t="s">
        <v>897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24"/>
        <v>100</v>
      </c>
      <c r="I561" s="7" t="s">
        <v>38</v>
      </c>
      <c r="J561" s="10">
        <v>1473</v>
      </c>
      <c r="K561" s="11">
        <f t="shared" si="25"/>
        <v>14.73</v>
      </c>
      <c r="L561" s="7" t="s">
        <v>224</v>
      </c>
      <c r="M561" s="15">
        <f t="shared" si="26"/>
        <v>3.5700000000000003</v>
      </c>
      <c r="N561" t="str">
        <f>IF(match_results!C561="完全一致","〇","×")</f>
        <v>〇</v>
      </c>
    </row>
    <row r="562" spans="1:14" x14ac:dyDescent="0.15">
      <c r="A562" s="6" t="s">
        <v>898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24"/>
        <v>100</v>
      </c>
      <c r="I562" s="7" t="s">
        <v>38</v>
      </c>
      <c r="J562" s="10">
        <v>766</v>
      </c>
      <c r="K562" s="11">
        <f t="shared" si="25"/>
        <v>7.66</v>
      </c>
      <c r="L562" s="7" t="s">
        <v>321</v>
      </c>
      <c r="M562" s="15">
        <f t="shared" si="26"/>
        <v>0.9399999999999995</v>
      </c>
      <c r="N562" t="str">
        <f>IF(match_results!C562="完全一致","〇","×")</f>
        <v>〇</v>
      </c>
    </row>
    <row r="563" spans="1:14" x14ac:dyDescent="0.15">
      <c r="A563" s="6" t="s">
        <v>899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24"/>
        <v>100</v>
      </c>
      <c r="I563" s="7" t="s">
        <v>38</v>
      </c>
      <c r="J563" s="10">
        <v>900</v>
      </c>
      <c r="K563" s="11">
        <f t="shared" si="25"/>
        <v>9</v>
      </c>
      <c r="L563" s="7" t="s">
        <v>321</v>
      </c>
      <c r="M563" s="15">
        <f t="shared" si="26"/>
        <v>1.0999999999999996</v>
      </c>
      <c r="N563" t="str">
        <f>IF(match_results!C563="完全一致","〇","×")</f>
        <v>×</v>
      </c>
    </row>
    <row r="564" spans="1:14" x14ac:dyDescent="0.15">
      <c r="A564" s="6" t="s">
        <v>900</v>
      </c>
      <c r="B564" s="6" t="s">
        <v>44</v>
      </c>
      <c r="C564" s="7" t="s">
        <v>10</v>
      </c>
      <c r="D564" s="6" t="s">
        <v>901</v>
      </c>
      <c r="E564" s="6" t="s">
        <v>406</v>
      </c>
      <c r="F564" s="8">
        <v>34.299999999999997</v>
      </c>
      <c r="G564" s="8">
        <v>1029</v>
      </c>
      <c r="H564" s="9">
        <f t="shared" si="24"/>
        <v>30.000000000000004</v>
      </c>
      <c r="I564" s="7" t="s">
        <v>13</v>
      </c>
      <c r="J564" s="10">
        <v>916</v>
      </c>
      <c r="K564" s="11">
        <f t="shared" si="25"/>
        <v>30.533333333333331</v>
      </c>
      <c r="L564" s="7" t="s">
        <v>102</v>
      </c>
      <c r="M564" s="15">
        <f t="shared" si="26"/>
        <v>3.7666666666666657</v>
      </c>
      <c r="N564" t="str">
        <f>IF(match_results!C564="完全一致","〇","×")</f>
        <v>〇</v>
      </c>
    </row>
    <row r="565" spans="1:14" x14ac:dyDescent="0.15">
      <c r="A565" s="6" t="s">
        <v>902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24"/>
        <v>100</v>
      </c>
      <c r="I565" s="7" t="s">
        <v>13</v>
      </c>
      <c r="J565" s="10">
        <v>2490</v>
      </c>
      <c r="K565" s="11">
        <f t="shared" si="25"/>
        <v>24.9</v>
      </c>
      <c r="L565" s="7" t="s">
        <v>159</v>
      </c>
      <c r="M565" s="15">
        <f t="shared" si="26"/>
        <v>2.5</v>
      </c>
      <c r="N565" t="str">
        <f>IF(match_results!C565="完全一致","〇","×")</f>
        <v>〇</v>
      </c>
    </row>
    <row r="566" spans="1:14" x14ac:dyDescent="0.15">
      <c r="A566" s="6" t="s">
        <v>903</v>
      </c>
      <c r="B566" s="6" t="s">
        <v>9</v>
      </c>
      <c r="C566" s="7" t="s">
        <v>67</v>
      </c>
      <c r="D566" s="6" t="s">
        <v>904</v>
      </c>
      <c r="E566" s="6" t="s">
        <v>257</v>
      </c>
      <c r="F566" s="8">
        <v>6.3</v>
      </c>
      <c r="G566" s="8">
        <v>7560</v>
      </c>
      <c r="H566" s="9">
        <f t="shared" si="24"/>
        <v>1200</v>
      </c>
      <c r="I566" s="7" t="s">
        <v>38</v>
      </c>
      <c r="J566" s="10">
        <v>6432</v>
      </c>
      <c r="K566" s="11">
        <f t="shared" si="25"/>
        <v>5.36</v>
      </c>
      <c r="L566" s="7" t="s">
        <v>159</v>
      </c>
      <c r="M566" s="15">
        <f t="shared" si="26"/>
        <v>0.9399999999999995</v>
      </c>
      <c r="N566" t="str">
        <f>IF(match_results!C566="完全一致","〇","×")</f>
        <v>〇</v>
      </c>
    </row>
    <row r="567" spans="1:14" x14ac:dyDescent="0.15">
      <c r="A567" s="6" t="s">
        <v>905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24"/>
        <v>50</v>
      </c>
      <c r="I567" s="7" t="s">
        <v>88</v>
      </c>
      <c r="J567" s="10">
        <v>2672</v>
      </c>
      <c r="K567" s="11">
        <f t="shared" si="25"/>
        <v>53.44</v>
      </c>
      <c r="L567" s="7" t="s">
        <v>159</v>
      </c>
      <c r="M567" s="15">
        <f t="shared" si="26"/>
        <v>6.5600000000000023</v>
      </c>
      <c r="N567" t="str">
        <f>IF(match_results!C567="完全一致","〇","×")</f>
        <v>×</v>
      </c>
    </row>
    <row r="568" spans="1:14" x14ac:dyDescent="0.15">
      <c r="A568" s="6" t="s">
        <v>906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24"/>
        <v>50</v>
      </c>
      <c r="I568" s="7" t="s">
        <v>88</v>
      </c>
      <c r="J568" s="10">
        <v>2675</v>
      </c>
      <c r="K568" s="11">
        <f t="shared" si="25"/>
        <v>53.5</v>
      </c>
      <c r="L568" s="7" t="s">
        <v>159</v>
      </c>
      <c r="M568" s="15">
        <f t="shared" si="26"/>
        <v>6.5</v>
      </c>
      <c r="N568" t="str">
        <f>IF(match_results!C568="完全一致","〇","×")</f>
        <v>〇</v>
      </c>
    </row>
    <row r="569" spans="1:14" x14ac:dyDescent="0.15">
      <c r="A569" s="6" t="s">
        <v>907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24"/>
        <v>1000</v>
      </c>
      <c r="I569" s="7" t="s">
        <v>38</v>
      </c>
      <c r="J569" s="10">
        <v>8790</v>
      </c>
      <c r="K569" s="11">
        <f t="shared" si="25"/>
        <v>8.7899999999999991</v>
      </c>
      <c r="L569" s="7" t="s">
        <v>303</v>
      </c>
      <c r="M569" s="15">
        <f t="shared" si="26"/>
        <v>1.6100000000000012</v>
      </c>
      <c r="N569" t="str">
        <f>IF(match_results!C569="完全一致","〇","×")</f>
        <v>〇</v>
      </c>
    </row>
    <row r="570" spans="1:14" x14ac:dyDescent="0.15">
      <c r="A570" s="6" t="s">
        <v>907</v>
      </c>
      <c r="B570" s="6" t="s">
        <v>90</v>
      </c>
      <c r="C570" s="7" t="s">
        <v>67</v>
      </c>
      <c r="D570" s="6" t="s">
        <v>174</v>
      </c>
      <c r="E570" s="6" t="s">
        <v>908</v>
      </c>
      <c r="F570" s="8">
        <v>10.4</v>
      </c>
      <c r="G570" s="8">
        <v>5200</v>
      </c>
      <c r="H570" s="9">
        <f t="shared" si="24"/>
        <v>500</v>
      </c>
      <c r="I570" s="7" t="s">
        <v>38</v>
      </c>
      <c r="J570" s="10">
        <v>4395</v>
      </c>
      <c r="K570" s="11">
        <f t="shared" si="25"/>
        <v>8.7899999999999991</v>
      </c>
      <c r="L570" s="7" t="s">
        <v>303</v>
      </c>
      <c r="M570" s="15">
        <f t="shared" si="26"/>
        <v>1.6100000000000012</v>
      </c>
      <c r="N570" t="str">
        <f>IF(match_results!C570="完全一致","〇","×")</f>
        <v>〇</v>
      </c>
    </row>
    <row r="571" spans="1:14" x14ac:dyDescent="0.15">
      <c r="A571" s="6" t="s">
        <v>909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24"/>
        <v>50</v>
      </c>
      <c r="I571" s="7" t="s">
        <v>75</v>
      </c>
      <c r="J571" s="12">
        <v>2864</v>
      </c>
      <c r="K571" s="11">
        <f t="shared" si="25"/>
        <v>57.28</v>
      </c>
      <c r="L571" s="7" t="s">
        <v>76</v>
      </c>
      <c r="M571" s="15">
        <f t="shared" si="26"/>
        <v>7.019999999999996</v>
      </c>
      <c r="N571" t="str">
        <f>IF(match_results!C571="完全一致","〇","×")</f>
        <v>〇</v>
      </c>
    </row>
    <row r="572" spans="1:14" x14ac:dyDescent="0.15">
      <c r="A572" s="6" t="s">
        <v>910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24"/>
        <v>100</v>
      </c>
      <c r="I572" s="7" t="s">
        <v>13</v>
      </c>
      <c r="J572" s="10">
        <v>7638</v>
      </c>
      <c r="K572" s="11">
        <f t="shared" si="25"/>
        <v>76.38</v>
      </c>
      <c r="L572" s="7" t="s">
        <v>227</v>
      </c>
      <c r="M572" s="15">
        <f t="shared" si="26"/>
        <v>22.820000000000007</v>
      </c>
      <c r="N572" t="str">
        <f>IF(match_results!C572="完全一致","〇","×")</f>
        <v>〇</v>
      </c>
    </row>
    <row r="573" spans="1:14" x14ac:dyDescent="0.15">
      <c r="A573" s="6" t="s">
        <v>911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24"/>
        <v>99.999999999999986</v>
      </c>
      <c r="I573" s="7" t="s">
        <v>38</v>
      </c>
      <c r="J573" s="10">
        <v>700</v>
      </c>
      <c r="K573" s="11">
        <f t="shared" si="25"/>
        <v>7.0000000000000009</v>
      </c>
      <c r="L573" s="7" t="s">
        <v>227</v>
      </c>
      <c r="M573" s="15">
        <f t="shared" si="26"/>
        <v>2.2999999999999998</v>
      </c>
      <c r="N573" t="str">
        <f>IF(match_results!C573="完全一致","〇","×")</f>
        <v>〇</v>
      </c>
    </row>
    <row r="574" spans="1:14" x14ac:dyDescent="0.15">
      <c r="A574" s="6" t="s">
        <v>912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24"/>
        <v>100</v>
      </c>
      <c r="I574" s="7" t="s">
        <v>38</v>
      </c>
      <c r="J574" s="10">
        <v>1355</v>
      </c>
      <c r="K574" s="11">
        <f t="shared" si="25"/>
        <v>13.55</v>
      </c>
      <c r="L574" s="7" t="s">
        <v>227</v>
      </c>
      <c r="M574" s="15">
        <f t="shared" si="26"/>
        <v>4.4499999999999993</v>
      </c>
      <c r="N574" t="str">
        <f>IF(match_results!C574="完全一致","〇","×")</f>
        <v>〇</v>
      </c>
    </row>
    <row r="575" spans="1:14" x14ac:dyDescent="0.15">
      <c r="A575" s="6" t="s">
        <v>912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24"/>
        <v>1000</v>
      </c>
      <c r="I575" s="7" t="s">
        <v>38</v>
      </c>
      <c r="J575" s="10">
        <v>13550</v>
      </c>
      <c r="K575" s="11">
        <f t="shared" si="25"/>
        <v>13.55</v>
      </c>
      <c r="L575" s="7" t="s">
        <v>227</v>
      </c>
      <c r="M575" s="15">
        <f t="shared" si="26"/>
        <v>4.4499999999999993</v>
      </c>
      <c r="N575" t="str">
        <f>IF(match_results!C575="完全一致","〇","×")</f>
        <v>〇</v>
      </c>
    </row>
    <row r="576" spans="1:14" x14ac:dyDescent="0.15">
      <c r="A576" s="6" t="s">
        <v>913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24"/>
        <v>100</v>
      </c>
      <c r="I576" s="7" t="s">
        <v>38</v>
      </c>
      <c r="J576" s="10">
        <v>2410</v>
      </c>
      <c r="K576" s="11">
        <f t="shared" si="25"/>
        <v>24.1</v>
      </c>
      <c r="L576" s="7" t="s">
        <v>227</v>
      </c>
      <c r="M576" s="15">
        <f t="shared" si="26"/>
        <v>7.8999999999999986</v>
      </c>
      <c r="N576" t="str">
        <f>IF(match_results!C576="完全一致","〇","×")</f>
        <v>〇</v>
      </c>
    </row>
    <row r="577" spans="1:14" x14ac:dyDescent="0.15">
      <c r="A577" s="6" t="s">
        <v>913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27">G577/F577</f>
        <v>1000</v>
      </c>
      <c r="I577" s="7" t="s">
        <v>38</v>
      </c>
      <c r="J577" s="10">
        <v>24100</v>
      </c>
      <c r="K577" s="11">
        <f t="shared" ref="K577:K640" si="28">J577/H577</f>
        <v>24.1</v>
      </c>
      <c r="L577" s="7" t="s">
        <v>227</v>
      </c>
      <c r="M577" s="15">
        <f t="shared" si="26"/>
        <v>7.8999999999999986</v>
      </c>
      <c r="N577" t="str">
        <f>IF(match_results!C577="完全一致","〇","×")</f>
        <v>〇</v>
      </c>
    </row>
    <row r="578" spans="1:14" x14ac:dyDescent="0.15">
      <c r="A578" s="6" t="s">
        <v>914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27"/>
        <v>100</v>
      </c>
      <c r="I578" s="7" t="s">
        <v>38</v>
      </c>
      <c r="J578" s="10">
        <v>1060</v>
      </c>
      <c r="K578" s="11">
        <f t="shared" si="28"/>
        <v>10.6</v>
      </c>
      <c r="L578" s="7" t="s">
        <v>525</v>
      </c>
      <c r="M578" s="15">
        <f t="shared" si="26"/>
        <v>1.4000000000000004</v>
      </c>
      <c r="N578" t="str">
        <f>IF(match_results!C578="完全一致","〇","×")</f>
        <v>×</v>
      </c>
    </row>
    <row r="579" spans="1:14" x14ac:dyDescent="0.15">
      <c r="A579" s="6" t="s">
        <v>914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27"/>
        <v>500</v>
      </c>
      <c r="I579" s="7" t="s">
        <v>38</v>
      </c>
      <c r="J579" s="12">
        <v>5300</v>
      </c>
      <c r="K579" s="11">
        <f t="shared" si="28"/>
        <v>10.6</v>
      </c>
      <c r="L579" s="7" t="s">
        <v>525</v>
      </c>
      <c r="M579" s="15">
        <f t="shared" ref="M579:M642" si="29">F579-K579</f>
        <v>1.4000000000000004</v>
      </c>
      <c r="N579" t="str">
        <f>IF(match_results!C579="完全一致","〇","×")</f>
        <v>×</v>
      </c>
    </row>
    <row r="580" spans="1:14" x14ac:dyDescent="0.15">
      <c r="A580" s="6" t="s">
        <v>915</v>
      </c>
      <c r="B580" s="6" t="s">
        <v>44</v>
      </c>
      <c r="C580" s="7" t="s">
        <v>39</v>
      </c>
      <c r="D580" s="6" t="s">
        <v>590</v>
      </c>
      <c r="E580" s="6" t="s">
        <v>916</v>
      </c>
      <c r="F580" s="8">
        <v>15.6</v>
      </c>
      <c r="G580" s="8">
        <v>2184</v>
      </c>
      <c r="H580" s="9">
        <f t="shared" si="27"/>
        <v>140</v>
      </c>
      <c r="I580" s="7" t="s">
        <v>38</v>
      </c>
      <c r="J580" s="10">
        <v>1933</v>
      </c>
      <c r="K580" s="11">
        <f t="shared" si="28"/>
        <v>13.807142857142857</v>
      </c>
      <c r="L580" s="7" t="s">
        <v>306</v>
      </c>
      <c r="M580" s="15">
        <f t="shared" si="29"/>
        <v>1.7928571428571427</v>
      </c>
      <c r="N580" t="str">
        <f>IF(match_results!C580="完全一致","〇","×")</f>
        <v>〇</v>
      </c>
    </row>
    <row r="581" spans="1:14" x14ac:dyDescent="0.15">
      <c r="A581" s="6" t="s">
        <v>917</v>
      </c>
      <c r="B581" s="6" t="s">
        <v>9</v>
      </c>
      <c r="C581" s="7" t="s">
        <v>10</v>
      </c>
      <c r="D581" s="6" t="s">
        <v>918</v>
      </c>
      <c r="E581" s="6" t="s">
        <v>37</v>
      </c>
      <c r="F581" s="8">
        <v>5.6</v>
      </c>
      <c r="G581" s="8">
        <v>252</v>
      </c>
      <c r="H581" s="9">
        <f t="shared" si="27"/>
        <v>45</v>
      </c>
      <c r="I581" s="7" t="s">
        <v>75</v>
      </c>
      <c r="J581" s="10">
        <v>225</v>
      </c>
      <c r="K581" s="11">
        <f t="shared" si="28"/>
        <v>5</v>
      </c>
      <c r="L581" s="7" t="s">
        <v>382</v>
      </c>
      <c r="M581" s="15">
        <f t="shared" si="29"/>
        <v>0.59999999999999964</v>
      </c>
      <c r="N581" t="str">
        <f>IF(match_results!C581="完全一致","〇","×")</f>
        <v>×</v>
      </c>
    </row>
    <row r="582" spans="1:14" x14ac:dyDescent="0.15">
      <c r="A582" s="6" t="s">
        <v>1236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27"/>
        <v>1000</v>
      </c>
      <c r="I582" s="7" t="s">
        <v>38</v>
      </c>
      <c r="J582" s="10">
        <v>4730</v>
      </c>
      <c r="K582" s="11">
        <f t="shared" si="28"/>
        <v>4.7300000000000004</v>
      </c>
      <c r="L582" s="7" t="s">
        <v>469</v>
      </c>
      <c r="M582" s="15">
        <f t="shared" si="29"/>
        <v>0.5699999999999994</v>
      </c>
      <c r="N582" t="str">
        <f>IF(match_results!C582="完全一致","〇","×")</f>
        <v>〇</v>
      </c>
    </row>
    <row r="583" spans="1:14" x14ac:dyDescent="0.15">
      <c r="A583" s="6" t="s">
        <v>919</v>
      </c>
      <c r="B583" s="6" t="s">
        <v>9</v>
      </c>
      <c r="C583" s="7" t="s">
        <v>10</v>
      </c>
      <c r="D583" s="6" t="s">
        <v>920</v>
      </c>
      <c r="E583" s="6" t="s">
        <v>37</v>
      </c>
      <c r="F583" s="8">
        <v>59</v>
      </c>
      <c r="G583" s="8">
        <v>2950</v>
      </c>
      <c r="H583" s="9">
        <f t="shared" si="27"/>
        <v>50</v>
      </c>
      <c r="I583" s="7" t="s">
        <v>88</v>
      </c>
      <c r="J583" s="10">
        <v>2681</v>
      </c>
      <c r="K583" s="11">
        <f t="shared" si="28"/>
        <v>53.62</v>
      </c>
      <c r="L583" s="7" t="s">
        <v>382</v>
      </c>
      <c r="M583" s="15">
        <f t="shared" si="29"/>
        <v>5.3800000000000026</v>
      </c>
      <c r="N583" t="str">
        <f>IF(match_results!C583="完全一致","〇","×")</f>
        <v>〇</v>
      </c>
    </row>
    <row r="584" spans="1:14" x14ac:dyDescent="0.15">
      <c r="A584" s="6" t="s">
        <v>921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27"/>
        <v>100</v>
      </c>
      <c r="I584" s="7" t="s">
        <v>38</v>
      </c>
      <c r="J584" s="10">
        <v>596</v>
      </c>
      <c r="K584" s="11">
        <f t="shared" si="28"/>
        <v>5.96</v>
      </c>
      <c r="L584" s="7" t="s">
        <v>165</v>
      </c>
      <c r="M584" s="15">
        <f t="shared" si="29"/>
        <v>0.74000000000000021</v>
      </c>
      <c r="N584" t="str">
        <f>IF(match_results!C584="完全一致","〇","×")</f>
        <v>〇</v>
      </c>
    </row>
    <row r="585" spans="1:14" x14ac:dyDescent="0.15">
      <c r="A585" s="6" t="s">
        <v>922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27"/>
        <v>100</v>
      </c>
      <c r="I585" s="7" t="s">
        <v>10</v>
      </c>
      <c r="J585" s="10">
        <v>12478</v>
      </c>
      <c r="K585" s="11">
        <f t="shared" si="28"/>
        <v>124.78</v>
      </c>
      <c r="L585" s="7" t="s">
        <v>525</v>
      </c>
      <c r="M585" s="15">
        <f t="shared" si="29"/>
        <v>21.319999999999993</v>
      </c>
      <c r="N585" t="str">
        <f>IF(match_results!C585="完全一致","〇","×")</f>
        <v>×</v>
      </c>
    </row>
    <row r="586" spans="1:14" x14ac:dyDescent="0.15">
      <c r="A586" s="6" t="s">
        <v>923</v>
      </c>
      <c r="B586" s="6" t="s">
        <v>90</v>
      </c>
      <c r="C586" s="7" t="s">
        <v>10</v>
      </c>
      <c r="D586" s="6" t="s">
        <v>924</v>
      </c>
      <c r="E586" s="6" t="s">
        <v>925</v>
      </c>
      <c r="F586" s="8">
        <v>46498</v>
      </c>
      <c r="G586" s="8">
        <v>46498</v>
      </c>
      <c r="H586" s="9">
        <f t="shared" si="27"/>
        <v>1</v>
      </c>
      <c r="I586" s="7" t="s">
        <v>147</v>
      </c>
      <c r="J586" s="10">
        <v>41108</v>
      </c>
      <c r="K586" s="11">
        <f t="shared" si="28"/>
        <v>41108</v>
      </c>
      <c r="L586" s="7" t="s">
        <v>111</v>
      </c>
      <c r="M586" s="15">
        <f t="shared" si="29"/>
        <v>5390</v>
      </c>
      <c r="N586" t="str">
        <f>IF(match_results!C586="完全一致","〇","×")</f>
        <v>〇</v>
      </c>
    </row>
    <row r="587" spans="1:14" x14ac:dyDescent="0.15">
      <c r="A587" s="6" t="s">
        <v>926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27"/>
        <v>99.999999999999986</v>
      </c>
      <c r="I587" s="7" t="s">
        <v>13</v>
      </c>
      <c r="J587" s="10">
        <v>784</v>
      </c>
      <c r="K587" s="11">
        <f t="shared" si="28"/>
        <v>7.8400000000000007</v>
      </c>
      <c r="L587" s="7" t="s">
        <v>508</v>
      </c>
      <c r="M587" s="15">
        <f t="shared" si="29"/>
        <v>0.96</v>
      </c>
      <c r="N587" t="str">
        <f>IF(match_results!C587="完全一致","〇","×")</f>
        <v>〇</v>
      </c>
    </row>
    <row r="588" spans="1:14" x14ac:dyDescent="0.15">
      <c r="A588" s="6" t="s">
        <v>927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27"/>
        <v>100</v>
      </c>
      <c r="I588" s="7" t="s">
        <v>38</v>
      </c>
      <c r="J588" s="10">
        <v>853</v>
      </c>
      <c r="K588" s="11">
        <f t="shared" si="28"/>
        <v>8.5299999999999994</v>
      </c>
      <c r="L588" s="7" t="s">
        <v>59</v>
      </c>
      <c r="M588" s="15">
        <f t="shared" si="29"/>
        <v>1.870000000000001</v>
      </c>
      <c r="N588" t="str">
        <f>IF(match_results!C588="完全一致","〇","×")</f>
        <v>×</v>
      </c>
    </row>
    <row r="589" spans="1:14" x14ac:dyDescent="0.15">
      <c r="A589" s="6" t="s">
        <v>928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27"/>
        <v>100</v>
      </c>
      <c r="I589" s="7" t="s">
        <v>38</v>
      </c>
      <c r="J589" s="12">
        <v>605</v>
      </c>
      <c r="K589" s="11">
        <f t="shared" si="28"/>
        <v>6.05</v>
      </c>
      <c r="L589" s="7" t="s">
        <v>185</v>
      </c>
      <c r="M589" s="15">
        <f t="shared" si="29"/>
        <v>0.75</v>
      </c>
      <c r="N589" t="str">
        <f>IF(match_results!C589="完全一致","〇","×")</f>
        <v>〇</v>
      </c>
    </row>
    <row r="590" spans="1:14" x14ac:dyDescent="0.15">
      <c r="A590" s="6" t="s">
        <v>929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27"/>
        <v>100.00000000000001</v>
      </c>
      <c r="I590" s="7" t="s">
        <v>38</v>
      </c>
      <c r="J590" s="10">
        <v>12125</v>
      </c>
      <c r="K590" s="11">
        <f t="shared" si="28"/>
        <v>121.24999999999999</v>
      </c>
      <c r="L590" s="7" t="s">
        <v>525</v>
      </c>
      <c r="M590" s="15">
        <f t="shared" si="29"/>
        <v>20.450000000000003</v>
      </c>
      <c r="N590" t="str">
        <f>IF(match_results!C590="完全一致","〇","×")</f>
        <v>×</v>
      </c>
    </row>
    <row r="591" spans="1:14" x14ac:dyDescent="0.15">
      <c r="A591" s="6" t="s">
        <v>930</v>
      </c>
      <c r="B591" s="6" t="s">
        <v>9</v>
      </c>
      <c r="C591" s="7" t="s">
        <v>10</v>
      </c>
      <c r="D591" s="6" t="s">
        <v>931</v>
      </c>
      <c r="E591" s="6" t="s">
        <v>462</v>
      </c>
      <c r="F591" s="8">
        <v>8.5</v>
      </c>
      <c r="G591" s="8">
        <v>850</v>
      </c>
      <c r="H591" s="9">
        <f t="shared" si="27"/>
        <v>100</v>
      </c>
      <c r="I591" s="7" t="s">
        <v>75</v>
      </c>
      <c r="J591" s="10">
        <v>773</v>
      </c>
      <c r="K591" s="11">
        <f t="shared" si="28"/>
        <v>7.73</v>
      </c>
      <c r="L591" s="7" t="s">
        <v>128</v>
      </c>
      <c r="M591" s="15">
        <f t="shared" si="29"/>
        <v>0.76999999999999957</v>
      </c>
      <c r="N591" t="str">
        <f>IF(match_results!C591="完全一致","〇","×")</f>
        <v>×</v>
      </c>
    </row>
    <row r="592" spans="1:14" x14ac:dyDescent="0.15">
      <c r="A592" s="6" t="s">
        <v>932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27"/>
        <v>10</v>
      </c>
      <c r="I592" s="7" t="s">
        <v>143</v>
      </c>
      <c r="J592" s="10">
        <v>1123</v>
      </c>
      <c r="K592" s="11">
        <f t="shared" si="28"/>
        <v>112.3</v>
      </c>
      <c r="L592" s="7" t="s">
        <v>343</v>
      </c>
      <c r="M592" s="15">
        <f t="shared" si="29"/>
        <v>13.700000000000003</v>
      </c>
      <c r="N592" t="str">
        <f>IF(match_results!C592="完全一致","〇","×")</f>
        <v>×</v>
      </c>
    </row>
    <row r="593" spans="1:14" x14ac:dyDescent="0.15">
      <c r="A593" s="6" t="s">
        <v>933</v>
      </c>
      <c r="B593" s="6" t="s">
        <v>10</v>
      </c>
      <c r="C593" s="7" t="s">
        <v>10</v>
      </c>
      <c r="D593" s="6" t="s">
        <v>934</v>
      </c>
      <c r="E593" s="6" t="s">
        <v>398</v>
      </c>
      <c r="F593" s="8">
        <v>165</v>
      </c>
      <c r="G593" s="8">
        <v>825</v>
      </c>
      <c r="H593" s="9">
        <f t="shared" si="27"/>
        <v>5</v>
      </c>
      <c r="I593" s="7" t="s">
        <v>110</v>
      </c>
      <c r="J593" s="12">
        <v>735</v>
      </c>
      <c r="K593" s="11">
        <f t="shared" si="28"/>
        <v>147</v>
      </c>
      <c r="L593" s="7" t="s">
        <v>343</v>
      </c>
      <c r="M593" s="15">
        <f t="shared" si="29"/>
        <v>18</v>
      </c>
      <c r="N593" t="str">
        <f>IF(match_results!C593="完全一致","〇","×")</f>
        <v>×</v>
      </c>
    </row>
    <row r="594" spans="1:14" x14ac:dyDescent="0.15">
      <c r="A594" s="6" t="s">
        <v>935</v>
      </c>
      <c r="B594" s="6" t="s">
        <v>44</v>
      </c>
      <c r="C594" s="7" t="s">
        <v>10</v>
      </c>
      <c r="D594" s="6" t="s">
        <v>936</v>
      </c>
      <c r="E594" s="6" t="s">
        <v>664</v>
      </c>
      <c r="F594" s="8">
        <v>7.4</v>
      </c>
      <c r="G594" s="8">
        <v>7400</v>
      </c>
      <c r="H594" s="9">
        <f t="shared" si="27"/>
        <v>1000</v>
      </c>
      <c r="I594" s="7" t="s">
        <v>13</v>
      </c>
      <c r="J594" s="10">
        <v>6592</v>
      </c>
      <c r="K594" s="11">
        <f t="shared" si="28"/>
        <v>6.5919999999999996</v>
      </c>
      <c r="L594" s="7" t="s">
        <v>343</v>
      </c>
      <c r="M594" s="15">
        <f t="shared" si="29"/>
        <v>0.80800000000000072</v>
      </c>
      <c r="N594" t="str">
        <f>IF(match_results!C594="完全一致","〇","×")</f>
        <v>〇</v>
      </c>
    </row>
    <row r="595" spans="1:14" x14ac:dyDescent="0.15">
      <c r="A595" s="6" t="s">
        <v>937</v>
      </c>
      <c r="B595" s="6" t="s">
        <v>44</v>
      </c>
      <c r="C595" s="7" t="s">
        <v>10</v>
      </c>
      <c r="D595" s="6" t="s">
        <v>936</v>
      </c>
      <c r="E595" s="6" t="s">
        <v>764</v>
      </c>
      <c r="F595" s="8">
        <v>7.4</v>
      </c>
      <c r="G595" s="8">
        <v>7400</v>
      </c>
      <c r="H595" s="9">
        <f t="shared" si="27"/>
        <v>1000</v>
      </c>
      <c r="I595" s="7" t="s">
        <v>13</v>
      </c>
      <c r="J595" s="10">
        <v>6290</v>
      </c>
      <c r="K595" s="11">
        <f t="shared" si="28"/>
        <v>6.29</v>
      </c>
      <c r="L595" s="7" t="s">
        <v>343</v>
      </c>
      <c r="M595" s="15">
        <f t="shared" si="29"/>
        <v>1.1100000000000003</v>
      </c>
      <c r="N595" t="str">
        <f>IF(match_results!C595="完全一致","〇","×")</f>
        <v>×</v>
      </c>
    </row>
    <row r="596" spans="1:14" x14ac:dyDescent="0.15">
      <c r="A596" s="6" t="s">
        <v>938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27"/>
        <v>100</v>
      </c>
      <c r="I596" s="7" t="s">
        <v>13</v>
      </c>
      <c r="J596" s="10">
        <v>336</v>
      </c>
      <c r="K596" s="11">
        <f t="shared" si="28"/>
        <v>3.36</v>
      </c>
      <c r="L596" s="7" t="s">
        <v>343</v>
      </c>
      <c r="M596" s="15">
        <f t="shared" si="29"/>
        <v>0.3400000000000003</v>
      </c>
      <c r="N596" t="str">
        <f>IF(match_results!C596="完全一致","〇","×")</f>
        <v>×</v>
      </c>
    </row>
    <row r="597" spans="1:14" x14ac:dyDescent="0.15">
      <c r="A597" s="6" t="s">
        <v>939</v>
      </c>
      <c r="B597" s="6" t="s">
        <v>10</v>
      </c>
      <c r="C597" s="7" t="s">
        <v>10</v>
      </c>
      <c r="D597" s="6" t="s">
        <v>940</v>
      </c>
      <c r="E597" s="6" t="s">
        <v>941</v>
      </c>
      <c r="F597" s="8">
        <v>35976</v>
      </c>
      <c r="G597" s="8">
        <v>35976</v>
      </c>
      <c r="H597" s="9">
        <f t="shared" si="27"/>
        <v>1</v>
      </c>
      <c r="I597" s="7" t="s">
        <v>110</v>
      </c>
      <c r="J597" s="12">
        <v>32018</v>
      </c>
      <c r="K597" s="11">
        <f t="shared" si="28"/>
        <v>32018</v>
      </c>
      <c r="L597" s="7" t="s">
        <v>238</v>
      </c>
      <c r="M597" s="15">
        <f t="shared" si="29"/>
        <v>3958</v>
      </c>
      <c r="N597" t="str">
        <f>IF(match_results!C597="完全一致","〇","×")</f>
        <v>〇</v>
      </c>
    </row>
    <row r="598" spans="1:14" x14ac:dyDescent="0.15">
      <c r="A598" s="6" t="s">
        <v>942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27"/>
        <v>100</v>
      </c>
      <c r="I598" s="7" t="s">
        <v>38</v>
      </c>
      <c r="J598" s="10">
        <v>2993</v>
      </c>
      <c r="K598" s="11">
        <f t="shared" si="28"/>
        <v>29.93</v>
      </c>
      <c r="L598" s="7" t="s">
        <v>289</v>
      </c>
      <c r="M598" s="15">
        <f t="shared" si="29"/>
        <v>3.6700000000000017</v>
      </c>
      <c r="N598" t="str">
        <f>IF(match_results!C598="完全一致","〇","×")</f>
        <v>〇</v>
      </c>
    </row>
    <row r="599" spans="1:14" x14ac:dyDescent="0.15">
      <c r="A599" s="6" t="s">
        <v>943</v>
      </c>
      <c r="B599" s="6" t="s">
        <v>90</v>
      </c>
      <c r="C599" s="7" t="s">
        <v>10</v>
      </c>
      <c r="D599" s="6" t="s">
        <v>145</v>
      </c>
      <c r="E599" s="6" t="s">
        <v>944</v>
      </c>
      <c r="F599" s="8">
        <v>201.4</v>
      </c>
      <c r="G599" s="8">
        <v>2014</v>
      </c>
      <c r="H599" s="9">
        <f t="shared" si="27"/>
        <v>10</v>
      </c>
      <c r="I599" s="7" t="s">
        <v>147</v>
      </c>
      <c r="J599" s="10">
        <v>1785</v>
      </c>
      <c r="K599" s="11">
        <f t="shared" si="28"/>
        <v>178.5</v>
      </c>
      <c r="L599" s="7" t="s">
        <v>76</v>
      </c>
      <c r="M599" s="15">
        <f t="shared" si="29"/>
        <v>22.900000000000006</v>
      </c>
      <c r="N599" t="str">
        <f>IF(match_results!C599="完全一致","〇","×")</f>
        <v>〇</v>
      </c>
    </row>
    <row r="600" spans="1:14" x14ac:dyDescent="0.15">
      <c r="A600" s="6" t="s">
        <v>945</v>
      </c>
      <c r="B600" s="6" t="s">
        <v>44</v>
      </c>
      <c r="C600" s="7" t="s">
        <v>10</v>
      </c>
      <c r="D600" s="6" t="s">
        <v>946</v>
      </c>
      <c r="E600" s="6" t="s">
        <v>947</v>
      </c>
      <c r="F600" s="8">
        <v>21.3</v>
      </c>
      <c r="G600" s="8">
        <v>2982</v>
      </c>
      <c r="H600" s="9">
        <f t="shared" si="27"/>
        <v>140</v>
      </c>
      <c r="I600" s="7" t="s">
        <v>13</v>
      </c>
      <c r="J600" s="10">
        <v>2656</v>
      </c>
      <c r="K600" s="11">
        <f t="shared" si="28"/>
        <v>18.971428571428572</v>
      </c>
      <c r="L600" s="7" t="s">
        <v>948</v>
      </c>
      <c r="M600" s="15">
        <f t="shared" si="29"/>
        <v>2.3285714285714292</v>
      </c>
      <c r="N600" t="str">
        <f>IF(match_results!C600="完全一致","〇","×")</f>
        <v>〇</v>
      </c>
    </row>
    <row r="601" spans="1:14" x14ac:dyDescent="0.15">
      <c r="A601" s="6" t="s">
        <v>949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27"/>
        <v>500</v>
      </c>
      <c r="I601" s="7" t="s">
        <v>38</v>
      </c>
      <c r="J601" s="10">
        <v>38817</v>
      </c>
      <c r="K601" s="11">
        <f t="shared" si="28"/>
        <v>77.634</v>
      </c>
      <c r="L601" s="7" t="s">
        <v>224</v>
      </c>
      <c r="M601" s="15">
        <f t="shared" si="29"/>
        <v>13.165999999999997</v>
      </c>
      <c r="N601" t="str">
        <f>IF(match_results!C601="完全一致","〇","×")</f>
        <v>〇</v>
      </c>
    </row>
    <row r="602" spans="1:14" x14ac:dyDescent="0.15">
      <c r="A602" s="6" t="s">
        <v>950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27"/>
        <v>100</v>
      </c>
      <c r="I602" s="7" t="s">
        <v>38</v>
      </c>
      <c r="J602" s="10">
        <v>9396</v>
      </c>
      <c r="K602" s="11">
        <f t="shared" si="28"/>
        <v>93.96</v>
      </c>
      <c r="L602" s="7" t="s">
        <v>224</v>
      </c>
      <c r="M602" s="15">
        <f t="shared" si="29"/>
        <v>15.940000000000012</v>
      </c>
      <c r="N602" t="str">
        <f>IF(match_results!C602="完全一致","〇","×")</f>
        <v>〇</v>
      </c>
    </row>
    <row r="603" spans="1:14" x14ac:dyDescent="0.15">
      <c r="A603" s="6" t="s">
        <v>951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27"/>
        <v>100</v>
      </c>
      <c r="I603" s="7" t="s">
        <v>38</v>
      </c>
      <c r="J603" s="10">
        <v>650</v>
      </c>
      <c r="K603" s="11">
        <f t="shared" si="28"/>
        <v>6.5</v>
      </c>
      <c r="L603" s="7" t="s">
        <v>163</v>
      </c>
      <c r="M603" s="15">
        <f t="shared" si="29"/>
        <v>0.79999999999999982</v>
      </c>
      <c r="N603" t="str">
        <f>IF(match_results!C603="完全一致","〇","×")</f>
        <v>×</v>
      </c>
    </row>
    <row r="604" spans="1:14" x14ac:dyDescent="0.15">
      <c r="A604" s="6" t="s">
        <v>952</v>
      </c>
      <c r="B604" s="6" t="s">
        <v>44</v>
      </c>
      <c r="C604" s="7" t="s">
        <v>10</v>
      </c>
      <c r="D604" s="6" t="s">
        <v>545</v>
      </c>
      <c r="E604" s="6" t="s">
        <v>908</v>
      </c>
      <c r="F604" s="8">
        <v>561</v>
      </c>
      <c r="G604" s="8">
        <v>5610</v>
      </c>
      <c r="H604" s="9">
        <f t="shared" si="27"/>
        <v>10</v>
      </c>
      <c r="I604" s="7" t="s">
        <v>147</v>
      </c>
      <c r="J604" s="10">
        <v>4914</v>
      </c>
      <c r="K604" s="11">
        <f t="shared" si="28"/>
        <v>491.4</v>
      </c>
      <c r="L604" s="7" t="s">
        <v>163</v>
      </c>
      <c r="M604" s="15">
        <f t="shared" si="29"/>
        <v>69.600000000000023</v>
      </c>
      <c r="N604" t="str">
        <f>IF(match_results!C604="完全一致","〇","×")</f>
        <v>〇</v>
      </c>
    </row>
    <row r="605" spans="1:14" x14ac:dyDescent="0.15">
      <c r="A605" s="6" t="s">
        <v>953</v>
      </c>
      <c r="B605" s="6" t="s">
        <v>44</v>
      </c>
      <c r="C605" s="7" t="s">
        <v>14</v>
      </c>
      <c r="D605" s="6" t="s">
        <v>954</v>
      </c>
      <c r="E605" s="6" t="s">
        <v>308</v>
      </c>
      <c r="F605" s="8">
        <v>16.2</v>
      </c>
      <c r="G605" s="8">
        <v>1620</v>
      </c>
      <c r="H605" s="9">
        <f t="shared" si="27"/>
        <v>100</v>
      </c>
      <c r="I605" s="7" t="s">
        <v>13</v>
      </c>
      <c r="J605" s="10">
        <v>1443</v>
      </c>
      <c r="K605" s="11">
        <f t="shared" si="28"/>
        <v>14.43</v>
      </c>
      <c r="L605" s="7" t="s">
        <v>303</v>
      </c>
      <c r="M605" s="15">
        <f t="shared" si="29"/>
        <v>1.7699999999999996</v>
      </c>
      <c r="N605" t="str">
        <f>IF(match_results!C605="完全一致","〇","×")</f>
        <v>〇</v>
      </c>
    </row>
    <row r="606" spans="1:14" x14ac:dyDescent="0.15">
      <c r="A606" s="6" t="s">
        <v>955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27"/>
        <v>100</v>
      </c>
      <c r="I606" s="7" t="s">
        <v>38</v>
      </c>
      <c r="J606" s="10">
        <v>679</v>
      </c>
      <c r="K606" s="11">
        <f t="shared" si="28"/>
        <v>6.79</v>
      </c>
      <c r="L606" s="7" t="s">
        <v>303</v>
      </c>
      <c r="M606" s="15">
        <f t="shared" si="29"/>
        <v>1.0099999999999998</v>
      </c>
      <c r="N606" t="str">
        <f>IF(match_results!C606="完全一致","〇","×")</f>
        <v>〇</v>
      </c>
    </row>
    <row r="607" spans="1:14" x14ac:dyDescent="0.15">
      <c r="A607" s="6" t="s">
        <v>955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27"/>
        <v>1000</v>
      </c>
      <c r="I607" s="7" t="s">
        <v>38</v>
      </c>
      <c r="J607" s="10">
        <v>6786</v>
      </c>
      <c r="K607" s="11">
        <f t="shared" si="28"/>
        <v>6.7859999999999996</v>
      </c>
      <c r="L607" s="7" t="s">
        <v>303</v>
      </c>
      <c r="M607" s="15">
        <f t="shared" si="29"/>
        <v>1.0140000000000002</v>
      </c>
      <c r="N607" t="str">
        <f>IF(match_results!C607="完全一致","〇","×")</f>
        <v>〇</v>
      </c>
    </row>
    <row r="608" spans="1:14" x14ac:dyDescent="0.15">
      <c r="A608" s="6" t="s">
        <v>956</v>
      </c>
      <c r="B608" s="6" t="s">
        <v>9</v>
      </c>
      <c r="C608" s="7" t="s">
        <v>14</v>
      </c>
      <c r="D608" s="6" t="s">
        <v>957</v>
      </c>
      <c r="E608" s="6" t="s">
        <v>314</v>
      </c>
      <c r="F608" s="8">
        <v>100.1</v>
      </c>
      <c r="G608" s="8">
        <v>5305.3</v>
      </c>
      <c r="H608" s="9">
        <f t="shared" si="27"/>
        <v>53.000000000000007</v>
      </c>
      <c r="I608" s="7" t="s">
        <v>13</v>
      </c>
      <c r="J608" s="10">
        <v>4663</v>
      </c>
      <c r="K608" s="11">
        <f t="shared" si="28"/>
        <v>87.981132075471692</v>
      </c>
      <c r="L608" s="7" t="s">
        <v>63</v>
      </c>
      <c r="M608" s="15">
        <f t="shared" si="29"/>
        <v>12.118867924528303</v>
      </c>
      <c r="N608" t="str">
        <f>IF(match_results!C608="完全一致","〇","×")</f>
        <v>×</v>
      </c>
    </row>
    <row r="609" spans="1:14" x14ac:dyDescent="0.15">
      <c r="A609" s="6" t="s">
        <v>958</v>
      </c>
      <c r="B609" s="6" t="s">
        <v>44</v>
      </c>
      <c r="C609" s="7" t="s">
        <v>10</v>
      </c>
      <c r="D609" s="6" t="s">
        <v>959</v>
      </c>
      <c r="E609" s="6" t="s">
        <v>960</v>
      </c>
      <c r="F609" s="8">
        <v>329</v>
      </c>
      <c r="G609" s="8">
        <v>3290</v>
      </c>
      <c r="H609" s="9">
        <f t="shared" si="27"/>
        <v>10</v>
      </c>
      <c r="I609" s="7" t="s">
        <v>110</v>
      </c>
      <c r="J609" s="10">
        <v>2912</v>
      </c>
      <c r="K609" s="11">
        <f t="shared" si="28"/>
        <v>291.2</v>
      </c>
      <c r="L609" s="7" t="s">
        <v>427</v>
      </c>
      <c r="M609" s="15">
        <f t="shared" si="29"/>
        <v>37.800000000000011</v>
      </c>
      <c r="N609" t="str">
        <f>IF(match_results!C609="完全一致","〇","×")</f>
        <v>×</v>
      </c>
    </row>
    <row r="610" spans="1:14" x14ac:dyDescent="0.15">
      <c r="A610" s="6" t="s">
        <v>961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27"/>
        <v>100</v>
      </c>
      <c r="I610" s="7" t="s">
        <v>13</v>
      </c>
      <c r="J610" s="10">
        <v>942</v>
      </c>
      <c r="K610" s="11">
        <f t="shared" si="28"/>
        <v>9.42</v>
      </c>
      <c r="L610" s="7" t="s">
        <v>128</v>
      </c>
      <c r="M610" s="15">
        <f t="shared" si="29"/>
        <v>1.8800000000000008</v>
      </c>
      <c r="N610" t="str">
        <f>IF(match_results!C610="完全一致","〇","×")</f>
        <v>〇</v>
      </c>
    </row>
    <row r="611" spans="1:14" x14ac:dyDescent="0.15">
      <c r="A611" s="6" t="s">
        <v>962</v>
      </c>
      <c r="B611" s="6" t="s">
        <v>10</v>
      </c>
      <c r="C611" s="7" t="s">
        <v>39</v>
      </c>
      <c r="D611" s="6" t="s">
        <v>69</v>
      </c>
      <c r="E611" s="6" t="s">
        <v>963</v>
      </c>
      <c r="F611" s="8">
        <v>22.9</v>
      </c>
      <c r="G611" s="8">
        <v>2290</v>
      </c>
      <c r="H611" s="9">
        <f t="shared" si="27"/>
        <v>100</v>
      </c>
      <c r="I611" s="7" t="s">
        <v>38</v>
      </c>
      <c r="J611" s="12">
        <v>2040</v>
      </c>
      <c r="K611" s="11">
        <f t="shared" si="28"/>
        <v>20.399999999999999</v>
      </c>
      <c r="L611" s="7" t="s">
        <v>441</v>
      </c>
      <c r="M611" s="15">
        <f t="shared" si="29"/>
        <v>2.5</v>
      </c>
      <c r="N611" t="str">
        <f>IF(match_results!C611="完全一致","〇","×")</f>
        <v>×</v>
      </c>
    </row>
    <row r="612" spans="1:14" x14ac:dyDescent="0.15">
      <c r="A612" s="6" t="s">
        <v>964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27"/>
        <v>100</v>
      </c>
      <c r="I612" s="7" t="s">
        <v>38</v>
      </c>
      <c r="J612" s="10">
        <v>875</v>
      </c>
      <c r="K612" s="11">
        <f t="shared" si="28"/>
        <v>8.75</v>
      </c>
      <c r="L612" s="7" t="s">
        <v>407</v>
      </c>
      <c r="M612" s="15">
        <f t="shared" si="29"/>
        <v>1.6500000000000004</v>
      </c>
      <c r="N612" t="str">
        <f>IF(match_results!C612="完全一致","〇","×")</f>
        <v>×</v>
      </c>
    </row>
    <row r="613" spans="1:14" x14ac:dyDescent="0.15">
      <c r="A613" s="6" t="s">
        <v>965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27"/>
        <v>500</v>
      </c>
      <c r="I613" s="7" t="s">
        <v>38</v>
      </c>
      <c r="J613" s="10">
        <v>4375</v>
      </c>
      <c r="K613" s="11">
        <f t="shared" si="28"/>
        <v>8.75</v>
      </c>
      <c r="L613" s="7" t="s">
        <v>407</v>
      </c>
      <c r="M613" s="15">
        <f t="shared" si="29"/>
        <v>1.6500000000000004</v>
      </c>
      <c r="N613" t="str">
        <f>IF(match_results!C613="完全一致","〇","×")</f>
        <v>×</v>
      </c>
    </row>
    <row r="614" spans="1:14" x14ac:dyDescent="0.15">
      <c r="A614" s="6" t="s">
        <v>966</v>
      </c>
      <c r="B614" s="6" t="s">
        <v>10</v>
      </c>
      <c r="C614" s="7" t="s">
        <v>10</v>
      </c>
      <c r="D614" s="6" t="s">
        <v>967</v>
      </c>
      <c r="E614" s="6" t="s">
        <v>257</v>
      </c>
      <c r="F614" s="8">
        <v>863</v>
      </c>
      <c r="G614" s="8">
        <v>8630</v>
      </c>
      <c r="H614" s="9">
        <f t="shared" si="27"/>
        <v>10</v>
      </c>
      <c r="I614" s="7" t="s">
        <v>110</v>
      </c>
      <c r="J614" s="12">
        <v>7845</v>
      </c>
      <c r="K614" s="11">
        <f t="shared" si="28"/>
        <v>784.5</v>
      </c>
      <c r="L614" s="7" t="s">
        <v>353</v>
      </c>
      <c r="M614" s="15">
        <f t="shared" si="29"/>
        <v>78.5</v>
      </c>
      <c r="N614" t="str">
        <f>IF(match_results!C614="完全一致","〇","×")</f>
        <v>〇</v>
      </c>
    </row>
    <row r="615" spans="1:14" x14ac:dyDescent="0.15">
      <c r="A615" s="6" t="s">
        <v>968</v>
      </c>
      <c r="B615" s="6" t="s">
        <v>90</v>
      </c>
      <c r="C615" s="7" t="s">
        <v>10</v>
      </c>
      <c r="D615" s="6" t="s">
        <v>969</v>
      </c>
      <c r="E615" s="6" t="s">
        <v>70</v>
      </c>
      <c r="F615" s="8">
        <v>188</v>
      </c>
      <c r="G615" s="8">
        <v>1880</v>
      </c>
      <c r="H615" s="9">
        <f t="shared" si="27"/>
        <v>10</v>
      </c>
      <c r="I615" s="7" t="s">
        <v>88</v>
      </c>
      <c r="J615" s="10">
        <v>1660</v>
      </c>
      <c r="K615" s="11">
        <f t="shared" si="28"/>
        <v>166</v>
      </c>
      <c r="L615" s="7" t="s">
        <v>321</v>
      </c>
      <c r="M615" s="15">
        <f t="shared" si="29"/>
        <v>22</v>
      </c>
      <c r="N615" t="str">
        <f>IF(match_results!C615="完全一致","〇","×")</f>
        <v>×</v>
      </c>
    </row>
    <row r="616" spans="1:14" x14ac:dyDescent="0.15">
      <c r="A616" s="6" t="s">
        <v>970</v>
      </c>
      <c r="B616" s="6" t="s">
        <v>10</v>
      </c>
      <c r="C616" s="7" t="s">
        <v>14</v>
      </c>
      <c r="D616" s="6" t="s">
        <v>971</v>
      </c>
      <c r="E616" s="6" t="s">
        <v>916</v>
      </c>
      <c r="F616" s="8">
        <v>71.099999999999994</v>
      </c>
      <c r="G616" s="8">
        <v>14220</v>
      </c>
      <c r="H616" s="9">
        <f t="shared" si="27"/>
        <v>200.00000000000003</v>
      </c>
      <c r="I616" s="7" t="s">
        <v>554</v>
      </c>
      <c r="J616" s="10">
        <v>12669</v>
      </c>
      <c r="K616" s="11">
        <f t="shared" si="28"/>
        <v>63.344999999999992</v>
      </c>
      <c r="L616" s="7" t="s">
        <v>136</v>
      </c>
      <c r="M616" s="15">
        <f t="shared" si="29"/>
        <v>7.7550000000000026</v>
      </c>
      <c r="N616" t="str">
        <f>IF(match_results!C616="完全一致","〇","×")</f>
        <v>〇</v>
      </c>
    </row>
    <row r="617" spans="1:14" x14ac:dyDescent="0.15">
      <c r="A617" s="6" t="s">
        <v>972</v>
      </c>
      <c r="B617" s="6" t="s">
        <v>90</v>
      </c>
      <c r="C617" s="7" t="s">
        <v>10</v>
      </c>
      <c r="D617" s="6" t="s">
        <v>973</v>
      </c>
      <c r="E617" s="6" t="s">
        <v>92</v>
      </c>
      <c r="F617" s="8">
        <v>251</v>
      </c>
      <c r="G617" s="8">
        <v>5020</v>
      </c>
      <c r="H617" s="9">
        <f t="shared" si="27"/>
        <v>20</v>
      </c>
      <c r="I617" s="7" t="s">
        <v>97</v>
      </c>
      <c r="J617" s="10">
        <v>4460</v>
      </c>
      <c r="K617" s="11">
        <f t="shared" si="28"/>
        <v>223</v>
      </c>
      <c r="L617" s="7" t="s">
        <v>98</v>
      </c>
      <c r="M617" s="15">
        <f t="shared" si="29"/>
        <v>28</v>
      </c>
      <c r="N617" t="str">
        <f>IF(match_results!C617="完全一致","〇","×")</f>
        <v>×</v>
      </c>
    </row>
    <row r="618" spans="1:14" x14ac:dyDescent="0.15">
      <c r="A618" s="6" t="s">
        <v>974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27"/>
        <v>20</v>
      </c>
      <c r="I618" s="7" t="s">
        <v>97</v>
      </c>
      <c r="J618" s="10">
        <v>4960</v>
      </c>
      <c r="K618" s="11">
        <f t="shared" si="28"/>
        <v>248</v>
      </c>
      <c r="L618" s="7" t="s">
        <v>98</v>
      </c>
      <c r="M618" s="15">
        <f t="shared" si="29"/>
        <v>31</v>
      </c>
      <c r="N618" t="str">
        <f>IF(match_results!C618="完全一致","〇","×")</f>
        <v>×</v>
      </c>
    </row>
    <row r="619" spans="1:14" x14ac:dyDescent="0.15">
      <c r="A619" s="6" t="s">
        <v>1226</v>
      </c>
      <c r="B619" s="6" t="s">
        <v>90</v>
      </c>
      <c r="C619" s="7" t="s">
        <v>10</v>
      </c>
      <c r="D619" s="6" t="s">
        <v>975</v>
      </c>
      <c r="E619" s="6" t="s">
        <v>976</v>
      </c>
      <c r="F619" s="8">
        <v>3.2</v>
      </c>
      <c r="G619" s="8">
        <v>4800</v>
      </c>
      <c r="H619" s="9">
        <f t="shared" si="27"/>
        <v>1500</v>
      </c>
      <c r="I619" s="7" t="s">
        <v>75</v>
      </c>
      <c r="J619" s="10">
        <v>4233</v>
      </c>
      <c r="K619" s="11">
        <f t="shared" si="28"/>
        <v>2.8220000000000001</v>
      </c>
      <c r="L619" s="7" t="s">
        <v>977</v>
      </c>
      <c r="M619" s="15">
        <f t="shared" si="29"/>
        <v>0.37800000000000011</v>
      </c>
      <c r="N619" t="str">
        <f>IF(match_results!C619="完全一致","〇","×")</f>
        <v>×</v>
      </c>
    </row>
    <row r="620" spans="1:14" x14ac:dyDescent="0.15">
      <c r="A620" s="6" t="s">
        <v>978</v>
      </c>
      <c r="B620" s="6" t="s">
        <v>10</v>
      </c>
      <c r="C620" s="7" t="s">
        <v>10</v>
      </c>
      <c r="D620" s="6" t="s">
        <v>979</v>
      </c>
      <c r="E620" s="6" t="s">
        <v>976</v>
      </c>
      <c r="F620" s="13"/>
      <c r="G620" s="13"/>
      <c r="H620" s="9" t="e">
        <f t="shared" si="27"/>
        <v>#DIV/0!</v>
      </c>
      <c r="I620" s="7" t="s">
        <v>10</v>
      </c>
      <c r="J620" s="12">
        <v>2341</v>
      </c>
      <c r="K620" s="11" t="e">
        <f t="shared" si="28"/>
        <v>#DIV/0!</v>
      </c>
      <c r="L620" s="7" t="s">
        <v>151</v>
      </c>
      <c r="M620" s="15" t="e">
        <f t="shared" si="29"/>
        <v>#DIV/0!</v>
      </c>
      <c r="N620" t="str">
        <f>IF(match_results!C620="完全一致","〇","×")</f>
        <v>×</v>
      </c>
    </row>
    <row r="621" spans="1:14" x14ac:dyDescent="0.15">
      <c r="A621" s="6" t="s">
        <v>980</v>
      </c>
      <c r="B621" s="6" t="s">
        <v>10</v>
      </c>
      <c r="C621" s="7" t="s">
        <v>10</v>
      </c>
      <c r="D621" s="6" t="s">
        <v>981</v>
      </c>
      <c r="E621" s="6" t="s">
        <v>521</v>
      </c>
      <c r="F621" s="8">
        <v>69</v>
      </c>
      <c r="G621" s="8">
        <v>690</v>
      </c>
      <c r="H621" s="9">
        <f t="shared" si="27"/>
        <v>10</v>
      </c>
      <c r="I621" s="7" t="s">
        <v>88</v>
      </c>
      <c r="J621" s="12">
        <v>627</v>
      </c>
      <c r="K621" s="11">
        <f t="shared" si="28"/>
        <v>62.7</v>
      </c>
      <c r="L621" s="7" t="s">
        <v>830</v>
      </c>
      <c r="M621" s="15">
        <f t="shared" si="29"/>
        <v>6.2999999999999972</v>
      </c>
      <c r="N621" t="str">
        <f>IF(match_results!C621="完全一致","〇","×")</f>
        <v>〇</v>
      </c>
    </row>
    <row r="622" spans="1:14" x14ac:dyDescent="0.15">
      <c r="A622" s="6" t="s">
        <v>982</v>
      </c>
      <c r="B622" s="6" t="s">
        <v>90</v>
      </c>
      <c r="C622" s="7" t="s">
        <v>10</v>
      </c>
      <c r="D622" s="6" t="s">
        <v>983</v>
      </c>
      <c r="E622" s="6" t="s">
        <v>336</v>
      </c>
      <c r="F622" s="8">
        <v>77.8</v>
      </c>
      <c r="G622" s="8">
        <v>8169</v>
      </c>
      <c r="H622" s="9">
        <f t="shared" si="27"/>
        <v>105</v>
      </c>
      <c r="I622" s="7" t="s">
        <v>169</v>
      </c>
      <c r="J622" s="10">
        <v>7271</v>
      </c>
      <c r="K622" s="11">
        <f t="shared" si="28"/>
        <v>69.247619047619054</v>
      </c>
      <c r="L622" s="7" t="s">
        <v>525</v>
      </c>
      <c r="M622" s="15">
        <f t="shared" si="29"/>
        <v>8.5523809523809433</v>
      </c>
      <c r="N622" t="str">
        <f>IF(match_results!C622="完全一致","〇","×")</f>
        <v>〇</v>
      </c>
    </row>
    <row r="623" spans="1:14" x14ac:dyDescent="0.15">
      <c r="A623" s="6" t="s">
        <v>984</v>
      </c>
      <c r="B623" s="6" t="s">
        <v>44</v>
      </c>
      <c r="C623" s="7" t="s">
        <v>39</v>
      </c>
      <c r="D623" s="6" t="s">
        <v>69</v>
      </c>
      <c r="E623" s="6" t="s">
        <v>985</v>
      </c>
      <c r="F623" s="8">
        <v>71.3</v>
      </c>
      <c r="G623" s="8">
        <v>7130</v>
      </c>
      <c r="H623" s="9">
        <f t="shared" si="27"/>
        <v>100</v>
      </c>
      <c r="I623" s="7" t="s">
        <v>38</v>
      </c>
      <c r="J623" s="10">
        <v>6244</v>
      </c>
      <c r="K623" s="11">
        <f t="shared" si="28"/>
        <v>62.44</v>
      </c>
      <c r="L623" s="7" t="s">
        <v>224</v>
      </c>
      <c r="M623" s="15">
        <f t="shared" si="29"/>
        <v>8.86</v>
      </c>
      <c r="N623" t="str">
        <f>IF(match_results!C623="完全一致","〇","×")</f>
        <v>×</v>
      </c>
    </row>
    <row r="624" spans="1:14" x14ac:dyDescent="0.15">
      <c r="A624" s="6" t="s">
        <v>986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27"/>
        <v>100</v>
      </c>
      <c r="I624" s="7" t="s">
        <v>38</v>
      </c>
      <c r="J624" s="10">
        <v>604</v>
      </c>
      <c r="K624" s="11">
        <f t="shared" si="28"/>
        <v>6.04</v>
      </c>
      <c r="L624" s="7" t="s">
        <v>154</v>
      </c>
      <c r="M624" s="15">
        <f t="shared" si="29"/>
        <v>1.2599999999999998</v>
      </c>
      <c r="N624" t="str">
        <f>IF(match_results!C624="完全一致","〇","×")</f>
        <v>〇</v>
      </c>
    </row>
    <row r="625" spans="1:14" x14ac:dyDescent="0.15">
      <c r="A625" s="6" t="s">
        <v>987</v>
      </c>
      <c r="B625" s="6" t="s">
        <v>44</v>
      </c>
      <c r="C625" s="7" t="s">
        <v>14</v>
      </c>
      <c r="D625" s="6" t="s">
        <v>988</v>
      </c>
      <c r="E625" s="6" t="s">
        <v>709</v>
      </c>
      <c r="F625" s="8">
        <v>9.6</v>
      </c>
      <c r="G625" s="8">
        <v>3840</v>
      </c>
      <c r="H625" s="9">
        <f t="shared" si="27"/>
        <v>400</v>
      </c>
      <c r="I625" s="7" t="s">
        <v>13</v>
      </c>
      <c r="J625" s="10">
        <v>3496</v>
      </c>
      <c r="K625" s="11">
        <f t="shared" si="28"/>
        <v>8.74</v>
      </c>
      <c r="L625" s="7" t="s">
        <v>306</v>
      </c>
      <c r="M625" s="15">
        <f t="shared" si="29"/>
        <v>0.85999999999999943</v>
      </c>
      <c r="N625" t="str">
        <f>IF(match_results!C625="完全一致","〇","×")</f>
        <v>〇</v>
      </c>
    </row>
    <row r="626" spans="1:14" x14ac:dyDescent="0.15">
      <c r="A626" s="6" t="s">
        <v>987</v>
      </c>
      <c r="B626" s="6" t="s">
        <v>44</v>
      </c>
      <c r="C626" s="7" t="s">
        <v>14</v>
      </c>
      <c r="D626" s="6" t="s">
        <v>989</v>
      </c>
      <c r="E626" s="6" t="s">
        <v>709</v>
      </c>
      <c r="F626" s="8">
        <v>9.6</v>
      </c>
      <c r="G626" s="8">
        <v>9600</v>
      </c>
      <c r="H626" s="9">
        <f t="shared" si="27"/>
        <v>1000</v>
      </c>
      <c r="I626" s="7" t="s">
        <v>13</v>
      </c>
      <c r="J626" s="10">
        <v>8740</v>
      </c>
      <c r="K626" s="11">
        <f t="shared" si="28"/>
        <v>8.74</v>
      </c>
      <c r="L626" s="7" t="s">
        <v>306</v>
      </c>
      <c r="M626" s="15">
        <f t="shared" si="29"/>
        <v>0.85999999999999943</v>
      </c>
      <c r="N626" t="str">
        <f>IF(match_results!C626="完全一致","〇","×")</f>
        <v>〇</v>
      </c>
    </row>
    <row r="627" spans="1:14" x14ac:dyDescent="0.15">
      <c r="A627" s="6" t="s">
        <v>990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27"/>
        <v>50</v>
      </c>
      <c r="I627" s="7" t="s">
        <v>13</v>
      </c>
      <c r="J627" s="10">
        <v>494</v>
      </c>
      <c r="K627" s="11">
        <f t="shared" si="28"/>
        <v>9.8800000000000008</v>
      </c>
      <c r="L627" s="7" t="s">
        <v>128</v>
      </c>
      <c r="M627" s="15">
        <f t="shared" si="29"/>
        <v>1.2199999999999989</v>
      </c>
      <c r="N627" t="str">
        <f>IF(match_results!C627="完全一致","〇","×")</f>
        <v>×</v>
      </c>
    </row>
    <row r="628" spans="1:14" x14ac:dyDescent="0.15">
      <c r="A628" s="6" t="s">
        <v>991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27"/>
        <v>500</v>
      </c>
      <c r="I628" s="7" t="s">
        <v>38</v>
      </c>
      <c r="J628" s="10">
        <v>6236</v>
      </c>
      <c r="K628" s="11">
        <f t="shared" si="28"/>
        <v>12.472</v>
      </c>
      <c r="L628" s="7" t="s">
        <v>246</v>
      </c>
      <c r="M628" s="15">
        <f t="shared" si="29"/>
        <v>1.5280000000000005</v>
      </c>
      <c r="N628" t="str">
        <f>IF(match_results!C628="完全一致","〇","×")</f>
        <v>〇</v>
      </c>
    </row>
    <row r="629" spans="1:14" x14ac:dyDescent="0.15">
      <c r="A629" s="6" t="s">
        <v>992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27"/>
        <v>100</v>
      </c>
      <c r="I629" s="7" t="s">
        <v>38</v>
      </c>
      <c r="J629" s="10">
        <v>1417</v>
      </c>
      <c r="K629" s="11">
        <f t="shared" si="28"/>
        <v>14.17</v>
      </c>
      <c r="L629" s="7" t="s">
        <v>303</v>
      </c>
      <c r="M629" s="15">
        <f t="shared" si="29"/>
        <v>3.33</v>
      </c>
      <c r="N629" t="str">
        <f>IF(match_results!C629="完全一致","〇","×")</f>
        <v>〇</v>
      </c>
    </row>
    <row r="630" spans="1:14" x14ac:dyDescent="0.15">
      <c r="A630" s="6" t="s">
        <v>992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27"/>
        <v>1000</v>
      </c>
      <c r="I630" s="7" t="s">
        <v>38</v>
      </c>
      <c r="J630" s="12">
        <v>14319</v>
      </c>
      <c r="K630" s="11">
        <f t="shared" si="28"/>
        <v>14.319000000000001</v>
      </c>
      <c r="L630" s="7" t="s">
        <v>303</v>
      </c>
      <c r="M630" s="15">
        <f t="shared" si="29"/>
        <v>3.1809999999999992</v>
      </c>
      <c r="N630" t="str">
        <f>IF(match_results!C630="完全一致","〇","×")</f>
        <v>〇</v>
      </c>
    </row>
    <row r="631" spans="1:14" x14ac:dyDescent="0.15">
      <c r="A631" s="6" t="s">
        <v>993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27"/>
        <v>999.99999999999989</v>
      </c>
      <c r="I631" s="7" t="s">
        <v>38</v>
      </c>
      <c r="J631" s="10">
        <v>3540</v>
      </c>
      <c r="K631" s="11">
        <f t="shared" si="28"/>
        <v>3.5400000000000005</v>
      </c>
      <c r="L631" s="7" t="s">
        <v>994</v>
      </c>
      <c r="M631" s="15">
        <f t="shared" si="29"/>
        <v>2.36</v>
      </c>
      <c r="N631" t="str">
        <f>IF(match_results!C631="完全一致","〇","×")</f>
        <v>〇</v>
      </c>
    </row>
    <row r="632" spans="1:14" x14ac:dyDescent="0.15">
      <c r="A632" s="6" t="s">
        <v>993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27"/>
        <v>999.99999999999989</v>
      </c>
      <c r="I632" s="7" t="s">
        <v>38</v>
      </c>
      <c r="J632" s="10">
        <v>3540</v>
      </c>
      <c r="K632" s="11">
        <f t="shared" si="28"/>
        <v>3.5400000000000005</v>
      </c>
      <c r="L632" s="7" t="s">
        <v>994</v>
      </c>
      <c r="M632" s="15">
        <f t="shared" si="29"/>
        <v>2.36</v>
      </c>
      <c r="N632" t="str">
        <f>IF(match_results!C632="完全一致","〇","×")</f>
        <v>〇</v>
      </c>
    </row>
    <row r="633" spans="1:14" x14ac:dyDescent="0.15">
      <c r="A633" s="6" t="s">
        <v>995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27"/>
        <v>499.99999999999994</v>
      </c>
      <c r="I633" s="7" t="s">
        <v>38</v>
      </c>
      <c r="J633" s="10">
        <v>1770</v>
      </c>
      <c r="K633" s="11">
        <f t="shared" si="28"/>
        <v>3.5400000000000005</v>
      </c>
      <c r="L633" s="7" t="s">
        <v>994</v>
      </c>
      <c r="M633" s="15">
        <f t="shared" si="29"/>
        <v>2.36</v>
      </c>
      <c r="N633" t="str">
        <f>IF(match_results!C633="完全一致","〇","×")</f>
        <v>〇</v>
      </c>
    </row>
    <row r="634" spans="1:14" x14ac:dyDescent="0.15">
      <c r="A634" s="6" t="s">
        <v>995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27"/>
        <v>499.99999999999994</v>
      </c>
      <c r="I634" s="7" t="s">
        <v>38</v>
      </c>
      <c r="J634" s="10">
        <v>1770</v>
      </c>
      <c r="K634" s="11">
        <f t="shared" si="28"/>
        <v>3.5400000000000005</v>
      </c>
      <c r="L634" s="7" t="s">
        <v>994</v>
      </c>
      <c r="M634" s="15">
        <f t="shared" si="29"/>
        <v>2.36</v>
      </c>
      <c r="N634" t="str">
        <f>IF(match_results!C634="完全一致","〇","×")</f>
        <v>〇</v>
      </c>
    </row>
    <row r="635" spans="1:14" x14ac:dyDescent="0.15">
      <c r="A635" s="6" t="s">
        <v>996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27"/>
        <v>100</v>
      </c>
      <c r="I635" s="7" t="s">
        <v>38</v>
      </c>
      <c r="J635" s="12">
        <v>1515</v>
      </c>
      <c r="K635" s="11">
        <f t="shared" si="28"/>
        <v>15.15</v>
      </c>
      <c r="L635" s="7" t="s">
        <v>85</v>
      </c>
      <c r="M635" s="15">
        <f t="shared" si="29"/>
        <v>1.8499999999999996</v>
      </c>
      <c r="N635" t="str">
        <f>IF(match_results!C635="完全一致","〇","×")</f>
        <v>×</v>
      </c>
    </row>
    <row r="636" spans="1:14" x14ac:dyDescent="0.15">
      <c r="A636" s="6" t="s">
        <v>997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27"/>
        <v>100</v>
      </c>
      <c r="I636" s="7" t="s">
        <v>38</v>
      </c>
      <c r="J636" s="10">
        <v>543</v>
      </c>
      <c r="K636" s="11">
        <f t="shared" si="28"/>
        <v>5.43</v>
      </c>
      <c r="L636" s="7" t="s">
        <v>185</v>
      </c>
      <c r="M636" s="15">
        <f t="shared" si="29"/>
        <v>0.66999999999999993</v>
      </c>
      <c r="N636" t="str">
        <f>IF(match_results!C636="完全一致","〇","×")</f>
        <v>〇</v>
      </c>
    </row>
    <row r="637" spans="1:14" x14ac:dyDescent="0.15">
      <c r="A637" s="6" t="s">
        <v>998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27"/>
        <v>100.00000000000001</v>
      </c>
      <c r="I637" s="7" t="s">
        <v>38</v>
      </c>
      <c r="J637" s="10">
        <v>775</v>
      </c>
      <c r="K637" s="11">
        <f t="shared" si="28"/>
        <v>7.7499999999999991</v>
      </c>
      <c r="L637" s="7" t="s">
        <v>185</v>
      </c>
      <c r="M637" s="15">
        <f t="shared" si="29"/>
        <v>0.95000000000000018</v>
      </c>
      <c r="N637" t="str">
        <f>IF(match_results!C637="完全一致","〇","×")</f>
        <v>〇</v>
      </c>
    </row>
    <row r="638" spans="1:14" x14ac:dyDescent="0.15">
      <c r="A638" s="6" t="s">
        <v>999</v>
      </c>
      <c r="B638" s="6" t="s">
        <v>90</v>
      </c>
      <c r="C638" s="7" t="s">
        <v>10</v>
      </c>
      <c r="D638" s="6" t="s">
        <v>1000</v>
      </c>
      <c r="E638" s="6" t="s">
        <v>92</v>
      </c>
      <c r="F638" s="8">
        <v>552.20000000000005</v>
      </c>
      <c r="G638" s="8">
        <v>13805</v>
      </c>
      <c r="H638" s="9">
        <f t="shared" si="27"/>
        <v>24.999999999999996</v>
      </c>
      <c r="I638" s="7" t="s">
        <v>75</v>
      </c>
      <c r="J638" s="10">
        <v>12254</v>
      </c>
      <c r="K638" s="11">
        <f t="shared" si="28"/>
        <v>490.16000000000008</v>
      </c>
      <c r="L638" s="7" t="s">
        <v>76</v>
      </c>
      <c r="M638" s="15">
        <f t="shared" si="29"/>
        <v>62.039999999999964</v>
      </c>
      <c r="N638" t="str">
        <f>IF(match_results!C638="完全一致","〇","×")</f>
        <v>〇</v>
      </c>
    </row>
    <row r="639" spans="1:14" x14ac:dyDescent="0.15">
      <c r="A639" s="6" t="s">
        <v>1001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27"/>
        <v>99.999999999999986</v>
      </c>
      <c r="I639" s="7" t="s">
        <v>38</v>
      </c>
      <c r="J639" s="10">
        <v>739</v>
      </c>
      <c r="K639" s="11">
        <f t="shared" si="28"/>
        <v>7.3900000000000015</v>
      </c>
      <c r="L639" s="7" t="s">
        <v>407</v>
      </c>
      <c r="M639" s="15">
        <f t="shared" si="29"/>
        <v>0.90999999999999925</v>
      </c>
      <c r="N639" t="str">
        <f>IF(match_results!C639="完全一致","〇","×")</f>
        <v>〇</v>
      </c>
    </row>
    <row r="640" spans="1:14" x14ac:dyDescent="0.15">
      <c r="A640" s="6" t="s">
        <v>1002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27"/>
        <v>100</v>
      </c>
      <c r="I640" s="7" t="s">
        <v>38</v>
      </c>
      <c r="J640" s="10">
        <v>681</v>
      </c>
      <c r="K640" s="11">
        <f t="shared" si="28"/>
        <v>6.81</v>
      </c>
      <c r="L640" s="7" t="s">
        <v>1003</v>
      </c>
      <c r="M640" s="15">
        <f t="shared" si="29"/>
        <v>1.29</v>
      </c>
      <c r="N640" t="str">
        <f>IF(match_results!C640="完全一致","〇","×")</f>
        <v>〇</v>
      </c>
    </row>
    <row r="641" spans="1:14" x14ac:dyDescent="0.15">
      <c r="A641" s="6" t="s">
        <v>1004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30">G641/F641</f>
        <v>10</v>
      </c>
      <c r="I641" s="7" t="s">
        <v>110</v>
      </c>
      <c r="J641" s="10">
        <v>2981</v>
      </c>
      <c r="K641" s="11">
        <f t="shared" ref="K641:K704" si="31">J641/H641</f>
        <v>298.10000000000002</v>
      </c>
      <c r="L641" s="7" t="s">
        <v>824</v>
      </c>
      <c r="M641" s="15">
        <f t="shared" si="29"/>
        <v>29.899999999999977</v>
      </c>
      <c r="N641" t="str">
        <f>IF(match_results!C641="完全一致","〇","×")</f>
        <v>〇</v>
      </c>
    </row>
    <row r="642" spans="1:14" x14ac:dyDescent="0.15">
      <c r="A642" s="6" t="s">
        <v>1005</v>
      </c>
      <c r="B642" s="6" t="s">
        <v>9</v>
      </c>
      <c r="C642" s="7" t="s">
        <v>58</v>
      </c>
      <c r="D642" s="6" t="s">
        <v>1006</v>
      </c>
      <c r="E642" s="6" t="s">
        <v>360</v>
      </c>
      <c r="F642" s="8">
        <v>513.1</v>
      </c>
      <c r="G642" s="8">
        <v>1026.2</v>
      </c>
      <c r="H642" s="9">
        <f t="shared" si="30"/>
        <v>2</v>
      </c>
      <c r="I642" s="7" t="s">
        <v>38</v>
      </c>
      <c r="J642" s="10">
        <v>850</v>
      </c>
      <c r="K642" s="11">
        <f t="shared" si="31"/>
        <v>425</v>
      </c>
      <c r="L642" s="7" t="s">
        <v>270</v>
      </c>
      <c r="M642" s="15">
        <f t="shared" si="29"/>
        <v>88.100000000000023</v>
      </c>
      <c r="N642" t="str">
        <f>IF(match_results!C642="完全一致","〇","×")</f>
        <v>〇</v>
      </c>
    </row>
    <row r="643" spans="1:14" x14ac:dyDescent="0.15">
      <c r="A643" s="6" t="s">
        <v>1007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30"/>
        <v>100</v>
      </c>
      <c r="I643" s="7" t="s">
        <v>38</v>
      </c>
      <c r="J643" s="10">
        <v>1303</v>
      </c>
      <c r="K643" s="11">
        <f t="shared" si="31"/>
        <v>13.03</v>
      </c>
      <c r="L643" s="7" t="s">
        <v>185</v>
      </c>
      <c r="M643" s="15">
        <f t="shared" ref="M643:M706" si="32">F643-K643</f>
        <v>2.67</v>
      </c>
      <c r="N643" t="str">
        <f>IF(match_results!C643="完全一致","〇","×")</f>
        <v>〇</v>
      </c>
    </row>
    <row r="644" spans="1:14" x14ac:dyDescent="0.15">
      <c r="A644" s="6" t="s">
        <v>1007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30"/>
        <v>200</v>
      </c>
      <c r="I644" s="7" t="s">
        <v>38</v>
      </c>
      <c r="J644" s="10">
        <v>2606</v>
      </c>
      <c r="K644" s="11">
        <f t="shared" si="31"/>
        <v>13.03</v>
      </c>
      <c r="L644" s="7" t="s">
        <v>185</v>
      </c>
      <c r="M644" s="15">
        <f t="shared" si="32"/>
        <v>2.67</v>
      </c>
      <c r="N644" t="str">
        <f>IF(match_results!C644="完全一致","〇","×")</f>
        <v>〇</v>
      </c>
    </row>
    <row r="645" spans="1:14" x14ac:dyDescent="0.15">
      <c r="A645" s="6" t="s">
        <v>1008</v>
      </c>
      <c r="B645" s="6" t="s">
        <v>90</v>
      </c>
      <c r="C645" s="7" t="s">
        <v>10</v>
      </c>
      <c r="D645" s="6" t="s">
        <v>1009</v>
      </c>
      <c r="E645" s="6" t="s">
        <v>92</v>
      </c>
      <c r="F645" s="8">
        <v>15.9</v>
      </c>
      <c r="G645" s="8">
        <v>1780.8</v>
      </c>
      <c r="H645" s="9">
        <f t="shared" si="30"/>
        <v>112</v>
      </c>
      <c r="I645" s="7" t="s">
        <v>244</v>
      </c>
      <c r="J645" s="10">
        <v>1585</v>
      </c>
      <c r="K645" s="11">
        <f t="shared" si="31"/>
        <v>14.151785714285714</v>
      </c>
      <c r="L645" s="7" t="s">
        <v>76</v>
      </c>
      <c r="M645" s="15">
        <f t="shared" si="32"/>
        <v>1.7482142857142868</v>
      </c>
      <c r="N645" t="str">
        <f>IF(match_results!C645="完全一致","〇","×")</f>
        <v>〇</v>
      </c>
    </row>
    <row r="646" spans="1:14" x14ac:dyDescent="0.15">
      <c r="A646" s="6" t="s">
        <v>1010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30"/>
        <v>500</v>
      </c>
      <c r="I646" s="7" t="s">
        <v>38</v>
      </c>
      <c r="J646" s="10">
        <v>4550</v>
      </c>
      <c r="K646" s="11">
        <f t="shared" si="31"/>
        <v>9.1</v>
      </c>
      <c r="L646" s="7" t="s">
        <v>303</v>
      </c>
      <c r="M646" s="15">
        <f t="shared" si="32"/>
        <v>1.3000000000000007</v>
      </c>
      <c r="N646" t="str">
        <f>IF(match_results!C646="完全一致","〇","×")</f>
        <v>〇</v>
      </c>
    </row>
    <row r="647" spans="1:14" x14ac:dyDescent="0.15">
      <c r="A647" s="6" t="s">
        <v>1011</v>
      </c>
      <c r="B647" s="6" t="s">
        <v>10</v>
      </c>
      <c r="C647" s="7" t="s">
        <v>10</v>
      </c>
      <c r="D647" s="6" t="s">
        <v>1012</v>
      </c>
      <c r="E647" s="6" t="s">
        <v>92</v>
      </c>
      <c r="F647" s="8">
        <v>100</v>
      </c>
      <c r="G647" s="8">
        <v>1000</v>
      </c>
      <c r="H647" s="9">
        <f t="shared" si="30"/>
        <v>10</v>
      </c>
      <c r="I647" s="7" t="s">
        <v>88</v>
      </c>
      <c r="J647" s="12">
        <v>890</v>
      </c>
      <c r="K647" s="11">
        <f t="shared" si="31"/>
        <v>89</v>
      </c>
      <c r="L647" s="7" t="s">
        <v>433</v>
      </c>
      <c r="M647" s="15">
        <f t="shared" si="32"/>
        <v>11</v>
      </c>
      <c r="N647" t="str">
        <f>IF(match_results!C647="完全一致","〇","×")</f>
        <v>×</v>
      </c>
    </row>
    <row r="648" spans="1:14" x14ac:dyDescent="0.15">
      <c r="A648" s="6" t="s">
        <v>1013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30"/>
        <v>99.999999999999986</v>
      </c>
      <c r="I648" s="7" t="s">
        <v>57</v>
      </c>
      <c r="J648" s="12">
        <v>784</v>
      </c>
      <c r="K648" s="11">
        <f t="shared" si="31"/>
        <v>7.8400000000000007</v>
      </c>
      <c r="L648" s="7" t="s">
        <v>289</v>
      </c>
      <c r="M648" s="15">
        <f t="shared" si="32"/>
        <v>0.96</v>
      </c>
      <c r="N648" t="str">
        <f>IF(match_results!C648="完全一致","〇","×")</f>
        <v>〇</v>
      </c>
    </row>
    <row r="649" spans="1:14" x14ac:dyDescent="0.15">
      <c r="A649" s="6" t="s">
        <v>1014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30"/>
        <v>999.99999999999989</v>
      </c>
      <c r="I649" s="7" t="s">
        <v>38</v>
      </c>
      <c r="J649" s="10">
        <v>5260</v>
      </c>
      <c r="K649" s="11">
        <f t="shared" si="31"/>
        <v>5.2600000000000007</v>
      </c>
      <c r="L649" s="7" t="s">
        <v>121</v>
      </c>
      <c r="M649" s="15">
        <f t="shared" si="32"/>
        <v>0.63999999999999968</v>
      </c>
      <c r="N649" t="str">
        <f>IF(match_results!C649="完全一致","〇","×")</f>
        <v>〇</v>
      </c>
    </row>
    <row r="650" spans="1:14" x14ac:dyDescent="0.15">
      <c r="A650" s="6" t="s">
        <v>1014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30"/>
        <v>999.99999999999989</v>
      </c>
      <c r="I650" s="7" t="s">
        <v>38</v>
      </c>
      <c r="J650" s="10">
        <v>5260</v>
      </c>
      <c r="K650" s="11">
        <f t="shared" si="31"/>
        <v>5.2600000000000007</v>
      </c>
      <c r="L650" s="7" t="s">
        <v>121</v>
      </c>
      <c r="M650" s="15">
        <f t="shared" si="32"/>
        <v>0.63999999999999968</v>
      </c>
      <c r="N650" t="str">
        <f>IF(match_results!C650="完全一致","〇","×")</f>
        <v>〇</v>
      </c>
    </row>
    <row r="651" spans="1:14" x14ac:dyDescent="0.15">
      <c r="A651" s="6" t="s">
        <v>1015</v>
      </c>
      <c r="B651" s="6" t="s">
        <v>90</v>
      </c>
      <c r="C651" s="7" t="s">
        <v>39</v>
      </c>
      <c r="D651" s="6" t="s">
        <v>1016</v>
      </c>
      <c r="E651" s="6" t="s">
        <v>385</v>
      </c>
      <c r="F651" s="8">
        <v>77.400000000000006</v>
      </c>
      <c r="G651" s="8">
        <v>3715.2</v>
      </c>
      <c r="H651" s="9">
        <f t="shared" si="30"/>
        <v>47.999999999999993</v>
      </c>
      <c r="I651" s="7" t="s">
        <v>38</v>
      </c>
      <c r="J651" s="10">
        <v>3307</v>
      </c>
      <c r="K651" s="11">
        <f t="shared" si="31"/>
        <v>68.895833333333343</v>
      </c>
      <c r="L651" s="7" t="s">
        <v>270</v>
      </c>
      <c r="M651" s="15">
        <f t="shared" si="32"/>
        <v>8.5041666666666629</v>
      </c>
      <c r="N651" t="str">
        <f>IF(match_results!C651="完全一致","〇","×")</f>
        <v>〇</v>
      </c>
    </row>
    <row r="652" spans="1:14" x14ac:dyDescent="0.15">
      <c r="A652" s="6" t="s">
        <v>1017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30"/>
        <v>500</v>
      </c>
      <c r="I652" s="7" t="s">
        <v>38</v>
      </c>
      <c r="J652" s="10">
        <v>4320</v>
      </c>
      <c r="K652" s="11">
        <f t="shared" si="31"/>
        <v>8.64</v>
      </c>
      <c r="L652" s="7" t="s">
        <v>407</v>
      </c>
      <c r="M652" s="15">
        <f t="shared" si="32"/>
        <v>1.7599999999999998</v>
      </c>
      <c r="N652" t="str">
        <f>IF(match_results!C652="完全一致","〇","×")</f>
        <v>〇</v>
      </c>
    </row>
    <row r="653" spans="1:14" x14ac:dyDescent="0.15">
      <c r="A653" s="6" t="s">
        <v>1018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30"/>
        <v>10</v>
      </c>
      <c r="I653" s="7" t="s">
        <v>244</v>
      </c>
      <c r="J653" s="10">
        <v>9451</v>
      </c>
      <c r="K653" s="11">
        <f t="shared" si="31"/>
        <v>945.1</v>
      </c>
      <c r="L653" s="7" t="s">
        <v>207</v>
      </c>
      <c r="M653" s="15">
        <f t="shared" si="32"/>
        <v>115.80000000000007</v>
      </c>
      <c r="N653" t="str">
        <f>IF(match_results!C653="完全一致","〇","×")</f>
        <v>×</v>
      </c>
    </row>
    <row r="654" spans="1:14" x14ac:dyDescent="0.15">
      <c r="A654" s="6" t="s">
        <v>1019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30"/>
        <v>56</v>
      </c>
      <c r="I654" s="7" t="s">
        <v>38</v>
      </c>
      <c r="J654" s="10">
        <v>3179</v>
      </c>
      <c r="K654" s="11">
        <f t="shared" si="31"/>
        <v>56.767857142857146</v>
      </c>
      <c r="L654" s="7" t="s">
        <v>224</v>
      </c>
      <c r="M654" s="15">
        <f t="shared" si="32"/>
        <v>9.2321428571428541</v>
      </c>
      <c r="N654" t="str">
        <f>IF(match_results!C654="完全一致","〇","×")</f>
        <v>〇</v>
      </c>
    </row>
    <row r="655" spans="1:14" x14ac:dyDescent="0.15">
      <c r="A655" s="6" t="s">
        <v>1019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30"/>
        <v>100</v>
      </c>
      <c r="I655" s="7" t="s">
        <v>38</v>
      </c>
      <c r="J655" s="10">
        <v>5676</v>
      </c>
      <c r="K655" s="11">
        <f t="shared" si="31"/>
        <v>56.76</v>
      </c>
      <c r="L655" s="7" t="s">
        <v>224</v>
      </c>
      <c r="M655" s="15">
        <f t="shared" si="32"/>
        <v>9.240000000000002</v>
      </c>
      <c r="N655" t="str">
        <f>IF(match_results!C655="完全一致","〇","×")</f>
        <v>〇</v>
      </c>
    </row>
    <row r="656" spans="1:14" x14ac:dyDescent="0.15">
      <c r="A656" s="6" t="s">
        <v>1020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30"/>
        <v>56</v>
      </c>
      <c r="I656" s="7" t="s">
        <v>38</v>
      </c>
      <c r="J656" s="10">
        <v>1035</v>
      </c>
      <c r="K656" s="11">
        <f t="shared" si="31"/>
        <v>18.482142857142858</v>
      </c>
      <c r="L656" s="7" t="s">
        <v>224</v>
      </c>
      <c r="M656" s="15">
        <f t="shared" si="32"/>
        <v>3.0178571428571423</v>
      </c>
      <c r="N656" t="str">
        <f>IF(match_results!C656="完全一致","〇","×")</f>
        <v>〇</v>
      </c>
    </row>
    <row r="657" spans="1:14" x14ac:dyDescent="0.15">
      <c r="A657" s="6" t="s">
        <v>1020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30"/>
        <v>100</v>
      </c>
      <c r="I657" s="7" t="s">
        <v>38</v>
      </c>
      <c r="J657" s="10">
        <v>1849</v>
      </c>
      <c r="K657" s="11">
        <f t="shared" si="31"/>
        <v>18.489999999999998</v>
      </c>
      <c r="L657" s="7" t="s">
        <v>224</v>
      </c>
      <c r="M657" s="15">
        <f t="shared" si="32"/>
        <v>3.0100000000000016</v>
      </c>
      <c r="N657" t="str">
        <f>IF(match_results!C657="完全一致","〇","×")</f>
        <v>〇</v>
      </c>
    </row>
    <row r="658" spans="1:14" x14ac:dyDescent="0.15">
      <c r="A658" s="6" t="s">
        <v>1021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30"/>
        <v>100</v>
      </c>
      <c r="I658" s="7" t="s">
        <v>38</v>
      </c>
      <c r="J658" s="10">
        <v>802</v>
      </c>
      <c r="K658" s="11">
        <f t="shared" si="31"/>
        <v>8.02</v>
      </c>
      <c r="L658" s="7" t="s">
        <v>511</v>
      </c>
      <c r="M658" s="15">
        <f t="shared" si="32"/>
        <v>0.98000000000000043</v>
      </c>
      <c r="N658" t="str">
        <f>IF(match_results!C658="完全一致","〇","×")</f>
        <v>〇</v>
      </c>
    </row>
    <row r="659" spans="1:14" x14ac:dyDescent="0.15">
      <c r="A659" s="6" t="s">
        <v>1022</v>
      </c>
      <c r="B659" s="6" t="s">
        <v>9</v>
      </c>
      <c r="C659" s="7" t="s">
        <v>58</v>
      </c>
      <c r="D659" s="6" t="s">
        <v>36</v>
      </c>
      <c r="E659" s="6" t="s">
        <v>963</v>
      </c>
      <c r="F659" s="8">
        <v>10.1</v>
      </c>
      <c r="G659" s="8">
        <v>1010</v>
      </c>
      <c r="H659" s="9">
        <f t="shared" si="30"/>
        <v>100</v>
      </c>
      <c r="I659" s="7" t="s">
        <v>38</v>
      </c>
      <c r="J659" s="10">
        <v>918</v>
      </c>
      <c r="K659" s="11">
        <f t="shared" si="31"/>
        <v>9.18</v>
      </c>
      <c r="L659" s="7" t="s">
        <v>270</v>
      </c>
      <c r="M659" s="15">
        <f t="shared" si="32"/>
        <v>0.91999999999999993</v>
      </c>
      <c r="N659" t="str">
        <f>IF(match_results!C659="完全一致","〇","×")</f>
        <v>〇</v>
      </c>
    </row>
    <row r="660" spans="1:14" x14ac:dyDescent="0.15">
      <c r="A660" s="6" t="s">
        <v>1023</v>
      </c>
      <c r="B660" s="6" t="s">
        <v>109</v>
      </c>
      <c r="C660" s="7" t="s">
        <v>10</v>
      </c>
      <c r="D660" s="6" t="s">
        <v>1024</v>
      </c>
      <c r="E660" s="6" t="s">
        <v>108</v>
      </c>
      <c r="F660" s="8">
        <v>656</v>
      </c>
      <c r="G660" s="8">
        <v>6560</v>
      </c>
      <c r="H660" s="9">
        <f t="shared" si="30"/>
        <v>10</v>
      </c>
      <c r="I660" s="7" t="s">
        <v>110</v>
      </c>
      <c r="J660" s="10">
        <v>5921</v>
      </c>
      <c r="K660" s="11">
        <f t="shared" si="31"/>
        <v>592.1</v>
      </c>
      <c r="L660" s="7" t="s">
        <v>353</v>
      </c>
      <c r="M660" s="15">
        <f t="shared" si="32"/>
        <v>63.899999999999977</v>
      </c>
      <c r="N660" t="str">
        <f>IF(match_results!C660="完全一致","〇","×")</f>
        <v>〇</v>
      </c>
    </row>
    <row r="661" spans="1:14" x14ac:dyDescent="0.15">
      <c r="A661" s="6" t="s">
        <v>1025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30"/>
        <v>100</v>
      </c>
      <c r="I661" s="7" t="s">
        <v>13</v>
      </c>
      <c r="J661" s="10">
        <v>870</v>
      </c>
      <c r="K661" s="11">
        <f t="shared" si="31"/>
        <v>8.6999999999999993</v>
      </c>
      <c r="L661" s="7" t="s">
        <v>63</v>
      </c>
      <c r="M661" s="15">
        <f t="shared" si="32"/>
        <v>0.90000000000000036</v>
      </c>
      <c r="N661" t="str">
        <f>IF(match_results!C661="完全一致","〇","×")</f>
        <v>〇</v>
      </c>
    </row>
    <row r="662" spans="1:14" x14ac:dyDescent="0.15">
      <c r="A662" s="6" t="s">
        <v>1026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30"/>
        <v>100</v>
      </c>
      <c r="I662" s="7" t="s">
        <v>38</v>
      </c>
      <c r="J662" s="10">
        <v>840</v>
      </c>
      <c r="K662" s="11">
        <f t="shared" si="31"/>
        <v>8.4</v>
      </c>
      <c r="L662" s="7" t="s">
        <v>63</v>
      </c>
      <c r="M662" s="15">
        <f t="shared" si="32"/>
        <v>2</v>
      </c>
      <c r="N662" t="str">
        <f>IF(match_results!C662="完全一致","〇","×")</f>
        <v>〇</v>
      </c>
    </row>
    <row r="663" spans="1:14" x14ac:dyDescent="0.15">
      <c r="A663" s="6" t="s">
        <v>1026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30"/>
        <v>1000</v>
      </c>
      <c r="I663" s="7" t="s">
        <v>38</v>
      </c>
      <c r="J663" s="10">
        <v>8400</v>
      </c>
      <c r="K663" s="11">
        <f t="shared" si="31"/>
        <v>8.4</v>
      </c>
      <c r="L663" s="7" t="s">
        <v>63</v>
      </c>
      <c r="M663" s="15">
        <f t="shared" si="32"/>
        <v>2</v>
      </c>
      <c r="N663" t="str">
        <f>IF(match_results!C663="完全一致","〇","×")</f>
        <v>〇</v>
      </c>
    </row>
    <row r="664" spans="1:14" x14ac:dyDescent="0.15">
      <c r="A664" s="6" t="s">
        <v>1027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30"/>
        <v>99.999999999999986</v>
      </c>
      <c r="I664" s="7" t="s">
        <v>38</v>
      </c>
      <c r="J664" s="10">
        <v>26110</v>
      </c>
      <c r="K664" s="11">
        <f t="shared" si="31"/>
        <v>261.10000000000002</v>
      </c>
      <c r="L664" s="7" t="s">
        <v>1028</v>
      </c>
      <c r="M664" s="15">
        <f t="shared" si="32"/>
        <v>42.5</v>
      </c>
      <c r="N664" t="str">
        <f>IF(match_results!C664="完全一致","〇","×")</f>
        <v>〇</v>
      </c>
    </row>
    <row r="665" spans="1:14" x14ac:dyDescent="0.15">
      <c r="A665" s="6" t="s">
        <v>1029</v>
      </c>
      <c r="B665" s="6" t="s">
        <v>9</v>
      </c>
      <c r="C665" s="7" t="s">
        <v>14</v>
      </c>
      <c r="D665" s="6" t="s">
        <v>1030</v>
      </c>
      <c r="E665" s="6" t="s">
        <v>398</v>
      </c>
      <c r="F665" s="8">
        <v>61.4</v>
      </c>
      <c r="G665" s="8">
        <v>6140</v>
      </c>
      <c r="H665" s="9">
        <f t="shared" si="30"/>
        <v>100</v>
      </c>
      <c r="I665" s="7" t="s">
        <v>554</v>
      </c>
      <c r="J665" s="10">
        <v>5240</v>
      </c>
      <c r="K665" s="11">
        <f t="shared" si="31"/>
        <v>52.4</v>
      </c>
      <c r="L665" s="7" t="s">
        <v>213</v>
      </c>
      <c r="M665" s="15">
        <f t="shared" si="32"/>
        <v>9</v>
      </c>
      <c r="N665" t="str">
        <f>IF(match_results!C665="完全一致","〇","×")</f>
        <v>×</v>
      </c>
    </row>
    <row r="666" spans="1:14" x14ac:dyDescent="0.15">
      <c r="A666" s="6" t="s">
        <v>1031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30"/>
        <v>100</v>
      </c>
      <c r="I666" s="7" t="s">
        <v>38</v>
      </c>
      <c r="J666" s="10">
        <v>748</v>
      </c>
      <c r="K666" s="11">
        <f t="shared" si="31"/>
        <v>7.48</v>
      </c>
      <c r="L666" s="7" t="s">
        <v>303</v>
      </c>
      <c r="M666" s="15">
        <f t="shared" si="32"/>
        <v>0.91999999999999993</v>
      </c>
      <c r="N666" t="str">
        <f>IF(match_results!C666="完全一致","〇","×")</f>
        <v>〇</v>
      </c>
    </row>
    <row r="667" spans="1:14" x14ac:dyDescent="0.15">
      <c r="A667" s="6" t="s">
        <v>1032</v>
      </c>
      <c r="B667" s="6" t="s">
        <v>90</v>
      </c>
      <c r="C667" s="7" t="s">
        <v>39</v>
      </c>
      <c r="D667" s="6" t="s">
        <v>1033</v>
      </c>
      <c r="E667" s="6" t="s">
        <v>447</v>
      </c>
      <c r="F667" s="8">
        <v>6.8</v>
      </c>
      <c r="G667" s="8">
        <v>1428</v>
      </c>
      <c r="H667" s="9">
        <f t="shared" si="30"/>
        <v>210</v>
      </c>
      <c r="I667" s="7" t="s">
        <v>57</v>
      </c>
      <c r="J667" s="10">
        <v>1252</v>
      </c>
      <c r="K667" s="11">
        <f t="shared" si="31"/>
        <v>5.961904761904762</v>
      </c>
      <c r="L667" s="7" t="s">
        <v>348</v>
      </c>
      <c r="M667" s="15">
        <f t="shared" si="32"/>
        <v>0.83809523809523778</v>
      </c>
      <c r="N667" t="str">
        <f>IF(match_results!C667="完全一致","〇","×")</f>
        <v>〇</v>
      </c>
    </row>
    <row r="668" spans="1:14" x14ac:dyDescent="0.15">
      <c r="A668" s="6" t="s">
        <v>1034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30"/>
        <v>100</v>
      </c>
      <c r="I668" s="7" t="s">
        <v>38</v>
      </c>
      <c r="J668" s="10">
        <v>3739</v>
      </c>
      <c r="K668" s="11">
        <f t="shared" si="31"/>
        <v>37.39</v>
      </c>
      <c r="L668" s="7" t="s">
        <v>251</v>
      </c>
      <c r="M668" s="15">
        <f t="shared" si="32"/>
        <v>5.009999999999998</v>
      </c>
      <c r="N668" t="str">
        <f>IF(match_results!C668="完全一致","〇","×")</f>
        <v>×</v>
      </c>
    </row>
    <row r="669" spans="1:14" x14ac:dyDescent="0.15">
      <c r="A669" s="6" t="s">
        <v>1035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30"/>
        <v>100.00000000000001</v>
      </c>
      <c r="I669" s="7" t="s">
        <v>38</v>
      </c>
      <c r="J669" s="10">
        <v>6666</v>
      </c>
      <c r="K669" s="11">
        <f t="shared" si="31"/>
        <v>66.66</v>
      </c>
      <c r="L669" s="7" t="s">
        <v>251</v>
      </c>
      <c r="M669" s="15">
        <f t="shared" si="32"/>
        <v>8.9399999999999977</v>
      </c>
      <c r="N669" t="str">
        <f>IF(match_results!C669="完全一致","〇","×")</f>
        <v>〇</v>
      </c>
    </row>
    <row r="670" spans="1:14" x14ac:dyDescent="0.15">
      <c r="A670" s="6" t="s">
        <v>1036</v>
      </c>
      <c r="B670" s="6" t="s">
        <v>9</v>
      </c>
      <c r="C670" s="7" t="s">
        <v>39</v>
      </c>
      <c r="D670" s="6" t="s">
        <v>1037</v>
      </c>
      <c r="E670" s="6" t="s">
        <v>257</v>
      </c>
      <c r="F670" s="8">
        <v>5.9</v>
      </c>
      <c r="G670" s="8">
        <v>5900</v>
      </c>
      <c r="H670" s="9">
        <f t="shared" si="30"/>
        <v>999.99999999999989</v>
      </c>
      <c r="I670" s="7" t="s">
        <v>1038</v>
      </c>
      <c r="J670" s="10">
        <v>5279</v>
      </c>
      <c r="K670" s="11">
        <f t="shared" si="31"/>
        <v>5.2790000000000008</v>
      </c>
      <c r="L670" s="7" t="s">
        <v>136</v>
      </c>
      <c r="M670" s="15">
        <f t="shared" si="32"/>
        <v>0.62099999999999955</v>
      </c>
      <c r="N670" t="str">
        <f>IF(match_results!C670="完全一致","〇","×")</f>
        <v>〇</v>
      </c>
    </row>
    <row r="671" spans="1:14" x14ac:dyDescent="0.15">
      <c r="A671" s="6" t="s">
        <v>1039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30"/>
        <v>500</v>
      </c>
      <c r="I671" s="7" t="s">
        <v>75</v>
      </c>
      <c r="J671" s="10">
        <v>3136</v>
      </c>
      <c r="K671" s="11">
        <f t="shared" si="31"/>
        <v>6.2720000000000002</v>
      </c>
      <c r="L671" s="7" t="s">
        <v>213</v>
      </c>
      <c r="M671" s="15">
        <f t="shared" si="32"/>
        <v>0.62800000000000011</v>
      </c>
      <c r="N671" t="str">
        <f>IF(match_results!C671="完全一致","〇","×")</f>
        <v>〇</v>
      </c>
    </row>
    <row r="672" spans="1:14" x14ac:dyDescent="0.15">
      <c r="A672" s="6" t="s">
        <v>1040</v>
      </c>
      <c r="B672" s="6" t="s">
        <v>90</v>
      </c>
      <c r="C672" s="7" t="s">
        <v>67</v>
      </c>
      <c r="D672" s="6" t="s">
        <v>1041</v>
      </c>
      <c r="E672" s="6" t="s">
        <v>639</v>
      </c>
      <c r="F672" s="8">
        <v>2164.9</v>
      </c>
      <c r="G672" s="8">
        <v>86596</v>
      </c>
      <c r="H672" s="9">
        <f t="shared" si="30"/>
        <v>40</v>
      </c>
      <c r="I672" s="7" t="s">
        <v>57</v>
      </c>
      <c r="J672" s="10">
        <v>77149</v>
      </c>
      <c r="K672" s="11">
        <f t="shared" si="31"/>
        <v>1928.7249999999999</v>
      </c>
      <c r="L672" s="7" t="s">
        <v>111</v>
      </c>
      <c r="M672" s="15">
        <f t="shared" si="32"/>
        <v>236.17500000000018</v>
      </c>
      <c r="N672" t="str">
        <f>IF(match_results!C672="完全一致","〇","×")</f>
        <v>〇</v>
      </c>
    </row>
    <row r="673" spans="1:14" x14ac:dyDescent="0.15">
      <c r="A673" s="6" t="s">
        <v>1042</v>
      </c>
      <c r="B673" s="6" t="s">
        <v>90</v>
      </c>
      <c r="C673" s="7" t="s">
        <v>10</v>
      </c>
      <c r="D673" s="6" t="s">
        <v>1043</v>
      </c>
      <c r="E673" s="6" t="s">
        <v>92</v>
      </c>
      <c r="F673" s="8">
        <v>10.7</v>
      </c>
      <c r="G673" s="8">
        <v>5992</v>
      </c>
      <c r="H673" s="9">
        <f t="shared" si="30"/>
        <v>560</v>
      </c>
      <c r="I673" s="7" t="s">
        <v>1044</v>
      </c>
      <c r="J673" s="10">
        <v>5320</v>
      </c>
      <c r="K673" s="11">
        <f t="shared" si="31"/>
        <v>9.5</v>
      </c>
      <c r="L673" s="7" t="s">
        <v>216</v>
      </c>
      <c r="M673" s="15">
        <f t="shared" si="32"/>
        <v>1.1999999999999993</v>
      </c>
      <c r="N673" t="str">
        <f>IF(match_results!C673="完全一致","〇","×")</f>
        <v>×</v>
      </c>
    </row>
    <row r="674" spans="1:14" x14ac:dyDescent="0.15">
      <c r="A674" s="6" t="s">
        <v>1045</v>
      </c>
      <c r="B674" s="6" t="s">
        <v>90</v>
      </c>
      <c r="C674" s="7" t="s">
        <v>10</v>
      </c>
      <c r="D674" s="6" t="s">
        <v>1043</v>
      </c>
      <c r="E674" s="6" t="s">
        <v>92</v>
      </c>
      <c r="F674" s="8">
        <v>10.7</v>
      </c>
      <c r="G674" s="8">
        <v>5992</v>
      </c>
      <c r="H674" s="9">
        <f t="shared" si="30"/>
        <v>560</v>
      </c>
      <c r="I674" s="7" t="s">
        <v>1044</v>
      </c>
      <c r="J674" s="10">
        <v>5320</v>
      </c>
      <c r="K674" s="11">
        <f t="shared" si="31"/>
        <v>9.5</v>
      </c>
      <c r="L674" s="7" t="s">
        <v>216</v>
      </c>
      <c r="M674" s="15">
        <f t="shared" si="32"/>
        <v>1.1999999999999993</v>
      </c>
      <c r="N674" t="str">
        <f>IF(match_results!C674="完全一致","〇","×")</f>
        <v>×</v>
      </c>
    </row>
    <row r="675" spans="1:14" x14ac:dyDescent="0.15">
      <c r="A675" s="6" t="s">
        <v>1046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30"/>
        <v>100</v>
      </c>
      <c r="I675" s="7" t="s">
        <v>38</v>
      </c>
      <c r="J675" s="10">
        <v>4999</v>
      </c>
      <c r="K675" s="11">
        <f t="shared" si="31"/>
        <v>49.99</v>
      </c>
      <c r="L675" s="7" t="s">
        <v>246</v>
      </c>
      <c r="M675" s="15">
        <f t="shared" si="32"/>
        <v>26.309999999999995</v>
      </c>
      <c r="N675" t="str">
        <f>IF(match_results!C675="完全一致","〇","×")</f>
        <v>〇</v>
      </c>
    </row>
    <row r="676" spans="1:14" x14ac:dyDescent="0.15">
      <c r="A676" s="6" t="s">
        <v>1047</v>
      </c>
      <c r="B676" s="6" t="s">
        <v>10</v>
      </c>
      <c r="C676" s="7" t="s">
        <v>10</v>
      </c>
      <c r="D676" s="6" t="s">
        <v>1048</v>
      </c>
      <c r="E676" s="6" t="s">
        <v>432</v>
      </c>
      <c r="F676" s="8">
        <v>2744</v>
      </c>
      <c r="G676" s="8">
        <v>96040</v>
      </c>
      <c r="H676" s="9">
        <f t="shared" si="30"/>
        <v>35</v>
      </c>
      <c r="I676" s="7" t="s">
        <v>75</v>
      </c>
      <c r="J676" s="12">
        <v>85562</v>
      </c>
      <c r="K676" s="11">
        <f t="shared" si="31"/>
        <v>2444.6285714285714</v>
      </c>
      <c r="L676" s="7" t="s">
        <v>224</v>
      </c>
      <c r="M676" s="15">
        <f t="shared" si="32"/>
        <v>299.37142857142862</v>
      </c>
      <c r="N676" t="str">
        <f>IF(match_results!C676="完全一致","〇","×")</f>
        <v>×</v>
      </c>
    </row>
    <row r="677" spans="1:14" x14ac:dyDescent="0.15">
      <c r="A677" s="6" t="s">
        <v>1049</v>
      </c>
      <c r="B677" s="6" t="s">
        <v>10</v>
      </c>
      <c r="C677" s="7" t="s">
        <v>10</v>
      </c>
      <c r="D677" s="6" t="s">
        <v>1050</v>
      </c>
      <c r="E677" s="6" t="s">
        <v>432</v>
      </c>
      <c r="F677" s="8">
        <v>2744</v>
      </c>
      <c r="G677" s="8">
        <v>137200</v>
      </c>
      <c r="H677" s="9">
        <f t="shared" si="30"/>
        <v>50</v>
      </c>
      <c r="I677" s="7" t="s">
        <v>75</v>
      </c>
      <c r="J677" s="12">
        <v>122231</v>
      </c>
      <c r="K677" s="11">
        <f t="shared" si="31"/>
        <v>2444.62</v>
      </c>
      <c r="L677" s="7" t="s">
        <v>224</v>
      </c>
      <c r="M677" s="15">
        <f t="shared" si="32"/>
        <v>299.38000000000011</v>
      </c>
      <c r="N677" t="str">
        <f>IF(match_results!C677="完全一致","〇","×")</f>
        <v>×</v>
      </c>
    </row>
    <row r="678" spans="1:14" x14ac:dyDescent="0.15">
      <c r="A678" s="6" t="s">
        <v>1051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30"/>
        <v>1</v>
      </c>
      <c r="I678" s="7" t="s">
        <v>80</v>
      </c>
      <c r="J678" s="10">
        <v>3500</v>
      </c>
      <c r="K678" s="11">
        <f t="shared" si="31"/>
        <v>3500</v>
      </c>
      <c r="L678" s="7" t="s">
        <v>695</v>
      </c>
      <c r="M678" s="15">
        <f t="shared" si="32"/>
        <v>462</v>
      </c>
      <c r="N678" t="str">
        <f>IF(match_results!C678="完全一致","〇","×")</f>
        <v>〇</v>
      </c>
    </row>
    <row r="679" spans="1:14" x14ac:dyDescent="0.15">
      <c r="A679" s="6" t="s">
        <v>1052</v>
      </c>
      <c r="B679" s="6" t="s">
        <v>9</v>
      </c>
      <c r="C679" s="7" t="s">
        <v>10</v>
      </c>
      <c r="D679" s="6" t="s">
        <v>1000</v>
      </c>
      <c r="E679" s="6" t="s">
        <v>721</v>
      </c>
      <c r="F679" s="8">
        <v>151</v>
      </c>
      <c r="G679" s="8">
        <v>3775</v>
      </c>
      <c r="H679" s="9">
        <f t="shared" si="30"/>
        <v>25</v>
      </c>
      <c r="I679" s="7" t="s">
        <v>75</v>
      </c>
      <c r="J679" s="10">
        <v>3160</v>
      </c>
      <c r="K679" s="11">
        <f t="shared" si="31"/>
        <v>126.4</v>
      </c>
      <c r="L679" s="7" t="s">
        <v>76</v>
      </c>
      <c r="M679" s="15">
        <f t="shared" si="32"/>
        <v>24.599999999999994</v>
      </c>
      <c r="N679" t="str">
        <f>IF(match_results!C679="完全一致","〇","×")</f>
        <v>〇</v>
      </c>
    </row>
    <row r="680" spans="1:14" x14ac:dyDescent="0.15">
      <c r="A680" s="6" t="s">
        <v>1053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30"/>
        <v>100</v>
      </c>
      <c r="I680" s="7" t="s">
        <v>38</v>
      </c>
      <c r="J680" s="10">
        <v>13691</v>
      </c>
      <c r="K680" s="11">
        <f t="shared" si="31"/>
        <v>136.91</v>
      </c>
      <c r="L680" s="7" t="s">
        <v>227</v>
      </c>
      <c r="M680" s="15">
        <f t="shared" si="32"/>
        <v>22.189999999999998</v>
      </c>
      <c r="N680" t="str">
        <f>IF(match_results!C680="完全一致","〇","×")</f>
        <v>〇</v>
      </c>
    </row>
    <row r="681" spans="1:14" x14ac:dyDescent="0.15">
      <c r="A681" s="6" t="s">
        <v>1053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30"/>
        <v>500</v>
      </c>
      <c r="I681" s="7" t="s">
        <v>38</v>
      </c>
      <c r="J681" s="10">
        <v>68456</v>
      </c>
      <c r="K681" s="11">
        <f t="shared" si="31"/>
        <v>136.91200000000001</v>
      </c>
      <c r="L681" s="7" t="s">
        <v>227</v>
      </c>
      <c r="M681" s="15">
        <f t="shared" si="32"/>
        <v>22.187999999999988</v>
      </c>
      <c r="N681" t="str">
        <f>IF(match_results!C681="完全一致","〇","×")</f>
        <v>〇</v>
      </c>
    </row>
    <row r="682" spans="1:14" x14ac:dyDescent="0.15">
      <c r="A682" s="6" t="s">
        <v>1054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30"/>
        <v>100</v>
      </c>
      <c r="I682" s="7" t="s">
        <v>38</v>
      </c>
      <c r="J682" s="10">
        <v>25400</v>
      </c>
      <c r="K682" s="11">
        <f t="shared" si="31"/>
        <v>254</v>
      </c>
      <c r="L682" s="7" t="s">
        <v>227</v>
      </c>
      <c r="M682" s="15">
        <f t="shared" si="32"/>
        <v>41.800000000000011</v>
      </c>
      <c r="N682" t="str">
        <f>IF(match_results!C682="完全一致","〇","×")</f>
        <v>〇</v>
      </c>
    </row>
    <row r="683" spans="1:14" x14ac:dyDescent="0.15">
      <c r="A683" s="6" t="s">
        <v>1054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30"/>
        <v>500</v>
      </c>
      <c r="I683" s="7" t="s">
        <v>38</v>
      </c>
      <c r="J683" s="10">
        <v>127000</v>
      </c>
      <c r="K683" s="11">
        <f t="shared" si="31"/>
        <v>254</v>
      </c>
      <c r="L683" s="7" t="s">
        <v>227</v>
      </c>
      <c r="M683" s="15">
        <f t="shared" si="32"/>
        <v>41.800000000000011</v>
      </c>
      <c r="N683" t="str">
        <f>IF(match_results!C683="完全一致","〇","×")</f>
        <v>〇</v>
      </c>
    </row>
    <row r="684" spans="1:14" x14ac:dyDescent="0.15">
      <c r="A684" s="6" t="s">
        <v>1055</v>
      </c>
      <c r="B684" s="6" t="s">
        <v>10</v>
      </c>
      <c r="C684" s="7" t="s">
        <v>10</v>
      </c>
      <c r="D684" s="6" t="s">
        <v>1056</v>
      </c>
      <c r="E684" s="6" t="s">
        <v>241</v>
      </c>
      <c r="F684" s="8">
        <v>6197</v>
      </c>
      <c r="G684" s="8">
        <v>6197</v>
      </c>
      <c r="H684" s="9">
        <f t="shared" si="30"/>
        <v>1</v>
      </c>
      <c r="I684" s="7" t="s">
        <v>97</v>
      </c>
      <c r="J684" s="12">
        <v>5520</v>
      </c>
      <c r="K684" s="11">
        <f t="shared" si="31"/>
        <v>5520</v>
      </c>
      <c r="L684" s="7" t="s">
        <v>111</v>
      </c>
      <c r="M684" s="15">
        <f t="shared" si="32"/>
        <v>677</v>
      </c>
      <c r="N684" t="str">
        <f>IF(match_results!C684="完全一致","〇","×")</f>
        <v>×</v>
      </c>
    </row>
    <row r="685" spans="1:14" x14ac:dyDescent="0.15">
      <c r="A685" s="6" t="s">
        <v>1057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30"/>
        <v>100.00000000000001</v>
      </c>
      <c r="I685" s="7" t="s">
        <v>38</v>
      </c>
      <c r="J685" s="10">
        <v>1455</v>
      </c>
      <c r="K685" s="11">
        <f t="shared" si="31"/>
        <v>14.549999999999997</v>
      </c>
      <c r="L685" s="7" t="s">
        <v>224</v>
      </c>
      <c r="M685" s="15">
        <f t="shared" si="32"/>
        <v>4.3500000000000014</v>
      </c>
      <c r="N685" t="str">
        <f>IF(match_results!C685="完全一致","〇","×")</f>
        <v>〇</v>
      </c>
    </row>
    <row r="686" spans="1:14" x14ac:dyDescent="0.15">
      <c r="A686" s="6" t="s">
        <v>1057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30"/>
        <v>300</v>
      </c>
      <c r="I686" s="7" t="s">
        <v>38</v>
      </c>
      <c r="J686" s="10">
        <v>4365</v>
      </c>
      <c r="K686" s="11">
        <f t="shared" si="31"/>
        <v>14.55</v>
      </c>
      <c r="L686" s="7" t="s">
        <v>224</v>
      </c>
      <c r="M686" s="15">
        <f t="shared" si="32"/>
        <v>4.3499999999999979</v>
      </c>
      <c r="N686" t="str">
        <f>IF(match_results!C686="完全一致","〇","×")</f>
        <v>〇</v>
      </c>
    </row>
    <row r="687" spans="1:14" x14ac:dyDescent="0.15">
      <c r="A687" s="6" t="s">
        <v>1058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30"/>
        <v>140</v>
      </c>
      <c r="I687" s="7" t="s">
        <v>38</v>
      </c>
      <c r="J687" s="10">
        <v>3335</v>
      </c>
      <c r="K687" s="11">
        <f t="shared" si="31"/>
        <v>23.821428571428573</v>
      </c>
      <c r="L687" s="7" t="s">
        <v>246</v>
      </c>
      <c r="M687" s="15">
        <f t="shared" si="32"/>
        <v>4.8785714285714263</v>
      </c>
      <c r="N687" t="str">
        <f>IF(match_results!C687="完全一致","〇","×")</f>
        <v>〇</v>
      </c>
    </row>
    <row r="688" spans="1:14" x14ac:dyDescent="0.15">
      <c r="A688" s="6" t="s">
        <v>1058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30"/>
        <v>100</v>
      </c>
      <c r="I688" s="7" t="s">
        <v>38</v>
      </c>
      <c r="J688" s="10">
        <v>2382</v>
      </c>
      <c r="K688" s="11">
        <f t="shared" si="31"/>
        <v>23.82</v>
      </c>
      <c r="L688" s="7" t="s">
        <v>246</v>
      </c>
      <c r="M688" s="15">
        <f t="shared" si="32"/>
        <v>4.879999999999999</v>
      </c>
      <c r="N688" t="str">
        <f>IF(match_results!C688="完全一致","〇","×")</f>
        <v>〇</v>
      </c>
    </row>
    <row r="689" spans="1:14" x14ac:dyDescent="0.15">
      <c r="A689" s="6" t="s">
        <v>1059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30"/>
        <v>140</v>
      </c>
      <c r="I689" s="7" t="s">
        <v>38</v>
      </c>
      <c r="J689" s="10">
        <v>1360</v>
      </c>
      <c r="K689" s="11">
        <f t="shared" si="31"/>
        <v>9.7142857142857135</v>
      </c>
      <c r="L689" s="7" t="s">
        <v>246</v>
      </c>
      <c r="M689" s="15">
        <f t="shared" si="32"/>
        <v>1.9857142857142858</v>
      </c>
      <c r="N689" t="str">
        <f>IF(match_results!C689="完全一致","〇","×")</f>
        <v>〇</v>
      </c>
    </row>
    <row r="690" spans="1:14" x14ac:dyDescent="0.15">
      <c r="A690" s="6" t="s">
        <v>1059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30"/>
        <v>100</v>
      </c>
      <c r="I690" s="7" t="s">
        <v>38</v>
      </c>
      <c r="J690" s="10">
        <v>971</v>
      </c>
      <c r="K690" s="11">
        <f t="shared" si="31"/>
        <v>9.7100000000000009</v>
      </c>
      <c r="L690" s="7" t="s">
        <v>246</v>
      </c>
      <c r="M690" s="15">
        <f t="shared" si="32"/>
        <v>1.9899999999999984</v>
      </c>
      <c r="N690" t="str">
        <f>IF(match_results!C690="完全一致","〇","×")</f>
        <v>〇</v>
      </c>
    </row>
    <row r="691" spans="1:14" x14ac:dyDescent="0.15">
      <c r="A691" s="6" t="s">
        <v>1060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30"/>
        <v>499.99999999999994</v>
      </c>
      <c r="I691" s="7" t="s">
        <v>38</v>
      </c>
      <c r="J691" s="10">
        <v>4520</v>
      </c>
      <c r="K691" s="11">
        <f t="shared" si="31"/>
        <v>9.0400000000000009</v>
      </c>
      <c r="L691" s="7" t="s">
        <v>306</v>
      </c>
      <c r="M691" s="15">
        <f t="shared" si="32"/>
        <v>2.2599999999999998</v>
      </c>
      <c r="N691" t="str">
        <f>IF(match_results!C691="完全一致","〇","×")</f>
        <v>〇</v>
      </c>
    </row>
    <row r="692" spans="1:14" x14ac:dyDescent="0.15">
      <c r="A692" s="6" t="s">
        <v>1060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30"/>
        <v>499.99999999999994</v>
      </c>
      <c r="I692" s="7" t="s">
        <v>38</v>
      </c>
      <c r="J692" s="10">
        <v>4520</v>
      </c>
      <c r="K692" s="11">
        <f t="shared" si="31"/>
        <v>9.0400000000000009</v>
      </c>
      <c r="L692" s="7" t="s">
        <v>306</v>
      </c>
      <c r="M692" s="15">
        <f t="shared" si="32"/>
        <v>2.2599999999999998</v>
      </c>
      <c r="N692" t="str">
        <f>IF(match_results!C692="完全一致","〇","×")</f>
        <v>〇</v>
      </c>
    </row>
    <row r="693" spans="1:14" x14ac:dyDescent="0.15">
      <c r="A693" s="6" t="s">
        <v>1061</v>
      </c>
      <c r="B693" s="6" t="s">
        <v>44</v>
      </c>
      <c r="C693" s="7" t="s">
        <v>10</v>
      </c>
      <c r="D693" s="6" t="s">
        <v>1062</v>
      </c>
      <c r="E693" s="6" t="s">
        <v>340</v>
      </c>
      <c r="F693" s="8">
        <v>1910</v>
      </c>
      <c r="G693" s="8">
        <v>3820</v>
      </c>
      <c r="H693" s="9">
        <f t="shared" si="30"/>
        <v>2</v>
      </c>
      <c r="I693" s="7" t="s">
        <v>80</v>
      </c>
      <c r="J693" s="10">
        <v>3323</v>
      </c>
      <c r="K693" s="11">
        <f t="shared" si="31"/>
        <v>1661.5</v>
      </c>
      <c r="L693" s="7" t="s">
        <v>81</v>
      </c>
      <c r="M693" s="15">
        <f t="shared" si="32"/>
        <v>248.5</v>
      </c>
      <c r="N693" t="str">
        <f>IF(match_results!C693="完全一致","〇","×")</f>
        <v>×</v>
      </c>
    </row>
    <row r="694" spans="1:14" x14ac:dyDescent="0.15">
      <c r="A694" s="6" t="s">
        <v>1063</v>
      </c>
      <c r="B694" s="6" t="s">
        <v>44</v>
      </c>
      <c r="C694" s="7" t="s">
        <v>10</v>
      </c>
      <c r="D694" s="6" t="s">
        <v>1064</v>
      </c>
      <c r="E694" s="6" t="s">
        <v>340</v>
      </c>
      <c r="F694" s="8">
        <v>1049</v>
      </c>
      <c r="G694" s="8">
        <v>2098</v>
      </c>
      <c r="H694" s="9">
        <f t="shared" si="30"/>
        <v>2</v>
      </c>
      <c r="I694" s="7" t="s">
        <v>244</v>
      </c>
      <c r="J694" s="10">
        <v>1783</v>
      </c>
      <c r="K694" s="11">
        <f t="shared" si="31"/>
        <v>891.5</v>
      </c>
      <c r="L694" s="7" t="s">
        <v>81</v>
      </c>
      <c r="M694" s="15">
        <f t="shared" si="32"/>
        <v>157.5</v>
      </c>
      <c r="N694" t="str">
        <f>IF(match_results!C694="完全一致","〇","×")</f>
        <v>×</v>
      </c>
    </row>
    <row r="695" spans="1:14" x14ac:dyDescent="0.15">
      <c r="A695" s="6" t="s">
        <v>1065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30"/>
        <v>100</v>
      </c>
      <c r="I695" s="7" t="s">
        <v>38</v>
      </c>
      <c r="J695" s="10">
        <v>568</v>
      </c>
      <c r="K695" s="11">
        <f t="shared" si="31"/>
        <v>5.68</v>
      </c>
      <c r="L695" s="7" t="s">
        <v>303</v>
      </c>
      <c r="M695" s="15">
        <f t="shared" si="32"/>
        <v>0.91999999999999993</v>
      </c>
      <c r="N695" t="str">
        <f>IF(match_results!C695="完全一致","〇","×")</f>
        <v>〇</v>
      </c>
    </row>
    <row r="696" spans="1:14" x14ac:dyDescent="0.15">
      <c r="A696" s="6" t="s">
        <v>1066</v>
      </c>
      <c r="B696" s="6" t="s">
        <v>9</v>
      </c>
      <c r="C696" s="7" t="s">
        <v>39</v>
      </c>
      <c r="D696" s="6" t="s">
        <v>36</v>
      </c>
      <c r="E696" s="6" t="s">
        <v>1067</v>
      </c>
      <c r="F696" s="8">
        <v>10.4</v>
      </c>
      <c r="G696" s="8">
        <v>1040</v>
      </c>
      <c r="H696" s="9">
        <f t="shared" si="30"/>
        <v>100</v>
      </c>
      <c r="I696" s="7" t="s">
        <v>38</v>
      </c>
      <c r="J696" s="10">
        <v>945</v>
      </c>
      <c r="K696" s="11">
        <f t="shared" si="31"/>
        <v>9.4499999999999993</v>
      </c>
      <c r="L696" s="7" t="s">
        <v>193</v>
      </c>
      <c r="M696" s="15">
        <f t="shared" si="32"/>
        <v>0.95000000000000107</v>
      </c>
      <c r="N696" t="str">
        <f>IF(match_results!C696="完全一致","〇","×")</f>
        <v>〇</v>
      </c>
    </row>
    <row r="697" spans="1:14" x14ac:dyDescent="0.15">
      <c r="A697" s="6" t="s">
        <v>1068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30"/>
        <v>100</v>
      </c>
      <c r="I697" s="7" t="s">
        <v>38</v>
      </c>
      <c r="J697" s="10">
        <v>35730</v>
      </c>
      <c r="K697" s="11">
        <f t="shared" si="31"/>
        <v>357.3</v>
      </c>
      <c r="L697" s="7" t="s">
        <v>343</v>
      </c>
      <c r="M697" s="15">
        <f t="shared" si="32"/>
        <v>54</v>
      </c>
      <c r="N697" t="str">
        <f>IF(match_results!C697="完全一致","〇","×")</f>
        <v>〇</v>
      </c>
    </row>
    <row r="698" spans="1:14" x14ac:dyDescent="0.15">
      <c r="A698" s="6" t="s">
        <v>1069</v>
      </c>
      <c r="B698" s="6" t="s">
        <v>10</v>
      </c>
      <c r="C698" s="7" t="s">
        <v>10</v>
      </c>
      <c r="D698" s="6" t="s">
        <v>1070</v>
      </c>
      <c r="E698" s="6" t="s">
        <v>681</v>
      </c>
      <c r="F698" s="8">
        <v>33070</v>
      </c>
      <c r="G698" s="8">
        <v>33070</v>
      </c>
      <c r="H698" s="9">
        <f t="shared" si="30"/>
        <v>1</v>
      </c>
      <c r="I698" s="7" t="s">
        <v>97</v>
      </c>
      <c r="J698" s="12">
        <v>29704</v>
      </c>
      <c r="K698" s="11">
        <f t="shared" si="31"/>
        <v>29704</v>
      </c>
      <c r="L698" s="7" t="s">
        <v>270</v>
      </c>
      <c r="M698" s="15">
        <f t="shared" si="32"/>
        <v>3366</v>
      </c>
      <c r="N698" t="str">
        <f>IF(match_results!C698="完全一致","〇","×")</f>
        <v>×</v>
      </c>
    </row>
    <row r="699" spans="1:14" x14ac:dyDescent="0.15">
      <c r="A699" s="6" t="s">
        <v>1071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30"/>
        <v>1</v>
      </c>
      <c r="I699" s="7" t="s">
        <v>80</v>
      </c>
      <c r="J699" s="10">
        <v>10895</v>
      </c>
      <c r="K699" s="11">
        <f t="shared" si="31"/>
        <v>10895</v>
      </c>
      <c r="L699" s="7" t="s">
        <v>227</v>
      </c>
      <c r="M699" s="15">
        <f t="shared" si="32"/>
        <v>2137</v>
      </c>
      <c r="N699" t="str">
        <f>IF(match_results!C699="完全一致","〇","×")</f>
        <v>×</v>
      </c>
    </row>
    <row r="700" spans="1:14" x14ac:dyDescent="0.15">
      <c r="A700" s="6" t="s">
        <v>1235</v>
      </c>
      <c r="B700" s="6" t="s">
        <v>44</v>
      </c>
      <c r="C700" s="7" t="s">
        <v>10</v>
      </c>
      <c r="D700" s="6" t="s">
        <v>1072</v>
      </c>
      <c r="E700" s="6" t="s">
        <v>279</v>
      </c>
      <c r="F700" s="8">
        <v>19680</v>
      </c>
      <c r="G700" s="8">
        <v>19680</v>
      </c>
      <c r="H700" s="9">
        <f t="shared" si="30"/>
        <v>1</v>
      </c>
      <c r="I700" s="7" t="s">
        <v>80</v>
      </c>
      <c r="J700" s="10">
        <v>16452</v>
      </c>
      <c r="K700" s="11">
        <f t="shared" si="31"/>
        <v>16452</v>
      </c>
      <c r="L700" s="7" t="s">
        <v>227</v>
      </c>
      <c r="M700" s="15">
        <f t="shared" si="32"/>
        <v>3228</v>
      </c>
      <c r="N700" t="str">
        <f>IF(match_results!C700="完全一致","〇","×")</f>
        <v>×</v>
      </c>
    </row>
    <row r="701" spans="1:14" x14ac:dyDescent="0.15">
      <c r="A701" s="6" t="s">
        <v>1073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30"/>
        <v>100</v>
      </c>
      <c r="I701" s="7" t="s">
        <v>13</v>
      </c>
      <c r="J701" s="10">
        <v>6904</v>
      </c>
      <c r="K701" s="11">
        <f t="shared" si="31"/>
        <v>69.040000000000006</v>
      </c>
      <c r="L701" s="7" t="s">
        <v>227</v>
      </c>
      <c r="M701" s="15">
        <f t="shared" si="32"/>
        <v>15.159999999999997</v>
      </c>
      <c r="N701" t="str">
        <f>IF(match_results!C701="完全一致","〇","×")</f>
        <v>〇</v>
      </c>
    </row>
    <row r="702" spans="1:14" x14ac:dyDescent="0.15">
      <c r="A702" s="6" t="s">
        <v>1074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30"/>
        <v>100</v>
      </c>
      <c r="I702" s="7" t="s">
        <v>38</v>
      </c>
      <c r="J702" s="10">
        <v>976</v>
      </c>
      <c r="K702" s="11">
        <f t="shared" si="31"/>
        <v>9.76</v>
      </c>
      <c r="L702" s="7" t="s">
        <v>227</v>
      </c>
      <c r="M702" s="15">
        <f t="shared" si="32"/>
        <v>2.1400000000000006</v>
      </c>
      <c r="N702" t="str">
        <f>IF(match_results!C702="完全一致","〇","×")</f>
        <v>×</v>
      </c>
    </row>
    <row r="703" spans="1:14" x14ac:dyDescent="0.15">
      <c r="A703" s="6" t="s">
        <v>1074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30"/>
        <v>1000</v>
      </c>
      <c r="I703" s="7" t="s">
        <v>38</v>
      </c>
      <c r="J703" s="10">
        <v>9758</v>
      </c>
      <c r="K703" s="11">
        <f t="shared" si="31"/>
        <v>9.7579999999999991</v>
      </c>
      <c r="L703" s="7" t="s">
        <v>227</v>
      </c>
      <c r="M703" s="15">
        <f t="shared" si="32"/>
        <v>2.1420000000000012</v>
      </c>
      <c r="N703" t="str">
        <f>IF(match_results!C703="完全一致","〇","×")</f>
        <v>×</v>
      </c>
    </row>
    <row r="704" spans="1:14" x14ac:dyDescent="0.15">
      <c r="A704" s="6" t="s">
        <v>1075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30"/>
        <v>100</v>
      </c>
      <c r="I704" s="7" t="s">
        <v>38</v>
      </c>
      <c r="J704" s="10">
        <v>1583</v>
      </c>
      <c r="K704" s="11">
        <f t="shared" si="31"/>
        <v>15.83</v>
      </c>
      <c r="L704" s="7" t="s">
        <v>227</v>
      </c>
      <c r="M704" s="15">
        <f t="shared" si="32"/>
        <v>3.4700000000000006</v>
      </c>
      <c r="N704" t="str">
        <f>IF(match_results!C704="完全一致","〇","×")</f>
        <v>×</v>
      </c>
    </row>
    <row r="705" spans="1:14" x14ac:dyDescent="0.15">
      <c r="A705" s="6" t="s">
        <v>1075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33">G705/F705</f>
        <v>1000</v>
      </c>
      <c r="I705" s="7" t="s">
        <v>38</v>
      </c>
      <c r="J705" s="10">
        <v>15826</v>
      </c>
      <c r="K705" s="11">
        <f t="shared" ref="K705:K768" si="34">J705/H705</f>
        <v>15.826000000000001</v>
      </c>
      <c r="L705" s="7" t="s">
        <v>227</v>
      </c>
      <c r="M705" s="15">
        <f t="shared" si="32"/>
        <v>3.4740000000000002</v>
      </c>
      <c r="N705" t="str">
        <f>IF(match_results!C705="完全一致","〇","×")</f>
        <v>×</v>
      </c>
    </row>
    <row r="706" spans="1:14" x14ac:dyDescent="0.15">
      <c r="A706" s="6" t="s">
        <v>1076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33"/>
        <v>100</v>
      </c>
      <c r="I706" s="7" t="s">
        <v>38</v>
      </c>
      <c r="J706" s="10">
        <v>2148</v>
      </c>
      <c r="K706" s="11">
        <f t="shared" si="34"/>
        <v>21.48</v>
      </c>
      <c r="L706" s="7" t="s">
        <v>227</v>
      </c>
      <c r="M706" s="15">
        <f t="shared" si="32"/>
        <v>4.7199999999999989</v>
      </c>
      <c r="N706" t="str">
        <f>IF(match_results!C706="完全一致","〇","×")</f>
        <v>〇</v>
      </c>
    </row>
    <row r="707" spans="1:14" x14ac:dyDescent="0.15">
      <c r="A707" s="6" t="s">
        <v>1076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33"/>
        <v>1000</v>
      </c>
      <c r="I707" s="7" t="s">
        <v>38</v>
      </c>
      <c r="J707" s="10">
        <v>21484</v>
      </c>
      <c r="K707" s="11">
        <f t="shared" si="34"/>
        <v>21.484000000000002</v>
      </c>
      <c r="L707" s="7" t="s">
        <v>227</v>
      </c>
      <c r="M707" s="15">
        <f t="shared" ref="M707:M770" si="35">F707-K707</f>
        <v>4.7159999999999975</v>
      </c>
      <c r="N707" t="str">
        <f>IF(match_results!C707="完全一致","〇","×")</f>
        <v>〇</v>
      </c>
    </row>
    <row r="708" spans="1:14" ht="20.25" customHeight="1" x14ac:dyDescent="0.15">
      <c r="A708" s="14" t="s">
        <v>1234</v>
      </c>
      <c r="B708" s="6" t="s">
        <v>44</v>
      </c>
      <c r="C708" s="7" t="s">
        <v>10</v>
      </c>
      <c r="D708" s="6" t="s">
        <v>1077</v>
      </c>
      <c r="E708" s="6" t="s">
        <v>279</v>
      </c>
      <c r="F708" s="8">
        <v>31.5</v>
      </c>
      <c r="G708" s="8">
        <v>945</v>
      </c>
      <c r="H708" s="9">
        <f t="shared" si="33"/>
        <v>30</v>
      </c>
      <c r="I708" s="7" t="s">
        <v>75</v>
      </c>
      <c r="J708" s="10">
        <v>775</v>
      </c>
      <c r="K708" s="11">
        <f t="shared" si="34"/>
        <v>25.833333333333332</v>
      </c>
      <c r="L708" s="7" t="s">
        <v>227</v>
      </c>
      <c r="M708" s="15">
        <f t="shared" si="35"/>
        <v>5.6666666666666679</v>
      </c>
      <c r="N708" t="str">
        <f>IF(match_results!C708="完全一致","〇","×")</f>
        <v>×</v>
      </c>
    </row>
    <row r="709" spans="1:14" x14ac:dyDescent="0.15">
      <c r="A709" s="6" t="s">
        <v>1078</v>
      </c>
      <c r="B709" s="6" t="s">
        <v>44</v>
      </c>
      <c r="C709" s="7" t="s">
        <v>10</v>
      </c>
      <c r="D709" s="6" t="s">
        <v>1079</v>
      </c>
      <c r="E709" s="6" t="s">
        <v>279</v>
      </c>
      <c r="F709" s="8">
        <v>31.5</v>
      </c>
      <c r="G709" s="8">
        <v>787.5</v>
      </c>
      <c r="H709" s="9">
        <f t="shared" si="33"/>
        <v>25</v>
      </c>
      <c r="I709" s="7" t="s">
        <v>75</v>
      </c>
      <c r="J709" s="10">
        <v>646</v>
      </c>
      <c r="K709" s="11">
        <f t="shared" si="34"/>
        <v>25.84</v>
      </c>
      <c r="L709" s="7" t="s">
        <v>227</v>
      </c>
      <c r="M709" s="15">
        <f t="shared" si="35"/>
        <v>5.66</v>
      </c>
      <c r="N709" t="str">
        <f>IF(match_results!C709="完全一致","〇","×")</f>
        <v>×</v>
      </c>
    </row>
    <row r="710" spans="1:14" x14ac:dyDescent="0.15">
      <c r="A710" s="6" t="s">
        <v>1080</v>
      </c>
      <c r="B710" s="6" t="s">
        <v>44</v>
      </c>
      <c r="C710" s="7" t="s">
        <v>10</v>
      </c>
      <c r="D710" s="6" t="s">
        <v>1081</v>
      </c>
      <c r="E710" s="6" t="s">
        <v>279</v>
      </c>
      <c r="F710" s="8">
        <v>31.5</v>
      </c>
      <c r="G710" s="8">
        <v>1575</v>
      </c>
      <c r="H710" s="9">
        <f t="shared" si="33"/>
        <v>50</v>
      </c>
      <c r="I710" s="7" t="s">
        <v>75</v>
      </c>
      <c r="J710" s="10">
        <v>1292</v>
      </c>
      <c r="K710" s="11">
        <f t="shared" si="34"/>
        <v>25.84</v>
      </c>
      <c r="L710" s="7" t="s">
        <v>227</v>
      </c>
      <c r="M710" s="15">
        <f t="shared" si="35"/>
        <v>5.66</v>
      </c>
      <c r="N710" t="str">
        <f>IF(match_results!C710="完全一致","〇","×")</f>
        <v>×</v>
      </c>
    </row>
    <row r="711" spans="1:14" x14ac:dyDescent="0.15">
      <c r="A711" s="6" t="s">
        <v>1082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33"/>
        <v>100</v>
      </c>
      <c r="I711" s="7" t="s">
        <v>10</v>
      </c>
      <c r="J711" s="10">
        <v>676</v>
      </c>
      <c r="K711" s="11">
        <f t="shared" si="34"/>
        <v>6.76</v>
      </c>
      <c r="L711" s="7" t="s">
        <v>227</v>
      </c>
      <c r="M711" s="15">
        <f t="shared" si="35"/>
        <v>3.6400000000000006</v>
      </c>
      <c r="N711" t="str">
        <f>IF(match_results!C711="完全一致","〇","×")</f>
        <v>〇</v>
      </c>
    </row>
    <row r="712" spans="1:14" x14ac:dyDescent="0.15">
      <c r="A712" s="6" t="s">
        <v>1082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33"/>
        <v>500</v>
      </c>
      <c r="I712" s="7" t="s">
        <v>10</v>
      </c>
      <c r="J712" s="10">
        <v>3380</v>
      </c>
      <c r="K712" s="11">
        <f t="shared" si="34"/>
        <v>6.76</v>
      </c>
      <c r="L712" s="7" t="s">
        <v>227</v>
      </c>
      <c r="M712" s="15">
        <f t="shared" si="35"/>
        <v>3.6400000000000006</v>
      </c>
      <c r="N712" t="str">
        <f>IF(match_results!C712="完全一致","〇","×")</f>
        <v>〇</v>
      </c>
    </row>
    <row r="713" spans="1:14" x14ac:dyDescent="0.15">
      <c r="A713" s="6" t="s">
        <v>1083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33"/>
        <v>100</v>
      </c>
      <c r="I713" s="7" t="s">
        <v>38</v>
      </c>
      <c r="J713" s="10">
        <v>676</v>
      </c>
      <c r="K713" s="11">
        <f t="shared" si="34"/>
        <v>6.76</v>
      </c>
      <c r="L713" s="7" t="s">
        <v>227</v>
      </c>
      <c r="M713" s="15">
        <f t="shared" si="35"/>
        <v>3.6400000000000006</v>
      </c>
      <c r="N713" t="str">
        <f>IF(match_results!C713="完全一致","〇","×")</f>
        <v>〇</v>
      </c>
    </row>
    <row r="714" spans="1:14" x14ac:dyDescent="0.15">
      <c r="A714" s="6" t="s">
        <v>1083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33"/>
        <v>500</v>
      </c>
      <c r="I714" s="7" t="s">
        <v>10</v>
      </c>
      <c r="J714" s="10">
        <v>3380</v>
      </c>
      <c r="K714" s="11">
        <f t="shared" si="34"/>
        <v>6.76</v>
      </c>
      <c r="L714" s="7" t="s">
        <v>227</v>
      </c>
      <c r="M714" s="15">
        <f t="shared" si="35"/>
        <v>3.6400000000000006</v>
      </c>
      <c r="N714" t="str">
        <f>IF(match_results!C714="完全一致","〇","×")</f>
        <v>〇</v>
      </c>
    </row>
    <row r="715" spans="1:14" x14ac:dyDescent="0.15">
      <c r="A715" s="6" t="s">
        <v>1084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33"/>
        <v>100</v>
      </c>
      <c r="I715" s="7" t="s">
        <v>10</v>
      </c>
      <c r="J715" s="10">
        <v>874</v>
      </c>
      <c r="K715" s="11">
        <f t="shared" si="34"/>
        <v>8.74</v>
      </c>
      <c r="L715" s="7" t="s">
        <v>227</v>
      </c>
      <c r="M715" s="15">
        <f t="shared" si="35"/>
        <v>1.6600000000000001</v>
      </c>
      <c r="N715" t="str">
        <f>IF(match_results!C715="完全一致","〇","×")</f>
        <v>〇</v>
      </c>
    </row>
    <row r="716" spans="1:14" x14ac:dyDescent="0.15">
      <c r="A716" s="6" t="s">
        <v>1084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33"/>
        <v>500</v>
      </c>
      <c r="I716" s="7" t="s">
        <v>10</v>
      </c>
      <c r="J716" s="10">
        <v>4370</v>
      </c>
      <c r="K716" s="11">
        <f t="shared" si="34"/>
        <v>8.74</v>
      </c>
      <c r="L716" s="7" t="s">
        <v>227</v>
      </c>
      <c r="M716" s="15">
        <f t="shared" si="35"/>
        <v>1.6600000000000001</v>
      </c>
      <c r="N716" t="str">
        <f>IF(match_results!C716="完全一致","〇","×")</f>
        <v>〇</v>
      </c>
    </row>
    <row r="717" spans="1:14" x14ac:dyDescent="0.15">
      <c r="A717" s="6" t="s">
        <v>1085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33"/>
        <v>100</v>
      </c>
      <c r="I717" s="7" t="s">
        <v>10</v>
      </c>
      <c r="J717" s="10">
        <v>927</v>
      </c>
      <c r="K717" s="11">
        <f t="shared" si="34"/>
        <v>9.27</v>
      </c>
      <c r="L717" s="7" t="s">
        <v>227</v>
      </c>
      <c r="M717" s="15">
        <f t="shared" si="35"/>
        <v>1.6300000000000008</v>
      </c>
      <c r="N717" t="str">
        <f>IF(match_results!C717="完全一致","〇","×")</f>
        <v>〇</v>
      </c>
    </row>
    <row r="718" spans="1:14" x14ac:dyDescent="0.15">
      <c r="A718" s="6" t="s">
        <v>1085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33"/>
        <v>500</v>
      </c>
      <c r="I718" s="7" t="s">
        <v>10</v>
      </c>
      <c r="J718" s="10">
        <v>4633</v>
      </c>
      <c r="K718" s="11">
        <f t="shared" si="34"/>
        <v>9.266</v>
      </c>
      <c r="L718" s="7" t="s">
        <v>227</v>
      </c>
      <c r="M718" s="15">
        <f t="shared" si="35"/>
        <v>1.6340000000000003</v>
      </c>
      <c r="N718" t="str">
        <f>IF(match_results!C718="完全一致","〇","×")</f>
        <v>〇</v>
      </c>
    </row>
    <row r="719" spans="1:14" x14ac:dyDescent="0.15">
      <c r="A719" s="6" t="s">
        <v>1086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33"/>
        <v>100</v>
      </c>
      <c r="I719" s="7" t="s">
        <v>13</v>
      </c>
      <c r="J719" s="12">
        <v>3752</v>
      </c>
      <c r="K719" s="11">
        <f t="shared" si="34"/>
        <v>37.520000000000003</v>
      </c>
      <c r="L719" s="7" t="s">
        <v>227</v>
      </c>
      <c r="M719" s="15">
        <f t="shared" si="35"/>
        <v>9.3799999999999955</v>
      </c>
      <c r="N719" t="str">
        <f>IF(match_results!C719="完全一致","〇","×")</f>
        <v>×</v>
      </c>
    </row>
    <row r="720" spans="1:14" x14ac:dyDescent="0.15">
      <c r="A720" s="6" t="s">
        <v>1087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33"/>
        <v>100</v>
      </c>
      <c r="I720" s="7" t="s">
        <v>38</v>
      </c>
      <c r="J720" s="10">
        <v>676</v>
      </c>
      <c r="K720" s="11">
        <f t="shared" si="34"/>
        <v>6.76</v>
      </c>
      <c r="L720" s="7" t="s">
        <v>227</v>
      </c>
      <c r="M720" s="15">
        <f t="shared" si="35"/>
        <v>3.6400000000000006</v>
      </c>
      <c r="N720" t="str">
        <f>IF(match_results!C720="完全一致","〇","×")</f>
        <v>×</v>
      </c>
    </row>
    <row r="721" spans="1:14" x14ac:dyDescent="0.15">
      <c r="A721" s="6" t="s">
        <v>1088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33"/>
        <v>100</v>
      </c>
      <c r="I721" s="7" t="s">
        <v>38</v>
      </c>
      <c r="J721" s="10">
        <v>945</v>
      </c>
      <c r="K721" s="11">
        <f t="shared" si="34"/>
        <v>9.4499999999999993</v>
      </c>
      <c r="L721" s="7" t="s">
        <v>227</v>
      </c>
      <c r="M721" s="15">
        <f t="shared" si="35"/>
        <v>0.95000000000000107</v>
      </c>
      <c r="N721" t="str">
        <f>IF(match_results!C721="完全一致","〇","×")</f>
        <v>×</v>
      </c>
    </row>
    <row r="722" spans="1:14" x14ac:dyDescent="0.15">
      <c r="A722" s="6" t="s">
        <v>1089</v>
      </c>
      <c r="B722" s="6" t="s">
        <v>44</v>
      </c>
      <c r="C722" s="7" t="s">
        <v>10</v>
      </c>
      <c r="D722" s="6" t="s">
        <v>1090</v>
      </c>
      <c r="E722" s="6" t="s">
        <v>308</v>
      </c>
      <c r="F722" s="8">
        <v>15</v>
      </c>
      <c r="G722" s="8">
        <v>750</v>
      </c>
      <c r="H722" s="9">
        <f t="shared" si="33"/>
        <v>50</v>
      </c>
      <c r="I722" s="7" t="s">
        <v>554</v>
      </c>
      <c r="J722" s="10">
        <v>641</v>
      </c>
      <c r="K722" s="11">
        <f t="shared" si="34"/>
        <v>12.82</v>
      </c>
      <c r="L722" s="7" t="s">
        <v>227</v>
      </c>
      <c r="M722" s="15">
        <f t="shared" si="35"/>
        <v>2.1799999999999997</v>
      </c>
      <c r="N722" t="str">
        <f>IF(match_results!C722="完全一致","〇","×")</f>
        <v>×</v>
      </c>
    </row>
    <row r="723" spans="1:14" x14ac:dyDescent="0.15">
      <c r="A723" s="6" t="s">
        <v>1091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33"/>
        <v>50</v>
      </c>
      <c r="I723" s="7" t="s">
        <v>554</v>
      </c>
      <c r="J723" s="10">
        <v>1270</v>
      </c>
      <c r="K723" s="11">
        <f t="shared" si="34"/>
        <v>25.4</v>
      </c>
      <c r="L723" s="7" t="s">
        <v>227</v>
      </c>
      <c r="M723" s="15">
        <f t="shared" si="35"/>
        <v>4.3000000000000007</v>
      </c>
      <c r="N723" t="str">
        <f>IF(match_results!C723="完全一致","〇","×")</f>
        <v>×</v>
      </c>
    </row>
    <row r="724" spans="1:14" x14ac:dyDescent="0.15">
      <c r="A724" s="6" t="s">
        <v>1092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33"/>
        <v>100</v>
      </c>
      <c r="I724" s="7" t="s">
        <v>38</v>
      </c>
      <c r="J724" s="10">
        <v>1443</v>
      </c>
      <c r="K724" s="11">
        <f t="shared" si="34"/>
        <v>14.43</v>
      </c>
      <c r="L724" s="7" t="s">
        <v>303</v>
      </c>
      <c r="M724" s="15">
        <f t="shared" si="35"/>
        <v>1.7699999999999996</v>
      </c>
      <c r="N724" t="str">
        <f>IF(match_results!C724="完全一致","〇","×")</f>
        <v>〇</v>
      </c>
    </row>
    <row r="725" spans="1:14" x14ac:dyDescent="0.15">
      <c r="A725" s="6" t="s">
        <v>1093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33"/>
        <v>100</v>
      </c>
      <c r="I725" s="7" t="s">
        <v>13</v>
      </c>
      <c r="J725" s="12">
        <v>1309</v>
      </c>
      <c r="K725" s="11">
        <f t="shared" si="34"/>
        <v>13.09</v>
      </c>
      <c r="L725" s="7" t="s">
        <v>128</v>
      </c>
      <c r="M725" s="15">
        <f t="shared" si="35"/>
        <v>1.6099999999999994</v>
      </c>
      <c r="N725" t="str">
        <f>IF(match_results!C725="完全一致","〇","×")</f>
        <v>〇</v>
      </c>
    </row>
    <row r="726" spans="1:14" x14ac:dyDescent="0.15">
      <c r="A726" s="6" t="s">
        <v>1094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33"/>
        <v>100</v>
      </c>
      <c r="I726" s="7" t="s">
        <v>38</v>
      </c>
      <c r="J726" s="10">
        <v>13480</v>
      </c>
      <c r="K726" s="11">
        <f t="shared" si="34"/>
        <v>134.80000000000001</v>
      </c>
      <c r="L726" s="7" t="s">
        <v>343</v>
      </c>
      <c r="M726" s="15">
        <f t="shared" si="35"/>
        <v>26.5</v>
      </c>
      <c r="N726" t="str">
        <f>IF(match_results!C726="完全一致","〇","×")</f>
        <v>〇</v>
      </c>
    </row>
    <row r="727" spans="1:14" x14ac:dyDescent="0.15">
      <c r="A727" s="6" t="s">
        <v>1095</v>
      </c>
      <c r="B727" s="6" t="s">
        <v>114</v>
      </c>
      <c r="C727" s="7" t="s">
        <v>10</v>
      </c>
      <c r="D727" s="6" t="s">
        <v>1096</v>
      </c>
      <c r="E727" s="6" t="s">
        <v>114</v>
      </c>
      <c r="F727" s="8">
        <v>84</v>
      </c>
      <c r="G727" s="8">
        <v>1176</v>
      </c>
      <c r="H727" s="9">
        <f t="shared" si="33"/>
        <v>14</v>
      </c>
      <c r="I727" s="7" t="s">
        <v>181</v>
      </c>
      <c r="J727" s="10">
        <v>940</v>
      </c>
      <c r="K727" s="11">
        <f t="shared" si="34"/>
        <v>67.142857142857139</v>
      </c>
      <c r="L727" s="7" t="s">
        <v>224</v>
      </c>
      <c r="M727" s="15">
        <f t="shared" si="35"/>
        <v>16.857142857142861</v>
      </c>
      <c r="N727" t="str">
        <f>IF(match_results!C727="完全一致","〇","×")</f>
        <v>×</v>
      </c>
    </row>
    <row r="728" spans="1:14" x14ac:dyDescent="0.15">
      <c r="A728" s="6" t="s">
        <v>1097</v>
      </c>
      <c r="B728" s="6" t="s">
        <v>114</v>
      </c>
      <c r="C728" s="7" t="s">
        <v>10</v>
      </c>
      <c r="D728" s="6" t="s">
        <v>1096</v>
      </c>
      <c r="E728" s="6" t="s">
        <v>114</v>
      </c>
      <c r="F728" s="8">
        <v>89.5</v>
      </c>
      <c r="G728" s="8">
        <v>1253</v>
      </c>
      <c r="H728" s="9">
        <f t="shared" si="33"/>
        <v>14</v>
      </c>
      <c r="I728" s="7" t="s">
        <v>181</v>
      </c>
      <c r="J728" s="10">
        <v>1002</v>
      </c>
      <c r="K728" s="11">
        <f t="shared" si="34"/>
        <v>71.571428571428569</v>
      </c>
      <c r="L728" s="7" t="s">
        <v>224</v>
      </c>
      <c r="M728" s="15">
        <f t="shared" si="35"/>
        <v>17.928571428571431</v>
      </c>
      <c r="N728" t="str">
        <f>IF(match_results!C728="完全一致","〇","×")</f>
        <v>×</v>
      </c>
    </row>
    <row r="729" spans="1:14" x14ac:dyDescent="0.15">
      <c r="A729" s="6" t="s">
        <v>1098</v>
      </c>
      <c r="B729" s="6" t="s">
        <v>114</v>
      </c>
      <c r="C729" s="7" t="s">
        <v>10</v>
      </c>
      <c r="D729" s="6" t="s">
        <v>1096</v>
      </c>
      <c r="E729" s="6" t="s">
        <v>114</v>
      </c>
      <c r="F729" s="8">
        <v>71.2</v>
      </c>
      <c r="G729" s="8">
        <v>996.8</v>
      </c>
      <c r="H729" s="9">
        <f t="shared" si="33"/>
        <v>13.999999999999998</v>
      </c>
      <c r="I729" s="7" t="s">
        <v>181</v>
      </c>
      <c r="J729" s="10">
        <v>797</v>
      </c>
      <c r="K729" s="11">
        <f t="shared" si="34"/>
        <v>56.928571428571438</v>
      </c>
      <c r="L729" s="7" t="s">
        <v>224</v>
      </c>
      <c r="M729" s="15">
        <f t="shared" si="35"/>
        <v>14.271428571428565</v>
      </c>
      <c r="N729" t="str">
        <f>IF(match_results!C729="完全一致","〇","×")</f>
        <v>〇</v>
      </c>
    </row>
    <row r="730" spans="1:14" x14ac:dyDescent="0.15">
      <c r="A730" s="6" t="s">
        <v>1099</v>
      </c>
      <c r="B730" s="6" t="s">
        <v>114</v>
      </c>
      <c r="C730" s="7" t="s">
        <v>10</v>
      </c>
      <c r="D730" s="6" t="s">
        <v>1096</v>
      </c>
      <c r="E730" s="6" t="s">
        <v>114</v>
      </c>
      <c r="F730" s="8">
        <v>80.400000000000006</v>
      </c>
      <c r="G730" s="8">
        <v>1125.5999999999999</v>
      </c>
      <c r="H730" s="9">
        <f t="shared" si="33"/>
        <v>13.999999999999998</v>
      </c>
      <c r="I730" s="7" t="s">
        <v>181</v>
      </c>
      <c r="J730" s="10">
        <v>900</v>
      </c>
      <c r="K730" s="11">
        <f t="shared" si="34"/>
        <v>64.285714285714292</v>
      </c>
      <c r="L730" s="7" t="s">
        <v>224</v>
      </c>
      <c r="M730" s="15">
        <f t="shared" si="35"/>
        <v>16.114285714285714</v>
      </c>
      <c r="N730" t="str">
        <f>IF(match_results!C730="完全一致","〇","×")</f>
        <v>×</v>
      </c>
    </row>
    <row r="731" spans="1:14" x14ac:dyDescent="0.15">
      <c r="A731" s="6" t="s">
        <v>1100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33"/>
        <v>100</v>
      </c>
      <c r="I731" s="7" t="s">
        <v>38</v>
      </c>
      <c r="J731" s="12">
        <v>20945</v>
      </c>
      <c r="K731" s="11">
        <f t="shared" si="34"/>
        <v>209.45</v>
      </c>
      <c r="L731" s="7" t="s">
        <v>1101</v>
      </c>
      <c r="M731" s="15">
        <f t="shared" si="35"/>
        <v>25.650000000000006</v>
      </c>
      <c r="N731" t="str">
        <f>IF(match_results!C731="完全一致","〇","×")</f>
        <v>×</v>
      </c>
    </row>
    <row r="732" spans="1:14" x14ac:dyDescent="0.15">
      <c r="A732" s="6" t="s">
        <v>1102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33"/>
        <v>100</v>
      </c>
      <c r="I732" s="7" t="s">
        <v>38</v>
      </c>
      <c r="J732" s="10">
        <v>829</v>
      </c>
      <c r="K732" s="11">
        <f t="shared" si="34"/>
        <v>8.2899999999999991</v>
      </c>
      <c r="L732" s="7" t="s">
        <v>246</v>
      </c>
      <c r="M732" s="15">
        <f t="shared" si="35"/>
        <v>1.3100000000000005</v>
      </c>
      <c r="N732" t="str">
        <f>IF(match_results!C732="完全一致","〇","×")</f>
        <v>〇</v>
      </c>
    </row>
    <row r="733" spans="1:14" x14ac:dyDescent="0.15">
      <c r="A733" s="6" t="s">
        <v>1102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33"/>
        <v>1000</v>
      </c>
      <c r="I733" s="7" t="s">
        <v>38</v>
      </c>
      <c r="J733" s="10">
        <v>8290</v>
      </c>
      <c r="K733" s="11">
        <f t="shared" si="34"/>
        <v>8.2899999999999991</v>
      </c>
      <c r="L733" s="7" t="s">
        <v>246</v>
      </c>
      <c r="M733" s="15">
        <f t="shared" si="35"/>
        <v>1.3100000000000005</v>
      </c>
      <c r="N733" t="str">
        <f>IF(match_results!C733="完全一致","〇","×")</f>
        <v>〇</v>
      </c>
    </row>
    <row r="734" spans="1:14" x14ac:dyDescent="0.15">
      <c r="A734" s="6" t="s">
        <v>1103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33"/>
        <v>100</v>
      </c>
      <c r="I734" s="7" t="s">
        <v>38</v>
      </c>
      <c r="J734" s="10">
        <v>898</v>
      </c>
      <c r="K734" s="11">
        <f t="shared" si="34"/>
        <v>8.98</v>
      </c>
      <c r="L734" s="7" t="s">
        <v>246</v>
      </c>
      <c r="M734" s="15">
        <f t="shared" si="35"/>
        <v>1.42</v>
      </c>
      <c r="N734" t="str">
        <f>IF(match_results!C734="完全一致","〇","×")</f>
        <v>〇</v>
      </c>
    </row>
    <row r="735" spans="1:14" x14ac:dyDescent="0.15">
      <c r="A735" s="6" t="s">
        <v>1103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33"/>
        <v>1000</v>
      </c>
      <c r="I735" s="7" t="s">
        <v>38</v>
      </c>
      <c r="J735" s="10">
        <v>8980</v>
      </c>
      <c r="K735" s="11">
        <f t="shared" si="34"/>
        <v>8.98</v>
      </c>
      <c r="L735" s="7" t="s">
        <v>246</v>
      </c>
      <c r="M735" s="15">
        <f t="shared" si="35"/>
        <v>1.42</v>
      </c>
      <c r="N735" t="str">
        <f>IF(match_results!C735="完全一致","〇","×")</f>
        <v>〇</v>
      </c>
    </row>
    <row r="736" spans="1:14" x14ac:dyDescent="0.15">
      <c r="A736" s="6" t="s">
        <v>1104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33"/>
        <v>100</v>
      </c>
      <c r="I736" s="7" t="s">
        <v>38</v>
      </c>
      <c r="J736" s="12">
        <v>2585</v>
      </c>
      <c r="K736" s="11">
        <f t="shared" si="34"/>
        <v>25.85</v>
      </c>
      <c r="L736" s="7" t="s">
        <v>1105</v>
      </c>
      <c r="M736" s="15">
        <f t="shared" si="35"/>
        <v>3.1499999999999986</v>
      </c>
      <c r="N736" t="str">
        <f>IF(match_results!C736="完全一致","〇","×")</f>
        <v>〇</v>
      </c>
    </row>
    <row r="737" spans="1:14" x14ac:dyDescent="0.15">
      <c r="A737" s="6" t="s">
        <v>1106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33"/>
        <v>200</v>
      </c>
      <c r="I737" s="7" t="s">
        <v>38</v>
      </c>
      <c r="J737" s="10">
        <v>1680</v>
      </c>
      <c r="K737" s="11">
        <f t="shared" si="34"/>
        <v>8.4</v>
      </c>
      <c r="L737" s="7" t="s">
        <v>258</v>
      </c>
      <c r="M737" s="15">
        <f t="shared" si="35"/>
        <v>1.5</v>
      </c>
      <c r="N737" t="str">
        <f>IF(match_results!C737="完全一致","〇","×")</f>
        <v>×</v>
      </c>
    </row>
    <row r="738" spans="1:14" x14ac:dyDescent="0.15">
      <c r="A738" s="6" t="s">
        <v>1107</v>
      </c>
      <c r="B738" s="6" t="s">
        <v>10</v>
      </c>
      <c r="C738" s="7" t="s">
        <v>10</v>
      </c>
      <c r="D738" s="6" t="s">
        <v>1108</v>
      </c>
      <c r="E738" s="6" t="s">
        <v>963</v>
      </c>
      <c r="F738" s="8">
        <v>17611</v>
      </c>
      <c r="G738" s="8">
        <v>17611</v>
      </c>
      <c r="H738" s="9">
        <f t="shared" si="33"/>
        <v>1</v>
      </c>
      <c r="I738" s="7" t="s">
        <v>874</v>
      </c>
      <c r="J738" s="12">
        <v>15689</v>
      </c>
      <c r="K738" s="11">
        <f t="shared" si="34"/>
        <v>15689</v>
      </c>
      <c r="L738" s="7" t="s">
        <v>81</v>
      </c>
      <c r="M738" s="15">
        <f t="shared" si="35"/>
        <v>1922</v>
      </c>
      <c r="N738" t="str">
        <f>IF(match_results!C738="完全一致","〇","×")</f>
        <v>〇</v>
      </c>
    </row>
    <row r="739" spans="1:14" x14ac:dyDescent="0.15">
      <c r="A739" s="6" t="s">
        <v>1109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33"/>
        <v>56</v>
      </c>
      <c r="I739" s="7" t="s">
        <v>38</v>
      </c>
      <c r="J739" s="12">
        <v>18899</v>
      </c>
      <c r="K739" s="11">
        <f t="shared" si="34"/>
        <v>337.48214285714283</v>
      </c>
      <c r="L739" s="7" t="s">
        <v>224</v>
      </c>
      <c r="M739" s="15">
        <f t="shared" si="35"/>
        <v>46.017857142857167</v>
      </c>
      <c r="N739" t="str">
        <f>IF(match_results!C739="完全一致","〇","×")</f>
        <v>〇</v>
      </c>
    </row>
    <row r="740" spans="1:14" x14ac:dyDescent="0.15">
      <c r="A740" s="6" t="s">
        <v>1110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33"/>
        <v>100</v>
      </c>
      <c r="I740" s="7" t="s">
        <v>38</v>
      </c>
      <c r="J740" s="10">
        <v>5550</v>
      </c>
      <c r="K740" s="11">
        <f t="shared" si="34"/>
        <v>55.5</v>
      </c>
      <c r="L740" s="7" t="s">
        <v>63</v>
      </c>
      <c r="M740" s="15">
        <f t="shared" si="35"/>
        <v>9</v>
      </c>
      <c r="N740" t="str">
        <f>IF(match_results!C740="完全一致","〇","×")</f>
        <v>〇</v>
      </c>
    </row>
    <row r="741" spans="1:14" x14ac:dyDescent="0.15">
      <c r="A741" s="6" t="s">
        <v>1111</v>
      </c>
      <c r="B741" s="6" t="s">
        <v>90</v>
      </c>
      <c r="C741" s="7" t="s">
        <v>10</v>
      </c>
      <c r="D741" s="6" t="s">
        <v>1112</v>
      </c>
      <c r="E741" s="6" t="s">
        <v>241</v>
      </c>
      <c r="F741" s="8">
        <v>16.899999999999999</v>
      </c>
      <c r="G741" s="8">
        <v>845</v>
      </c>
      <c r="H741" s="9">
        <f t="shared" si="33"/>
        <v>50.000000000000007</v>
      </c>
      <c r="I741" s="7" t="s">
        <v>13</v>
      </c>
      <c r="J741" s="10">
        <v>748</v>
      </c>
      <c r="K741" s="11">
        <f t="shared" si="34"/>
        <v>14.959999999999997</v>
      </c>
      <c r="L741" s="7" t="s">
        <v>128</v>
      </c>
      <c r="M741" s="15">
        <f t="shared" si="35"/>
        <v>1.9400000000000013</v>
      </c>
      <c r="N741" t="str">
        <f>IF(match_results!C741="完全一致","〇","×")</f>
        <v>×</v>
      </c>
    </row>
    <row r="742" spans="1:14" x14ac:dyDescent="0.15">
      <c r="A742" s="6" t="s">
        <v>1113</v>
      </c>
      <c r="B742" s="6" t="s">
        <v>10</v>
      </c>
      <c r="C742" s="7" t="s">
        <v>10</v>
      </c>
      <c r="D742" s="6" t="s">
        <v>1114</v>
      </c>
      <c r="E742" s="6" t="s">
        <v>241</v>
      </c>
      <c r="F742" s="8">
        <v>208</v>
      </c>
      <c r="G742" s="8">
        <v>2080</v>
      </c>
      <c r="H742" s="9">
        <f t="shared" si="33"/>
        <v>10</v>
      </c>
      <c r="I742" s="7" t="s">
        <v>88</v>
      </c>
      <c r="J742" s="12">
        <v>1852</v>
      </c>
      <c r="K742" s="11">
        <f t="shared" si="34"/>
        <v>185.2</v>
      </c>
      <c r="L742" s="7" t="s">
        <v>321</v>
      </c>
      <c r="M742" s="15">
        <f t="shared" si="35"/>
        <v>22.800000000000011</v>
      </c>
      <c r="N742" t="str">
        <f>IF(match_results!C742="完全一致","〇","×")</f>
        <v>×</v>
      </c>
    </row>
    <row r="743" spans="1:14" x14ac:dyDescent="0.15">
      <c r="A743" s="6" t="s">
        <v>1115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33"/>
        <v>50</v>
      </c>
      <c r="I743" s="7" t="s">
        <v>244</v>
      </c>
      <c r="J743" s="10">
        <v>2187</v>
      </c>
      <c r="K743" s="11">
        <f t="shared" si="34"/>
        <v>43.74</v>
      </c>
      <c r="L743" s="7" t="s">
        <v>76</v>
      </c>
      <c r="M743" s="15">
        <f t="shared" si="35"/>
        <v>5.3599999999999994</v>
      </c>
      <c r="N743" t="str">
        <f>IF(match_results!C743="完全一致","〇","×")</f>
        <v>×</v>
      </c>
    </row>
    <row r="744" spans="1:14" x14ac:dyDescent="0.15">
      <c r="A744" s="6" t="s">
        <v>1116</v>
      </c>
      <c r="B744" s="6" t="s">
        <v>9</v>
      </c>
      <c r="C744" s="7" t="s">
        <v>39</v>
      </c>
      <c r="D744" s="6" t="s">
        <v>1117</v>
      </c>
      <c r="E744" s="6" t="s">
        <v>84</v>
      </c>
      <c r="F744" s="8">
        <v>9.6</v>
      </c>
      <c r="G744" s="8">
        <v>960</v>
      </c>
      <c r="H744" s="9">
        <f t="shared" si="33"/>
        <v>100</v>
      </c>
      <c r="I744" s="7" t="s">
        <v>38</v>
      </c>
      <c r="J744" s="12">
        <v>851</v>
      </c>
      <c r="K744" s="11">
        <f t="shared" si="34"/>
        <v>8.51</v>
      </c>
      <c r="L744" s="7" t="s">
        <v>227</v>
      </c>
      <c r="M744" s="15">
        <f t="shared" si="35"/>
        <v>1.0899999999999999</v>
      </c>
      <c r="N744" t="str">
        <f>IF(match_results!C744="完全一致","〇","×")</f>
        <v>×</v>
      </c>
    </row>
    <row r="745" spans="1:14" x14ac:dyDescent="0.15">
      <c r="A745" s="6" t="s">
        <v>1116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33"/>
        <v>1000</v>
      </c>
      <c r="I745" s="7" t="s">
        <v>38</v>
      </c>
      <c r="J745" s="10">
        <v>8510</v>
      </c>
      <c r="K745" s="11">
        <f t="shared" si="34"/>
        <v>8.51</v>
      </c>
      <c r="L745" s="7" t="s">
        <v>227</v>
      </c>
      <c r="M745" s="15">
        <f t="shared" si="35"/>
        <v>1.0899999999999999</v>
      </c>
      <c r="N745" t="str">
        <f>IF(match_results!C745="完全一致","〇","×")</f>
        <v>×</v>
      </c>
    </row>
    <row r="746" spans="1:14" x14ac:dyDescent="0.15">
      <c r="A746" s="6" t="s">
        <v>1118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33"/>
        <v>1000</v>
      </c>
      <c r="I746" s="7" t="s">
        <v>38</v>
      </c>
      <c r="J746" s="10">
        <v>16580</v>
      </c>
      <c r="K746" s="11">
        <f t="shared" si="34"/>
        <v>16.579999999999998</v>
      </c>
      <c r="L746" s="7" t="s">
        <v>227</v>
      </c>
      <c r="M746" s="15">
        <f t="shared" si="35"/>
        <v>2.120000000000001</v>
      </c>
      <c r="N746" t="str">
        <f>IF(match_results!C746="完全一致","〇","×")</f>
        <v>〇</v>
      </c>
    </row>
    <row r="747" spans="1:14" x14ac:dyDescent="0.15">
      <c r="A747" s="6" t="s">
        <v>1119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33"/>
        <v>100</v>
      </c>
      <c r="I747" s="7" t="s">
        <v>38</v>
      </c>
      <c r="J747" s="12">
        <v>1658</v>
      </c>
      <c r="K747" s="11">
        <f t="shared" si="34"/>
        <v>16.579999999999998</v>
      </c>
      <c r="L747" s="7" t="s">
        <v>227</v>
      </c>
      <c r="M747" s="15">
        <f t="shared" si="35"/>
        <v>2.120000000000001</v>
      </c>
      <c r="N747" t="str">
        <f>IF(match_results!C747="完全一致","〇","×")</f>
        <v>×</v>
      </c>
    </row>
    <row r="748" spans="1:14" x14ac:dyDescent="0.15">
      <c r="A748" s="6" t="s">
        <v>1120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33"/>
        <v>100.00000000000001</v>
      </c>
      <c r="I748" s="7" t="s">
        <v>38</v>
      </c>
      <c r="J748" s="10">
        <v>11300</v>
      </c>
      <c r="K748" s="11">
        <f t="shared" si="34"/>
        <v>112.99999999999999</v>
      </c>
      <c r="L748" s="7" t="s">
        <v>227</v>
      </c>
      <c r="M748" s="15">
        <f t="shared" si="35"/>
        <v>15.700000000000003</v>
      </c>
      <c r="N748" t="str">
        <f>IF(match_results!C748="完全一致","〇","×")</f>
        <v>〇</v>
      </c>
    </row>
    <row r="749" spans="1:14" x14ac:dyDescent="0.15">
      <c r="A749" s="6" t="s">
        <v>1120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33"/>
        <v>500.00000000000006</v>
      </c>
      <c r="I749" s="7" t="s">
        <v>38</v>
      </c>
      <c r="J749" s="10">
        <v>56499</v>
      </c>
      <c r="K749" s="11">
        <f t="shared" si="34"/>
        <v>112.99799999999999</v>
      </c>
      <c r="L749" s="7" t="s">
        <v>227</v>
      </c>
      <c r="M749" s="15">
        <f t="shared" si="35"/>
        <v>15.701999999999998</v>
      </c>
      <c r="N749" t="str">
        <f>IF(match_results!C749="完全一致","〇","×")</f>
        <v>〇</v>
      </c>
    </row>
    <row r="750" spans="1:14" x14ac:dyDescent="0.15">
      <c r="A750" s="6" t="s">
        <v>1121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33"/>
        <v>100</v>
      </c>
      <c r="I750" s="7" t="s">
        <v>38</v>
      </c>
      <c r="J750" s="10">
        <v>21230</v>
      </c>
      <c r="K750" s="11">
        <f t="shared" si="34"/>
        <v>212.3</v>
      </c>
      <c r="L750" s="7" t="s">
        <v>227</v>
      </c>
      <c r="M750" s="15">
        <f t="shared" si="35"/>
        <v>29.5</v>
      </c>
      <c r="N750" t="str">
        <f>IF(match_results!C750="完全一致","〇","×")</f>
        <v>〇</v>
      </c>
    </row>
    <row r="751" spans="1:14" x14ac:dyDescent="0.15">
      <c r="A751" s="6" t="s">
        <v>1121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33"/>
        <v>500</v>
      </c>
      <c r="I751" s="7" t="s">
        <v>38</v>
      </c>
      <c r="J751" s="10">
        <v>106150</v>
      </c>
      <c r="K751" s="11">
        <f t="shared" si="34"/>
        <v>212.3</v>
      </c>
      <c r="L751" s="7" t="s">
        <v>227</v>
      </c>
      <c r="M751" s="15">
        <f t="shared" si="35"/>
        <v>29.5</v>
      </c>
      <c r="N751" t="str">
        <f>IF(match_results!C751="完全一致","〇","×")</f>
        <v>〇</v>
      </c>
    </row>
    <row r="752" spans="1:14" x14ac:dyDescent="0.15">
      <c r="A752" s="6" t="s">
        <v>1123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33"/>
        <v>100</v>
      </c>
      <c r="I752" s="7" t="s">
        <v>38</v>
      </c>
      <c r="J752" s="10">
        <v>40555</v>
      </c>
      <c r="K752" s="11">
        <f t="shared" si="34"/>
        <v>405.55</v>
      </c>
      <c r="L752" s="7" t="s">
        <v>227</v>
      </c>
      <c r="M752" s="15">
        <f t="shared" si="35"/>
        <v>56.349999999999966</v>
      </c>
      <c r="N752" t="str">
        <f>IF(match_results!C752="完全一致","〇","×")</f>
        <v>〇</v>
      </c>
    </row>
    <row r="753" spans="1:14" x14ac:dyDescent="0.15">
      <c r="A753" s="6" t="s">
        <v>1122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33"/>
        <v>500</v>
      </c>
      <c r="I753" s="7" t="s">
        <v>38</v>
      </c>
      <c r="J753" s="10">
        <v>202774</v>
      </c>
      <c r="K753" s="11">
        <f t="shared" si="34"/>
        <v>405.548</v>
      </c>
      <c r="L753" s="7" t="s">
        <v>227</v>
      </c>
      <c r="M753" s="15">
        <f t="shared" si="35"/>
        <v>56.351999999999975</v>
      </c>
      <c r="N753" t="str">
        <f>IF(match_results!C753="完全一致","〇","×")</f>
        <v>〇</v>
      </c>
    </row>
    <row r="754" spans="1:14" x14ac:dyDescent="0.15">
      <c r="A754" s="6" t="s">
        <v>1124</v>
      </c>
      <c r="B754" s="6" t="s">
        <v>9</v>
      </c>
      <c r="C754" s="7" t="s">
        <v>39</v>
      </c>
      <c r="D754" s="6" t="s">
        <v>36</v>
      </c>
      <c r="E754" s="6" t="s">
        <v>1125</v>
      </c>
      <c r="F754" s="8">
        <v>6.1</v>
      </c>
      <c r="G754" s="8">
        <v>610</v>
      </c>
      <c r="H754" s="9">
        <f t="shared" si="33"/>
        <v>100</v>
      </c>
      <c r="I754" s="7" t="s">
        <v>38</v>
      </c>
      <c r="J754" s="10">
        <v>554</v>
      </c>
      <c r="K754" s="11">
        <f t="shared" si="34"/>
        <v>5.54</v>
      </c>
      <c r="L754" s="7" t="s">
        <v>303</v>
      </c>
      <c r="M754" s="15">
        <f t="shared" si="35"/>
        <v>0.55999999999999961</v>
      </c>
      <c r="N754" t="str">
        <f>IF(match_results!C754="完全一致","〇","×")</f>
        <v>〇</v>
      </c>
    </row>
    <row r="755" spans="1:14" x14ac:dyDescent="0.15">
      <c r="A755" s="6" t="s">
        <v>1124</v>
      </c>
      <c r="B755" s="6" t="s">
        <v>9</v>
      </c>
      <c r="C755" s="7" t="s">
        <v>67</v>
      </c>
      <c r="D755" s="6" t="s">
        <v>132</v>
      </c>
      <c r="E755" s="6" t="s">
        <v>1125</v>
      </c>
      <c r="F755" s="8">
        <v>6.1</v>
      </c>
      <c r="G755" s="8">
        <v>3050</v>
      </c>
      <c r="H755" s="9">
        <f t="shared" si="33"/>
        <v>500.00000000000006</v>
      </c>
      <c r="I755" s="7" t="s">
        <v>38</v>
      </c>
      <c r="J755" s="10">
        <v>2770</v>
      </c>
      <c r="K755" s="11">
        <f t="shared" si="34"/>
        <v>5.5399999999999991</v>
      </c>
      <c r="L755" s="7" t="s">
        <v>303</v>
      </c>
      <c r="M755" s="15">
        <f t="shared" si="35"/>
        <v>0.5600000000000005</v>
      </c>
      <c r="N755" t="str">
        <f>IF(match_results!C755="完全一致","〇","×")</f>
        <v>〇</v>
      </c>
    </row>
    <row r="756" spans="1:14" x14ac:dyDescent="0.15">
      <c r="A756" s="6" t="s">
        <v>1126</v>
      </c>
      <c r="B756" s="6" t="s">
        <v>9</v>
      </c>
      <c r="C756" s="7" t="s">
        <v>39</v>
      </c>
      <c r="D756" s="6" t="s">
        <v>36</v>
      </c>
      <c r="E756" s="6" t="s">
        <v>1125</v>
      </c>
      <c r="F756" s="8">
        <v>7</v>
      </c>
      <c r="G756" s="8">
        <v>700</v>
      </c>
      <c r="H756" s="9">
        <f t="shared" si="33"/>
        <v>100</v>
      </c>
      <c r="I756" s="7" t="s">
        <v>38</v>
      </c>
      <c r="J756" s="10">
        <v>636</v>
      </c>
      <c r="K756" s="11">
        <f t="shared" si="34"/>
        <v>6.36</v>
      </c>
      <c r="L756" s="7" t="s">
        <v>303</v>
      </c>
      <c r="M756" s="15">
        <f t="shared" si="35"/>
        <v>0.63999999999999968</v>
      </c>
      <c r="N756" t="str">
        <f>IF(match_results!C756="完全一致","〇","×")</f>
        <v>〇</v>
      </c>
    </row>
    <row r="757" spans="1:14" x14ac:dyDescent="0.15">
      <c r="A757" s="6" t="s">
        <v>1126</v>
      </c>
      <c r="B757" s="6" t="s">
        <v>9</v>
      </c>
      <c r="C757" s="7" t="s">
        <v>67</v>
      </c>
      <c r="D757" s="6" t="s">
        <v>132</v>
      </c>
      <c r="E757" s="6" t="s">
        <v>1125</v>
      </c>
      <c r="F757" s="8">
        <v>7</v>
      </c>
      <c r="G757" s="8">
        <v>3500</v>
      </c>
      <c r="H757" s="9">
        <f t="shared" si="33"/>
        <v>500</v>
      </c>
      <c r="I757" s="7" t="s">
        <v>38</v>
      </c>
      <c r="J757" s="12">
        <v>3180</v>
      </c>
      <c r="K757" s="11">
        <f t="shared" si="34"/>
        <v>6.36</v>
      </c>
      <c r="L757" s="7" t="s">
        <v>303</v>
      </c>
      <c r="M757" s="15">
        <f t="shared" si="35"/>
        <v>0.63999999999999968</v>
      </c>
      <c r="N757" t="str">
        <f>IF(match_results!C757="完全一致","〇","×")</f>
        <v>〇</v>
      </c>
    </row>
    <row r="758" spans="1:14" x14ac:dyDescent="0.15">
      <c r="A758" s="6" t="s">
        <v>1127</v>
      </c>
      <c r="B758" s="6" t="s">
        <v>9</v>
      </c>
      <c r="C758" s="7" t="s">
        <v>39</v>
      </c>
      <c r="D758" s="6" t="s">
        <v>1128</v>
      </c>
      <c r="E758" s="6" t="s">
        <v>126</v>
      </c>
      <c r="F758" s="8">
        <v>34.200000000000003</v>
      </c>
      <c r="G758" s="8">
        <v>3420</v>
      </c>
      <c r="H758" s="9">
        <f t="shared" si="33"/>
        <v>99.999999999999986</v>
      </c>
      <c r="I758" s="7" t="s">
        <v>38</v>
      </c>
      <c r="J758" s="10">
        <v>2970</v>
      </c>
      <c r="K758" s="11">
        <f t="shared" si="34"/>
        <v>29.700000000000003</v>
      </c>
      <c r="L758" s="7" t="s">
        <v>224</v>
      </c>
      <c r="M758" s="15">
        <f t="shared" si="35"/>
        <v>4.5</v>
      </c>
      <c r="N758" t="str">
        <f>IF(match_results!C758="完全一致","〇","×")</f>
        <v>〇</v>
      </c>
    </row>
    <row r="759" spans="1:14" x14ac:dyDescent="0.15">
      <c r="A759" s="6" t="s">
        <v>1127</v>
      </c>
      <c r="B759" s="6" t="s">
        <v>9</v>
      </c>
      <c r="C759" s="7" t="s">
        <v>67</v>
      </c>
      <c r="D759" s="6" t="s">
        <v>1129</v>
      </c>
      <c r="E759" s="6" t="s">
        <v>126</v>
      </c>
      <c r="F759" s="8">
        <v>34.200000000000003</v>
      </c>
      <c r="G759" s="8">
        <v>17100</v>
      </c>
      <c r="H759" s="9">
        <f t="shared" si="33"/>
        <v>499.99999999999994</v>
      </c>
      <c r="I759" s="7" t="s">
        <v>38</v>
      </c>
      <c r="J759" s="10">
        <v>14850</v>
      </c>
      <c r="K759" s="11">
        <f t="shared" si="34"/>
        <v>29.700000000000003</v>
      </c>
      <c r="L759" s="7" t="s">
        <v>224</v>
      </c>
      <c r="M759" s="15">
        <f t="shared" si="35"/>
        <v>4.5</v>
      </c>
      <c r="N759" t="str">
        <f>IF(match_results!C759="完全一致","〇","×")</f>
        <v>〇</v>
      </c>
    </row>
    <row r="760" spans="1:14" x14ac:dyDescent="0.15">
      <c r="A760" s="6" t="s">
        <v>1130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33"/>
        <v>50</v>
      </c>
      <c r="I760" s="7" t="s">
        <v>127</v>
      </c>
      <c r="J760" s="10">
        <v>948</v>
      </c>
      <c r="K760" s="11">
        <f t="shared" si="34"/>
        <v>18.96</v>
      </c>
      <c r="L760" s="7" t="s">
        <v>128</v>
      </c>
      <c r="M760" s="15">
        <f t="shared" si="35"/>
        <v>2.34</v>
      </c>
      <c r="N760" t="str">
        <f>IF(match_results!C760="完全一致","〇","×")</f>
        <v>×</v>
      </c>
    </row>
    <row r="761" spans="1:14" x14ac:dyDescent="0.15">
      <c r="A761" s="6" t="s">
        <v>1131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33"/>
        <v>499.99999999999994</v>
      </c>
      <c r="I761" s="7" t="s">
        <v>38</v>
      </c>
      <c r="J761" s="10">
        <v>4908</v>
      </c>
      <c r="K761" s="11">
        <f t="shared" si="34"/>
        <v>9.8160000000000007</v>
      </c>
      <c r="L761" s="7" t="s">
        <v>469</v>
      </c>
      <c r="M761" s="15">
        <f t="shared" si="35"/>
        <v>0.98399999999999999</v>
      </c>
      <c r="N761" t="str">
        <f>IF(match_results!C761="完全一致","〇","×")</f>
        <v>〇</v>
      </c>
    </row>
    <row r="762" spans="1:14" x14ac:dyDescent="0.15">
      <c r="A762" s="6" t="s">
        <v>1132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33"/>
        <v>30</v>
      </c>
      <c r="I762" s="7" t="s">
        <v>38</v>
      </c>
      <c r="J762" s="10">
        <v>1305</v>
      </c>
      <c r="K762" s="11">
        <f t="shared" si="34"/>
        <v>43.5</v>
      </c>
      <c r="L762" s="7" t="s">
        <v>196</v>
      </c>
      <c r="M762" s="15">
        <f t="shared" si="35"/>
        <v>8.8999999999999986</v>
      </c>
      <c r="N762" t="str">
        <f>IF(match_results!C762="完全一致","〇","×")</f>
        <v>〇</v>
      </c>
    </row>
    <row r="763" spans="1:14" x14ac:dyDescent="0.15">
      <c r="A763" s="6" t="s">
        <v>1133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33"/>
        <v>500</v>
      </c>
      <c r="I763" s="7" t="s">
        <v>38</v>
      </c>
      <c r="J763" s="10">
        <v>4100</v>
      </c>
      <c r="K763" s="11">
        <f t="shared" si="34"/>
        <v>8.1999999999999993</v>
      </c>
      <c r="L763" s="7" t="s">
        <v>306</v>
      </c>
      <c r="M763" s="15">
        <f t="shared" si="35"/>
        <v>2.2000000000000011</v>
      </c>
      <c r="N763" t="str">
        <f>IF(match_results!C763="完全一致","〇","×")</f>
        <v>〇</v>
      </c>
    </row>
    <row r="764" spans="1:14" x14ac:dyDescent="0.15">
      <c r="A764" s="6" t="s">
        <v>1133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33"/>
        <v>500</v>
      </c>
      <c r="I764" s="7" t="s">
        <v>38</v>
      </c>
      <c r="J764" s="10">
        <v>4100</v>
      </c>
      <c r="K764" s="11">
        <f t="shared" si="34"/>
        <v>8.1999999999999993</v>
      </c>
      <c r="L764" s="7" t="s">
        <v>306</v>
      </c>
      <c r="M764" s="15">
        <f t="shared" si="35"/>
        <v>2.2000000000000011</v>
      </c>
      <c r="N764" t="str">
        <f>IF(match_results!C764="完全一致","〇","×")</f>
        <v>〇</v>
      </c>
    </row>
    <row r="765" spans="1:14" x14ac:dyDescent="0.15">
      <c r="A765" s="6" t="s">
        <v>1134</v>
      </c>
      <c r="B765" s="6" t="s">
        <v>114</v>
      </c>
      <c r="C765" s="7" t="s">
        <v>14</v>
      </c>
      <c r="D765" s="6" t="s">
        <v>1135</v>
      </c>
      <c r="E765" s="6" t="s">
        <v>114</v>
      </c>
      <c r="F765" s="8">
        <v>63.7</v>
      </c>
      <c r="G765" s="8">
        <v>6370</v>
      </c>
      <c r="H765" s="9">
        <f t="shared" si="33"/>
        <v>100</v>
      </c>
      <c r="I765" s="7" t="s">
        <v>13</v>
      </c>
      <c r="J765" s="10">
        <v>5223</v>
      </c>
      <c r="K765" s="11">
        <f t="shared" si="34"/>
        <v>52.23</v>
      </c>
      <c r="L765" s="7" t="s">
        <v>246</v>
      </c>
      <c r="M765" s="15">
        <f t="shared" si="35"/>
        <v>11.470000000000006</v>
      </c>
      <c r="N765" t="str">
        <f>IF(match_results!C765="完全一致","〇","×")</f>
        <v>〇</v>
      </c>
    </row>
    <row r="766" spans="1:14" x14ac:dyDescent="0.15">
      <c r="A766" s="6" t="s">
        <v>1136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33"/>
        <v>100</v>
      </c>
      <c r="I766" s="7" t="s">
        <v>38</v>
      </c>
      <c r="J766" s="10">
        <v>2082</v>
      </c>
      <c r="K766" s="11">
        <f t="shared" si="34"/>
        <v>20.82</v>
      </c>
      <c r="L766" s="7" t="s">
        <v>246</v>
      </c>
      <c r="M766" s="15">
        <f t="shared" si="35"/>
        <v>4.5799999999999983</v>
      </c>
      <c r="N766" t="str">
        <f>IF(match_results!C766="完全一致","〇","×")</f>
        <v>〇</v>
      </c>
    </row>
    <row r="767" spans="1:14" x14ac:dyDescent="0.15">
      <c r="A767" s="6" t="s">
        <v>1136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33"/>
        <v>300</v>
      </c>
      <c r="I767" s="7" t="s">
        <v>38</v>
      </c>
      <c r="J767" s="10">
        <v>6246</v>
      </c>
      <c r="K767" s="11">
        <f t="shared" si="34"/>
        <v>20.82</v>
      </c>
      <c r="L767" s="7" t="s">
        <v>246</v>
      </c>
      <c r="M767" s="15">
        <f t="shared" si="35"/>
        <v>4.5799999999999983</v>
      </c>
      <c r="N767" t="str">
        <f>IF(match_results!C767="完全一致","〇","×")</f>
        <v>〇</v>
      </c>
    </row>
    <row r="768" spans="1:14" x14ac:dyDescent="0.15">
      <c r="A768" s="6" t="s">
        <v>1137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33"/>
        <v>10</v>
      </c>
      <c r="I768" s="7" t="s">
        <v>88</v>
      </c>
      <c r="J768" s="10">
        <v>5887</v>
      </c>
      <c r="K768" s="11">
        <f t="shared" si="34"/>
        <v>588.70000000000005</v>
      </c>
      <c r="L768" s="7" t="s">
        <v>246</v>
      </c>
      <c r="M768" s="15">
        <f t="shared" si="35"/>
        <v>80.299999999999955</v>
      </c>
      <c r="N768" t="str">
        <f>IF(match_results!C768="完全一致","〇","×")</f>
        <v>〇</v>
      </c>
    </row>
    <row r="769" spans="1:14" x14ac:dyDescent="0.15">
      <c r="A769" s="6" t="s">
        <v>1138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36">G769/F769</f>
        <v>99.999999999999986</v>
      </c>
      <c r="I769" s="7" t="s">
        <v>38</v>
      </c>
      <c r="J769" s="12">
        <v>6050</v>
      </c>
      <c r="K769" s="11">
        <f t="shared" ref="K769:K832" si="37">J769/H769</f>
        <v>60.500000000000007</v>
      </c>
      <c r="L769" s="7" t="s">
        <v>270</v>
      </c>
      <c r="M769" s="15">
        <f t="shared" si="35"/>
        <v>15.399999999999999</v>
      </c>
      <c r="N769" t="str">
        <f>IF(match_results!C769="完全一致","〇","×")</f>
        <v>〇</v>
      </c>
    </row>
    <row r="770" spans="1:14" x14ac:dyDescent="0.15">
      <c r="A770" s="6" t="s">
        <v>1139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36"/>
        <v>100</v>
      </c>
      <c r="I770" s="7" t="s">
        <v>13</v>
      </c>
      <c r="J770" s="10">
        <v>2467</v>
      </c>
      <c r="K770" s="11">
        <f t="shared" si="37"/>
        <v>24.67</v>
      </c>
      <c r="L770" s="7" t="s">
        <v>695</v>
      </c>
      <c r="M770" s="15">
        <f t="shared" si="35"/>
        <v>3.0299999999999976</v>
      </c>
      <c r="N770" t="str">
        <f>IF(match_results!C770="完全一致","〇","×")</f>
        <v>〇</v>
      </c>
    </row>
    <row r="771" spans="1:14" x14ac:dyDescent="0.15">
      <c r="A771" s="6" t="s">
        <v>1140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36"/>
        <v>100</v>
      </c>
      <c r="I771" s="7" t="s">
        <v>38</v>
      </c>
      <c r="J771" s="10">
        <v>2931</v>
      </c>
      <c r="K771" s="11">
        <f t="shared" si="37"/>
        <v>29.31</v>
      </c>
      <c r="L771" s="7" t="s">
        <v>695</v>
      </c>
      <c r="M771" s="15">
        <f t="shared" ref="M771:M834" si="38">F771-K771</f>
        <v>3.59</v>
      </c>
      <c r="N771" t="str">
        <f>IF(match_results!C771="完全一致","〇","×")</f>
        <v>〇</v>
      </c>
    </row>
    <row r="772" spans="1:14" x14ac:dyDescent="0.15">
      <c r="A772" s="6" t="s">
        <v>1141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36"/>
        <v>50</v>
      </c>
      <c r="I772" s="7" t="s">
        <v>75</v>
      </c>
      <c r="J772" s="10">
        <v>1184</v>
      </c>
      <c r="K772" s="11">
        <f t="shared" si="37"/>
        <v>23.68</v>
      </c>
      <c r="L772" s="7" t="s">
        <v>76</v>
      </c>
      <c r="M772" s="15">
        <f t="shared" si="38"/>
        <v>2.9200000000000017</v>
      </c>
      <c r="N772" t="str">
        <f>IF(match_results!C772="完全一致","〇","×")</f>
        <v>〇</v>
      </c>
    </row>
    <row r="773" spans="1:14" x14ac:dyDescent="0.15">
      <c r="A773" s="6" t="s">
        <v>1142</v>
      </c>
      <c r="B773" s="6" t="s">
        <v>9</v>
      </c>
      <c r="C773" s="7" t="s">
        <v>10</v>
      </c>
      <c r="D773" s="6" t="s">
        <v>1143</v>
      </c>
      <c r="E773" s="6" t="s">
        <v>380</v>
      </c>
      <c r="F773" s="8">
        <v>1044</v>
      </c>
      <c r="G773" s="8">
        <v>10440</v>
      </c>
      <c r="H773" s="9">
        <f t="shared" si="36"/>
        <v>10</v>
      </c>
      <c r="I773" s="7" t="s">
        <v>97</v>
      </c>
      <c r="J773" s="10">
        <v>9300</v>
      </c>
      <c r="K773" s="11">
        <f t="shared" si="37"/>
        <v>930</v>
      </c>
      <c r="L773" s="7" t="s">
        <v>695</v>
      </c>
      <c r="M773" s="15">
        <f t="shared" si="38"/>
        <v>114</v>
      </c>
      <c r="N773" t="str">
        <f>IF(match_results!C773="完全一致","〇","×")</f>
        <v>×</v>
      </c>
    </row>
    <row r="774" spans="1:14" x14ac:dyDescent="0.15">
      <c r="A774" s="6" t="s">
        <v>1144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36"/>
        <v>70</v>
      </c>
      <c r="I774" s="7" t="s">
        <v>38</v>
      </c>
      <c r="J774" s="12">
        <v>148189</v>
      </c>
      <c r="K774" s="11">
        <f t="shared" si="37"/>
        <v>2116.9857142857145</v>
      </c>
      <c r="L774" s="7" t="s">
        <v>270</v>
      </c>
      <c r="M774" s="15">
        <f t="shared" si="38"/>
        <v>260.31428571428569</v>
      </c>
      <c r="N774" t="str">
        <f>IF(match_results!C774="完全一致","〇","×")</f>
        <v>〇</v>
      </c>
    </row>
    <row r="775" spans="1:14" x14ac:dyDescent="0.15">
      <c r="A775" s="6" t="s">
        <v>1145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36"/>
        <v>10</v>
      </c>
      <c r="I775" s="7" t="s">
        <v>38</v>
      </c>
      <c r="J775" s="10">
        <v>3053</v>
      </c>
      <c r="K775" s="11">
        <f t="shared" si="37"/>
        <v>305.3</v>
      </c>
      <c r="L775" s="7" t="s">
        <v>1003</v>
      </c>
      <c r="M775" s="15">
        <f t="shared" si="38"/>
        <v>41.599999999999966</v>
      </c>
      <c r="N775" t="str">
        <f>IF(match_results!C775="完全一致","〇","×")</f>
        <v>〇</v>
      </c>
    </row>
    <row r="776" spans="1:14" x14ac:dyDescent="0.15">
      <c r="A776" s="6" t="s">
        <v>1146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36"/>
        <v>1</v>
      </c>
      <c r="I776" s="7" t="s">
        <v>169</v>
      </c>
      <c r="J776" s="10">
        <v>4193</v>
      </c>
      <c r="K776" s="11">
        <f t="shared" si="37"/>
        <v>4193</v>
      </c>
      <c r="L776" s="7" t="s">
        <v>170</v>
      </c>
      <c r="M776" s="15">
        <f t="shared" si="38"/>
        <v>636.89999999999964</v>
      </c>
      <c r="N776" t="str">
        <f>IF(match_results!C776="完全一致","〇","×")</f>
        <v>〇</v>
      </c>
    </row>
    <row r="777" spans="1:14" x14ac:dyDescent="0.15">
      <c r="A777" s="6" t="s">
        <v>1147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36"/>
        <v>1</v>
      </c>
      <c r="I777" s="7" t="s">
        <v>169</v>
      </c>
      <c r="J777" s="10">
        <v>4531</v>
      </c>
      <c r="K777" s="11">
        <f t="shared" si="37"/>
        <v>4531</v>
      </c>
      <c r="L777" s="7" t="s">
        <v>170</v>
      </c>
      <c r="M777" s="15">
        <f t="shared" si="38"/>
        <v>689.80000000000018</v>
      </c>
      <c r="N777" t="str">
        <f>IF(match_results!C777="完全一致","〇","×")</f>
        <v>〇</v>
      </c>
    </row>
    <row r="778" spans="1:14" x14ac:dyDescent="0.15">
      <c r="A778" s="6" t="s">
        <v>1148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36"/>
        <v>10</v>
      </c>
      <c r="I778" s="7" t="s">
        <v>88</v>
      </c>
      <c r="J778" s="12">
        <v>2343</v>
      </c>
      <c r="K778" s="11">
        <f t="shared" si="37"/>
        <v>234.3</v>
      </c>
      <c r="L778" s="7" t="s">
        <v>433</v>
      </c>
      <c r="M778" s="15">
        <f t="shared" si="38"/>
        <v>28.699999999999989</v>
      </c>
      <c r="N778" t="str">
        <f>IF(match_results!C778="完全一致","〇","×")</f>
        <v>×</v>
      </c>
    </row>
    <row r="779" spans="1:14" x14ac:dyDescent="0.15">
      <c r="A779" s="6" t="s">
        <v>1149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36"/>
        <v>100</v>
      </c>
      <c r="I779" s="7" t="s">
        <v>13</v>
      </c>
      <c r="J779" s="12">
        <v>1228</v>
      </c>
      <c r="K779" s="11">
        <f t="shared" si="37"/>
        <v>12.28</v>
      </c>
      <c r="L779" s="7" t="s">
        <v>154</v>
      </c>
      <c r="M779" s="15">
        <f t="shared" si="38"/>
        <v>1.5200000000000014</v>
      </c>
      <c r="N779" t="str">
        <f>IF(match_results!C779="完全一致","〇","×")</f>
        <v>〇</v>
      </c>
    </row>
    <row r="780" spans="1:14" x14ac:dyDescent="0.15">
      <c r="A780" s="6" t="s">
        <v>1150</v>
      </c>
      <c r="B780" s="6" t="s">
        <v>9</v>
      </c>
      <c r="C780" s="7" t="s">
        <v>10</v>
      </c>
      <c r="D780" s="6" t="s">
        <v>1151</v>
      </c>
      <c r="E780" s="6" t="s">
        <v>70</v>
      </c>
      <c r="F780" s="8">
        <v>17.600000000000001</v>
      </c>
      <c r="G780" s="8">
        <v>12320</v>
      </c>
      <c r="H780" s="9">
        <f t="shared" si="36"/>
        <v>700</v>
      </c>
      <c r="I780" s="7" t="s">
        <v>181</v>
      </c>
      <c r="J780" s="10">
        <v>10500</v>
      </c>
      <c r="K780" s="11">
        <f t="shared" si="37"/>
        <v>15</v>
      </c>
      <c r="L780" s="7" t="s">
        <v>128</v>
      </c>
      <c r="M780" s="15">
        <f t="shared" si="38"/>
        <v>2.6000000000000014</v>
      </c>
      <c r="N780" t="str">
        <f>IF(match_results!C780="完全一致","〇","×")</f>
        <v>〇</v>
      </c>
    </row>
    <row r="781" spans="1:14" x14ac:dyDescent="0.15">
      <c r="A781" s="6" t="s">
        <v>1152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36"/>
        <v>1000</v>
      </c>
      <c r="I781" s="7" t="s">
        <v>38</v>
      </c>
      <c r="J781" s="10">
        <v>8950</v>
      </c>
      <c r="K781" s="11">
        <f t="shared" si="37"/>
        <v>8.9499999999999993</v>
      </c>
      <c r="L781" s="7" t="s">
        <v>154</v>
      </c>
      <c r="M781" s="15">
        <f t="shared" si="38"/>
        <v>1.1500000000000004</v>
      </c>
      <c r="N781" t="str">
        <f>IF(match_results!C781="完全一致","〇","×")</f>
        <v>〇</v>
      </c>
    </row>
    <row r="782" spans="1:14" x14ac:dyDescent="0.15">
      <c r="A782" s="6" t="s">
        <v>1152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36"/>
        <v>1000</v>
      </c>
      <c r="I782" s="7" t="s">
        <v>38</v>
      </c>
      <c r="J782" s="10">
        <v>8950</v>
      </c>
      <c r="K782" s="11">
        <f t="shared" si="37"/>
        <v>8.9499999999999993</v>
      </c>
      <c r="L782" s="7" t="s">
        <v>154</v>
      </c>
      <c r="M782" s="15">
        <f t="shared" si="38"/>
        <v>1.1500000000000004</v>
      </c>
      <c r="N782" t="str">
        <f>IF(match_results!C782="完全一致","〇","×")</f>
        <v>〇</v>
      </c>
    </row>
    <row r="783" spans="1:14" x14ac:dyDescent="0.15">
      <c r="A783" s="6" t="s">
        <v>1153</v>
      </c>
      <c r="B783" s="6" t="s">
        <v>44</v>
      </c>
      <c r="C783" s="7" t="s">
        <v>14</v>
      </c>
      <c r="D783" s="6" t="s">
        <v>1154</v>
      </c>
      <c r="E783" s="6" t="s">
        <v>1155</v>
      </c>
      <c r="F783" s="8">
        <v>1024.3</v>
      </c>
      <c r="G783" s="8">
        <v>28680.400000000001</v>
      </c>
      <c r="H783" s="9">
        <f t="shared" si="36"/>
        <v>28.000000000000004</v>
      </c>
      <c r="I783" s="7" t="s">
        <v>554</v>
      </c>
      <c r="J783" s="10">
        <v>25067</v>
      </c>
      <c r="K783" s="11">
        <f t="shared" si="37"/>
        <v>895.24999999999989</v>
      </c>
      <c r="L783" s="7" t="s">
        <v>348</v>
      </c>
      <c r="M783" s="15">
        <f t="shared" si="38"/>
        <v>129.05000000000007</v>
      </c>
      <c r="N783" t="str">
        <f>IF(match_results!C783="完全一致","〇","×")</f>
        <v>〇</v>
      </c>
    </row>
    <row r="784" spans="1:14" x14ac:dyDescent="0.15">
      <c r="A784" s="6" t="s">
        <v>1156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36"/>
        <v>50</v>
      </c>
      <c r="I784" s="7" t="s">
        <v>13</v>
      </c>
      <c r="J784" s="10">
        <v>663</v>
      </c>
      <c r="K784" s="11">
        <f t="shared" si="37"/>
        <v>13.26</v>
      </c>
      <c r="L784" s="7" t="s">
        <v>128</v>
      </c>
      <c r="M784" s="15">
        <f t="shared" si="38"/>
        <v>1.6400000000000006</v>
      </c>
      <c r="N784" t="str">
        <f>IF(match_results!C784="完全一致","〇","×")</f>
        <v>〇</v>
      </c>
    </row>
    <row r="785" spans="1:14" x14ac:dyDescent="0.15">
      <c r="A785" s="6" t="s">
        <v>1157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36"/>
        <v>100</v>
      </c>
      <c r="I785" s="7" t="s">
        <v>38</v>
      </c>
      <c r="J785" s="10">
        <v>830</v>
      </c>
      <c r="K785" s="11">
        <f t="shared" si="37"/>
        <v>8.3000000000000007</v>
      </c>
      <c r="L785" s="7" t="s">
        <v>59</v>
      </c>
      <c r="M785" s="15">
        <f t="shared" si="38"/>
        <v>2.0999999999999996</v>
      </c>
      <c r="N785" t="str">
        <f>IF(match_results!C785="完全一致","〇","×")</f>
        <v>〇</v>
      </c>
    </row>
    <row r="786" spans="1:14" x14ac:dyDescent="0.15">
      <c r="A786" s="6" t="s">
        <v>1157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36"/>
        <v>300</v>
      </c>
      <c r="I786" s="7" t="s">
        <v>38</v>
      </c>
      <c r="J786" s="10">
        <v>2490</v>
      </c>
      <c r="K786" s="11">
        <f t="shared" si="37"/>
        <v>8.3000000000000007</v>
      </c>
      <c r="L786" s="7" t="s">
        <v>59</v>
      </c>
      <c r="M786" s="15">
        <f t="shared" si="38"/>
        <v>2.0999999999999996</v>
      </c>
      <c r="N786" t="str">
        <f>IF(match_results!C786="完全一致","〇","×")</f>
        <v>〇</v>
      </c>
    </row>
    <row r="787" spans="1:14" x14ac:dyDescent="0.15">
      <c r="A787" s="6" t="s">
        <v>1158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36"/>
        <v>100</v>
      </c>
      <c r="I787" s="7" t="s">
        <v>38</v>
      </c>
      <c r="J787" s="10">
        <v>3535</v>
      </c>
      <c r="K787" s="11">
        <f t="shared" si="37"/>
        <v>35.35</v>
      </c>
      <c r="L787" s="7" t="s">
        <v>224</v>
      </c>
      <c r="M787" s="15">
        <f t="shared" si="38"/>
        <v>5.75</v>
      </c>
      <c r="N787" t="str">
        <f>IF(match_results!C787="完全一致","〇","×")</f>
        <v>〇</v>
      </c>
    </row>
    <row r="788" spans="1:14" x14ac:dyDescent="0.15">
      <c r="A788" s="6" t="s">
        <v>1159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36"/>
        <v>100</v>
      </c>
      <c r="I788" s="7" t="s">
        <v>13</v>
      </c>
      <c r="J788" s="10">
        <v>17728</v>
      </c>
      <c r="K788" s="11">
        <f t="shared" si="37"/>
        <v>177.28</v>
      </c>
      <c r="L788" s="7" t="s">
        <v>165</v>
      </c>
      <c r="M788" s="15">
        <f t="shared" si="38"/>
        <v>25.319999999999993</v>
      </c>
      <c r="N788" t="str">
        <f>IF(match_results!C788="完全一致","〇","×")</f>
        <v>〇</v>
      </c>
    </row>
    <row r="789" spans="1:14" x14ac:dyDescent="0.15">
      <c r="A789" s="6" t="s">
        <v>1160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36"/>
        <v>100</v>
      </c>
      <c r="I789" s="7" t="s">
        <v>38</v>
      </c>
      <c r="J789" s="10">
        <v>892</v>
      </c>
      <c r="K789" s="11">
        <f t="shared" si="37"/>
        <v>8.92</v>
      </c>
      <c r="L789" s="7" t="s">
        <v>165</v>
      </c>
      <c r="M789" s="15">
        <f t="shared" si="38"/>
        <v>1.2799999999999994</v>
      </c>
      <c r="N789" t="str">
        <f>IF(match_results!C789="完全一致","〇","×")</f>
        <v>〇</v>
      </c>
    </row>
    <row r="790" spans="1:14" x14ac:dyDescent="0.15">
      <c r="A790" s="6" t="s">
        <v>1160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36"/>
        <v>1000.0000000000001</v>
      </c>
      <c r="I790" s="7" t="s">
        <v>38</v>
      </c>
      <c r="J790" s="10">
        <v>8925</v>
      </c>
      <c r="K790" s="11">
        <f t="shared" si="37"/>
        <v>8.9249999999999989</v>
      </c>
      <c r="L790" s="7" t="s">
        <v>165</v>
      </c>
      <c r="M790" s="15">
        <f t="shared" si="38"/>
        <v>1.2750000000000004</v>
      </c>
      <c r="N790" t="str">
        <f>IF(match_results!C790="完全一致","〇","×")</f>
        <v>〇</v>
      </c>
    </row>
    <row r="791" spans="1:14" x14ac:dyDescent="0.15">
      <c r="A791" s="6" t="s">
        <v>1161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36"/>
        <v>100.00000000000001</v>
      </c>
      <c r="I791" s="7" t="s">
        <v>38</v>
      </c>
      <c r="J791" s="12">
        <v>1654</v>
      </c>
      <c r="K791" s="11">
        <f t="shared" si="37"/>
        <v>16.54</v>
      </c>
      <c r="L791" s="7" t="s">
        <v>165</v>
      </c>
      <c r="M791" s="15">
        <f t="shared" si="38"/>
        <v>2.3599999999999994</v>
      </c>
      <c r="N791" t="str">
        <f>IF(match_results!C791="完全一致","〇","×")</f>
        <v>〇</v>
      </c>
    </row>
    <row r="792" spans="1:14" x14ac:dyDescent="0.15">
      <c r="A792" s="6" t="s">
        <v>1161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36"/>
        <v>1000.0000000000001</v>
      </c>
      <c r="I792" s="7" t="s">
        <v>38</v>
      </c>
      <c r="J792" s="10">
        <v>16538</v>
      </c>
      <c r="K792" s="11">
        <f t="shared" si="37"/>
        <v>16.537999999999997</v>
      </c>
      <c r="L792" s="7" t="s">
        <v>165</v>
      </c>
      <c r="M792" s="15">
        <f t="shared" si="38"/>
        <v>2.3620000000000019</v>
      </c>
      <c r="N792" t="str">
        <f>IF(match_results!C792="完全一致","〇","×")</f>
        <v>〇</v>
      </c>
    </row>
    <row r="793" spans="1:14" x14ac:dyDescent="0.15">
      <c r="A793" s="6" t="s">
        <v>1162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36"/>
        <v>70</v>
      </c>
      <c r="I793" s="7" t="s">
        <v>181</v>
      </c>
      <c r="J793" s="10">
        <v>13890</v>
      </c>
      <c r="K793" s="11">
        <f t="shared" si="37"/>
        <v>198.42857142857142</v>
      </c>
      <c r="L793" s="7" t="s">
        <v>227</v>
      </c>
      <c r="M793" s="15">
        <f t="shared" si="38"/>
        <v>30.571428571428584</v>
      </c>
      <c r="N793" t="str">
        <f>IF(match_results!C793="完全一致","〇","×")</f>
        <v>〇</v>
      </c>
    </row>
    <row r="794" spans="1:14" x14ac:dyDescent="0.15">
      <c r="A794" s="6" t="s">
        <v>1163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36"/>
        <v>70</v>
      </c>
      <c r="I794" s="7" t="s">
        <v>181</v>
      </c>
      <c r="J794" s="10">
        <v>25980</v>
      </c>
      <c r="K794" s="11">
        <f t="shared" si="37"/>
        <v>371.14285714285717</v>
      </c>
      <c r="L794" s="7" t="s">
        <v>227</v>
      </c>
      <c r="M794" s="15">
        <f t="shared" si="38"/>
        <v>57.957142857142856</v>
      </c>
      <c r="N794" t="str">
        <f>IF(match_results!C794="完全一致","〇","×")</f>
        <v>〇</v>
      </c>
    </row>
    <row r="795" spans="1:14" x14ac:dyDescent="0.15">
      <c r="A795" s="6" t="s">
        <v>1164</v>
      </c>
      <c r="B795" s="6" t="s">
        <v>90</v>
      </c>
      <c r="C795" s="7" t="s">
        <v>39</v>
      </c>
      <c r="D795" s="6" t="s">
        <v>1165</v>
      </c>
      <c r="E795" s="6" t="s">
        <v>284</v>
      </c>
      <c r="F795" s="8">
        <v>9.8000000000000007</v>
      </c>
      <c r="G795" s="8">
        <v>980</v>
      </c>
      <c r="H795" s="9">
        <f t="shared" si="36"/>
        <v>99.999999999999986</v>
      </c>
      <c r="I795" s="7" t="s">
        <v>57</v>
      </c>
      <c r="J795" s="10">
        <v>838</v>
      </c>
      <c r="K795" s="11">
        <f t="shared" si="37"/>
        <v>8.3800000000000008</v>
      </c>
      <c r="L795" s="7" t="s">
        <v>519</v>
      </c>
      <c r="M795" s="15">
        <f t="shared" si="38"/>
        <v>1.42</v>
      </c>
      <c r="N795" t="str">
        <f>IF(match_results!C795="完全一致","〇","×")</f>
        <v>〇</v>
      </c>
    </row>
    <row r="796" spans="1:14" x14ac:dyDescent="0.15">
      <c r="A796" s="6" t="s">
        <v>1166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36"/>
        <v>1000</v>
      </c>
      <c r="I796" s="7" t="s">
        <v>38</v>
      </c>
      <c r="J796" s="10">
        <v>4611</v>
      </c>
      <c r="K796" s="11">
        <f t="shared" si="37"/>
        <v>4.6109999999999998</v>
      </c>
      <c r="L796" s="7" t="s">
        <v>303</v>
      </c>
      <c r="M796" s="15">
        <f t="shared" si="38"/>
        <v>0.68900000000000006</v>
      </c>
      <c r="N796" t="str">
        <f>IF(match_results!C796="完全一致","〇","×")</f>
        <v>〇</v>
      </c>
    </row>
    <row r="797" spans="1:14" x14ac:dyDescent="0.15">
      <c r="A797" s="6" t="s">
        <v>1167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36"/>
        <v>100</v>
      </c>
      <c r="I797" s="7" t="s">
        <v>38</v>
      </c>
      <c r="J797" s="10">
        <v>1230</v>
      </c>
      <c r="K797" s="11">
        <f t="shared" si="37"/>
        <v>12.3</v>
      </c>
      <c r="L797" s="7" t="s">
        <v>303</v>
      </c>
      <c r="M797" s="15">
        <f t="shared" si="38"/>
        <v>1.5</v>
      </c>
      <c r="N797" t="str">
        <f>IF(match_results!C797="完全一致","〇","×")</f>
        <v>×</v>
      </c>
    </row>
    <row r="798" spans="1:14" x14ac:dyDescent="0.15">
      <c r="A798" s="6" t="s">
        <v>1167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36"/>
        <v>500</v>
      </c>
      <c r="I798" s="7" t="s">
        <v>38</v>
      </c>
      <c r="J798" s="10">
        <v>6147</v>
      </c>
      <c r="K798" s="11">
        <f t="shared" si="37"/>
        <v>12.294</v>
      </c>
      <c r="L798" s="7" t="s">
        <v>303</v>
      </c>
      <c r="M798" s="15">
        <f t="shared" si="38"/>
        <v>1.5060000000000002</v>
      </c>
      <c r="N798" t="str">
        <f>IF(match_results!C798="完全一致","〇","×")</f>
        <v>×</v>
      </c>
    </row>
    <row r="799" spans="1:14" x14ac:dyDescent="0.15">
      <c r="A799" s="6" t="s">
        <v>1168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36"/>
        <v>100</v>
      </c>
      <c r="I799" s="7" t="s">
        <v>38</v>
      </c>
      <c r="J799" s="10">
        <v>926</v>
      </c>
      <c r="K799" s="11">
        <f t="shared" si="37"/>
        <v>9.26</v>
      </c>
      <c r="L799" s="7" t="s">
        <v>343</v>
      </c>
      <c r="M799" s="15">
        <f t="shared" si="38"/>
        <v>1.1400000000000006</v>
      </c>
      <c r="N799" t="str">
        <f>IF(match_results!C799="完全一致","〇","×")</f>
        <v>〇</v>
      </c>
    </row>
    <row r="800" spans="1:14" x14ac:dyDescent="0.15">
      <c r="A800" s="6" t="s">
        <v>1169</v>
      </c>
      <c r="B800" s="6" t="s">
        <v>10</v>
      </c>
      <c r="C800" s="7" t="s">
        <v>10</v>
      </c>
      <c r="D800" s="6" t="s">
        <v>1170</v>
      </c>
      <c r="E800" s="6" t="s">
        <v>241</v>
      </c>
      <c r="F800" s="8">
        <v>100</v>
      </c>
      <c r="G800" s="8">
        <v>1000</v>
      </c>
      <c r="H800" s="9">
        <f t="shared" si="36"/>
        <v>10</v>
      </c>
      <c r="I800" s="7" t="s">
        <v>778</v>
      </c>
      <c r="J800" s="12">
        <v>890</v>
      </c>
      <c r="K800" s="11">
        <f t="shared" si="37"/>
        <v>89</v>
      </c>
      <c r="L800" s="7" t="s">
        <v>508</v>
      </c>
      <c r="M800" s="15">
        <f t="shared" si="38"/>
        <v>11</v>
      </c>
      <c r="N800" t="str">
        <f>IF(match_results!C800="完全一致","〇","×")</f>
        <v>×</v>
      </c>
    </row>
    <row r="801" spans="1:14" x14ac:dyDescent="0.15">
      <c r="A801" s="6" t="s">
        <v>1171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36"/>
        <v>100</v>
      </c>
      <c r="I801" s="7" t="s">
        <v>38</v>
      </c>
      <c r="J801" s="10">
        <v>649</v>
      </c>
      <c r="K801" s="11">
        <f t="shared" si="37"/>
        <v>6.49</v>
      </c>
      <c r="L801" s="7" t="s">
        <v>163</v>
      </c>
      <c r="M801" s="15">
        <f t="shared" si="38"/>
        <v>0.91000000000000014</v>
      </c>
      <c r="N801" t="str">
        <f>IF(match_results!C801="完全一致","〇","×")</f>
        <v>〇</v>
      </c>
    </row>
    <row r="802" spans="1:14" x14ac:dyDescent="0.15">
      <c r="A802" s="6" t="s">
        <v>1172</v>
      </c>
      <c r="B802" s="6" t="s">
        <v>90</v>
      </c>
      <c r="C802" s="7" t="s">
        <v>10</v>
      </c>
      <c r="D802" s="6" t="s">
        <v>1173</v>
      </c>
      <c r="E802" s="6" t="s">
        <v>447</v>
      </c>
      <c r="F802" s="8">
        <v>206</v>
      </c>
      <c r="G802" s="8">
        <v>2060</v>
      </c>
      <c r="H802" s="9">
        <f t="shared" si="36"/>
        <v>10</v>
      </c>
      <c r="I802" s="7" t="s">
        <v>88</v>
      </c>
      <c r="J802" s="10">
        <v>1769</v>
      </c>
      <c r="K802" s="11">
        <f t="shared" si="37"/>
        <v>176.9</v>
      </c>
      <c r="L802" s="7" t="s">
        <v>163</v>
      </c>
      <c r="M802" s="15">
        <f t="shared" si="38"/>
        <v>29.099999999999994</v>
      </c>
      <c r="N802" t="str">
        <f>IF(match_results!C802="完全一致","〇","×")</f>
        <v>〇</v>
      </c>
    </row>
    <row r="803" spans="1:14" x14ac:dyDescent="0.15">
      <c r="A803" s="6" t="s">
        <v>1174</v>
      </c>
      <c r="B803" s="6" t="s">
        <v>90</v>
      </c>
      <c r="C803" s="7" t="s">
        <v>10</v>
      </c>
      <c r="D803" s="6" t="s">
        <v>1175</v>
      </c>
      <c r="E803" s="6" t="s">
        <v>466</v>
      </c>
      <c r="F803" s="8">
        <v>1399</v>
      </c>
      <c r="G803" s="8">
        <v>13990</v>
      </c>
      <c r="H803" s="9">
        <f t="shared" si="36"/>
        <v>10</v>
      </c>
      <c r="I803" s="7" t="s">
        <v>97</v>
      </c>
      <c r="J803" s="10">
        <v>12717</v>
      </c>
      <c r="K803" s="11">
        <f t="shared" si="37"/>
        <v>1271.7</v>
      </c>
      <c r="L803" s="7" t="s">
        <v>216</v>
      </c>
      <c r="M803" s="15">
        <f t="shared" si="38"/>
        <v>127.29999999999995</v>
      </c>
      <c r="N803" t="str">
        <f>IF(match_results!C803="完全一致","〇","×")</f>
        <v>×</v>
      </c>
    </row>
    <row r="804" spans="1:14" x14ac:dyDescent="0.15">
      <c r="A804" s="6" t="s">
        <v>1176</v>
      </c>
      <c r="B804" s="6" t="s">
        <v>90</v>
      </c>
      <c r="C804" s="7" t="s">
        <v>10</v>
      </c>
      <c r="D804" s="6" t="s">
        <v>1177</v>
      </c>
      <c r="E804" s="6" t="s">
        <v>466</v>
      </c>
      <c r="F804" s="8">
        <v>1825</v>
      </c>
      <c r="G804" s="8">
        <v>12775</v>
      </c>
      <c r="H804" s="9">
        <f t="shared" si="36"/>
        <v>7</v>
      </c>
      <c r="I804" s="7" t="s">
        <v>97</v>
      </c>
      <c r="J804" s="10">
        <v>11613</v>
      </c>
      <c r="K804" s="11">
        <f t="shared" si="37"/>
        <v>1659</v>
      </c>
      <c r="L804" s="7" t="s">
        <v>216</v>
      </c>
      <c r="M804" s="15">
        <f t="shared" si="38"/>
        <v>166</v>
      </c>
      <c r="N804" t="str">
        <f>IF(match_results!C804="完全一致","〇","×")</f>
        <v>×</v>
      </c>
    </row>
    <row r="805" spans="1:14" x14ac:dyDescent="0.15">
      <c r="A805" s="6" t="s">
        <v>1227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36"/>
        <v>50</v>
      </c>
      <c r="I805" s="7" t="s">
        <v>127</v>
      </c>
      <c r="J805" s="12">
        <v>1470</v>
      </c>
      <c r="K805" s="11">
        <f t="shared" si="37"/>
        <v>29.4</v>
      </c>
      <c r="L805" s="7" t="s">
        <v>128</v>
      </c>
      <c r="M805" s="15">
        <f t="shared" si="38"/>
        <v>3.6000000000000014</v>
      </c>
      <c r="N805" t="str">
        <f>IF(match_results!C805="完全一致","〇","×")</f>
        <v>×</v>
      </c>
    </row>
    <row r="806" spans="1:14" x14ac:dyDescent="0.15">
      <c r="A806" s="6" t="s">
        <v>1178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36"/>
        <v>50</v>
      </c>
      <c r="I806" s="7" t="s">
        <v>127</v>
      </c>
      <c r="J806" s="10">
        <v>1300</v>
      </c>
      <c r="K806" s="11">
        <f t="shared" si="37"/>
        <v>26</v>
      </c>
      <c r="L806" s="7" t="s">
        <v>136</v>
      </c>
      <c r="M806" s="15">
        <f t="shared" si="38"/>
        <v>-18.2</v>
      </c>
      <c r="N806" t="str">
        <f>IF(match_results!C806="完全一致","〇","×")</f>
        <v>×</v>
      </c>
    </row>
    <row r="807" spans="1:14" x14ac:dyDescent="0.15">
      <c r="A807" s="6" t="s">
        <v>1179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36"/>
        <v>50</v>
      </c>
      <c r="I807" s="7" t="s">
        <v>127</v>
      </c>
      <c r="J807" s="10">
        <v>550</v>
      </c>
      <c r="K807" s="11">
        <f t="shared" si="37"/>
        <v>11</v>
      </c>
      <c r="L807" s="7" t="s">
        <v>136</v>
      </c>
      <c r="M807" s="15">
        <f t="shared" si="38"/>
        <v>-1.9000000000000004</v>
      </c>
      <c r="N807" t="str">
        <f>IF(match_results!C807="完全一致","〇","×")</f>
        <v>×</v>
      </c>
    </row>
    <row r="808" spans="1:14" x14ac:dyDescent="0.15">
      <c r="A808" s="6" t="s">
        <v>1180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36"/>
        <v>50</v>
      </c>
      <c r="I808" s="7" t="s">
        <v>88</v>
      </c>
      <c r="J808" s="12">
        <v>2772</v>
      </c>
      <c r="K808" s="11">
        <f t="shared" si="37"/>
        <v>55.44</v>
      </c>
      <c r="L808" s="7" t="s">
        <v>63</v>
      </c>
      <c r="M808" s="15">
        <f t="shared" si="38"/>
        <v>5.5600000000000023</v>
      </c>
      <c r="N808" t="str">
        <f>IF(match_results!C808="完全一致","〇","×")</f>
        <v>×</v>
      </c>
    </row>
    <row r="809" spans="1:14" x14ac:dyDescent="0.15">
      <c r="A809" s="6" t="s">
        <v>1181</v>
      </c>
      <c r="B809" s="6" t="s">
        <v>9</v>
      </c>
      <c r="C809" s="7" t="s">
        <v>10</v>
      </c>
      <c r="D809" s="6" t="s">
        <v>1182</v>
      </c>
      <c r="E809" s="6" t="s">
        <v>261</v>
      </c>
      <c r="F809" s="8">
        <v>6.7</v>
      </c>
      <c r="G809" s="8">
        <v>335</v>
      </c>
      <c r="H809" s="9">
        <f t="shared" si="36"/>
        <v>50</v>
      </c>
      <c r="I809" s="7" t="s">
        <v>143</v>
      </c>
      <c r="J809" s="10">
        <v>298</v>
      </c>
      <c r="K809" s="11">
        <f t="shared" si="37"/>
        <v>5.96</v>
      </c>
      <c r="L809" s="7" t="s">
        <v>262</v>
      </c>
      <c r="M809" s="15">
        <f t="shared" si="38"/>
        <v>0.74000000000000021</v>
      </c>
      <c r="N809" t="str">
        <f>IF(match_results!C809="完全一致","〇","×")</f>
        <v>×</v>
      </c>
    </row>
    <row r="810" spans="1:14" s="29" customFormat="1" x14ac:dyDescent="0.15">
      <c r="A810" s="34" t="s">
        <v>1183</v>
      </c>
      <c r="B810" s="34" t="s">
        <v>9</v>
      </c>
      <c r="C810" s="35" t="s">
        <v>14</v>
      </c>
      <c r="D810" s="34" t="s">
        <v>810</v>
      </c>
      <c r="E810" s="34" t="s">
        <v>261</v>
      </c>
      <c r="F810" s="36">
        <v>16.5</v>
      </c>
      <c r="G810" s="36">
        <v>1650</v>
      </c>
      <c r="H810" s="37">
        <f t="shared" si="36"/>
        <v>100</v>
      </c>
      <c r="I810" s="35" t="s">
        <v>127</v>
      </c>
      <c r="J810" s="38">
        <v>1469</v>
      </c>
      <c r="K810" s="39">
        <f t="shared" si="37"/>
        <v>14.69</v>
      </c>
      <c r="L810" s="35" t="s">
        <v>213</v>
      </c>
      <c r="M810" s="40">
        <f t="shared" si="38"/>
        <v>1.8100000000000005</v>
      </c>
      <c r="N810" s="29" t="str">
        <f>IF(match_results!C810="完全一致","〇","×")</f>
        <v>×</v>
      </c>
    </row>
    <row r="811" spans="1:14" x14ac:dyDescent="0.15">
      <c r="A811" s="6" t="s">
        <v>1184</v>
      </c>
      <c r="B811" s="6" t="s">
        <v>9</v>
      </c>
      <c r="C811" s="7" t="s">
        <v>67</v>
      </c>
      <c r="D811" s="6" t="s">
        <v>1185</v>
      </c>
      <c r="E811" s="6" t="s">
        <v>257</v>
      </c>
      <c r="F811" s="8">
        <v>6.1</v>
      </c>
      <c r="G811" s="8">
        <v>6100</v>
      </c>
      <c r="H811" s="9">
        <f t="shared" si="36"/>
        <v>1000.0000000000001</v>
      </c>
      <c r="I811" s="7" t="s">
        <v>57</v>
      </c>
      <c r="J811" s="10">
        <v>5540</v>
      </c>
      <c r="K811" s="11">
        <f t="shared" si="37"/>
        <v>5.5399999999999991</v>
      </c>
      <c r="L811" s="7" t="s">
        <v>163</v>
      </c>
      <c r="M811" s="15">
        <f t="shared" si="38"/>
        <v>0.5600000000000005</v>
      </c>
      <c r="N811" t="str">
        <f>IF(match_results!C811="完全一致","〇","×")</f>
        <v>〇</v>
      </c>
    </row>
    <row r="812" spans="1:14" x14ac:dyDescent="0.15">
      <c r="A812" s="6" t="s">
        <v>1186</v>
      </c>
      <c r="B812" s="6" t="s">
        <v>44</v>
      </c>
      <c r="C812" s="7" t="s">
        <v>10</v>
      </c>
      <c r="D812" s="6" t="s">
        <v>1187</v>
      </c>
      <c r="E812" s="6" t="s">
        <v>916</v>
      </c>
      <c r="F812" s="8">
        <v>73.7</v>
      </c>
      <c r="G812" s="8">
        <v>4422</v>
      </c>
      <c r="H812" s="9">
        <f t="shared" si="36"/>
        <v>60</v>
      </c>
      <c r="I812" s="7" t="s">
        <v>169</v>
      </c>
      <c r="J812" s="10">
        <v>3936</v>
      </c>
      <c r="K812" s="11">
        <f t="shared" si="37"/>
        <v>65.599999999999994</v>
      </c>
      <c r="L812" s="7" t="s">
        <v>213</v>
      </c>
      <c r="M812" s="15">
        <f t="shared" si="38"/>
        <v>8.1000000000000085</v>
      </c>
      <c r="N812" t="str">
        <f>IF(match_results!C812="完全一致","〇","×")</f>
        <v>×</v>
      </c>
    </row>
    <row r="813" spans="1:14" x14ac:dyDescent="0.15">
      <c r="A813" s="6" t="s">
        <v>1188</v>
      </c>
      <c r="B813" s="6" t="s">
        <v>9</v>
      </c>
      <c r="C813" s="7" t="s">
        <v>10</v>
      </c>
      <c r="D813" s="6" t="s">
        <v>1189</v>
      </c>
      <c r="E813" s="6" t="s">
        <v>257</v>
      </c>
      <c r="F813" s="8">
        <v>495</v>
      </c>
      <c r="G813" s="8">
        <v>4950</v>
      </c>
      <c r="H813" s="9">
        <f t="shared" si="36"/>
        <v>10</v>
      </c>
      <c r="I813" s="7" t="s">
        <v>88</v>
      </c>
      <c r="J813" s="10">
        <v>4499</v>
      </c>
      <c r="K813" s="11">
        <f t="shared" si="37"/>
        <v>449.9</v>
      </c>
      <c r="L813" s="7" t="s">
        <v>1190</v>
      </c>
      <c r="M813" s="15">
        <f t="shared" si="38"/>
        <v>45.100000000000023</v>
      </c>
      <c r="N813" t="str">
        <f>IF(match_results!C813="完全一致","〇","×")</f>
        <v>×</v>
      </c>
    </row>
    <row r="814" spans="1:14" x14ac:dyDescent="0.15">
      <c r="A814" s="6" t="s">
        <v>1191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36"/>
        <v>10</v>
      </c>
      <c r="I814" s="7" t="s">
        <v>88</v>
      </c>
      <c r="J814" s="10">
        <v>1826</v>
      </c>
      <c r="K814" s="11">
        <f t="shared" si="37"/>
        <v>182.6</v>
      </c>
      <c r="L814" s="7" t="s">
        <v>321</v>
      </c>
      <c r="M814" s="15">
        <f t="shared" si="38"/>
        <v>22.400000000000006</v>
      </c>
      <c r="N814" t="str">
        <f>IF(match_results!C814="完全一致","〇","×")</f>
        <v>〇</v>
      </c>
    </row>
    <row r="815" spans="1:14" x14ac:dyDescent="0.15">
      <c r="A815" s="6" t="s">
        <v>1192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36"/>
        <v>10</v>
      </c>
      <c r="I815" s="7" t="s">
        <v>143</v>
      </c>
      <c r="J815" s="10">
        <v>900</v>
      </c>
      <c r="K815" s="11">
        <f t="shared" si="37"/>
        <v>90</v>
      </c>
      <c r="L815" s="7" t="s">
        <v>98</v>
      </c>
      <c r="M815" s="15">
        <f t="shared" si="38"/>
        <v>10</v>
      </c>
      <c r="N815" t="str">
        <f>IF(match_results!C815="完全一致","〇","×")</f>
        <v>×</v>
      </c>
    </row>
    <row r="816" spans="1:14" x14ac:dyDescent="0.15">
      <c r="A816" s="6" t="s">
        <v>1193</v>
      </c>
      <c r="B816" s="6" t="s">
        <v>44</v>
      </c>
      <c r="C816" s="7" t="s">
        <v>10</v>
      </c>
      <c r="D816" s="6" t="s">
        <v>291</v>
      </c>
      <c r="E816" s="6" t="s">
        <v>1194</v>
      </c>
      <c r="F816" s="8">
        <v>212</v>
      </c>
      <c r="G816" s="8">
        <v>2120</v>
      </c>
      <c r="H816" s="9">
        <f t="shared" si="36"/>
        <v>10</v>
      </c>
      <c r="I816" s="7" t="s">
        <v>147</v>
      </c>
      <c r="J816" s="10">
        <v>1888</v>
      </c>
      <c r="K816" s="11">
        <f t="shared" si="37"/>
        <v>188.8</v>
      </c>
      <c r="L816" s="7" t="s">
        <v>98</v>
      </c>
      <c r="M816" s="15">
        <f t="shared" si="38"/>
        <v>23.199999999999989</v>
      </c>
      <c r="N816" t="str">
        <f>IF(match_results!C816="完全一致","〇","×")</f>
        <v>×</v>
      </c>
    </row>
    <row r="817" spans="1:14" x14ac:dyDescent="0.15">
      <c r="A817" s="6" t="s">
        <v>1195</v>
      </c>
      <c r="B817" s="6" t="s">
        <v>9</v>
      </c>
      <c r="C817" s="7" t="s">
        <v>10</v>
      </c>
      <c r="D817" s="6" t="s">
        <v>1196</v>
      </c>
      <c r="E817" s="6" t="s">
        <v>212</v>
      </c>
      <c r="F817" s="8">
        <v>147</v>
      </c>
      <c r="G817" s="8">
        <v>1470</v>
      </c>
      <c r="H817" s="9">
        <f t="shared" si="36"/>
        <v>10</v>
      </c>
      <c r="I817" s="7" t="s">
        <v>147</v>
      </c>
      <c r="J817" s="10">
        <v>1300</v>
      </c>
      <c r="K817" s="11">
        <f t="shared" si="37"/>
        <v>130</v>
      </c>
      <c r="L817" s="7" t="s">
        <v>98</v>
      </c>
      <c r="M817" s="15">
        <f t="shared" si="38"/>
        <v>17</v>
      </c>
      <c r="N817" t="str">
        <f>IF(match_results!C817="完全一致","〇","×")</f>
        <v>×</v>
      </c>
    </row>
    <row r="818" spans="1:14" x14ac:dyDescent="0.15">
      <c r="A818" s="6" t="s">
        <v>1225</v>
      </c>
      <c r="B818" s="6" t="s">
        <v>10</v>
      </c>
      <c r="C818" s="7" t="s">
        <v>10</v>
      </c>
      <c r="D818" s="6" t="s">
        <v>1197</v>
      </c>
      <c r="E818" s="6" t="s">
        <v>212</v>
      </c>
      <c r="F818" s="8">
        <v>100</v>
      </c>
      <c r="G818" s="8">
        <v>10000</v>
      </c>
      <c r="H818" s="9">
        <f t="shared" si="36"/>
        <v>100</v>
      </c>
      <c r="I818" s="7" t="s">
        <v>88</v>
      </c>
      <c r="J818" s="12">
        <v>8909</v>
      </c>
      <c r="K818" s="11">
        <f t="shared" si="37"/>
        <v>89.09</v>
      </c>
      <c r="L818" s="7" t="s">
        <v>98</v>
      </c>
      <c r="M818" s="15">
        <f t="shared" si="38"/>
        <v>10.909999999999997</v>
      </c>
      <c r="N818" t="str">
        <f>IF(match_results!C818="完全一致","〇","×")</f>
        <v>×</v>
      </c>
    </row>
    <row r="819" spans="1:14" x14ac:dyDescent="0.15">
      <c r="A819" s="6" t="s">
        <v>1198</v>
      </c>
      <c r="B819" s="6" t="s">
        <v>44</v>
      </c>
      <c r="C819" s="7" t="s">
        <v>10</v>
      </c>
      <c r="D819" s="6" t="s">
        <v>260</v>
      </c>
      <c r="E819" s="6" t="s">
        <v>976</v>
      </c>
      <c r="F819" s="8">
        <v>2.5</v>
      </c>
      <c r="G819" s="8">
        <v>125</v>
      </c>
      <c r="H819" s="9">
        <f t="shared" si="36"/>
        <v>50</v>
      </c>
      <c r="I819" s="7" t="s">
        <v>143</v>
      </c>
      <c r="J819" s="10">
        <v>111</v>
      </c>
      <c r="K819" s="11">
        <f t="shared" si="37"/>
        <v>2.2200000000000002</v>
      </c>
      <c r="L819" s="7" t="s">
        <v>1199</v>
      </c>
      <c r="M819" s="15">
        <f t="shared" si="38"/>
        <v>0.2799999999999998</v>
      </c>
      <c r="N819" t="str">
        <f>IF(match_results!C819="完全一致","〇","×")</f>
        <v>×</v>
      </c>
    </row>
    <row r="820" spans="1:14" x14ac:dyDescent="0.15">
      <c r="A820" s="6" t="s">
        <v>1200</v>
      </c>
      <c r="B820" s="6" t="s">
        <v>9</v>
      </c>
      <c r="C820" s="7" t="s">
        <v>10</v>
      </c>
      <c r="D820" s="6" t="s">
        <v>1201</v>
      </c>
      <c r="E820" s="6" t="s">
        <v>1155</v>
      </c>
      <c r="F820" s="8">
        <v>119</v>
      </c>
      <c r="G820" s="8">
        <v>1190</v>
      </c>
      <c r="H820" s="9">
        <f t="shared" si="36"/>
        <v>10</v>
      </c>
      <c r="I820" s="7" t="s">
        <v>88</v>
      </c>
      <c r="J820" s="10">
        <v>1081</v>
      </c>
      <c r="K820" s="11">
        <f t="shared" si="37"/>
        <v>108.1</v>
      </c>
      <c r="L820" s="7" t="s">
        <v>388</v>
      </c>
      <c r="M820" s="15">
        <f t="shared" si="38"/>
        <v>10.900000000000006</v>
      </c>
      <c r="N820" t="str">
        <f>IF(match_results!C820="完全一致","〇","×")</f>
        <v>×</v>
      </c>
    </row>
    <row r="821" spans="1:14" x14ac:dyDescent="0.15">
      <c r="A821" s="6" t="s">
        <v>1228</v>
      </c>
      <c r="B821" s="6" t="s">
        <v>10</v>
      </c>
      <c r="C821" s="7" t="s">
        <v>10</v>
      </c>
      <c r="D821" s="6" t="s">
        <v>1202</v>
      </c>
      <c r="E821" s="6" t="s">
        <v>92</v>
      </c>
      <c r="F821" s="8">
        <v>236</v>
      </c>
      <c r="G821" s="8">
        <v>4720</v>
      </c>
      <c r="H821" s="9">
        <f t="shared" si="36"/>
        <v>20</v>
      </c>
      <c r="I821" s="7" t="s">
        <v>147</v>
      </c>
      <c r="J821" s="12">
        <v>4205</v>
      </c>
      <c r="K821" s="11">
        <f t="shared" si="37"/>
        <v>210.25</v>
      </c>
      <c r="L821" s="7" t="s">
        <v>98</v>
      </c>
      <c r="M821" s="15">
        <f t="shared" si="38"/>
        <v>25.75</v>
      </c>
      <c r="N821" t="str">
        <f>IF(match_results!C821="完全一致","〇","×")</f>
        <v>×</v>
      </c>
    </row>
    <row r="822" spans="1:14" x14ac:dyDescent="0.15">
      <c r="A822" s="6" t="s">
        <v>1229</v>
      </c>
      <c r="B822" s="6" t="s">
        <v>9</v>
      </c>
      <c r="C822" s="7" t="s">
        <v>10</v>
      </c>
      <c r="D822" s="6" t="s">
        <v>1203</v>
      </c>
      <c r="E822" s="6" t="s">
        <v>92</v>
      </c>
      <c r="F822" s="8">
        <v>236</v>
      </c>
      <c r="G822" s="8">
        <v>4720</v>
      </c>
      <c r="H822" s="9">
        <f t="shared" si="36"/>
        <v>20</v>
      </c>
      <c r="I822" s="7" t="s">
        <v>97</v>
      </c>
      <c r="J822" s="10">
        <v>4205</v>
      </c>
      <c r="K822" s="11">
        <f t="shared" si="37"/>
        <v>210.25</v>
      </c>
      <c r="L822" s="7" t="s">
        <v>98</v>
      </c>
      <c r="M822" s="15">
        <f t="shared" si="38"/>
        <v>25.75</v>
      </c>
      <c r="N822" t="str">
        <f>IF(match_results!C822="完全一致","〇","×")</f>
        <v>×</v>
      </c>
    </row>
    <row r="823" spans="1:14" x14ac:dyDescent="0.15">
      <c r="A823" s="6" t="s">
        <v>1204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36"/>
        <v>20</v>
      </c>
      <c r="I823" s="7" t="s">
        <v>97</v>
      </c>
      <c r="J823" s="10">
        <v>5890</v>
      </c>
      <c r="K823" s="11">
        <f t="shared" si="37"/>
        <v>294.5</v>
      </c>
      <c r="L823" s="7" t="s">
        <v>871</v>
      </c>
      <c r="M823" s="15">
        <f t="shared" si="38"/>
        <v>37.5</v>
      </c>
      <c r="N823" t="str">
        <f>IF(match_results!C823="完全一致","〇","×")</f>
        <v>×</v>
      </c>
    </row>
    <row r="824" spans="1:14" x14ac:dyDescent="0.15">
      <c r="A824" s="6" t="s">
        <v>1204</v>
      </c>
      <c r="B824" s="6" t="s">
        <v>71</v>
      </c>
      <c r="C824" s="7" t="s">
        <v>10</v>
      </c>
      <c r="D824" s="6" t="s">
        <v>1205</v>
      </c>
      <c r="E824" s="6" t="s">
        <v>92</v>
      </c>
      <c r="F824" s="8">
        <v>151</v>
      </c>
      <c r="G824" s="8">
        <v>1510</v>
      </c>
      <c r="H824" s="9">
        <f t="shared" si="36"/>
        <v>10</v>
      </c>
      <c r="I824" s="7" t="s">
        <v>1206</v>
      </c>
      <c r="J824" s="10">
        <v>1345</v>
      </c>
      <c r="K824" s="11">
        <f t="shared" si="37"/>
        <v>134.5</v>
      </c>
      <c r="L824" s="7" t="s">
        <v>871</v>
      </c>
      <c r="M824" s="15">
        <f t="shared" si="38"/>
        <v>16.5</v>
      </c>
      <c r="N824" t="str">
        <f>IF(match_results!C824="完全一致","〇","×")</f>
        <v>×</v>
      </c>
    </row>
    <row r="825" spans="1:14" x14ac:dyDescent="0.15">
      <c r="A825" s="6" t="s">
        <v>1207</v>
      </c>
      <c r="B825" s="6" t="s">
        <v>44</v>
      </c>
      <c r="C825" s="7" t="s">
        <v>39</v>
      </c>
      <c r="D825" s="6" t="s">
        <v>1208</v>
      </c>
      <c r="E825" s="6" t="s">
        <v>807</v>
      </c>
      <c r="F825" s="8">
        <v>8.9</v>
      </c>
      <c r="G825" s="8">
        <v>890</v>
      </c>
      <c r="H825" s="9">
        <f t="shared" si="36"/>
        <v>100</v>
      </c>
      <c r="I825" s="7" t="s">
        <v>38</v>
      </c>
      <c r="J825" s="10">
        <v>791</v>
      </c>
      <c r="K825" s="11">
        <f t="shared" si="37"/>
        <v>7.91</v>
      </c>
      <c r="L825" s="7" t="s">
        <v>185</v>
      </c>
      <c r="M825" s="15">
        <f t="shared" si="38"/>
        <v>0.99000000000000021</v>
      </c>
      <c r="N825" t="str">
        <f>IF(match_results!C825="完全一致","〇","×")</f>
        <v>〇</v>
      </c>
    </row>
    <row r="826" spans="1:14" x14ac:dyDescent="0.15">
      <c r="A826" s="6" t="s">
        <v>1207</v>
      </c>
      <c r="B826" s="6" t="s">
        <v>10</v>
      </c>
      <c r="C826" s="7" t="s">
        <v>67</v>
      </c>
      <c r="D826" s="6" t="s">
        <v>1209</v>
      </c>
      <c r="E826" s="6" t="s">
        <v>807</v>
      </c>
      <c r="F826" s="8">
        <v>8.9</v>
      </c>
      <c r="G826" s="8">
        <v>8900</v>
      </c>
      <c r="H826" s="9">
        <f t="shared" si="36"/>
        <v>1000</v>
      </c>
      <c r="I826" s="7" t="s">
        <v>38</v>
      </c>
      <c r="J826" s="12">
        <v>7912</v>
      </c>
      <c r="K826" s="11">
        <f t="shared" si="37"/>
        <v>7.9119999999999999</v>
      </c>
      <c r="L826" s="7" t="s">
        <v>185</v>
      </c>
      <c r="M826" s="15">
        <f t="shared" si="38"/>
        <v>0.98800000000000043</v>
      </c>
      <c r="N826" t="str">
        <f>IF(match_results!C826="完全一致","〇","×")</f>
        <v>〇</v>
      </c>
    </row>
    <row r="827" spans="1:14" x14ac:dyDescent="0.15">
      <c r="A827" s="6" t="s">
        <v>1210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36"/>
        <v>100</v>
      </c>
      <c r="I827" s="7" t="s">
        <v>38</v>
      </c>
      <c r="J827" s="10">
        <v>1120</v>
      </c>
      <c r="K827" s="11">
        <f t="shared" si="37"/>
        <v>11.2</v>
      </c>
      <c r="L827" s="7" t="s">
        <v>185</v>
      </c>
      <c r="M827" s="15">
        <f t="shared" si="38"/>
        <v>1.4000000000000004</v>
      </c>
      <c r="N827" t="str">
        <f>IF(match_results!C827="完全一致","〇","×")</f>
        <v>〇</v>
      </c>
    </row>
    <row r="828" spans="1:14" x14ac:dyDescent="0.15">
      <c r="A828" s="6" t="s">
        <v>1210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36"/>
        <v>1000</v>
      </c>
      <c r="I828" s="7" t="s">
        <v>38</v>
      </c>
      <c r="J828" s="10">
        <v>11201</v>
      </c>
      <c r="K828" s="11">
        <f t="shared" si="37"/>
        <v>11.201000000000001</v>
      </c>
      <c r="L828" s="7" t="s">
        <v>185</v>
      </c>
      <c r="M828" s="15">
        <f t="shared" si="38"/>
        <v>1.3989999999999991</v>
      </c>
      <c r="N828" t="str">
        <f>IF(match_results!C828="完全一致","〇","×")</f>
        <v>〇</v>
      </c>
    </row>
    <row r="829" spans="1:14" x14ac:dyDescent="0.15">
      <c r="A829" s="6" t="s">
        <v>1211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36"/>
        <v>50</v>
      </c>
      <c r="I829" s="7" t="s">
        <v>127</v>
      </c>
      <c r="J829" s="10">
        <v>350</v>
      </c>
      <c r="K829" s="11">
        <f t="shared" si="37"/>
        <v>7</v>
      </c>
      <c r="L829" s="7" t="s">
        <v>994</v>
      </c>
      <c r="M829" s="15">
        <f t="shared" si="38"/>
        <v>0.70000000000000018</v>
      </c>
      <c r="N829" t="str">
        <f>IF(match_results!C829="完全一致","〇","×")</f>
        <v>×</v>
      </c>
    </row>
    <row r="830" spans="1:14" x14ac:dyDescent="0.15">
      <c r="A830" s="6" t="s">
        <v>1230</v>
      </c>
      <c r="B830" s="6" t="s">
        <v>10</v>
      </c>
      <c r="C830" s="7" t="s">
        <v>10</v>
      </c>
      <c r="D830" s="6" t="s">
        <v>1212</v>
      </c>
      <c r="E830" s="6" t="s">
        <v>96</v>
      </c>
      <c r="F830" s="8">
        <v>147</v>
      </c>
      <c r="G830" s="8">
        <v>1470</v>
      </c>
      <c r="H830" s="9">
        <f t="shared" si="36"/>
        <v>10</v>
      </c>
      <c r="I830" s="7" t="s">
        <v>874</v>
      </c>
      <c r="J830" s="12">
        <v>1308</v>
      </c>
      <c r="K830" s="11">
        <f t="shared" si="37"/>
        <v>130.80000000000001</v>
      </c>
      <c r="L830" s="7" t="s">
        <v>1199</v>
      </c>
      <c r="M830" s="15">
        <f t="shared" si="38"/>
        <v>16.199999999999989</v>
      </c>
      <c r="N830" t="str">
        <f>IF(match_results!C830="完全一致","〇","×")</f>
        <v>×</v>
      </c>
    </row>
    <row r="831" spans="1:14" x14ac:dyDescent="0.15">
      <c r="A831" s="6" t="s">
        <v>1231</v>
      </c>
      <c r="B831" s="6" t="s">
        <v>9</v>
      </c>
      <c r="C831" s="7" t="s">
        <v>10</v>
      </c>
      <c r="D831" s="6" t="s">
        <v>1213</v>
      </c>
      <c r="E831" s="6" t="s">
        <v>96</v>
      </c>
      <c r="F831" s="8">
        <v>100</v>
      </c>
      <c r="G831" s="8">
        <v>5000</v>
      </c>
      <c r="H831" s="9">
        <f t="shared" si="36"/>
        <v>50</v>
      </c>
      <c r="I831" s="7" t="s">
        <v>874</v>
      </c>
      <c r="J831" s="10">
        <v>4454</v>
      </c>
      <c r="K831" s="11">
        <f t="shared" si="37"/>
        <v>89.08</v>
      </c>
      <c r="L831" s="7" t="s">
        <v>1199</v>
      </c>
      <c r="M831" s="15">
        <f t="shared" si="38"/>
        <v>10.920000000000002</v>
      </c>
      <c r="N831" t="str">
        <f>IF(match_results!C831="完全一致","〇","×")</f>
        <v>×</v>
      </c>
    </row>
    <row r="832" spans="1:14" x14ac:dyDescent="0.15">
      <c r="A832" s="6" t="s">
        <v>1214</v>
      </c>
      <c r="B832" s="6" t="s">
        <v>44</v>
      </c>
      <c r="C832" s="7" t="s">
        <v>14</v>
      </c>
      <c r="D832" s="6" t="s">
        <v>135</v>
      </c>
      <c r="E832" s="6" t="s">
        <v>1215</v>
      </c>
      <c r="F832" s="8">
        <v>14.9</v>
      </c>
      <c r="G832" s="8">
        <v>745</v>
      </c>
      <c r="H832" s="9">
        <f t="shared" si="36"/>
        <v>50</v>
      </c>
      <c r="I832" s="7" t="s">
        <v>127</v>
      </c>
      <c r="J832" s="10">
        <v>663</v>
      </c>
      <c r="K832" s="11">
        <f t="shared" si="37"/>
        <v>13.26</v>
      </c>
      <c r="L832" s="7" t="s">
        <v>1216</v>
      </c>
      <c r="M832" s="15">
        <f t="shared" si="38"/>
        <v>1.6400000000000006</v>
      </c>
      <c r="N832" t="str">
        <f>IF(match_results!C832="完全一致","〇","×")</f>
        <v>×</v>
      </c>
    </row>
    <row r="833" spans="1:14" x14ac:dyDescent="0.15">
      <c r="A833" s="6" t="s">
        <v>1217</v>
      </c>
      <c r="B833" s="6" t="s">
        <v>9</v>
      </c>
      <c r="C833" s="7" t="s">
        <v>10</v>
      </c>
      <c r="D833" s="6" t="s">
        <v>1218</v>
      </c>
      <c r="E833" s="6" t="s">
        <v>257</v>
      </c>
      <c r="F833" s="8">
        <v>2.9</v>
      </c>
      <c r="G833" s="8">
        <v>580</v>
      </c>
      <c r="H833" s="9">
        <f t="shared" ref="H833:H834" si="39">G833/F833</f>
        <v>200</v>
      </c>
      <c r="I833" s="7" t="s">
        <v>13</v>
      </c>
      <c r="J833" s="10">
        <v>527</v>
      </c>
      <c r="K833" s="11">
        <f t="shared" ref="K833:K834" si="40">J833/H833</f>
        <v>2.6349999999999998</v>
      </c>
      <c r="L833" s="7" t="s">
        <v>537</v>
      </c>
      <c r="M833" s="15">
        <f t="shared" si="38"/>
        <v>0.26500000000000012</v>
      </c>
      <c r="N833" t="str">
        <f>IF(match_results!C833="完全一致","〇","×")</f>
        <v>〇</v>
      </c>
    </row>
    <row r="834" spans="1:14" s="29" customFormat="1" x14ac:dyDescent="0.15">
      <c r="A834" s="34" t="s">
        <v>1219</v>
      </c>
      <c r="B834" s="34" t="s">
        <v>44</v>
      </c>
      <c r="C834" s="35" t="s">
        <v>10</v>
      </c>
      <c r="D834" s="34" t="s">
        <v>135</v>
      </c>
      <c r="E834" s="34" t="s">
        <v>1215</v>
      </c>
      <c r="F834" s="36">
        <v>24.3</v>
      </c>
      <c r="G834" s="36">
        <v>1215</v>
      </c>
      <c r="H834" s="37">
        <f t="shared" si="39"/>
        <v>50</v>
      </c>
      <c r="I834" s="35" t="s">
        <v>127</v>
      </c>
      <c r="J834" s="38">
        <v>1082</v>
      </c>
      <c r="K834" s="39">
        <f t="shared" si="40"/>
        <v>21.64</v>
      </c>
      <c r="L834" s="35" t="s">
        <v>367</v>
      </c>
      <c r="M834" s="40">
        <f t="shared" si="38"/>
        <v>2.66</v>
      </c>
      <c r="N834" s="29" t="str">
        <f>IF(match_results!C834="完全一致","〇","×")</f>
        <v>×</v>
      </c>
    </row>
  </sheetData>
  <sortState ref="A2:M898">
    <sortCondition ref="A2:A898"/>
    <sortCondition ref="C2:C898"/>
  </sortState>
  <phoneticPr fontId="2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7"/>
  <sheetViews>
    <sheetView tabSelected="1" topLeftCell="A648" workbookViewId="0">
      <selection activeCell="M688" sqref="M688"/>
    </sheetView>
  </sheetViews>
  <sheetFormatPr defaultColWidth="10.75" defaultRowHeight="13.5" x14ac:dyDescent="0.15"/>
  <cols>
    <col min="3" max="3" width="54.375" bestFit="1" customWidth="1"/>
  </cols>
  <sheetData>
    <row r="1" spans="1:13" x14ac:dyDescent="0.15">
      <c r="A1" t="s">
        <v>1878</v>
      </c>
      <c r="B1" s="16">
        <v>46085</v>
      </c>
    </row>
    <row r="2" spans="1:13" x14ac:dyDescent="0.15">
      <c r="A2" t="s">
        <v>1879</v>
      </c>
      <c r="C2" t="s">
        <v>1880</v>
      </c>
      <c r="D2" t="s">
        <v>1881</v>
      </c>
      <c r="E2" t="s">
        <v>1882</v>
      </c>
      <c r="G2" t="s">
        <v>1883</v>
      </c>
      <c r="H2" t="s">
        <v>1880</v>
      </c>
      <c r="I2" t="s">
        <v>1881</v>
      </c>
      <c r="K2" t="s">
        <v>1882</v>
      </c>
    </row>
    <row r="3" spans="1:13" x14ac:dyDescent="0.15">
      <c r="A3" t="s">
        <v>1884</v>
      </c>
      <c r="C3" t="s">
        <v>1885</v>
      </c>
      <c r="D3" t="s">
        <v>1886</v>
      </c>
      <c r="E3" t="s">
        <v>1887</v>
      </c>
      <c r="G3" t="s">
        <v>1888</v>
      </c>
      <c r="H3" t="s">
        <v>1889</v>
      </c>
      <c r="I3" t="s">
        <v>1890</v>
      </c>
      <c r="K3" t="s">
        <v>1891</v>
      </c>
    </row>
    <row r="4" spans="1:13" x14ac:dyDescent="0.15">
      <c r="A4" t="s">
        <v>1892</v>
      </c>
      <c r="B4" t="s">
        <v>1893</v>
      </c>
      <c r="C4" t="s">
        <v>1894</v>
      </c>
      <c r="D4" t="s">
        <v>1895</v>
      </c>
      <c r="E4" t="s">
        <v>1896</v>
      </c>
      <c r="F4" t="s">
        <v>1897</v>
      </c>
      <c r="G4" t="s">
        <v>1898</v>
      </c>
      <c r="H4" t="s">
        <v>1899</v>
      </c>
      <c r="I4" t="s">
        <v>1900</v>
      </c>
      <c r="J4" t="s">
        <v>1901</v>
      </c>
      <c r="K4" t="s">
        <v>1902</v>
      </c>
      <c r="L4" t="s">
        <v>1903</v>
      </c>
      <c r="M4" t="s">
        <v>4051</v>
      </c>
    </row>
    <row r="5" spans="1:13" x14ac:dyDescent="0.15">
      <c r="A5" t="s">
        <v>1904</v>
      </c>
      <c r="B5" t="s">
        <v>1904</v>
      </c>
      <c r="C5" t="s">
        <v>1251</v>
      </c>
      <c r="D5" t="s">
        <v>1905</v>
      </c>
      <c r="E5">
        <v>1</v>
      </c>
      <c r="G5">
        <v>3.3</v>
      </c>
      <c r="H5" t="s">
        <v>1906</v>
      </c>
      <c r="I5">
        <v>14</v>
      </c>
      <c r="J5" t="s">
        <v>1907</v>
      </c>
      <c r="K5">
        <v>0</v>
      </c>
      <c r="M5">
        <v>7</v>
      </c>
    </row>
    <row r="6" spans="1:13" x14ac:dyDescent="0.15">
      <c r="A6" t="s">
        <v>1908</v>
      </c>
      <c r="B6" t="s">
        <v>1908</v>
      </c>
      <c r="C6" t="s">
        <v>1253</v>
      </c>
      <c r="D6" t="s">
        <v>1909</v>
      </c>
      <c r="E6">
        <v>1</v>
      </c>
      <c r="G6">
        <v>61</v>
      </c>
      <c r="H6" t="s">
        <v>1910</v>
      </c>
      <c r="I6">
        <v>25</v>
      </c>
      <c r="J6" t="s">
        <v>1911</v>
      </c>
      <c r="K6">
        <v>2</v>
      </c>
      <c r="M6">
        <v>9</v>
      </c>
    </row>
    <row r="7" spans="1:13" x14ac:dyDescent="0.15">
      <c r="A7" t="s">
        <v>1912</v>
      </c>
      <c r="B7" t="s">
        <v>1912</v>
      </c>
      <c r="C7" t="s">
        <v>1254</v>
      </c>
      <c r="D7" t="s">
        <v>1913</v>
      </c>
      <c r="E7">
        <v>1</v>
      </c>
      <c r="G7">
        <v>20.7</v>
      </c>
      <c r="H7" t="s">
        <v>1914</v>
      </c>
      <c r="I7">
        <v>15</v>
      </c>
      <c r="J7" t="s">
        <v>1915</v>
      </c>
      <c r="K7">
        <v>0</v>
      </c>
      <c r="M7">
        <v>3</v>
      </c>
    </row>
    <row r="8" spans="1:13" x14ac:dyDescent="0.15">
      <c r="A8" t="s">
        <v>1916</v>
      </c>
      <c r="B8" t="s">
        <v>1916</v>
      </c>
      <c r="C8" t="s">
        <v>1255</v>
      </c>
      <c r="E8">
        <v>1</v>
      </c>
      <c r="G8">
        <v>341</v>
      </c>
      <c r="H8" t="s">
        <v>1917</v>
      </c>
      <c r="I8">
        <v>25</v>
      </c>
      <c r="J8" t="s">
        <v>1911</v>
      </c>
      <c r="K8">
        <v>0</v>
      </c>
      <c r="M8">
        <v>10</v>
      </c>
    </row>
    <row r="9" spans="1:13" x14ac:dyDescent="0.15">
      <c r="A9" t="s">
        <v>1918</v>
      </c>
      <c r="B9" t="s">
        <v>1918</v>
      </c>
      <c r="C9" t="s">
        <v>99</v>
      </c>
      <c r="D9" t="s">
        <v>1919</v>
      </c>
      <c r="E9">
        <v>1</v>
      </c>
      <c r="G9">
        <v>50</v>
      </c>
      <c r="H9" t="s">
        <v>1920</v>
      </c>
      <c r="I9">
        <v>14</v>
      </c>
      <c r="J9" t="s">
        <v>1907</v>
      </c>
      <c r="K9">
        <v>0</v>
      </c>
      <c r="M9">
        <v>15</v>
      </c>
    </row>
    <row r="10" spans="1:13" x14ac:dyDescent="0.15">
      <c r="A10" t="s">
        <v>1921</v>
      </c>
      <c r="B10" t="s">
        <v>1921</v>
      </c>
      <c r="C10" t="s">
        <v>1256</v>
      </c>
      <c r="D10" t="s">
        <v>1922</v>
      </c>
      <c r="E10">
        <v>2</v>
      </c>
      <c r="G10">
        <v>25.9</v>
      </c>
      <c r="H10" t="s">
        <v>1923</v>
      </c>
      <c r="I10">
        <v>1</v>
      </c>
      <c r="J10" t="s">
        <v>1924</v>
      </c>
      <c r="K10">
        <v>0</v>
      </c>
      <c r="M10">
        <v>3</v>
      </c>
    </row>
    <row r="11" spans="1:13" x14ac:dyDescent="0.15">
      <c r="A11" t="s">
        <v>1925</v>
      </c>
      <c r="B11" t="s">
        <v>1925</v>
      </c>
      <c r="C11" t="s">
        <v>1257</v>
      </c>
      <c r="D11" t="s">
        <v>1926</v>
      </c>
      <c r="E11">
        <v>2</v>
      </c>
      <c r="G11">
        <v>368</v>
      </c>
      <c r="H11" t="s">
        <v>1927</v>
      </c>
      <c r="I11">
        <v>25</v>
      </c>
      <c r="J11" t="s">
        <v>1911</v>
      </c>
      <c r="K11">
        <v>0</v>
      </c>
      <c r="M11">
        <v>9</v>
      </c>
    </row>
    <row r="12" spans="1:13" x14ac:dyDescent="0.15">
      <c r="A12" t="s">
        <v>1928</v>
      </c>
      <c r="B12" t="s">
        <v>1928</v>
      </c>
      <c r="C12" t="s">
        <v>1258</v>
      </c>
      <c r="D12" t="s">
        <v>1929</v>
      </c>
      <c r="E12">
        <v>1</v>
      </c>
      <c r="G12">
        <v>60.7</v>
      </c>
      <c r="H12" t="s">
        <v>1930</v>
      </c>
      <c r="I12">
        <v>1</v>
      </c>
      <c r="J12" t="s">
        <v>1924</v>
      </c>
      <c r="K12">
        <v>0</v>
      </c>
      <c r="M12">
        <v>1</v>
      </c>
    </row>
    <row r="13" spans="1:13" x14ac:dyDescent="0.15">
      <c r="A13" t="s">
        <v>1931</v>
      </c>
      <c r="B13" t="s">
        <v>1931</v>
      </c>
      <c r="C13" t="s">
        <v>1259</v>
      </c>
      <c r="E13">
        <v>1</v>
      </c>
      <c r="G13">
        <v>27.4</v>
      </c>
      <c r="H13" t="s">
        <v>1932</v>
      </c>
      <c r="I13">
        <v>1</v>
      </c>
      <c r="J13" t="s">
        <v>1924</v>
      </c>
      <c r="K13">
        <v>0</v>
      </c>
      <c r="M13">
        <v>5</v>
      </c>
    </row>
    <row r="14" spans="1:13" x14ac:dyDescent="0.15">
      <c r="A14" t="s">
        <v>1933</v>
      </c>
      <c r="B14" t="s">
        <v>1933</v>
      </c>
      <c r="C14" t="s">
        <v>1260</v>
      </c>
      <c r="E14">
        <v>1</v>
      </c>
      <c r="G14">
        <v>100</v>
      </c>
      <c r="H14" t="s">
        <v>1934</v>
      </c>
      <c r="I14">
        <v>25</v>
      </c>
      <c r="J14" t="s">
        <v>1911</v>
      </c>
      <c r="K14">
        <v>0</v>
      </c>
      <c r="M14">
        <v>11</v>
      </c>
    </row>
    <row r="15" spans="1:13" x14ac:dyDescent="0.15">
      <c r="A15" t="s">
        <v>1935</v>
      </c>
      <c r="B15" t="s">
        <v>1935</v>
      </c>
      <c r="C15" t="s">
        <v>1261</v>
      </c>
      <c r="D15" t="s">
        <v>1936</v>
      </c>
      <c r="E15">
        <v>1</v>
      </c>
      <c r="G15">
        <v>8.0299999999999994</v>
      </c>
      <c r="H15" t="s">
        <v>1937</v>
      </c>
      <c r="I15">
        <v>14</v>
      </c>
      <c r="J15" t="s">
        <v>1907</v>
      </c>
      <c r="K15">
        <v>0</v>
      </c>
      <c r="M15">
        <v>3</v>
      </c>
    </row>
    <row r="16" spans="1:13" x14ac:dyDescent="0.15">
      <c r="A16" t="s">
        <v>1938</v>
      </c>
      <c r="B16" t="s">
        <v>1938</v>
      </c>
      <c r="C16" t="s">
        <v>1262</v>
      </c>
      <c r="D16" t="s">
        <v>1939</v>
      </c>
      <c r="E16">
        <v>1</v>
      </c>
      <c r="G16">
        <v>5.9</v>
      </c>
      <c r="H16" t="s">
        <v>1940</v>
      </c>
      <c r="I16">
        <v>1</v>
      </c>
      <c r="J16" t="s">
        <v>1924</v>
      </c>
      <c r="K16">
        <v>0</v>
      </c>
      <c r="M16">
        <v>5</v>
      </c>
    </row>
    <row r="17" spans="1:13" x14ac:dyDescent="0.15">
      <c r="A17" t="s">
        <v>1941</v>
      </c>
      <c r="B17" t="s">
        <v>1941</v>
      </c>
      <c r="C17" t="s">
        <v>1263</v>
      </c>
      <c r="D17" t="s">
        <v>1942</v>
      </c>
      <c r="E17">
        <v>1</v>
      </c>
      <c r="G17">
        <v>6.1</v>
      </c>
      <c r="H17" t="s">
        <v>1943</v>
      </c>
      <c r="I17">
        <v>1</v>
      </c>
      <c r="J17" t="s">
        <v>1924</v>
      </c>
      <c r="K17">
        <v>0</v>
      </c>
      <c r="M17">
        <v>1</v>
      </c>
    </row>
    <row r="18" spans="1:13" x14ac:dyDescent="0.15">
      <c r="A18" t="s">
        <v>1944</v>
      </c>
      <c r="B18" t="s">
        <v>1944</v>
      </c>
      <c r="C18" t="s">
        <v>1264</v>
      </c>
      <c r="D18" t="s">
        <v>1945</v>
      </c>
      <c r="E18">
        <v>1</v>
      </c>
      <c r="G18">
        <v>6.7</v>
      </c>
      <c r="H18" t="s">
        <v>1946</v>
      </c>
      <c r="I18">
        <v>3</v>
      </c>
      <c r="J18" t="s">
        <v>1947</v>
      </c>
      <c r="K18">
        <v>0</v>
      </c>
      <c r="M18">
        <v>2</v>
      </c>
    </row>
    <row r="19" spans="1:13" x14ac:dyDescent="0.15">
      <c r="A19" t="s">
        <v>1948</v>
      </c>
      <c r="B19" t="s">
        <v>1948</v>
      </c>
      <c r="C19" t="s">
        <v>1265</v>
      </c>
      <c r="D19" t="s">
        <v>1949</v>
      </c>
      <c r="E19">
        <v>1</v>
      </c>
      <c r="G19">
        <v>181</v>
      </c>
      <c r="H19" t="s">
        <v>1950</v>
      </c>
      <c r="I19">
        <v>25</v>
      </c>
      <c r="J19" t="s">
        <v>1911</v>
      </c>
      <c r="K19">
        <v>0</v>
      </c>
      <c r="M19">
        <v>9</v>
      </c>
    </row>
    <row r="20" spans="1:13" x14ac:dyDescent="0.15">
      <c r="A20" t="s">
        <v>1951</v>
      </c>
      <c r="B20" t="s">
        <v>1951</v>
      </c>
      <c r="C20" t="s">
        <v>1266</v>
      </c>
      <c r="D20" t="s">
        <v>1952</v>
      </c>
      <c r="E20">
        <v>1</v>
      </c>
      <c r="G20">
        <v>91.6</v>
      </c>
      <c r="H20" t="s">
        <v>1953</v>
      </c>
      <c r="I20">
        <v>21</v>
      </c>
      <c r="J20" t="s">
        <v>1954</v>
      </c>
      <c r="K20">
        <v>0</v>
      </c>
      <c r="M20">
        <v>3</v>
      </c>
    </row>
    <row r="21" spans="1:13" x14ac:dyDescent="0.15">
      <c r="A21" t="s">
        <v>1955</v>
      </c>
      <c r="B21" t="s">
        <v>1955</v>
      </c>
      <c r="C21" t="s">
        <v>1267</v>
      </c>
      <c r="D21" t="s">
        <v>1956</v>
      </c>
      <c r="E21">
        <v>2</v>
      </c>
      <c r="G21">
        <v>298</v>
      </c>
      <c r="H21" t="s">
        <v>1957</v>
      </c>
      <c r="I21">
        <v>25</v>
      </c>
      <c r="J21" t="s">
        <v>1911</v>
      </c>
      <c r="K21">
        <v>2</v>
      </c>
      <c r="M21">
        <v>8</v>
      </c>
    </row>
    <row r="22" spans="1:13" x14ac:dyDescent="0.15">
      <c r="A22" t="s">
        <v>1958</v>
      </c>
      <c r="B22" t="s">
        <v>1958</v>
      </c>
      <c r="C22" t="s">
        <v>1268</v>
      </c>
      <c r="D22" t="s">
        <v>1959</v>
      </c>
      <c r="E22">
        <v>2</v>
      </c>
      <c r="G22">
        <v>1646</v>
      </c>
      <c r="H22" t="s">
        <v>1960</v>
      </c>
      <c r="I22">
        <v>25</v>
      </c>
      <c r="J22" t="s">
        <v>1911</v>
      </c>
      <c r="K22">
        <v>2</v>
      </c>
      <c r="M22">
        <v>9</v>
      </c>
    </row>
    <row r="23" spans="1:13" x14ac:dyDescent="0.15">
      <c r="A23" t="s">
        <v>1961</v>
      </c>
      <c r="B23" t="s">
        <v>1961</v>
      </c>
      <c r="C23" t="s">
        <v>1269</v>
      </c>
      <c r="D23" t="s">
        <v>1962</v>
      </c>
      <c r="E23">
        <v>2</v>
      </c>
      <c r="G23">
        <v>10.4</v>
      </c>
      <c r="H23" t="s">
        <v>1963</v>
      </c>
      <c r="I23">
        <v>1</v>
      </c>
      <c r="J23" t="s">
        <v>1924</v>
      </c>
      <c r="K23">
        <v>0</v>
      </c>
      <c r="M23">
        <v>3</v>
      </c>
    </row>
    <row r="24" spans="1:13" x14ac:dyDescent="0.15">
      <c r="A24" t="s">
        <v>1964</v>
      </c>
      <c r="B24" t="s">
        <v>1964</v>
      </c>
      <c r="C24" t="s">
        <v>1271</v>
      </c>
      <c r="D24" t="s">
        <v>1965</v>
      </c>
      <c r="E24">
        <v>1</v>
      </c>
      <c r="G24">
        <v>6.1</v>
      </c>
      <c r="H24" t="s">
        <v>1966</v>
      </c>
      <c r="I24">
        <v>1</v>
      </c>
      <c r="J24" t="s">
        <v>1924</v>
      </c>
      <c r="K24">
        <v>0</v>
      </c>
      <c r="M24">
        <v>5</v>
      </c>
    </row>
    <row r="25" spans="1:13" x14ac:dyDescent="0.15">
      <c r="A25" t="s">
        <v>1967</v>
      </c>
      <c r="B25" t="s">
        <v>1967</v>
      </c>
      <c r="C25" t="s">
        <v>1272</v>
      </c>
      <c r="D25" t="s">
        <v>1968</v>
      </c>
      <c r="E25">
        <v>1</v>
      </c>
      <c r="G25">
        <v>13.2</v>
      </c>
      <c r="H25" t="s">
        <v>1969</v>
      </c>
      <c r="I25">
        <v>1</v>
      </c>
      <c r="J25" t="s">
        <v>1924</v>
      </c>
      <c r="K25">
        <v>2</v>
      </c>
      <c r="M25">
        <v>6</v>
      </c>
    </row>
    <row r="26" spans="1:13" x14ac:dyDescent="0.15">
      <c r="A26" t="s">
        <v>1970</v>
      </c>
      <c r="B26" t="s">
        <v>1970</v>
      </c>
      <c r="C26" t="s">
        <v>1273</v>
      </c>
      <c r="D26" t="s">
        <v>1971</v>
      </c>
      <c r="E26">
        <v>1</v>
      </c>
      <c r="G26">
        <v>10.4</v>
      </c>
      <c r="H26" t="s">
        <v>1972</v>
      </c>
      <c r="I26">
        <v>1</v>
      </c>
      <c r="J26" t="s">
        <v>1924</v>
      </c>
      <c r="K26">
        <v>0</v>
      </c>
      <c r="M26">
        <v>5</v>
      </c>
    </row>
    <row r="27" spans="1:13" x14ac:dyDescent="0.15">
      <c r="A27" t="s">
        <v>1973</v>
      </c>
      <c r="B27" t="s">
        <v>1973</v>
      </c>
      <c r="C27" t="s">
        <v>1274</v>
      </c>
      <c r="D27" t="s">
        <v>1974</v>
      </c>
      <c r="E27">
        <v>2</v>
      </c>
      <c r="G27">
        <v>3952.1</v>
      </c>
      <c r="H27" t="s">
        <v>1975</v>
      </c>
      <c r="I27">
        <v>10</v>
      </c>
      <c r="J27" t="s">
        <v>1976</v>
      </c>
      <c r="K27">
        <v>0</v>
      </c>
      <c r="M27">
        <v>3</v>
      </c>
    </row>
    <row r="28" spans="1:13" x14ac:dyDescent="0.15">
      <c r="A28" t="s">
        <v>1977</v>
      </c>
      <c r="B28" t="s">
        <v>1977</v>
      </c>
      <c r="C28" t="s">
        <v>1275</v>
      </c>
      <c r="D28" t="s">
        <v>1978</v>
      </c>
      <c r="E28">
        <v>1</v>
      </c>
      <c r="G28">
        <v>7.7</v>
      </c>
      <c r="H28" t="s">
        <v>1979</v>
      </c>
      <c r="I28">
        <v>1</v>
      </c>
      <c r="J28" t="s">
        <v>1924</v>
      </c>
      <c r="K28">
        <v>0</v>
      </c>
      <c r="M28">
        <v>5</v>
      </c>
    </row>
    <row r="29" spans="1:13" x14ac:dyDescent="0.15">
      <c r="A29" t="s">
        <v>1980</v>
      </c>
      <c r="B29" t="s">
        <v>1980</v>
      </c>
      <c r="C29" t="s">
        <v>1276</v>
      </c>
      <c r="D29" t="s">
        <v>1981</v>
      </c>
      <c r="E29">
        <v>1</v>
      </c>
      <c r="G29">
        <v>89</v>
      </c>
      <c r="H29" t="s">
        <v>1982</v>
      </c>
      <c r="I29">
        <v>25</v>
      </c>
      <c r="J29" t="s">
        <v>1911</v>
      </c>
      <c r="K29">
        <v>0</v>
      </c>
      <c r="M29">
        <v>9</v>
      </c>
    </row>
    <row r="30" spans="1:13" x14ac:dyDescent="0.15">
      <c r="A30" t="s">
        <v>1983</v>
      </c>
      <c r="B30" t="s">
        <v>1983</v>
      </c>
      <c r="C30" t="s">
        <v>1277</v>
      </c>
      <c r="D30" t="s">
        <v>1984</v>
      </c>
      <c r="E30">
        <v>1</v>
      </c>
      <c r="G30">
        <v>32.5</v>
      </c>
      <c r="H30" t="s">
        <v>1985</v>
      </c>
      <c r="I30">
        <v>3</v>
      </c>
      <c r="J30" t="s">
        <v>1947</v>
      </c>
      <c r="K30">
        <v>0</v>
      </c>
      <c r="M30">
        <v>2</v>
      </c>
    </row>
    <row r="31" spans="1:13" x14ac:dyDescent="0.15">
      <c r="A31" t="s">
        <v>1986</v>
      </c>
      <c r="B31" t="s">
        <v>1986</v>
      </c>
      <c r="C31" t="s">
        <v>1278</v>
      </c>
      <c r="E31">
        <v>1</v>
      </c>
      <c r="G31">
        <v>17.600000000000001</v>
      </c>
      <c r="H31" t="s">
        <v>1987</v>
      </c>
      <c r="I31">
        <v>19</v>
      </c>
      <c r="J31" t="s">
        <v>1988</v>
      </c>
      <c r="K31">
        <v>0</v>
      </c>
      <c r="M31">
        <v>12</v>
      </c>
    </row>
    <row r="32" spans="1:13" x14ac:dyDescent="0.15">
      <c r="A32" t="s">
        <v>1989</v>
      </c>
      <c r="B32" t="s">
        <v>1989</v>
      </c>
      <c r="C32" t="s">
        <v>1279</v>
      </c>
      <c r="D32" t="s">
        <v>1990</v>
      </c>
      <c r="E32">
        <v>1</v>
      </c>
      <c r="G32">
        <v>50.3</v>
      </c>
      <c r="H32" t="s">
        <v>1991</v>
      </c>
      <c r="I32">
        <v>2</v>
      </c>
      <c r="J32" t="s">
        <v>835</v>
      </c>
      <c r="K32">
        <v>2</v>
      </c>
      <c r="M32">
        <v>6</v>
      </c>
    </row>
    <row r="33" spans="1:13" x14ac:dyDescent="0.15">
      <c r="A33" t="s">
        <v>1992</v>
      </c>
      <c r="B33" t="s">
        <v>1992</v>
      </c>
      <c r="C33" t="s">
        <v>1280</v>
      </c>
      <c r="E33">
        <v>1</v>
      </c>
      <c r="G33">
        <v>64.7</v>
      </c>
      <c r="H33" t="s">
        <v>1993</v>
      </c>
      <c r="I33">
        <v>2</v>
      </c>
      <c r="J33" t="s">
        <v>835</v>
      </c>
      <c r="K33">
        <v>2</v>
      </c>
      <c r="M33">
        <v>6</v>
      </c>
    </row>
    <row r="34" spans="1:13" x14ac:dyDescent="0.15">
      <c r="A34" t="s">
        <v>1994</v>
      </c>
      <c r="B34" t="s">
        <v>1994</v>
      </c>
      <c r="C34" t="s">
        <v>1281</v>
      </c>
      <c r="E34">
        <v>1</v>
      </c>
      <c r="G34">
        <v>13.9</v>
      </c>
      <c r="H34" t="s">
        <v>1995</v>
      </c>
      <c r="I34">
        <v>1</v>
      </c>
      <c r="J34" t="s">
        <v>1924</v>
      </c>
      <c r="K34">
        <v>0</v>
      </c>
      <c r="M34">
        <v>5</v>
      </c>
    </row>
    <row r="35" spans="1:13" x14ac:dyDescent="0.15">
      <c r="A35" t="s">
        <v>1996</v>
      </c>
      <c r="B35" t="s">
        <v>1996</v>
      </c>
      <c r="C35" t="s">
        <v>1282</v>
      </c>
      <c r="D35" t="s">
        <v>1997</v>
      </c>
      <c r="E35">
        <v>1</v>
      </c>
      <c r="G35">
        <v>100</v>
      </c>
      <c r="H35" t="s">
        <v>1998</v>
      </c>
      <c r="I35">
        <v>25</v>
      </c>
      <c r="J35" t="s">
        <v>1911</v>
      </c>
      <c r="K35">
        <v>2</v>
      </c>
      <c r="M35">
        <v>9</v>
      </c>
    </row>
    <row r="36" spans="1:13" x14ac:dyDescent="0.15">
      <c r="A36" t="s">
        <v>1999</v>
      </c>
      <c r="B36" t="s">
        <v>1999</v>
      </c>
      <c r="C36" t="s">
        <v>1283</v>
      </c>
      <c r="E36">
        <v>2</v>
      </c>
      <c r="G36">
        <v>58.5</v>
      </c>
      <c r="H36" t="s">
        <v>2000</v>
      </c>
      <c r="I36">
        <v>1</v>
      </c>
      <c r="J36" t="s">
        <v>1924</v>
      </c>
      <c r="K36">
        <v>2</v>
      </c>
      <c r="M36">
        <v>3</v>
      </c>
    </row>
    <row r="37" spans="1:13" x14ac:dyDescent="0.15">
      <c r="A37" t="s">
        <v>2001</v>
      </c>
      <c r="B37" t="s">
        <v>2001</v>
      </c>
      <c r="C37" t="s">
        <v>1284</v>
      </c>
      <c r="D37" t="s">
        <v>2002</v>
      </c>
      <c r="E37">
        <v>2</v>
      </c>
      <c r="G37">
        <v>225</v>
      </c>
      <c r="H37" t="s">
        <v>2003</v>
      </c>
      <c r="I37">
        <v>25</v>
      </c>
      <c r="J37" t="s">
        <v>1911</v>
      </c>
      <c r="K37">
        <v>2</v>
      </c>
      <c r="M37">
        <v>15</v>
      </c>
    </row>
    <row r="38" spans="1:13" x14ac:dyDescent="0.15">
      <c r="A38" t="s">
        <v>2004</v>
      </c>
      <c r="B38" t="s">
        <v>2004</v>
      </c>
      <c r="C38" t="s">
        <v>1285</v>
      </c>
      <c r="D38" t="s">
        <v>2005</v>
      </c>
      <c r="E38">
        <v>1</v>
      </c>
      <c r="G38">
        <v>2001</v>
      </c>
      <c r="H38" t="s">
        <v>2006</v>
      </c>
      <c r="I38">
        <v>25</v>
      </c>
      <c r="J38" t="s">
        <v>1911</v>
      </c>
      <c r="K38">
        <v>2</v>
      </c>
      <c r="M38">
        <v>9</v>
      </c>
    </row>
    <row r="39" spans="1:13" x14ac:dyDescent="0.15">
      <c r="A39" t="s">
        <v>2007</v>
      </c>
      <c r="B39" t="s">
        <v>2007</v>
      </c>
      <c r="C39" t="s">
        <v>1287</v>
      </c>
      <c r="D39" t="s">
        <v>2008</v>
      </c>
      <c r="E39">
        <v>1</v>
      </c>
      <c r="G39">
        <v>6.1</v>
      </c>
      <c r="H39" t="s">
        <v>2009</v>
      </c>
      <c r="I39">
        <v>1</v>
      </c>
      <c r="J39" t="s">
        <v>1924</v>
      </c>
      <c r="K39">
        <v>0</v>
      </c>
      <c r="M39">
        <v>5</v>
      </c>
    </row>
    <row r="40" spans="1:13" x14ac:dyDescent="0.15">
      <c r="A40" t="s">
        <v>2010</v>
      </c>
      <c r="B40" t="s">
        <v>2010</v>
      </c>
      <c r="C40" t="s">
        <v>1288</v>
      </c>
      <c r="D40" t="s">
        <v>2011</v>
      </c>
      <c r="E40">
        <v>2</v>
      </c>
      <c r="G40">
        <v>44.1</v>
      </c>
      <c r="H40" t="s">
        <v>2012</v>
      </c>
      <c r="I40">
        <v>1</v>
      </c>
      <c r="J40" t="s">
        <v>1924</v>
      </c>
      <c r="K40">
        <v>1</v>
      </c>
      <c r="M40">
        <v>3</v>
      </c>
    </row>
    <row r="41" spans="1:13" x14ac:dyDescent="0.15">
      <c r="A41" t="s">
        <v>2013</v>
      </c>
      <c r="B41" t="s">
        <v>2013</v>
      </c>
      <c r="C41" t="s">
        <v>1289</v>
      </c>
      <c r="D41" t="s">
        <v>2014</v>
      </c>
      <c r="E41">
        <v>1</v>
      </c>
      <c r="G41">
        <v>96.9</v>
      </c>
      <c r="H41" t="s">
        <v>2015</v>
      </c>
      <c r="I41">
        <v>2</v>
      </c>
      <c r="J41" t="s">
        <v>835</v>
      </c>
      <c r="K41">
        <v>0</v>
      </c>
      <c r="M41">
        <v>5</v>
      </c>
    </row>
    <row r="42" spans="1:13" x14ac:dyDescent="0.15">
      <c r="A42" t="s">
        <v>2016</v>
      </c>
      <c r="B42" t="s">
        <v>2016</v>
      </c>
      <c r="C42" t="s">
        <v>1290</v>
      </c>
      <c r="D42" t="s">
        <v>2017</v>
      </c>
      <c r="E42">
        <v>1</v>
      </c>
      <c r="G42">
        <v>8.8800000000000008</v>
      </c>
      <c r="H42" t="s">
        <v>2018</v>
      </c>
      <c r="I42">
        <v>3</v>
      </c>
      <c r="J42" t="s">
        <v>1947</v>
      </c>
      <c r="K42">
        <v>0</v>
      </c>
      <c r="M42">
        <v>15</v>
      </c>
    </row>
    <row r="43" spans="1:13" x14ac:dyDescent="0.15">
      <c r="A43" t="s">
        <v>2019</v>
      </c>
      <c r="B43" t="s">
        <v>2019</v>
      </c>
      <c r="C43" t="s">
        <v>1291</v>
      </c>
      <c r="E43">
        <v>2</v>
      </c>
      <c r="G43">
        <v>715</v>
      </c>
      <c r="H43" t="s">
        <v>2020</v>
      </c>
      <c r="I43">
        <v>25</v>
      </c>
      <c r="J43" t="s">
        <v>1911</v>
      </c>
      <c r="K43">
        <v>0</v>
      </c>
      <c r="M43">
        <v>15</v>
      </c>
    </row>
    <row r="44" spans="1:13" x14ac:dyDescent="0.15">
      <c r="A44" t="s">
        <v>2021</v>
      </c>
      <c r="B44" t="s">
        <v>2021</v>
      </c>
      <c r="C44" t="s">
        <v>1292</v>
      </c>
      <c r="E44">
        <v>1</v>
      </c>
      <c r="G44">
        <v>10.4</v>
      </c>
      <c r="H44" t="s">
        <v>2022</v>
      </c>
      <c r="I44">
        <v>1</v>
      </c>
      <c r="J44" t="s">
        <v>1924</v>
      </c>
      <c r="K44">
        <v>2</v>
      </c>
      <c r="M44">
        <v>5</v>
      </c>
    </row>
    <row r="45" spans="1:13" x14ac:dyDescent="0.15">
      <c r="A45" t="s">
        <v>2023</v>
      </c>
      <c r="B45" t="s">
        <v>2023</v>
      </c>
      <c r="C45" t="s">
        <v>1293</v>
      </c>
      <c r="E45">
        <v>1</v>
      </c>
      <c r="G45">
        <v>286.39999999999998</v>
      </c>
      <c r="H45" t="s">
        <v>2024</v>
      </c>
      <c r="I45">
        <v>19</v>
      </c>
      <c r="J45" t="s">
        <v>1988</v>
      </c>
      <c r="K45">
        <v>2</v>
      </c>
      <c r="M45">
        <v>3</v>
      </c>
    </row>
    <row r="46" spans="1:13" x14ac:dyDescent="0.15">
      <c r="A46" t="s">
        <v>2025</v>
      </c>
      <c r="B46" t="s">
        <v>2025</v>
      </c>
      <c r="C46" t="s">
        <v>1294</v>
      </c>
      <c r="E46">
        <v>1</v>
      </c>
      <c r="G46">
        <v>437.6</v>
      </c>
      <c r="H46" t="s">
        <v>2026</v>
      </c>
      <c r="I46">
        <v>19</v>
      </c>
      <c r="J46" t="s">
        <v>1988</v>
      </c>
      <c r="K46">
        <v>2</v>
      </c>
      <c r="M46">
        <v>3</v>
      </c>
    </row>
    <row r="47" spans="1:13" x14ac:dyDescent="0.15">
      <c r="A47" t="s">
        <v>2027</v>
      </c>
      <c r="B47" t="s">
        <v>2027</v>
      </c>
      <c r="C47" t="s">
        <v>1295</v>
      </c>
      <c r="D47" t="s">
        <v>2028</v>
      </c>
      <c r="E47">
        <v>1</v>
      </c>
      <c r="G47">
        <v>6.1</v>
      </c>
      <c r="H47" t="s">
        <v>2029</v>
      </c>
      <c r="I47">
        <v>1</v>
      </c>
      <c r="J47" t="s">
        <v>1924</v>
      </c>
      <c r="K47">
        <v>0</v>
      </c>
      <c r="M47">
        <v>5</v>
      </c>
    </row>
    <row r="48" spans="1:13" x14ac:dyDescent="0.15">
      <c r="A48" t="s">
        <v>2030</v>
      </c>
      <c r="B48" t="s">
        <v>2030</v>
      </c>
      <c r="C48" t="s">
        <v>1296</v>
      </c>
      <c r="E48">
        <v>1</v>
      </c>
      <c r="G48">
        <v>6.4</v>
      </c>
      <c r="H48" t="s">
        <v>2031</v>
      </c>
      <c r="I48">
        <v>1</v>
      </c>
      <c r="J48" t="s">
        <v>1924</v>
      </c>
      <c r="K48">
        <v>2</v>
      </c>
      <c r="M48">
        <v>6</v>
      </c>
    </row>
    <row r="49" spans="1:13" x14ac:dyDescent="0.15">
      <c r="A49" t="s">
        <v>2032</v>
      </c>
      <c r="B49" t="s">
        <v>2032</v>
      </c>
      <c r="C49" t="s">
        <v>1297</v>
      </c>
      <c r="E49">
        <v>1</v>
      </c>
      <c r="G49">
        <v>22.7</v>
      </c>
      <c r="H49" t="s">
        <v>2033</v>
      </c>
      <c r="I49">
        <v>1</v>
      </c>
      <c r="J49" t="s">
        <v>1924</v>
      </c>
      <c r="K49">
        <v>2</v>
      </c>
      <c r="M49">
        <v>6</v>
      </c>
    </row>
    <row r="50" spans="1:13" x14ac:dyDescent="0.15">
      <c r="A50" t="s">
        <v>2034</v>
      </c>
      <c r="B50" t="s">
        <v>2034</v>
      </c>
      <c r="C50" t="s">
        <v>1298</v>
      </c>
      <c r="E50">
        <v>1</v>
      </c>
      <c r="G50">
        <v>11.8</v>
      </c>
      <c r="H50" t="s">
        <v>2035</v>
      </c>
      <c r="I50">
        <v>1</v>
      </c>
      <c r="J50" t="s">
        <v>1924</v>
      </c>
      <c r="K50">
        <v>2</v>
      </c>
      <c r="M50">
        <v>6</v>
      </c>
    </row>
    <row r="51" spans="1:13" x14ac:dyDescent="0.15">
      <c r="A51" t="s">
        <v>2036</v>
      </c>
      <c r="B51" t="s">
        <v>2036</v>
      </c>
      <c r="C51" t="s">
        <v>1299</v>
      </c>
      <c r="E51">
        <v>1</v>
      </c>
      <c r="G51">
        <v>18.600000000000001</v>
      </c>
      <c r="H51" t="s">
        <v>2037</v>
      </c>
      <c r="I51">
        <v>3</v>
      </c>
      <c r="J51" t="s">
        <v>1947</v>
      </c>
      <c r="K51">
        <v>2</v>
      </c>
      <c r="M51">
        <v>2</v>
      </c>
    </row>
    <row r="52" spans="1:13" x14ac:dyDescent="0.15">
      <c r="A52" t="s">
        <v>2038</v>
      </c>
      <c r="B52" t="s">
        <v>2038</v>
      </c>
      <c r="C52" t="s">
        <v>1300</v>
      </c>
      <c r="E52">
        <v>1</v>
      </c>
      <c r="G52">
        <v>6.1</v>
      </c>
      <c r="H52" t="s">
        <v>2039</v>
      </c>
      <c r="I52">
        <v>1</v>
      </c>
      <c r="J52" t="s">
        <v>1924</v>
      </c>
      <c r="K52">
        <v>2</v>
      </c>
      <c r="M52">
        <v>6</v>
      </c>
    </row>
    <row r="53" spans="1:13" x14ac:dyDescent="0.15">
      <c r="A53" t="s">
        <v>2040</v>
      </c>
      <c r="B53" t="s">
        <v>2040</v>
      </c>
      <c r="C53" t="s">
        <v>1301</v>
      </c>
      <c r="D53" t="s">
        <v>2041</v>
      </c>
      <c r="E53">
        <v>1</v>
      </c>
      <c r="G53">
        <v>13.1</v>
      </c>
      <c r="H53" t="s">
        <v>2042</v>
      </c>
      <c r="I53">
        <v>1</v>
      </c>
      <c r="J53" t="s">
        <v>1924</v>
      </c>
      <c r="K53">
        <v>0</v>
      </c>
      <c r="M53">
        <v>5</v>
      </c>
    </row>
    <row r="54" spans="1:13" x14ac:dyDescent="0.15">
      <c r="A54" t="s">
        <v>2043</v>
      </c>
      <c r="B54" t="s">
        <v>2043</v>
      </c>
      <c r="C54" t="s">
        <v>1302</v>
      </c>
      <c r="D54" t="s">
        <v>2044</v>
      </c>
      <c r="E54">
        <v>1</v>
      </c>
      <c r="G54">
        <v>4436</v>
      </c>
      <c r="H54" t="s">
        <v>2045</v>
      </c>
      <c r="I54">
        <v>25</v>
      </c>
      <c r="J54" t="s">
        <v>1911</v>
      </c>
      <c r="K54">
        <v>0</v>
      </c>
      <c r="M54">
        <v>6</v>
      </c>
    </row>
    <row r="55" spans="1:13" x14ac:dyDescent="0.15">
      <c r="A55" t="s">
        <v>2046</v>
      </c>
      <c r="B55" t="s">
        <v>2046</v>
      </c>
      <c r="C55" t="s">
        <v>1303</v>
      </c>
      <c r="E55">
        <v>1</v>
      </c>
      <c r="G55">
        <v>6.1</v>
      </c>
      <c r="H55" t="s">
        <v>2047</v>
      </c>
      <c r="I55">
        <v>2</v>
      </c>
      <c r="J55" t="s">
        <v>835</v>
      </c>
      <c r="K55">
        <v>2</v>
      </c>
      <c r="M55">
        <v>2</v>
      </c>
    </row>
    <row r="56" spans="1:13" x14ac:dyDescent="0.15">
      <c r="A56" t="s">
        <v>2048</v>
      </c>
      <c r="B56" t="s">
        <v>2048</v>
      </c>
      <c r="C56" t="s">
        <v>245</v>
      </c>
      <c r="D56" t="s">
        <v>2049</v>
      </c>
      <c r="E56">
        <v>1</v>
      </c>
      <c r="G56">
        <v>12.1</v>
      </c>
      <c r="H56" t="s">
        <v>2050</v>
      </c>
      <c r="I56">
        <v>3</v>
      </c>
      <c r="J56" t="s">
        <v>1947</v>
      </c>
      <c r="K56">
        <v>2</v>
      </c>
      <c r="M56">
        <v>2</v>
      </c>
    </row>
    <row r="57" spans="1:13" x14ac:dyDescent="0.15">
      <c r="A57" t="s">
        <v>2051</v>
      </c>
      <c r="B57" t="s">
        <v>2051</v>
      </c>
      <c r="C57" t="s">
        <v>248</v>
      </c>
      <c r="D57" t="s">
        <v>2052</v>
      </c>
      <c r="E57">
        <v>1</v>
      </c>
      <c r="G57">
        <v>123</v>
      </c>
      <c r="H57" t="s">
        <v>2053</v>
      </c>
      <c r="I57">
        <v>25</v>
      </c>
      <c r="J57" t="s">
        <v>1911</v>
      </c>
      <c r="K57">
        <v>2</v>
      </c>
      <c r="M57">
        <v>9</v>
      </c>
    </row>
    <row r="58" spans="1:13" x14ac:dyDescent="0.15">
      <c r="A58" t="s">
        <v>2054</v>
      </c>
      <c r="B58" t="s">
        <v>2054</v>
      </c>
      <c r="C58" t="s">
        <v>1304</v>
      </c>
      <c r="D58" t="s">
        <v>2055</v>
      </c>
      <c r="E58">
        <v>1</v>
      </c>
      <c r="G58">
        <v>8</v>
      </c>
      <c r="H58" t="s">
        <v>2056</v>
      </c>
      <c r="I58">
        <v>1</v>
      </c>
      <c r="J58" t="s">
        <v>1924</v>
      </c>
      <c r="K58">
        <v>0</v>
      </c>
      <c r="M58">
        <v>5</v>
      </c>
    </row>
    <row r="59" spans="1:13" x14ac:dyDescent="0.15">
      <c r="A59" t="s">
        <v>2057</v>
      </c>
      <c r="B59" t="s">
        <v>2057</v>
      </c>
      <c r="C59" t="s">
        <v>1306</v>
      </c>
      <c r="D59" t="s">
        <v>2058</v>
      </c>
      <c r="E59">
        <v>1</v>
      </c>
      <c r="G59">
        <v>12.5</v>
      </c>
      <c r="H59" t="s">
        <v>2059</v>
      </c>
      <c r="I59">
        <v>2</v>
      </c>
      <c r="J59" t="s">
        <v>835</v>
      </c>
      <c r="K59">
        <v>0</v>
      </c>
      <c r="M59">
        <v>5</v>
      </c>
    </row>
    <row r="60" spans="1:13" x14ac:dyDescent="0.15">
      <c r="A60" t="s">
        <v>2060</v>
      </c>
      <c r="B60" t="s">
        <v>2060</v>
      </c>
      <c r="C60" t="s">
        <v>1307</v>
      </c>
      <c r="D60" t="s">
        <v>2061</v>
      </c>
      <c r="E60">
        <v>1</v>
      </c>
      <c r="G60">
        <v>0</v>
      </c>
      <c r="H60" t="s">
        <v>2062</v>
      </c>
      <c r="I60">
        <v>3</v>
      </c>
      <c r="J60" t="s">
        <v>1947</v>
      </c>
      <c r="K60">
        <v>0</v>
      </c>
      <c r="M60">
        <v>3</v>
      </c>
    </row>
    <row r="61" spans="1:13" x14ac:dyDescent="0.15">
      <c r="A61" t="s">
        <v>2063</v>
      </c>
      <c r="B61" t="s">
        <v>2063</v>
      </c>
      <c r="C61" t="s">
        <v>263</v>
      </c>
      <c r="E61">
        <v>2</v>
      </c>
      <c r="G61">
        <v>1.44</v>
      </c>
      <c r="H61" t="s">
        <v>2064</v>
      </c>
      <c r="I61">
        <v>24</v>
      </c>
      <c r="J61" t="s">
        <v>2065</v>
      </c>
      <c r="K61">
        <v>0</v>
      </c>
      <c r="M61">
        <v>7</v>
      </c>
    </row>
    <row r="62" spans="1:13" x14ac:dyDescent="0.15">
      <c r="A62" t="s">
        <v>2066</v>
      </c>
      <c r="B62" t="s">
        <v>2066</v>
      </c>
      <c r="C62" t="s">
        <v>1308</v>
      </c>
      <c r="D62" t="s">
        <v>2067</v>
      </c>
      <c r="E62">
        <v>1</v>
      </c>
      <c r="G62">
        <v>1588</v>
      </c>
      <c r="H62" t="s">
        <v>2068</v>
      </c>
      <c r="I62">
        <v>25</v>
      </c>
      <c r="J62" t="s">
        <v>1911</v>
      </c>
      <c r="K62">
        <v>2</v>
      </c>
      <c r="M62">
        <v>9</v>
      </c>
    </row>
    <row r="63" spans="1:13" x14ac:dyDescent="0.15">
      <c r="A63" t="s">
        <v>2069</v>
      </c>
      <c r="B63" t="s">
        <v>2069</v>
      </c>
      <c r="C63" t="s">
        <v>1309</v>
      </c>
      <c r="D63" t="s">
        <v>2070</v>
      </c>
      <c r="E63">
        <v>1</v>
      </c>
      <c r="G63">
        <v>6.1</v>
      </c>
      <c r="H63" t="s">
        <v>2071</v>
      </c>
      <c r="I63">
        <v>2</v>
      </c>
      <c r="J63" t="s">
        <v>835</v>
      </c>
      <c r="K63">
        <v>0</v>
      </c>
      <c r="M63">
        <v>5</v>
      </c>
    </row>
    <row r="64" spans="1:13" x14ac:dyDescent="0.15">
      <c r="A64" t="s">
        <v>2072</v>
      </c>
      <c r="B64" t="s">
        <v>2072</v>
      </c>
      <c r="C64" t="s">
        <v>1310</v>
      </c>
      <c r="D64" t="s">
        <v>2073</v>
      </c>
      <c r="E64">
        <v>1</v>
      </c>
      <c r="G64">
        <v>101.9</v>
      </c>
      <c r="H64" t="s">
        <v>2074</v>
      </c>
      <c r="I64">
        <v>2</v>
      </c>
      <c r="J64" t="s">
        <v>835</v>
      </c>
      <c r="K64">
        <v>2</v>
      </c>
      <c r="M64">
        <v>6</v>
      </c>
    </row>
    <row r="65" spans="1:13" x14ac:dyDescent="0.15">
      <c r="A65" t="s">
        <v>2075</v>
      </c>
      <c r="B65" t="s">
        <v>2075</v>
      </c>
      <c r="C65" t="s">
        <v>1311</v>
      </c>
      <c r="D65" t="s">
        <v>2076</v>
      </c>
      <c r="E65">
        <v>1</v>
      </c>
      <c r="G65">
        <v>167.6</v>
      </c>
      <c r="H65" t="s">
        <v>2077</v>
      </c>
      <c r="I65">
        <v>2</v>
      </c>
      <c r="J65" t="s">
        <v>835</v>
      </c>
      <c r="K65">
        <v>2</v>
      </c>
      <c r="M65">
        <v>6</v>
      </c>
    </row>
    <row r="66" spans="1:13" x14ac:dyDescent="0.15">
      <c r="A66" t="s">
        <v>2078</v>
      </c>
      <c r="B66" t="s">
        <v>2078</v>
      </c>
      <c r="C66" t="s">
        <v>1312</v>
      </c>
      <c r="D66" t="s">
        <v>2079</v>
      </c>
      <c r="E66">
        <v>1</v>
      </c>
      <c r="G66">
        <v>25061</v>
      </c>
      <c r="H66" t="s">
        <v>2080</v>
      </c>
      <c r="I66">
        <v>25</v>
      </c>
      <c r="J66" t="s">
        <v>1911</v>
      </c>
      <c r="K66">
        <v>0</v>
      </c>
      <c r="M66">
        <v>11</v>
      </c>
    </row>
    <row r="67" spans="1:13" x14ac:dyDescent="0.15">
      <c r="A67" t="s">
        <v>2081</v>
      </c>
      <c r="B67" t="s">
        <v>2081</v>
      </c>
      <c r="C67" t="s">
        <v>276</v>
      </c>
      <c r="D67" t="s">
        <v>2082</v>
      </c>
      <c r="E67">
        <v>2</v>
      </c>
      <c r="G67">
        <v>61</v>
      </c>
      <c r="H67" t="s">
        <v>2083</v>
      </c>
      <c r="I67">
        <v>1</v>
      </c>
      <c r="J67" t="s">
        <v>1924</v>
      </c>
      <c r="K67">
        <v>2</v>
      </c>
      <c r="M67">
        <v>15</v>
      </c>
    </row>
    <row r="68" spans="1:13" x14ac:dyDescent="0.15">
      <c r="A68" t="s">
        <v>2084</v>
      </c>
      <c r="B68" t="s">
        <v>2084</v>
      </c>
      <c r="C68" t="s">
        <v>1313</v>
      </c>
      <c r="D68" t="s">
        <v>2085</v>
      </c>
      <c r="E68">
        <v>1</v>
      </c>
      <c r="G68">
        <v>10.4</v>
      </c>
      <c r="H68" t="s">
        <v>2086</v>
      </c>
      <c r="I68">
        <v>1</v>
      </c>
      <c r="J68" t="s">
        <v>1924</v>
      </c>
      <c r="K68">
        <v>0</v>
      </c>
      <c r="M68">
        <v>5</v>
      </c>
    </row>
    <row r="69" spans="1:13" x14ac:dyDescent="0.15">
      <c r="A69" t="s">
        <v>2087</v>
      </c>
      <c r="B69" t="s">
        <v>2087</v>
      </c>
      <c r="C69" t="s">
        <v>278</v>
      </c>
      <c r="D69" t="s">
        <v>2088</v>
      </c>
      <c r="E69">
        <v>1</v>
      </c>
      <c r="G69">
        <v>227.8</v>
      </c>
      <c r="H69" t="s">
        <v>2089</v>
      </c>
      <c r="I69">
        <v>1</v>
      </c>
      <c r="J69" t="s">
        <v>1924</v>
      </c>
      <c r="K69">
        <v>2</v>
      </c>
      <c r="M69">
        <v>6</v>
      </c>
    </row>
    <row r="70" spans="1:13" x14ac:dyDescent="0.15">
      <c r="A70" t="s">
        <v>2090</v>
      </c>
      <c r="B70" t="s">
        <v>2090</v>
      </c>
      <c r="C70" t="s">
        <v>280</v>
      </c>
      <c r="D70" t="s">
        <v>2091</v>
      </c>
      <c r="E70">
        <v>1</v>
      </c>
      <c r="G70">
        <v>419.7</v>
      </c>
      <c r="H70" t="s">
        <v>2092</v>
      </c>
      <c r="I70">
        <v>1</v>
      </c>
      <c r="J70" t="s">
        <v>1924</v>
      </c>
      <c r="K70">
        <v>2</v>
      </c>
      <c r="M70">
        <v>6</v>
      </c>
    </row>
    <row r="71" spans="1:13" x14ac:dyDescent="0.15">
      <c r="A71" t="s">
        <v>2093</v>
      </c>
      <c r="B71" t="s">
        <v>2093</v>
      </c>
      <c r="C71" t="s">
        <v>1314</v>
      </c>
      <c r="D71" t="s">
        <v>2094</v>
      </c>
      <c r="E71">
        <v>2</v>
      </c>
      <c r="G71">
        <v>398.8</v>
      </c>
      <c r="H71" t="s">
        <v>2095</v>
      </c>
      <c r="I71">
        <v>1</v>
      </c>
      <c r="J71" t="s">
        <v>1924</v>
      </c>
      <c r="K71">
        <v>2</v>
      </c>
      <c r="M71">
        <v>3</v>
      </c>
    </row>
    <row r="72" spans="1:13" x14ac:dyDescent="0.15">
      <c r="A72" t="s">
        <v>2096</v>
      </c>
      <c r="B72" t="s">
        <v>2096</v>
      </c>
      <c r="C72" t="s">
        <v>1315</v>
      </c>
      <c r="D72" t="s">
        <v>2097</v>
      </c>
      <c r="E72">
        <v>1</v>
      </c>
      <c r="G72">
        <v>3.3</v>
      </c>
      <c r="H72" t="s">
        <v>2098</v>
      </c>
      <c r="I72">
        <v>17</v>
      </c>
      <c r="J72" t="s">
        <v>2099</v>
      </c>
      <c r="K72">
        <v>0</v>
      </c>
      <c r="M72">
        <v>3</v>
      </c>
    </row>
    <row r="73" spans="1:13" x14ac:dyDescent="0.15">
      <c r="A73" t="s">
        <v>2100</v>
      </c>
      <c r="B73" t="s">
        <v>2100</v>
      </c>
      <c r="C73" t="s">
        <v>1316</v>
      </c>
      <c r="E73">
        <v>1</v>
      </c>
      <c r="G73">
        <v>10.4</v>
      </c>
      <c r="H73" t="s">
        <v>2101</v>
      </c>
      <c r="I73">
        <v>1</v>
      </c>
      <c r="J73" t="s">
        <v>1924</v>
      </c>
      <c r="K73">
        <v>2</v>
      </c>
      <c r="M73">
        <v>3</v>
      </c>
    </row>
    <row r="74" spans="1:13" x14ac:dyDescent="0.15">
      <c r="A74" t="s">
        <v>2102</v>
      </c>
      <c r="B74" t="s">
        <v>2102</v>
      </c>
      <c r="C74" t="s">
        <v>1317</v>
      </c>
      <c r="E74">
        <v>1</v>
      </c>
      <c r="G74">
        <v>3.3</v>
      </c>
      <c r="H74" t="s">
        <v>2103</v>
      </c>
      <c r="I74">
        <v>15</v>
      </c>
      <c r="J74" t="s">
        <v>1915</v>
      </c>
      <c r="K74">
        <v>0</v>
      </c>
      <c r="M74">
        <v>1</v>
      </c>
    </row>
    <row r="75" spans="1:13" x14ac:dyDescent="0.15">
      <c r="A75" t="s">
        <v>2104</v>
      </c>
      <c r="B75" t="s">
        <v>2104</v>
      </c>
      <c r="C75" t="s">
        <v>1318</v>
      </c>
      <c r="D75" t="s">
        <v>2105</v>
      </c>
      <c r="E75">
        <v>2</v>
      </c>
      <c r="G75">
        <v>1182</v>
      </c>
      <c r="H75" t="s">
        <v>2106</v>
      </c>
      <c r="I75">
        <v>25</v>
      </c>
      <c r="J75" t="s">
        <v>1911</v>
      </c>
      <c r="K75">
        <v>0</v>
      </c>
      <c r="M75">
        <v>8</v>
      </c>
    </row>
    <row r="76" spans="1:13" x14ac:dyDescent="0.15">
      <c r="A76" t="s">
        <v>2107</v>
      </c>
      <c r="B76" t="s">
        <v>2107</v>
      </c>
      <c r="C76" t="s">
        <v>1319</v>
      </c>
      <c r="D76" t="s">
        <v>2108</v>
      </c>
      <c r="E76">
        <v>1</v>
      </c>
      <c r="G76">
        <v>10.4</v>
      </c>
      <c r="H76" t="s">
        <v>2109</v>
      </c>
      <c r="I76">
        <v>1</v>
      </c>
      <c r="J76" t="s">
        <v>1924</v>
      </c>
      <c r="K76">
        <v>0</v>
      </c>
      <c r="M76">
        <v>5</v>
      </c>
    </row>
    <row r="77" spans="1:13" x14ac:dyDescent="0.15">
      <c r="A77" t="s">
        <v>2110</v>
      </c>
      <c r="B77" t="s">
        <v>2110</v>
      </c>
      <c r="C77" t="s">
        <v>1320</v>
      </c>
      <c r="D77" t="s">
        <v>2111</v>
      </c>
      <c r="E77">
        <v>2</v>
      </c>
      <c r="G77">
        <v>170.3</v>
      </c>
      <c r="H77" t="s">
        <v>2112</v>
      </c>
      <c r="I77">
        <v>21</v>
      </c>
      <c r="J77" t="s">
        <v>1954</v>
      </c>
      <c r="K77">
        <v>0</v>
      </c>
      <c r="M77">
        <v>15</v>
      </c>
    </row>
    <row r="78" spans="1:13" x14ac:dyDescent="0.15">
      <c r="A78" t="s">
        <v>2113</v>
      </c>
      <c r="B78" t="s">
        <v>2113</v>
      </c>
      <c r="C78" t="s">
        <v>1321</v>
      </c>
      <c r="D78" t="s">
        <v>2114</v>
      </c>
      <c r="E78">
        <v>1</v>
      </c>
      <c r="G78">
        <v>51.9</v>
      </c>
      <c r="H78" t="s">
        <v>2115</v>
      </c>
      <c r="I78">
        <v>1</v>
      </c>
      <c r="J78" t="s">
        <v>1924</v>
      </c>
      <c r="K78">
        <v>2</v>
      </c>
      <c r="M78">
        <v>6</v>
      </c>
    </row>
    <row r="79" spans="1:13" x14ac:dyDescent="0.15">
      <c r="A79" t="s">
        <v>2116</v>
      </c>
      <c r="B79" t="s">
        <v>2116</v>
      </c>
      <c r="C79" t="s">
        <v>1322</v>
      </c>
      <c r="D79" t="s">
        <v>2117</v>
      </c>
      <c r="E79">
        <v>1</v>
      </c>
      <c r="G79">
        <v>7.7</v>
      </c>
      <c r="H79" t="s">
        <v>2118</v>
      </c>
      <c r="I79">
        <v>1</v>
      </c>
      <c r="J79" t="s">
        <v>1924</v>
      </c>
      <c r="K79">
        <v>0</v>
      </c>
      <c r="M79">
        <v>5</v>
      </c>
    </row>
    <row r="80" spans="1:13" x14ac:dyDescent="0.15">
      <c r="A80" t="s">
        <v>2119</v>
      </c>
      <c r="B80" t="s">
        <v>2119</v>
      </c>
      <c r="C80" t="s">
        <v>1323</v>
      </c>
      <c r="D80" t="s">
        <v>2120</v>
      </c>
      <c r="E80">
        <v>1</v>
      </c>
      <c r="G80">
        <v>5.9</v>
      </c>
      <c r="H80" t="s">
        <v>2121</v>
      </c>
      <c r="I80">
        <v>8</v>
      </c>
      <c r="J80" t="s">
        <v>2122</v>
      </c>
      <c r="K80">
        <v>0</v>
      </c>
      <c r="M80">
        <v>3</v>
      </c>
    </row>
    <row r="81" spans="1:13" x14ac:dyDescent="0.15">
      <c r="A81" t="s">
        <v>2123</v>
      </c>
      <c r="B81" t="s">
        <v>2123</v>
      </c>
      <c r="C81" t="s">
        <v>1324</v>
      </c>
      <c r="E81">
        <v>2</v>
      </c>
      <c r="G81">
        <v>30.7</v>
      </c>
      <c r="H81" t="s">
        <v>2124</v>
      </c>
      <c r="I81">
        <v>1</v>
      </c>
      <c r="J81" t="s">
        <v>1924</v>
      </c>
      <c r="K81">
        <v>0</v>
      </c>
      <c r="M81">
        <v>3</v>
      </c>
    </row>
    <row r="82" spans="1:13" x14ac:dyDescent="0.15">
      <c r="A82" t="s">
        <v>2125</v>
      </c>
      <c r="B82" t="s">
        <v>2125</v>
      </c>
      <c r="C82" t="s">
        <v>1325</v>
      </c>
      <c r="E82">
        <v>1</v>
      </c>
      <c r="G82">
        <v>37.799999999999997</v>
      </c>
      <c r="H82" t="s">
        <v>2126</v>
      </c>
      <c r="I82">
        <v>2</v>
      </c>
      <c r="J82" t="s">
        <v>835</v>
      </c>
      <c r="K82">
        <v>0</v>
      </c>
      <c r="M82">
        <v>5</v>
      </c>
    </row>
    <row r="83" spans="1:13" x14ac:dyDescent="0.15">
      <c r="A83" t="s">
        <v>2127</v>
      </c>
      <c r="B83" t="s">
        <v>2127</v>
      </c>
      <c r="C83" t="s">
        <v>1326</v>
      </c>
      <c r="D83" t="s">
        <v>2128</v>
      </c>
      <c r="E83">
        <v>1</v>
      </c>
      <c r="G83">
        <v>6.6</v>
      </c>
      <c r="H83" t="s">
        <v>2129</v>
      </c>
      <c r="I83">
        <v>1</v>
      </c>
      <c r="J83" t="s">
        <v>1924</v>
      </c>
      <c r="K83">
        <v>0</v>
      </c>
      <c r="M83">
        <v>5</v>
      </c>
    </row>
    <row r="84" spans="1:13" x14ac:dyDescent="0.15">
      <c r="A84" t="s">
        <v>2130</v>
      </c>
      <c r="B84" t="s">
        <v>2130</v>
      </c>
      <c r="C84" t="s">
        <v>1327</v>
      </c>
      <c r="D84" t="s">
        <v>2131</v>
      </c>
      <c r="E84">
        <v>1</v>
      </c>
      <c r="G84">
        <v>10.1</v>
      </c>
      <c r="H84" t="s">
        <v>2132</v>
      </c>
      <c r="I84">
        <v>1</v>
      </c>
      <c r="J84" t="s">
        <v>1924</v>
      </c>
      <c r="K84">
        <v>0</v>
      </c>
      <c r="M84">
        <v>5</v>
      </c>
    </row>
    <row r="85" spans="1:13" x14ac:dyDescent="0.15">
      <c r="A85" t="s">
        <v>2133</v>
      </c>
      <c r="B85" t="s">
        <v>2133</v>
      </c>
      <c r="C85" t="s">
        <v>1328</v>
      </c>
      <c r="E85">
        <v>1</v>
      </c>
      <c r="G85">
        <v>10.4</v>
      </c>
      <c r="H85" t="s">
        <v>2134</v>
      </c>
      <c r="I85">
        <v>1</v>
      </c>
      <c r="J85" t="s">
        <v>1924</v>
      </c>
      <c r="K85">
        <v>0</v>
      </c>
      <c r="M85">
        <v>5</v>
      </c>
    </row>
    <row r="86" spans="1:13" x14ac:dyDescent="0.15">
      <c r="A86" t="s">
        <v>2135</v>
      </c>
      <c r="B86" t="s">
        <v>2135</v>
      </c>
      <c r="C86" t="s">
        <v>1329</v>
      </c>
      <c r="E86">
        <v>1</v>
      </c>
      <c r="G86">
        <v>17.399999999999999</v>
      </c>
      <c r="H86" t="s">
        <v>2136</v>
      </c>
      <c r="I86">
        <v>1</v>
      </c>
      <c r="J86" t="s">
        <v>1924</v>
      </c>
      <c r="K86">
        <v>0</v>
      </c>
      <c r="M86">
        <v>1</v>
      </c>
    </row>
    <row r="87" spans="1:13" x14ac:dyDescent="0.15">
      <c r="A87" t="s">
        <v>2137</v>
      </c>
      <c r="B87" t="s">
        <v>2137</v>
      </c>
      <c r="C87" t="s">
        <v>1330</v>
      </c>
      <c r="D87" t="s">
        <v>2138</v>
      </c>
      <c r="E87">
        <v>1</v>
      </c>
      <c r="G87">
        <v>51.4</v>
      </c>
      <c r="H87" t="s">
        <v>2139</v>
      </c>
      <c r="I87">
        <v>1</v>
      </c>
      <c r="J87" t="s">
        <v>1924</v>
      </c>
      <c r="K87">
        <v>0</v>
      </c>
      <c r="M87">
        <v>5</v>
      </c>
    </row>
    <row r="88" spans="1:13" x14ac:dyDescent="0.15">
      <c r="A88" t="s">
        <v>2140</v>
      </c>
      <c r="B88" t="s">
        <v>2140</v>
      </c>
      <c r="C88" t="s">
        <v>1331</v>
      </c>
      <c r="D88" t="s">
        <v>2141</v>
      </c>
      <c r="E88">
        <v>1</v>
      </c>
      <c r="G88">
        <v>18.2</v>
      </c>
      <c r="H88" t="s">
        <v>2142</v>
      </c>
      <c r="I88">
        <v>1</v>
      </c>
      <c r="J88" t="s">
        <v>1924</v>
      </c>
      <c r="K88">
        <v>0</v>
      </c>
      <c r="M88">
        <v>5</v>
      </c>
    </row>
    <row r="89" spans="1:13" x14ac:dyDescent="0.15">
      <c r="A89" t="s">
        <v>2143</v>
      </c>
      <c r="B89" t="s">
        <v>2143</v>
      </c>
      <c r="C89" t="s">
        <v>1332</v>
      </c>
      <c r="D89" t="s">
        <v>2144</v>
      </c>
      <c r="E89">
        <v>1</v>
      </c>
      <c r="G89">
        <v>34376</v>
      </c>
      <c r="H89" t="s">
        <v>2145</v>
      </c>
      <c r="I89">
        <v>25</v>
      </c>
      <c r="J89" t="s">
        <v>1911</v>
      </c>
      <c r="K89">
        <v>2</v>
      </c>
      <c r="M89">
        <v>9</v>
      </c>
    </row>
    <row r="90" spans="1:13" x14ac:dyDescent="0.15">
      <c r="A90" t="s">
        <v>2146</v>
      </c>
      <c r="B90" t="s">
        <v>2146</v>
      </c>
      <c r="C90" t="s">
        <v>1333</v>
      </c>
      <c r="D90" t="s">
        <v>2147</v>
      </c>
      <c r="E90">
        <v>1</v>
      </c>
      <c r="G90">
        <v>41300</v>
      </c>
      <c r="H90" t="s">
        <v>2148</v>
      </c>
      <c r="I90">
        <v>25</v>
      </c>
      <c r="J90" t="s">
        <v>1911</v>
      </c>
      <c r="K90">
        <v>2</v>
      </c>
      <c r="M90">
        <v>9</v>
      </c>
    </row>
    <row r="91" spans="1:13" x14ac:dyDescent="0.15">
      <c r="A91" t="s">
        <v>2149</v>
      </c>
      <c r="B91" t="s">
        <v>2149</v>
      </c>
      <c r="C91" t="s">
        <v>1334</v>
      </c>
      <c r="E91">
        <v>1</v>
      </c>
      <c r="G91">
        <v>33</v>
      </c>
      <c r="H91" t="s">
        <v>2150</v>
      </c>
      <c r="I91">
        <v>7</v>
      </c>
      <c r="J91" t="s">
        <v>2151</v>
      </c>
      <c r="K91">
        <v>2</v>
      </c>
      <c r="M91">
        <v>1</v>
      </c>
    </row>
    <row r="92" spans="1:13" x14ac:dyDescent="0.15">
      <c r="A92" t="s">
        <v>2152</v>
      </c>
      <c r="B92" t="s">
        <v>2152</v>
      </c>
      <c r="C92" t="s">
        <v>1335</v>
      </c>
      <c r="E92">
        <v>1</v>
      </c>
      <c r="G92">
        <v>0</v>
      </c>
      <c r="H92" t="s">
        <v>1335</v>
      </c>
      <c r="I92">
        <v>7</v>
      </c>
      <c r="J92" t="s">
        <v>2151</v>
      </c>
      <c r="K92">
        <v>2</v>
      </c>
      <c r="M92">
        <v>1</v>
      </c>
    </row>
    <row r="93" spans="1:13" x14ac:dyDescent="0.15">
      <c r="A93" t="s">
        <v>2153</v>
      </c>
      <c r="B93" t="s">
        <v>2153</v>
      </c>
      <c r="C93" t="s">
        <v>1336</v>
      </c>
      <c r="D93" t="s">
        <v>2154</v>
      </c>
      <c r="E93">
        <v>2</v>
      </c>
      <c r="G93">
        <v>178</v>
      </c>
      <c r="H93" t="s">
        <v>2155</v>
      </c>
      <c r="I93">
        <v>1</v>
      </c>
      <c r="J93" t="s">
        <v>1924</v>
      </c>
      <c r="K93">
        <v>0</v>
      </c>
      <c r="M93">
        <v>15</v>
      </c>
    </row>
    <row r="94" spans="1:13" x14ac:dyDescent="0.15">
      <c r="A94" t="s">
        <v>2156</v>
      </c>
      <c r="B94" t="s">
        <v>2156</v>
      </c>
      <c r="C94" t="s">
        <v>1337</v>
      </c>
      <c r="E94">
        <v>2</v>
      </c>
      <c r="G94">
        <v>676.3</v>
      </c>
      <c r="H94" t="s">
        <v>2157</v>
      </c>
      <c r="I94">
        <v>17</v>
      </c>
      <c r="J94" t="s">
        <v>2099</v>
      </c>
      <c r="K94">
        <v>0</v>
      </c>
      <c r="M94">
        <v>3</v>
      </c>
    </row>
    <row r="95" spans="1:13" x14ac:dyDescent="0.15">
      <c r="A95" t="s">
        <v>2158</v>
      </c>
      <c r="B95" t="s">
        <v>2158</v>
      </c>
      <c r="C95" t="s">
        <v>1338</v>
      </c>
      <c r="D95" t="s">
        <v>2159</v>
      </c>
      <c r="E95">
        <v>1</v>
      </c>
      <c r="G95">
        <v>15.8</v>
      </c>
      <c r="H95" t="s">
        <v>2160</v>
      </c>
      <c r="I95">
        <v>2</v>
      </c>
      <c r="J95" t="s">
        <v>835</v>
      </c>
      <c r="K95">
        <v>0</v>
      </c>
      <c r="M95">
        <v>5</v>
      </c>
    </row>
    <row r="96" spans="1:13" x14ac:dyDescent="0.15">
      <c r="A96" t="s">
        <v>2161</v>
      </c>
      <c r="B96" t="s">
        <v>2161</v>
      </c>
      <c r="C96" t="s">
        <v>1340</v>
      </c>
      <c r="D96" t="s">
        <v>2162</v>
      </c>
      <c r="E96">
        <v>1</v>
      </c>
      <c r="G96">
        <v>61</v>
      </c>
      <c r="H96" t="s">
        <v>2163</v>
      </c>
      <c r="I96">
        <v>25</v>
      </c>
      <c r="J96" t="s">
        <v>1911</v>
      </c>
      <c r="K96">
        <v>2</v>
      </c>
      <c r="M96">
        <v>9</v>
      </c>
    </row>
    <row r="97" spans="1:13" x14ac:dyDescent="0.15">
      <c r="A97" t="s">
        <v>2164</v>
      </c>
      <c r="B97" t="s">
        <v>2164</v>
      </c>
      <c r="C97" t="s">
        <v>1341</v>
      </c>
      <c r="D97" t="s">
        <v>2165</v>
      </c>
      <c r="E97">
        <v>2</v>
      </c>
      <c r="G97">
        <v>114.7</v>
      </c>
      <c r="H97" t="s">
        <v>2166</v>
      </c>
      <c r="I97">
        <v>1</v>
      </c>
      <c r="J97" t="s">
        <v>1924</v>
      </c>
      <c r="K97">
        <v>0</v>
      </c>
      <c r="M97">
        <v>3</v>
      </c>
    </row>
    <row r="98" spans="1:13" x14ac:dyDescent="0.15">
      <c r="A98" t="s">
        <v>2167</v>
      </c>
      <c r="B98" t="s">
        <v>2167</v>
      </c>
      <c r="C98" t="s">
        <v>1342</v>
      </c>
      <c r="E98">
        <v>2</v>
      </c>
      <c r="G98">
        <v>8.6999999999999993</v>
      </c>
      <c r="H98" t="s">
        <v>2168</v>
      </c>
      <c r="I98">
        <v>1</v>
      </c>
      <c r="J98" t="s">
        <v>1924</v>
      </c>
      <c r="K98">
        <v>0</v>
      </c>
      <c r="M98">
        <v>15</v>
      </c>
    </row>
    <row r="99" spans="1:13" x14ac:dyDescent="0.15">
      <c r="A99" t="s">
        <v>2169</v>
      </c>
      <c r="B99" t="s">
        <v>2169</v>
      </c>
      <c r="C99" t="s">
        <v>1343</v>
      </c>
      <c r="D99" t="s">
        <v>2170</v>
      </c>
      <c r="E99">
        <v>2</v>
      </c>
      <c r="G99">
        <v>160.30000000000001</v>
      </c>
      <c r="H99" t="s">
        <v>2171</v>
      </c>
      <c r="I99">
        <v>1</v>
      </c>
      <c r="J99" t="s">
        <v>1924</v>
      </c>
      <c r="K99">
        <v>0</v>
      </c>
      <c r="M99">
        <v>15</v>
      </c>
    </row>
    <row r="100" spans="1:13" x14ac:dyDescent="0.15">
      <c r="A100" t="s">
        <v>2172</v>
      </c>
      <c r="B100" t="s">
        <v>2172</v>
      </c>
      <c r="C100" t="s">
        <v>1178</v>
      </c>
      <c r="D100" t="s">
        <v>2173</v>
      </c>
      <c r="E100">
        <v>1</v>
      </c>
      <c r="G100">
        <v>0.78</v>
      </c>
      <c r="H100" t="s">
        <v>2174</v>
      </c>
      <c r="I100">
        <v>3</v>
      </c>
      <c r="J100" t="s">
        <v>1947</v>
      </c>
      <c r="K100">
        <v>0</v>
      </c>
      <c r="M100">
        <v>2</v>
      </c>
    </row>
    <row r="101" spans="1:13" x14ac:dyDescent="0.15">
      <c r="A101" t="s">
        <v>2175</v>
      </c>
      <c r="B101" t="s">
        <v>2175</v>
      </c>
      <c r="C101" t="s">
        <v>1179</v>
      </c>
      <c r="D101" t="s">
        <v>2176</v>
      </c>
      <c r="E101">
        <v>1</v>
      </c>
      <c r="G101">
        <v>0.77</v>
      </c>
      <c r="H101" t="s">
        <v>2177</v>
      </c>
      <c r="I101">
        <v>3</v>
      </c>
      <c r="J101" t="s">
        <v>1947</v>
      </c>
      <c r="K101">
        <v>0</v>
      </c>
      <c r="M101">
        <v>2</v>
      </c>
    </row>
    <row r="102" spans="1:13" x14ac:dyDescent="0.15">
      <c r="A102" t="s">
        <v>2178</v>
      </c>
      <c r="B102" t="s">
        <v>2178</v>
      </c>
      <c r="C102" t="s">
        <v>1344</v>
      </c>
      <c r="D102" t="s">
        <v>2179</v>
      </c>
      <c r="E102">
        <v>1</v>
      </c>
      <c r="G102">
        <v>100</v>
      </c>
      <c r="H102" t="s">
        <v>2180</v>
      </c>
      <c r="I102">
        <v>25</v>
      </c>
      <c r="J102" t="s">
        <v>1911</v>
      </c>
      <c r="K102">
        <v>0</v>
      </c>
      <c r="M102">
        <v>15</v>
      </c>
    </row>
    <row r="103" spans="1:13" x14ac:dyDescent="0.15">
      <c r="A103" t="s">
        <v>2181</v>
      </c>
      <c r="B103" t="s">
        <v>2181</v>
      </c>
      <c r="C103" t="s">
        <v>1347</v>
      </c>
      <c r="D103" t="s">
        <v>2182</v>
      </c>
      <c r="E103">
        <v>2</v>
      </c>
      <c r="G103">
        <v>106.9</v>
      </c>
      <c r="H103" t="s">
        <v>2183</v>
      </c>
      <c r="I103">
        <v>1</v>
      </c>
      <c r="J103" t="s">
        <v>1924</v>
      </c>
      <c r="K103">
        <v>0</v>
      </c>
      <c r="M103">
        <v>3</v>
      </c>
    </row>
    <row r="104" spans="1:13" x14ac:dyDescent="0.15">
      <c r="A104" t="s">
        <v>2184</v>
      </c>
      <c r="B104" t="s">
        <v>2184</v>
      </c>
      <c r="C104" t="s">
        <v>1348</v>
      </c>
      <c r="D104" t="s">
        <v>2185</v>
      </c>
      <c r="E104">
        <v>1</v>
      </c>
      <c r="G104">
        <v>5.81</v>
      </c>
      <c r="H104" t="s">
        <v>2186</v>
      </c>
      <c r="I104">
        <v>15</v>
      </c>
      <c r="J104" t="s">
        <v>1915</v>
      </c>
      <c r="K104">
        <v>0</v>
      </c>
      <c r="M104">
        <v>3</v>
      </c>
    </row>
    <row r="105" spans="1:13" x14ac:dyDescent="0.15">
      <c r="A105" t="s">
        <v>2187</v>
      </c>
      <c r="B105" t="s">
        <v>2187</v>
      </c>
      <c r="C105" t="s">
        <v>1349</v>
      </c>
      <c r="D105" t="s">
        <v>2188</v>
      </c>
      <c r="E105">
        <v>1</v>
      </c>
      <c r="G105">
        <v>50.2</v>
      </c>
      <c r="H105" t="s">
        <v>2189</v>
      </c>
      <c r="I105">
        <v>14</v>
      </c>
      <c r="J105" t="s">
        <v>1907</v>
      </c>
      <c r="K105">
        <v>2</v>
      </c>
      <c r="M105">
        <v>3</v>
      </c>
    </row>
    <row r="106" spans="1:13" x14ac:dyDescent="0.15">
      <c r="A106" t="s">
        <v>2190</v>
      </c>
      <c r="B106" t="s">
        <v>2190</v>
      </c>
      <c r="C106" t="s">
        <v>1350</v>
      </c>
      <c r="D106" t="s">
        <v>2191</v>
      </c>
      <c r="E106">
        <v>2</v>
      </c>
      <c r="G106">
        <v>45.7</v>
      </c>
      <c r="H106" t="s">
        <v>2192</v>
      </c>
      <c r="I106">
        <v>1</v>
      </c>
      <c r="J106" t="s">
        <v>1924</v>
      </c>
      <c r="K106">
        <v>0</v>
      </c>
      <c r="M106">
        <v>15</v>
      </c>
    </row>
    <row r="107" spans="1:13" x14ac:dyDescent="0.15">
      <c r="A107" t="s">
        <v>2193</v>
      </c>
      <c r="B107" t="s">
        <v>2193</v>
      </c>
      <c r="C107" t="s">
        <v>1351</v>
      </c>
      <c r="D107" t="s">
        <v>2194</v>
      </c>
      <c r="E107">
        <v>1</v>
      </c>
      <c r="G107">
        <v>111.6</v>
      </c>
      <c r="H107" t="s">
        <v>2195</v>
      </c>
      <c r="I107">
        <v>2</v>
      </c>
      <c r="J107" t="s">
        <v>835</v>
      </c>
      <c r="K107">
        <v>0</v>
      </c>
      <c r="M107">
        <v>6</v>
      </c>
    </row>
    <row r="108" spans="1:13" x14ac:dyDescent="0.15">
      <c r="A108" t="s">
        <v>2196</v>
      </c>
      <c r="B108" t="s">
        <v>2196</v>
      </c>
      <c r="C108" t="s">
        <v>1352</v>
      </c>
      <c r="D108" t="s">
        <v>2197</v>
      </c>
      <c r="E108">
        <v>2</v>
      </c>
      <c r="G108">
        <v>989.6</v>
      </c>
      <c r="H108" t="s">
        <v>2198</v>
      </c>
      <c r="I108">
        <v>1</v>
      </c>
      <c r="J108" t="s">
        <v>1924</v>
      </c>
      <c r="K108">
        <v>2</v>
      </c>
      <c r="M108">
        <v>15</v>
      </c>
    </row>
    <row r="109" spans="1:13" x14ac:dyDescent="0.15">
      <c r="A109" t="s">
        <v>2199</v>
      </c>
      <c r="B109" t="s">
        <v>2199</v>
      </c>
      <c r="C109" t="s">
        <v>1353</v>
      </c>
      <c r="D109" t="s">
        <v>2200</v>
      </c>
      <c r="E109">
        <v>1</v>
      </c>
      <c r="G109">
        <v>107.4</v>
      </c>
      <c r="H109" t="s">
        <v>2201</v>
      </c>
      <c r="I109">
        <v>21</v>
      </c>
      <c r="J109" t="s">
        <v>1954</v>
      </c>
      <c r="K109">
        <v>0</v>
      </c>
      <c r="M109">
        <v>3</v>
      </c>
    </row>
    <row r="110" spans="1:13" x14ac:dyDescent="0.15">
      <c r="A110" t="s">
        <v>2202</v>
      </c>
      <c r="B110" t="s">
        <v>2202</v>
      </c>
      <c r="C110" t="s">
        <v>1354</v>
      </c>
      <c r="E110">
        <v>1</v>
      </c>
      <c r="G110">
        <v>17</v>
      </c>
      <c r="H110" t="s">
        <v>2203</v>
      </c>
      <c r="I110">
        <v>1</v>
      </c>
      <c r="J110" t="s">
        <v>1924</v>
      </c>
      <c r="K110">
        <v>2</v>
      </c>
      <c r="M110">
        <v>6</v>
      </c>
    </row>
    <row r="111" spans="1:13" x14ac:dyDescent="0.15">
      <c r="A111" t="s">
        <v>2204</v>
      </c>
      <c r="B111" t="s">
        <v>2204</v>
      </c>
      <c r="C111" t="s">
        <v>1355</v>
      </c>
      <c r="E111">
        <v>1</v>
      </c>
      <c r="G111">
        <v>30.7</v>
      </c>
      <c r="H111" t="s">
        <v>2205</v>
      </c>
      <c r="I111">
        <v>1</v>
      </c>
      <c r="J111" t="s">
        <v>1924</v>
      </c>
      <c r="K111">
        <v>2</v>
      </c>
      <c r="M111">
        <v>6</v>
      </c>
    </row>
    <row r="112" spans="1:13" x14ac:dyDescent="0.15">
      <c r="A112" t="s">
        <v>2206</v>
      </c>
      <c r="B112" t="s">
        <v>2206</v>
      </c>
      <c r="C112" t="s">
        <v>1356</v>
      </c>
      <c r="E112">
        <v>1</v>
      </c>
      <c r="G112">
        <v>38.6</v>
      </c>
      <c r="H112" t="s">
        <v>2207</v>
      </c>
      <c r="I112">
        <v>4</v>
      </c>
      <c r="J112" t="s">
        <v>2208</v>
      </c>
      <c r="K112">
        <v>2</v>
      </c>
      <c r="M112">
        <v>2</v>
      </c>
    </row>
    <row r="113" spans="1:13" x14ac:dyDescent="0.15">
      <c r="A113" t="s">
        <v>2209</v>
      </c>
      <c r="B113" t="s">
        <v>2209</v>
      </c>
      <c r="C113" t="s">
        <v>1357</v>
      </c>
      <c r="E113">
        <v>1</v>
      </c>
      <c r="G113">
        <v>8.1999999999999993</v>
      </c>
      <c r="H113" t="s">
        <v>2210</v>
      </c>
      <c r="I113">
        <v>1</v>
      </c>
      <c r="J113" t="s">
        <v>1924</v>
      </c>
      <c r="K113">
        <v>2</v>
      </c>
      <c r="M113">
        <v>1</v>
      </c>
    </row>
    <row r="114" spans="1:13" x14ac:dyDescent="0.15">
      <c r="A114" t="s">
        <v>2211</v>
      </c>
      <c r="B114" t="s">
        <v>2211</v>
      </c>
      <c r="C114" t="s">
        <v>1358</v>
      </c>
      <c r="D114" t="s">
        <v>2212</v>
      </c>
      <c r="E114">
        <v>2</v>
      </c>
      <c r="G114">
        <v>17.5</v>
      </c>
      <c r="H114" t="s">
        <v>2213</v>
      </c>
      <c r="I114">
        <v>1</v>
      </c>
      <c r="J114" t="s">
        <v>1924</v>
      </c>
      <c r="K114">
        <v>0</v>
      </c>
      <c r="M114">
        <v>3</v>
      </c>
    </row>
    <row r="115" spans="1:13" x14ac:dyDescent="0.15">
      <c r="A115" t="s">
        <v>2214</v>
      </c>
      <c r="B115" t="s">
        <v>2214</v>
      </c>
      <c r="C115" t="s">
        <v>1359</v>
      </c>
      <c r="E115">
        <v>1</v>
      </c>
      <c r="G115">
        <v>10.4</v>
      </c>
      <c r="H115" t="s">
        <v>2215</v>
      </c>
      <c r="I115">
        <v>1</v>
      </c>
      <c r="J115" t="s">
        <v>1924</v>
      </c>
      <c r="K115">
        <v>0</v>
      </c>
      <c r="M115">
        <v>5</v>
      </c>
    </row>
    <row r="116" spans="1:13" x14ac:dyDescent="0.15">
      <c r="A116" t="s">
        <v>2216</v>
      </c>
      <c r="B116" t="s">
        <v>2216</v>
      </c>
      <c r="C116" t="s">
        <v>1360</v>
      </c>
      <c r="D116" t="s">
        <v>2217</v>
      </c>
      <c r="E116">
        <v>1</v>
      </c>
      <c r="G116">
        <v>0</v>
      </c>
      <c r="H116" t="s">
        <v>2218</v>
      </c>
      <c r="I116">
        <v>24</v>
      </c>
      <c r="J116" t="s">
        <v>2065</v>
      </c>
      <c r="K116">
        <v>0</v>
      </c>
      <c r="M116">
        <v>3</v>
      </c>
    </row>
    <row r="117" spans="1:13" x14ac:dyDescent="0.15">
      <c r="A117" t="s">
        <v>2219</v>
      </c>
      <c r="B117" t="s">
        <v>2219</v>
      </c>
      <c r="C117" t="s">
        <v>1361</v>
      </c>
      <c r="D117" t="s">
        <v>2220</v>
      </c>
      <c r="E117">
        <v>1</v>
      </c>
      <c r="G117">
        <v>0</v>
      </c>
      <c r="H117" t="s">
        <v>2221</v>
      </c>
      <c r="I117">
        <v>24</v>
      </c>
      <c r="J117" t="s">
        <v>2065</v>
      </c>
      <c r="K117">
        <v>0</v>
      </c>
      <c r="M117">
        <v>3</v>
      </c>
    </row>
    <row r="118" spans="1:13" x14ac:dyDescent="0.15">
      <c r="A118" t="s">
        <v>2222</v>
      </c>
      <c r="B118" t="s">
        <v>2222</v>
      </c>
      <c r="C118" t="s">
        <v>1362</v>
      </c>
      <c r="D118" t="s">
        <v>2223</v>
      </c>
      <c r="E118">
        <v>1</v>
      </c>
      <c r="G118">
        <v>10</v>
      </c>
      <c r="H118" t="s">
        <v>2224</v>
      </c>
      <c r="I118">
        <v>1</v>
      </c>
      <c r="J118" t="s">
        <v>1924</v>
      </c>
      <c r="K118">
        <v>0</v>
      </c>
      <c r="M118">
        <v>5</v>
      </c>
    </row>
    <row r="119" spans="1:13" x14ac:dyDescent="0.15">
      <c r="A119" t="s">
        <v>2225</v>
      </c>
      <c r="B119" t="s">
        <v>2225</v>
      </c>
      <c r="C119" t="s">
        <v>1363</v>
      </c>
      <c r="D119" t="s">
        <v>2226</v>
      </c>
      <c r="E119">
        <v>1</v>
      </c>
      <c r="G119">
        <v>18.399999999999999</v>
      </c>
      <c r="H119" t="s">
        <v>2227</v>
      </c>
      <c r="I119">
        <v>1</v>
      </c>
      <c r="J119" t="s">
        <v>1924</v>
      </c>
      <c r="K119">
        <v>2</v>
      </c>
      <c r="M119">
        <v>6</v>
      </c>
    </row>
    <row r="120" spans="1:13" x14ac:dyDescent="0.15">
      <c r="A120" t="s">
        <v>2228</v>
      </c>
      <c r="B120" t="s">
        <v>2228</v>
      </c>
      <c r="C120" t="s">
        <v>1364</v>
      </c>
      <c r="D120" t="s">
        <v>2229</v>
      </c>
      <c r="E120">
        <v>1</v>
      </c>
      <c r="G120">
        <v>27.6</v>
      </c>
      <c r="H120" t="s">
        <v>2230</v>
      </c>
      <c r="I120">
        <v>1</v>
      </c>
      <c r="J120" t="s">
        <v>1924</v>
      </c>
      <c r="K120">
        <v>2</v>
      </c>
      <c r="M120">
        <v>6</v>
      </c>
    </row>
    <row r="121" spans="1:13" x14ac:dyDescent="0.15">
      <c r="A121" t="s">
        <v>2231</v>
      </c>
      <c r="B121" t="s">
        <v>2231</v>
      </c>
      <c r="C121" t="s">
        <v>1365</v>
      </c>
      <c r="E121">
        <v>2</v>
      </c>
      <c r="G121">
        <v>9.6</v>
      </c>
      <c r="H121" t="s">
        <v>2232</v>
      </c>
      <c r="I121">
        <v>3</v>
      </c>
      <c r="J121" t="s">
        <v>1947</v>
      </c>
      <c r="K121">
        <v>0</v>
      </c>
      <c r="M121">
        <v>15</v>
      </c>
    </row>
    <row r="122" spans="1:13" x14ac:dyDescent="0.15">
      <c r="A122" t="s">
        <v>2233</v>
      </c>
      <c r="B122" t="s">
        <v>2233</v>
      </c>
      <c r="C122" t="s">
        <v>1366</v>
      </c>
      <c r="D122" t="s">
        <v>2234</v>
      </c>
      <c r="E122">
        <v>1</v>
      </c>
      <c r="G122">
        <v>5.9</v>
      </c>
      <c r="H122" t="s">
        <v>2235</v>
      </c>
      <c r="I122">
        <v>1</v>
      </c>
      <c r="J122" t="s">
        <v>1924</v>
      </c>
      <c r="K122">
        <v>0</v>
      </c>
      <c r="M122">
        <v>5</v>
      </c>
    </row>
    <row r="123" spans="1:13" x14ac:dyDescent="0.15">
      <c r="A123" t="s">
        <v>2236</v>
      </c>
      <c r="B123" t="s">
        <v>2236</v>
      </c>
      <c r="C123" t="s">
        <v>1367</v>
      </c>
      <c r="D123" t="s">
        <v>2237</v>
      </c>
      <c r="E123">
        <v>1</v>
      </c>
      <c r="G123">
        <v>10</v>
      </c>
      <c r="H123" t="s">
        <v>2238</v>
      </c>
      <c r="I123">
        <v>1</v>
      </c>
      <c r="J123" t="s">
        <v>1924</v>
      </c>
      <c r="K123">
        <v>0</v>
      </c>
      <c r="M123">
        <v>5</v>
      </c>
    </row>
    <row r="124" spans="1:13" x14ac:dyDescent="0.15">
      <c r="A124" t="s">
        <v>2239</v>
      </c>
      <c r="B124" t="s">
        <v>2239</v>
      </c>
      <c r="C124" t="s">
        <v>1368</v>
      </c>
      <c r="D124" t="s">
        <v>2240</v>
      </c>
      <c r="E124">
        <v>1</v>
      </c>
      <c r="G124">
        <v>22.2</v>
      </c>
      <c r="H124" t="s">
        <v>2241</v>
      </c>
      <c r="I124">
        <v>3</v>
      </c>
      <c r="J124" t="s">
        <v>1947</v>
      </c>
      <c r="K124">
        <v>0</v>
      </c>
      <c r="M124">
        <v>2</v>
      </c>
    </row>
    <row r="125" spans="1:13" x14ac:dyDescent="0.15">
      <c r="A125" t="s">
        <v>2242</v>
      </c>
      <c r="B125" t="s">
        <v>2242</v>
      </c>
      <c r="C125" t="s">
        <v>1369</v>
      </c>
      <c r="E125">
        <v>1</v>
      </c>
      <c r="G125">
        <v>10.4</v>
      </c>
      <c r="H125" t="s">
        <v>2243</v>
      </c>
      <c r="I125">
        <v>1</v>
      </c>
      <c r="J125" t="s">
        <v>1924</v>
      </c>
      <c r="K125">
        <v>0</v>
      </c>
      <c r="M125">
        <v>5</v>
      </c>
    </row>
    <row r="126" spans="1:13" x14ac:dyDescent="0.15">
      <c r="A126" t="s">
        <v>2244</v>
      </c>
      <c r="B126" t="s">
        <v>2244</v>
      </c>
      <c r="C126" t="s">
        <v>1370</v>
      </c>
      <c r="D126" t="s">
        <v>2245</v>
      </c>
      <c r="E126">
        <v>1</v>
      </c>
      <c r="G126">
        <v>10.4</v>
      </c>
      <c r="H126" t="s">
        <v>2246</v>
      </c>
      <c r="I126">
        <v>1</v>
      </c>
      <c r="J126" t="s">
        <v>1924</v>
      </c>
      <c r="K126">
        <v>0</v>
      </c>
      <c r="M126">
        <v>5</v>
      </c>
    </row>
    <row r="127" spans="1:13" x14ac:dyDescent="0.15">
      <c r="A127" t="s">
        <v>2247</v>
      </c>
      <c r="B127" t="s">
        <v>2247</v>
      </c>
      <c r="C127" t="s">
        <v>1371</v>
      </c>
      <c r="D127" t="s">
        <v>2248</v>
      </c>
      <c r="E127">
        <v>1</v>
      </c>
      <c r="G127">
        <v>12.2</v>
      </c>
      <c r="H127" t="s">
        <v>2249</v>
      </c>
      <c r="I127">
        <v>3</v>
      </c>
      <c r="J127" t="s">
        <v>1947</v>
      </c>
      <c r="K127">
        <v>2</v>
      </c>
      <c r="M127">
        <v>15</v>
      </c>
    </row>
    <row r="128" spans="1:13" x14ac:dyDescent="0.15">
      <c r="A128" t="s">
        <v>2250</v>
      </c>
      <c r="B128" t="s">
        <v>2250</v>
      </c>
      <c r="C128" t="s">
        <v>1372</v>
      </c>
      <c r="D128" t="s">
        <v>2251</v>
      </c>
      <c r="E128">
        <v>1</v>
      </c>
      <c r="G128">
        <v>6.7</v>
      </c>
      <c r="H128" t="s">
        <v>2252</v>
      </c>
      <c r="I128">
        <v>1</v>
      </c>
      <c r="J128" t="s">
        <v>1924</v>
      </c>
      <c r="K128">
        <v>0</v>
      </c>
      <c r="M128">
        <v>5</v>
      </c>
    </row>
    <row r="129" spans="1:13" x14ac:dyDescent="0.15">
      <c r="A129" t="s">
        <v>2253</v>
      </c>
      <c r="B129" t="s">
        <v>2253</v>
      </c>
      <c r="C129" t="s">
        <v>1373</v>
      </c>
      <c r="D129" t="s">
        <v>2254</v>
      </c>
      <c r="E129">
        <v>1</v>
      </c>
      <c r="G129">
        <v>31.4</v>
      </c>
      <c r="H129" t="s">
        <v>2255</v>
      </c>
      <c r="I129">
        <v>12</v>
      </c>
      <c r="J129" t="s">
        <v>2256</v>
      </c>
      <c r="K129">
        <v>0</v>
      </c>
      <c r="M129">
        <v>11</v>
      </c>
    </row>
    <row r="130" spans="1:13" x14ac:dyDescent="0.15">
      <c r="A130" t="s">
        <v>2257</v>
      </c>
      <c r="B130" t="s">
        <v>2257</v>
      </c>
      <c r="C130" t="s">
        <v>1374</v>
      </c>
      <c r="D130" t="s">
        <v>2258</v>
      </c>
      <c r="E130">
        <v>1</v>
      </c>
      <c r="G130">
        <v>210</v>
      </c>
      <c r="H130" t="s">
        <v>2259</v>
      </c>
      <c r="I130">
        <v>25</v>
      </c>
      <c r="J130" t="s">
        <v>1911</v>
      </c>
      <c r="K130">
        <v>2</v>
      </c>
      <c r="M130">
        <v>9</v>
      </c>
    </row>
    <row r="131" spans="1:13" x14ac:dyDescent="0.15">
      <c r="A131" t="s">
        <v>2260</v>
      </c>
      <c r="B131" t="s">
        <v>2260</v>
      </c>
      <c r="C131" t="s">
        <v>1375</v>
      </c>
      <c r="D131" t="s">
        <v>2261</v>
      </c>
      <c r="E131">
        <v>1</v>
      </c>
      <c r="G131">
        <v>27.7</v>
      </c>
      <c r="H131" t="s">
        <v>2262</v>
      </c>
      <c r="I131">
        <v>18</v>
      </c>
      <c r="J131" t="s">
        <v>2263</v>
      </c>
      <c r="K131">
        <v>2</v>
      </c>
      <c r="M131">
        <v>15</v>
      </c>
    </row>
    <row r="132" spans="1:13" x14ac:dyDescent="0.15">
      <c r="A132" t="s">
        <v>2264</v>
      </c>
      <c r="B132" t="s">
        <v>2264</v>
      </c>
      <c r="C132" t="s">
        <v>1376</v>
      </c>
      <c r="D132" t="s">
        <v>2265</v>
      </c>
      <c r="E132">
        <v>1</v>
      </c>
      <c r="G132">
        <v>1732.2</v>
      </c>
      <c r="H132" t="s">
        <v>2266</v>
      </c>
      <c r="I132">
        <v>10</v>
      </c>
      <c r="J132" t="s">
        <v>1976</v>
      </c>
      <c r="K132">
        <v>0</v>
      </c>
      <c r="M132">
        <v>3</v>
      </c>
    </row>
    <row r="133" spans="1:13" x14ac:dyDescent="0.15">
      <c r="A133" t="s">
        <v>2267</v>
      </c>
      <c r="B133" t="s">
        <v>2267</v>
      </c>
      <c r="C133" t="s">
        <v>1377</v>
      </c>
      <c r="D133" t="s">
        <v>2268</v>
      </c>
      <c r="E133">
        <v>1</v>
      </c>
      <c r="G133">
        <v>21.7</v>
      </c>
      <c r="H133" t="s">
        <v>2269</v>
      </c>
      <c r="I133">
        <v>1</v>
      </c>
      <c r="J133" t="s">
        <v>1924</v>
      </c>
      <c r="K133">
        <v>0</v>
      </c>
      <c r="M133">
        <v>1</v>
      </c>
    </row>
    <row r="134" spans="1:13" x14ac:dyDescent="0.15">
      <c r="A134" t="s">
        <v>2270</v>
      </c>
      <c r="B134" t="s">
        <v>2270</v>
      </c>
      <c r="C134" t="s">
        <v>1378</v>
      </c>
      <c r="D134" t="s">
        <v>2271</v>
      </c>
      <c r="E134">
        <v>1</v>
      </c>
      <c r="G134">
        <v>10.4</v>
      </c>
      <c r="H134" t="s">
        <v>2272</v>
      </c>
      <c r="I134">
        <v>1</v>
      </c>
      <c r="J134" t="s">
        <v>1924</v>
      </c>
      <c r="K134">
        <v>2</v>
      </c>
      <c r="M134">
        <v>6</v>
      </c>
    </row>
    <row r="135" spans="1:13" x14ac:dyDescent="0.15">
      <c r="A135" t="s">
        <v>2273</v>
      </c>
      <c r="B135" t="s">
        <v>2273</v>
      </c>
      <c r="C135" t="s">
        <v>1379</v>
      </c>
      <c r="D135" t="s">
        <v>2274</v>
      </c>
      <c r="E135">
        <v>1</v>
      </c>
      <c r="G135">
        <v>10.4</v>
      </c>
      <c r="H135" t="s">
        <v>2275</v>
      </c>
      <c r="I135">
        <v>1</v>
      </c>
      <c r="J135" t="s">
        <v>1924</v>
      </c>
      <c r="K135">
        <v>2</v>
      </c>
      <c r="M135">
        <v>6</v>
      </c>
    </row>
    <row r="136" spans="1:13" x14ac:dyDescent="0.15">
      <c r="A136" t="s">
        <v>2276</v>
      </c>
      <c r="B136" t="s">
        <v>2276</v>
      </c>
      <c r="C136" t="s">
        <v>1380</v>
      </c>
      <c r="D136" t="s">
        <v>2277</v>
      </c>
      <c r="E136">
        <v>1</v>
      </c>
      <c r="G136">
        <v>16.8</v>
      </c>
      <c r="H136" t="s">
        <v>2278</v>
      </c>
      <c r="I136">
        <v>1</v>
      </c>
      <c r="J136" t="s">
        <v>1924</v>
      </c>
      <c r="K136">
        <v>2</v>
      </c>
      <c r="M136">
        <v>6</v>
      </c>
    </row>
    <row r="137" spans="1:13" x14ac:dyDescent="0.15">
      <c r="A137" t="s">
        <v>2279</v>
      </c>
      <c r="B137" t="s">
        <v>2279</v>
      </c>
      <c r="C137" t="s">
        <v>1381</v>
      </c>
      <c r="D137" t="s">
        <v>2280</v>
      </c>
      <c r="E137">
        <v>1</v>
      </c>
      <c r="G137">
        <v>29.3</v>
      </c>
      <c r="H137" t="s">
        <v>2281</v>
      </c>
      <c r="I137">
        <v>1</v>
      </c>
      <c r="J137" t="s">
        <v>1924</v>
      </c>
      <c r="K137">
        <v>2</v>
      </c>
      <c r="M137">
        <v>6</v>
      </c>
    </row>
    <row r="138" spans="1:13" x14ac:dyDescent="0.15">
      <c r="A138" t="s">
        <v>2282</v>
      </c>
      <c r="B138" t="s">
        <v>2282</v>
      </c>
      <c r="C138" t="s">
        <v>1382</v>
      </c>
      <c r="D138" t="s">
        <v>2283</v>
      </c>
      <c r="E138">
        <v>1</v>
      </c>
      <c r="G138">
        <v>134.9</v>
      </c>
      <c r="H138" t="s">
        <v>2284</v>
      </c>
      <c r="I138">
        <v>3</v>
      </c>
      <c r="J138" t="s">
        <v>1947</v>
      </c>
      <c r="K138">
        <v>2</v>
      </c>
      <c r="M138">
        <v>2</v>
      </c>
    </row>
    <row r="139" spans="1:13" x14ac:dyDescent="0.15">
      <c r="A139" t="s">
        <v>2285</v>
      </c>
      <c r="B139" t="s">
        <v>2285</v>
      </c>
      <c r="C139" t="s">
        <v>1384</v>
      </c>
      <c r="E139">
        <v>1</v>
      </c>
      <c r="G139">
        <v>57.3</v>
      </c>
      <c r="H139" t="s">
        <v>2286</v>
      </c>
      <c r="I139">
        <v>1</v>
      </c>
      <c r="J139" t="s">
        <v>1924</v>
      </c>
      <c r="K139">
        <v>0</v>
      </c>
      <c r="M139">
        <v>1</v>
      </c>
    </row>
    <row r="140" spans="1:13" x14ac:dyDescent="0.15">
      <c r="A140" t="s">
        <v>2287</v>
      </c>
      <c r="B140" t="s">
        <v>2287</v>
      </c>
      <c r="C140" t="s">
        <v>1385</v>
      </c>
      <c r="D140" t="s">
        <v>2288</v>
      </c>
      <c r="E140">
        <v>1</v>
      </c>
      <c r="G140">
        <v>80.2</v>
      </c>
      <c r="H140" t="s">
        <v>2289</v>
      </c>
      <c r="I140">
        <v>1</v>
      </c>
      <c r="J140" t="s">
        <v>1924</v>
      </c>
      <c r="K140">
        <v>0</v>
      </c>
      <c r="M140">
        <v>5</v>
      </c>
    </row>
    <row r="141" spans="1:13" x14ac:dyDescent="0.15">
      <c r="A141" t="s">
        <v>2290</v>
      </c>
      <c r="B141" t="s">
        <v>2290</v>
      </c>
      <c r="C141" t="s">
        <v>404</v>
      </c>
      <c r="E141">
        <v>2</v>
      </c>
      <c r="G141">
        <v>505.4</v>
      </c>
      <c r="H141" t="s">
        <v>2291</v>
      </c>
      <c r="I141">
        <v>21</v>
      </c>
      <c r="J141" t="s">
        <v>1954</v>
      </c>
      <c r="K141">
        <v>0</v>
      </c>
      <c r="M141">
        <v>3</v>
      </c>
    </row>
    <row r="142" spans="1:13" x14ac:dyDescent="0.15">
      <c r="A142" t="s">
        <v>2292</v>
      </c>
      <c r="B142" t="s">
        <v>2292</v>
      </c>
      <c r="C142" t="s">
        <v>1386</v>
      </c>
      <c r="D142" t="s">
        <v>2293</v>
      </c>
      <c r="E142">
        <v>1</v>
      </c>
      <c r="G142">
        <v>85.2</v>
      </c>
      <c r="H142" t="s">
        <v>2294</v>
      </c>
      <c r="I142">
        <v>1</v>
      </c>
      <c r="J142" t="s">
        <v>1924</v>
      </c>
      <c r="K142">
        <v>0</v>
      </c>
      <c r="M142">
        <v>5</v>
      </c>
    </row>
    <row r="143" spans="1:13" x14ac:dyDescent="0.15">
      <c r="A143" t="s">
        <v>2295</v>
      </c>
      <c r="B143" t="s">
        <v>2295</v>
      </c>
      <c r="C143" t="s">
        <v>1387</v>
      </c>
      <c r="D143" t="s">
        <v>2296</v>
      </c>
      <c r="E143">
        <v>1</v>
      </c>
      <c r="G143">
        <v>10.199999999999999</v>
      </c>
      <c r="H143" t="s">
        <v>2297</v>
      </c>
      <c r="I143">
        <v>3</v>
      </c>
      <c r="J143" t="s">
        <v>1947</v>
      </c>
      <c r="K143">
        <v>0</v>
      </c>
      <c r="M143">
        <v>4</v>
      </c>
    </row>
    <row r="144" spans="1:13" x14ac:dyDescent="0.15">
      <c r="A144" t="s">
        <v>2298</v>
      </c>
      <c r="B144" t="s">
        <v>2298</v>
      </c>
      <c r="C144" t="s">
        <v>1388</v>
      </c>
      <c r="D144" t="s">
        <v>2299</v>
      </c>
      <c r="E144">
        <v>2</v>
      </c>
      <c r="G144">
        <v>13.3</v>
      </c>
      <c r="H144" t="s">
        <v>2300</v>
      </c>
      <c r="I144">
        <v>3</v>
      </c>
      <c r="J144" t="s">
        <v>1947</v>
      </c>
      <c r="K144">
        <v>0</v>
      </c>
      <c r="M144">
        <v>4</v>
      </c>
    </row>
    <row r="145" spans="1:13" x14ac:dyDescent="0.15">
      <c r="A145" t="s">
        <v>2301</v>
      </c>
      <c r="B145" t="s">
        <v>2301</v>
      </c>
      <c r="C145" t="s">
        <v>1389</v>
      </c>
      <c r="D145" t="s">
        <v>2302</v>
      </c>
      <c r="E145">
        <v>1</v>
      </c>
      <c r="G145">
        <v>18.3</v>
      </c>
      <c r="H145" t="s">
        <v>2303</v>
      </c>
      <c r="I145">
        <v>3</v>
      </c>
      <c r="J145" t="s">
        <v>1947</v>
      </c>
      <c r="K145">
        <v>0</v>
      </c>
      <c r="M145">
        <v>4</v>
      </c>
    </row>
    <row r="146" spans="1:13" x14ac:dyDescent="0.15">
      <c r="A146" t="s">
        <v>2304</v>
      </c>
      <c r="B146" t="s">
        <v>2304</v>
      </c>
      <c r="C146" t="s">
        <v>1390</v>
      </c>
      <c r="D146" t="s">
        <v>2305</v>
      </c>
      <c r="E146">
        <v>2</v>
      </c>
      <c r="G146">
        <v>14.8</v>
      </c>
      <c r="H146" t="s">
        <v>2306</v>
      </c>
      <c r="I146">
        <v>3</v>
      </c>
      <c r="J146" t="s">
        <v>1947</v>
      </c>
      <c r="K146">
        <v>0</v>
      </c>
      <c r="M146">
        <v>4</v>
      </c>
    </row>
    <row r="147" spans="1:13" x14ac:dyDescent="0.15">
      <c r="A147" t="s">
        <v>2307</v>
      </c>
      <c r="B147" t="s">
        <v>2307</v>
      </c>
      <c r="C147" t="s">
        <v>1391</v>
      </c>
      <c r="D147" t="s">
        <v>2308</v>
      </c>
      <c r="E147">
        <v>1</v>
      </c>
      <c r="G147">
        <v>20.399999999999999</v>
      </c>
      <c r="H147" t="s">
        <v>2309</v>
      </c>
      <c r="I147">
        <v>3</v>
      </c>
      <c r="J147" t="s">
        <v>1947</v>
      </c>
      <c r="K147">
        <v>0</v>
      </c>
      <c r="M147">
        <v>4</v>
      </c>
    </row>
    <row r="148" spans="1:13" x14ac:dyDescent="0.15">
      <c r="A148" t="s">
        <v>2310</v>
      </c>
      <c r="B148" t="s">
        <v>2310</v>
      </c>
      <c r="C148" t="s">
        <v>1392</v>
      </c>
      <c r="D148" t="s">
        <v>2311</v>
      </c>
      <c r="E148">
        <v>2</v>
      </c>
      <c r="G148">
        <v>46.8</v>
      </c>
      <c r="H148" t="s">
        <v>2312</v>
      </c>
      <c r="I148">
        <v>3</v>
      </c>
      <c r="J148" t="s">
        <v>1947</v>
      </c>
      <c r="K148">
        <v>0</v>
      </c>
      <c r="M148">
        <v>4</v>
      </c>
    </row>
    <row r="149" spans="1:13" x14ac:dyDescent="0.15">
      <c r="A149" t="s">
        <v>2313</v>
      </c>
      <c r="B149" t="s">
        <v>2313</v>
      </c>
      <c r="C149" t="s">
        <v>1394</v>
      </c>
      <c r="D149" t="s">
        <v>2314</v>
      </c>
      <c r="E149">
        <v>1</v>
      </c>
      <c r="G149">
        <v>12.5</v>
      </c>
      <c r="H149" t="s">
        <v>2315</v>
      </c>
      <c r="I149">
        <v>1</v>
      </c>
      <c r="J149" t="s">
        <v>1924</v>
      </c>
      <c r="K149">
        <v>0</v>
      </c>
      <c r="M149">
        <v>5</v>
      </c>
    </row>
    <row r="150" spans="1:13" x14ac:dyDescent="0.15">
      <c r="A150" t="s">
        <v>2316</v>
      </c>
      <c r="B150" t="s">
        <v>2316</v>
      </c>
      <c r="C150" t="s">
        <v>1395</v>
      </c>
      <c r="D150" t="s">
        <v>2317</v>
      </c>
      <c r="E150">
        <v>1</v>
      </c>
      <c r="G150">
        <v>16.100000000000001</v>
      </c>
      <c r="H150" t="s">
        <v>2318</v>
      </c>
      <c r="I150">
        <v>1</v>
      </c>
      <c r="J150" t="s">
        <v>1924</v>
      </c>
      <c r="K150">
        <v>0</v>
      </c>
      <c r="M150">
        <v>5</v>
      </c>
    </row>
    <row r="151" spans="1:13" x14ac:dyDescent="0.15">
      <c r="A151" t="s">
        <v>2319</v>
      </c>
      <c r="B151" t="s">
        <v>2319</v>
      </c>
      <c r="C151" t="s">
        <v>1396</v>
      </c>
      <c r="D151" t="s">
        <v>2320</v>
      </c>
      <c r="E151">
        <v>1</v>
      </c>
      <c r="G151">
        <v>19.8</v>
      </c>
      <c r="H151" t="s">
        <v>2321</v>
      </c>
      <c r="I151">
        <v>3</v>
      </c>
      <c r="J151" t="s">
        <v>1947</v>
      </c>
      <c r="K151">
        <v>0</v>
      </c>
      <c r="M151">
        <v>2</v>
      </c>
    </row>
    <row r="152" spans="1:13" x14ac:dyDescent="0.15">
      <c r="A152" t="s">
        <v>2322</v>
      </c>
      <c r="B152" t="s">
        <v>2322</v>
      </c>
      <c r="C152" t="s">
        <v>1397</v>
      </c>
      <c r="D152" t="s">
        <v>2323</v>
      </c>
      <c r="E152">
        <v>1</v>
      </c>
      <c r="G152">
        <v>31.7</v>
      </c>
      <c r="H152" t="s">
        <v>2324</v>
      </c>
      <c r="I152">
        <v>1</v>
      </c>
      <c r="J152" t="s">
        <v>1924</v>
      </c>
      <c r="K152">
        <v>0</v>
      </c>
      <c r="M152">
        <v>5</v>
      </c>
    </row>
    <row r="153" spans="1:13" x14ac:dyDescent="0.15">
      <c r="A153" t="s">
        <v>2325</v>
      </c>
      <c r="B153" t="s">
        <v>2325</v>
      </c>
      <c r="C153" t="s">
        <v>1398</v>
      </c>
      <c r="D153" t="s">
        <v>2326</v>
      </c>
      <c r="E153">
        <v>1</v>
      </c>
      <c r="G153">
        <v>24.9</v>
      </c>
      <c r="H153" t="s">
        <v>2327</v>
      </c>
      <c r="I153">
        <v>1</v>
      </c>
      <c r="J153" t="s">
        <v>1924</v>
      </c>
      <c r="K153">
        <v>0</v>
      </c>
      <c r="M153">
        <v>5</v>
      </c>
    </row>
    <row r="154" spans="1:13" x14ac:dyDescent="0.15">
      <c r="A154" t="s">
        <v>2328</v>
      </c>
      <c r="B154" t="s">
        <v>2328</v>
      </c>
      <c r="C154" t="s">
        <v>1399</v>
      </c>
      <c r="D154" t="s">
        <v>2329</v>
      </c>
      <c r="E154">
        <v>1</v>
      </c>
      <c r="G154">
        <v>8.1999999999999993</v>
      </c>
      <c r="H154" t="s">
        <v>2330</v>
      </c>
      <c r="I154">
        <v>1</v>
      </c>
      <c r="J154" t="s">
        <v>1924</v>
      </c>
      <c r="K154">
        <v>0</v>
      </c>
      <c r="M154">
        <v>5</v>
      </c>
    </row>
    <row r="155" spans="1:13" x14ac:dyDescent="0.15">
      <c r="A155" t="s">
        <v>2331</v>
      </c>
      <c r="B155" t="s">
        <v>2331</v>
      </c>
      <c r="C155" t="s">
        <v>416</v>
      </c>
      <c r="D155" t="s">
        <v>2332</v>
      </c>
      <c r="E155">
        <v>1</v>
      </c>
      <c r="G155">
        <v>302</v>
      </c>
      <c r="H155" t="s">
        <v>2333</v>
      </c>
      <c r="I155">
        <v>25</v>
      </c>
      <c r="J155" t="s">
        <v>1911</v>
      </c>
      <c r="K155">
        <v>0</v>
      </c>
      <c r="M155">
        <v>9</v>
      </c>
    </row>
    <row r="156" spans="1:13" x14ac:dyDescent="0.15">
      <c r="A156" t="s">
        <v>2334</v>
      </c>
      <c r="B156" t="s">
        <v>2334</v>
      </c>
      <c r="C156" t="s">
        <v>1400</v>
      </c>
      <c r="D156" t="s">
        <v>2335</v>
      </c>
      <c r="E156">
        <v>1</v>
      </c>
      <c r="G156">
        <v>124.2</v>
      </c>
      <c r="H156" t="s">
        <v>2336</v>
      </c>
      <c r="I156">
        <v>13</v>
      </c>
      <c r="J156" t="s">
        <v>2337</v>
      </c>
      <c r="K156">
        <v>0</v>
      </c>
      <c r="M156">
        <v>14</v>
      </c>
    </row>
    <row r="157" spans="1:13" x14ac:dyDescent="0.15">
      <c r="A157" t="s">
        <v>2338</v>
      </c>
      <c r="B157" t="s">
        <v>2338</v>
      </c>
      <c r="C157" t="s">
        <v>421</v>
      </c>
      <c r="D157" t="s">
        <v>2339</v>
      </c>
      <c r="E157">
        <v>1</v>
      </c>
      <c r="G157">
        <v>5.9</v>
      </c>
      <c r="H157" t="s">
        <v>2340</v>
      </c>
      <c r="I157">
        <v>1</v>
      </c>
      <c r="J157" t="s">
        <v>1924</v>
      </c>
      <c r="K157">
        <v>0</v>
      </c>
      <c r="M157">
        <v>5</v>
      </c>
    </row>
    <row r="158" spans="1:13" x14ac:dyDescent="0.15">
      <c r="A158" t="s">
        <v>2341</v>
      </c>
      <c r="B158" t="s">
        <v>2341</v>
      </c>
      <c r="C158" t="s">
        <v>1401</v>
      </c>
      <c r="E158">
        <v>1</v>
      </c>
      <c r="G158">
        <v>10.4</v>
      </c>
      <c r="H158" t="s">
        <v>2342</v>
      </c>
      <c r="I158">
        <v>1</v>
      </c>
      <c r="J158" t="s">
        <v>1924</v>
      </c>
      <c r="K158">
        <v>2</v>
      </c>
      <c r="M158">
        <v>6</v>
      </c>
    </row>
    <row r="159" spans="1:13" x14ac:dyDescent="0.15">
      <c r="A159" t="s">
        <v>2343</v>
      </c>
      <c r="B159" t="s">
        <v>2343</v>
      </c>
      <c r="C159" t="s">
        <v>1402</v>
      </c>
      <c r="E159">
        <v>1</v>
      </c>
      <c r="G159">
        <v>333</v>
      </c>
      <c r="H159" t="s">
        <v>2344</v>
      </c>
      <c r="I159">
        <v>25</v>
      </c>
      <c r="J159" t="s">
        <v>1911</v>
      </c>
      <c r="K159">
        <v>0</v>
      </c>
      <c r="M159">
        <v>8</v>
      </c>
    </row>
    <row r="160" spans="1:13" x14ac:dyDescent="0.15">
      <c r="A160" t="s">
        <v>2345</v>
      </c>
      <c r="B160" t="s">
        <v>2345</v>
      </c>
      <c r="C160" t="s">
        <v>1403</v>
      </c>
      <c r="D160" t="s">
        <v>2346</v>
      </c>
      <c r="E160">
        <v>1</v>
      </c>
      <c r="G160">
        <v>48.3</v>
      </c>
      <c r="H160" t="s">
        <v>2347</v>
      </c>
      <c r="I160">
        <v>3</v>
      </c>
      <c r="J160" t="s">
        <v>1947</v>
      </c>
      <c r="K160">
        <v>0</v>
      </c>
      <c r="M160">
        <v>3</v>
      </c>
    </row>
    <row r="161" spans="1:13" x14ac:dyDescent="0.15">
      <c r="A161" t="s">
        <v>2348</v>
      </c>
      <c r="B161" t="s">
        <v>2348</v>
      </c>
      <c r="C161" t="s">
        <v>1404</v>
      </c>
      <c r="E161">
        <v>2</v>
      </c>
      <c r="G161">
        <v>12.7</v>
      </c>
      <c r="H161" t="s">
        <v>2349</v>
      </c>
      <c r="I161">
        <v>1</v>
      </c>
      <c r="J161" t="s">
        <v>1924</v>
      </c>
      <c r="K161">
        <v>0</v>
      </c>
      <c r="M161">
        <v>3</v>
      </c>
    </row>
    <row r="162" spans="1:13" x14ac:dyDescent="0.15">
      <c r="A162" t="s">
        <v>2350</v>
      </c>
      <c r="B162" t="s">
        <v>2350</v>
      </c>
      <c r="C162" t="s">
        <v>1405</v>
      </c>
      <c r="E162">
        <v>1</v>
      </c>
      <c r="G162">
        <v>31.9</v>
      </c>
      <c r="H162" t="s">
        <v>2351</v>
      </c>
      <c r="I162">
        <v>1</v>
      </c>
      <c r="J162" t="s">
        <v>1924</v>
      </c>
      <c r="K162">
        <v>0</v>
      </c>
      <c r="M162">
        <v>5</v>
      </c>
    </row>
    <row r="163" spans="1:13" x14ac:dyDescent="0.15">
      <c r="A163" t="s">
        <v>2352</v>
      </c>
      <c r="B163" t="s">
        <v>2352</v>
      </c>
      <c r="C163" t="s">
        <v>1406</v>
      </c>
      <c r="D163" t="s">
        <v>2353</v>
      </c>
      <c r="E163">
        <v>2</v>
      </c>
      <c r="G163">
        <v>16.100000000000001</v>
      </c>
      <c r="H163" t="s">
        <v>2354</v>
      </c>
      <c r="I163">
        <v>1</v>
      </c>
      <c r="J163" t="s">
        <v>1924</v>
      </c>
      <c r="K163">
        <v>0</v>
      </c>
      <c r="M163">
        <v>3</v>
      </c>
    </row>
    <row r="164" spans="1:13" x14ac:dyDescent="0.15">
      <c r="A164" t="s">
        <v>2355</v>
      </c>
      <c r="B164" t="s">
        <v>2355</v>
      </c>
      <c r="C164" t="s">
        <v>1407</v>
      </c>
      <c r="E164">
        <v>1</v>
      </c>
      <c r="G164">
        <v>11.7</v>
      </c>
      <c r="H164" t="s">
        <v>2356</v>
      </c>
      <c r="I164">
        <v>14</v>
      </c>
      <c r="J164" t="s">
        <v>1907</v>
      </c>
      <c r="K164">
        <v>2</v>
      </c>
      <c r="M164">
        <v>3</v>
      </c>
    </row>
    <row r="165" spans="1:13" x14ac:dyDescent="0.15">
      <c r="A165" t="s">
        <v>2357</v>
      </c>
      <c r="B165" t="s">
        <v>2357</v>
      </c>
      <c r="C165" t="s">
        <v>1408</v>
      </c>
      <c r="D165" t="s">
        <v>2358</v>
      </c>
      <c r="E165">
        <v>1</v>
      </c>
      <c r="G165">
        <v>71.7</v>
      </c>
      <c r="H165" t="s">
        <v>2359</v>
      </c>
      <c r="I165">
        <v>11</v>
      </c>
      <c r="J165" t="s">
        <v>2360</v>
      </c>
      <c r="K165">
        <v>0</v>
      </c>
      <c r="M165">
        <v>3</v>
      </c>
    </row>
    <row r="166" spans="1:13" x14ac:dyDescent="0.15">
      <c r="A166" t="s">
        <v>2361</v>
      </c>
      <c r="B166" t="s">
        <v>2361</v>
      </c>
      <c r="C166" t="s">
        <v>1409</v>
      </c>
      <c r="E166">
        <v>1</v>
      </c>
      <c r="G166">
        <v>187.8</v>
      </c>
      <c r="H166" t="s">
        <v>2362</v>
      </c>
      <c r="I166">
        <v>21</v>
      </c>
      <c r="J166" t="s">
        <v>1954</v>
      </c>
      <c r="K166">
        <v>0</v>
      </c>
      <c r="M166">
        <v>3</v>
      </c>
    </row>
    <row r="167" spans="1:13" x14ac:dyDescent="0.15">
      <c r="A167" t="s">
        <v>2363</v>
      </c>
      <c r="B167" t="s">
        <v>2363</v>
      </c>
      <c r="C167" t="s">
        <v>445</v>
      </c>
      <c r="D167" t="s">
        <v>2364</v>
      </c>
      <c r="E167">
        <v>1</v>
      </c>
      <c r="G167">
        <v>61</v>
      </c>
      <c r="H167" t="s">
        <v>2365</v>
      </c>
      <c r="I167">
        <v>25</v>
      </c>
      <c r="J167" t="s">
        <v>1911</v>
      </c>
      <c r="K167">
        <v>0</v>
      </c>
      <c r="M167">
        <v>9</v>
      </c>
    </row>
    <row r="168" spans="1:13" x14ac:dyDescent="0.15">
      <c r="A168" t="s">
        <v>2366</v>
      </c>
      <c r="B168" t="s">
        <v>2366</v>
      </c>
      <c r="C168" t="s">
        <v>1411</v>
      </c>
      <c r="D168" t="s">
        <v>2367</v>
      </c>
      <c r="E168">
        <v>1</v>
      </c>
      <c r="G168">
        <v>231</v>
      </c>
      <c r="H168" t="s">
        <v>2368</v>
      </c>
      <c r="I168">
        <v>23</v>
      </c>
      <c r="J168" t="s">
        <v>2369</v>
      </c>
      <c r="K168">
        <v>0</v>
      </c>
      <c r="M168">
        <v>3</v>
      </c>
    </row>
    <row r="169" spans="1:13" x14ac:dyDescent="0.15">
      <c r="A169" t="s">
        <v>2370</v>
      </c>
      <c r="B169" t="s">
        <v>2370</v>
      </c>
      <c r="C169" t="s">
        <v>1412</v>
      </c>
      <c r="D169" t="s">
        <v>2371</v>
      </c>
      <c r="E169">
        <v>1</v>
      </c>
      <c r="G169">
        <v>12.3</v>
      </c>
      <c r="H169" t="s">
        <v>2372</v>
      </c>
      <c r="I169">
        <v>19</v>
      </c>
      <c r="J169" t="s">
        <v>1988</v>
      </c>
      <c r="K169">
        <v>0</v>
      </c>
      <c r="M169">
        <v>12</v>
      </c>
    </row>
    <row r="170" spans="1:13" x14ac:dyDescent="0.15">
      <c r="A170" t="s">
        <v>2373</v>
      </c>
      <c r="B170" t="s">
        <v>2373</v>
      </c>
      <c r="C170" t="s">
        <v>1413</v>
      </c>
      <c r="D170" t="s">
        <v>2374</v>
      </c>
      <c r="E170">
        <v>1</v>
      </c>
      <c r="G170">
        <v>54.7</v>
      </c>
      <c r="H170" t="s">
        <v>2375</v>
      </c>
      <c r="I170">
        <v>2</v>
      </c>
      <c r="J170" t="s">
        <v>835</v>
      </c>
      <c r="K170">
        <v>0</v>
      </c>
      <c r="M170">
        <v>1</v>
      </c>
    </row>
    <row r="171" spans="1:13" x14ac:dyDescent="0.15">
      <c r="A171" t="s">
        <v>2376</v>
      </c>
      <c r="B171" t="s">
        <v>2376</v>
      </c>
      <c r="C171" t="s">
        <v>1415</v>
      </c>
      <c r="D171" t="s">
        <v>2377</v>
      </c>
      <c r="E171">
        <v>1</v>
      </c>
      <c r="G171">
        <v>12.8</v>
      </c>
      <c r="H171" t="s">
        <v>2378</v>
      </c>
      <c r="I171">
        <v>15</v>
      </c>
      <c r="J171" t="s">
        <v>1915</v>
      </c>
      <c r="K171">
        <v>0</v>
      </c>
      <c r="M171">
        <v>7</v>
      </c>
    </row>
    <row r="172" spans="1:13" x14ac:dyDescent="0.15">
      <c r="A172" t="s">
        <v>2379</v>
      </c>
      <c r="B172" t="s">
        <v>2379</v>
      </c>
      <c r="C172" t="s">
        <v>459</v>
      </c>
      <c r="D172" t="s">
        <v>2380</v>
      </c>
      <c r="E172">
        <v>1</v>
      </c>
      <c r="G172">
        <v>45.9</v>
      </c>
      <c r="H172" t="s">
        <v>2381</v>
      </c>
      <c r="I172">
        <v>1</v>
      </c>
      <c r="J172" t="s">
        <v>1924</v>
      </c>
      <c r="K172">
        <v>0</v>
      </c>
      <c r="M172">
        <v>5</v>
      </c>
    </row>
    <row r="173" spans="1:13" x14ac:dyDescent="0.15">
      <c r="A173" t="s">
        <v>2382</v>
      </c>
      <c r="B173" t="s">
        <v>2382</v>
      </c>
      <c r="C173" t="s">
        <v>1416</v>
      </c>
      <c r="D173" t="s">
        <v>2383</v>
      </c>
      <c r="E173">
        <v>1</v>
      </c>
      <c r="G173">
        <v>8.6999999999999993</v>
      </c>
      <c r="H173" t="s">
        <v>2384</v>
      </c>
      <c r="I173">
        <v>14</v>
      </c>
      <c r="J173" t="s">
        <v>1907</v>
      </c>
      <c r="K173">
        <v>0</v>
      </c>
      <c r="M173">
        <v>3</v>
      </c>
    </row>
    <row r="174" spans="1:13" s="26" customFormat="1" x14ac:dyDescent="0.15">
      <c r="A174" s="26" t="s">
        <v>2385</v>
      </c>
      <c r="B174" s="26" t="s">
        <v>2385</v>
      </c>
      <c r="C174" s="26" t="s">
        <v>1417</v>
      </c>
      <c r="E174" s="26">
        <v>1</v>
      </c>
      <c r="G174" s="26">
        <v>10.1</v>
      </c>
      <c r="H174" s="26" t="s">
        <v>2386</v>
      </c>
      <c r="I174" s="26">
        <v>1</v>
      </c>
      <c r="J174" s="26" t="s">
        <v>1924</v>
      </c>
      <c r="K174" s="26">
        <v>0</v>
      </c>
    </row>
    <row r="175" spans="1:13" s="26" customFormat="1" x14ac:dyDescent="0.15">
      <c r="A175" s="26" t="s">
        <v>2387</v>
      </c>
      <c r="B175" s="26" t="s">
        <v>2387</v>
      </c>
      <c r="C175" s="26" t="s">
        <v>1418</v>
      </c>
      <c r="E175" s="26">
        <v>1</v>
      </c>
      <c r="G175" s="26">
        <v>0</v>
      </c>
      <c r="H175" s="26" t="s">
        <v>2388</v>
      </c>
      <c r="I175" s="26">
        <v>1</v>
      </c>
      <c r="J175" s="26" t="s">
        <v>1924</v>
      </c>
      <c r="K175" s="26">
        <v>0</v>
      </c>
    </row>
    <row r="176" spans="1:13" x14ac:dyDescent="0.15">
      <c r="A176" t="s">
        <v>2389</v>
      </c>
      <c r="B176" t="s">
        <v>2389</v>
      </c>
      <c r="C176" t="s">
        <v>467</v>
      </c>
      <c r="D176" t="s">
        <v>2390</v>
      </c>
      <c r="E176">
        <v>2</v>
      </c>
      <c r="G176">
        <v>326</v>
      </c>
      <c r="H176" t="s">
        <v>2391</v>
      </c>
      <c r="I176">
        <v>21</v>
      </c>
      <c r="J176" t="s">
        <v>1954</v>
      </c>
      <c r="K176">
        <v>0</v>
      </c>
      <c r="M176">
        <v>3</v>
      </c>
    </row>
    <row r="177" spans="1:13" x14ac:dyDescent="0.15">
      <c r="A177" t="s">
        <v>2392</v>
      </c>
      <c r="B177" t="s">
        <v>2392</v>
      </c>
      <c r="C177" t="s">
        <v>464</v>
      </c>
      <c r="D177" t="s">
        <v>2393</v>
      </c>
      <c r="E177">
        <v>1</v>
      </c>
      <c r="G177">
        <v>7.5</v>
      </c>
      <c r="H177" t="s">
        <v>2394</v>
      </c>
      <c r="I177">
        <v>23</v>
      </c>
      <c r="J177" t="s">
        <v>2369</v>
      </c>
      <c r="K177">
        <v>0</v>
      </c>
      <c r="M177">
        <v>3</v>
      </c>
    </row>
    <row r="178" spans="1:13" x14ac:dyDescent="0.15">
      <c r="A178" t="s">
        <v>2395</v>
      </c>
      <c r="B178" t="s">
        <v>2395</v>
      </c>
      <c r="C178" t="s">
        <v>1420</v>
      </c>
      <c r="D178" t="s">
        <v>2396</v>
      </c>
      <c r="E178">
        <v>2</v>
      </c>
      <c r="G178">
        <v>235.8</v>
      </c>
      <c r="H178" t="s">
        <v>2397</v>
      </c>
      <c r="I178">
        <v>1</v>
      </c>
      <c r="J178" t="s">
        <v>1924</v>
      </c>
      <c r="K178">
        <v>2</v>
      </c>
      <c r="M178">
        <v>3</v>
      </c>
    </row>
    <row r="179" spans="1:13" x14ac:dyDescent="0.15">
      <c r="A179" t="s">
        <v>2398</v>
      </c>
      <c r="B179" t="s">
        <v>2398</v>
      </c>
      <c r="C179" t="s">
        <v>474</v>
      </c>
      <c r="D179" t="s">
        <v>2399</v>
      </c>
      <c r="E179">
        <v>1</v>
      </c>
      <c r="G179">
        <v>9.6999999999999993</v>
      </c>
      <c r="H179" t="s">
        <v>2400</v>
      </c>
      <c r="I179">
        <v>1</v>
      </c>
      <c r="J179" t="s">
        <v>1924</v>
      </c>
      <c r="K179">
        <v>0</v>
      </c>
      <c r="M179">
        <v>6</v>
      </c>
    </row>
    <row r="180" spans="1:13" x14ac:dyDescent="0.15">
      <c r="A180" t="s">
        <v>2401</v>
      </c>
      <c r="B180" t="s">
        <v>2401</v>
      </c>
      <c r="C180" t="s">
        <v>475</v>
      </c>
      <c r="D180" t="s">
        <v>2402</v>
      </c>
      <c r="E180">
        <v>1</v>
      </c>
      <c r="G180">
        <v>9.6999999999999993</v>
      </c>
      <c r="H180" t="s">
        <v>2403</v>
      </c>
      <c r="I180">
        <v>1</v>
      </c>
      <c r="J180" t="s">
        <v>1924</v>
      </c>
      <c r="K180">
        <v>2</v>
      </c>
      <c r="M180">
        <v>5</v>
      </c>
    </row>
    <row r="181" spans="1:13" x14ac:dyDescent="0.15">
      <c r="A181" t="s">
        <v>2404</v>
      </c>
      <c r="B181" t="s">
        <v>2404</v>
      </c>
      <c r="C181" t="s">
        <v>473</v>
      </c>
      <c r="D181" t="s">
        <v>2405</v>
      </c>
      <c r="E181">
        <v>1</v>
      </c>
      <c r="G181">
        <v>9.6999999999999993</v>
      </c>
      <c r="H181" t="s">
        <v>2406</v>
      </c>
      <c r="I181">
        <v>1</v>
      </c>
      <c r="J181" t="s">
        <v>1924</v>
      </c>
      <c r="K181">
        <v>2</v>
      </c>
      <c r="M181">
        <v>6</v>
      </c>
    </row>
    <row r="182" spans="1:13" x14ac:dyDescent="0.15">
      <c r="A182" t="s">
        <v>2407</v>
      </c>
      <c r="B182" t="s">
        <v>2407</v>
      </c>
      <c r="C182" t="s">
        <v>1421</v>
      </c>
      <c r="D182" t="s">
        <v>2408</v>
      </c>
      <c r="E182">
        <v>1</v>
      </c>
      <c r="G182">
        <v>4.2</v>
      </c>
      <c r="H182" t="s">
        <v>2409</v>
      </c>
      <c r="I182">
        <v>14</v>
      </c>
      <c r="J182" t="s">
        <v>1907</v>
      </c>
      <c r="K182">
        <v>0</v>
      </c>
      <c r="M182">
        <v>7</v>
      </c>
    </row>
    <row r="183" spans="1:13" x14ac:dyDescent="0.15">
      <c r="A183" t="s">
        <v>2410</v>
      </c>
      <c r="B183" t="s">
        <v>2410</v>
      </c>
      <c r="C183" t="s">
        <v>479</v>
      </c>
      <c r="D183" t="s">
        <v>2411</v>
      </c>
      <c r="E183">
        <v>1</v>
      </c>
      <c r="G183">
        <v>15.3</v>
      </c>
      <c r="H183" t="s">
        <v>2412</v>
      </c>
      <c r="I183">
        <v>1</v>
      </c>
      <c r="J183" t="s">
        <v>1924</v>
      </c>
      <c r="K183">
        <v>0</v>
      </c>
      <c r="M183">
        <v>2</v>
      </c>
    </row>
    <row r="184" spans="1:13" x14ac:dyDescent="0.15">
      <c r="A184" t="s">
        <v>2413</v>
      </c>
      <c r="B184" t="s">
        <v>2413</v>
      </c>
      <c r="C184" t="s">
        <v>1422</v>
      </c>
      <c r="D184" t="s">
        <v>2414</v>
      </c>
      <c r="E184">
        <v>1</v>
      </c>
      <c r="G184">
        <v>0.93</v>
      </c>
      <c r="H184" t="s">
        <v>2415</v>
      </c>
      <c r="I184">
        <v>3</v>
      </c>
      <c r="J184" t="s">
        <v>1947</v>
      </c>
      <c r="K184">
        <v>0</v>
      </c>
      <c r="M184">
        <v>2</v>
      </c>
    </row>
    <row r="185" spans="1:13" x14ac:dyDescent="0.15">
      <c r="A185" t="s">
        <v>2416</v>
      </c>
      <c r="B185" t="s">
        <v>2416</v>
      </c>
      <c r="C185" t="s">
        <v>1423</v>
      </c>
      <c r="D185" t="s">
        <v>2417</v>
      </c>
      <c r="E185">
        <v>2</v>
      </c>
      <c r="G185">
        <v>21.2</v>
      </c>
      <c r="H185" t="s">
        <v>2418</v>
      </c>
      <c r="I185">
        <v>2</v>
      </c>
      <c r="J185" t="s">
        <v>835</v>
      </c>
      <c r="K185">
        <v>2</v>
      </c>
      <c r="M185">
        <v>2</v>
      </c>
    </row>
    <row r="186" spans="1:13" x14ac:dyDescent="0.15">
      <c r="A186" t="s">
        <v>2419</v>
      </c>
      <c r="B186" t="s">
        <v>2419</v>
      </c>
      <c r="C186" t="s">
        <v>483</v>
      </c>
      <c r="D186" t="s">
        <v>2420</v>
      </c>
      <c r="E186">
        <v>1</v>
      </c>
      <c r="G186">
        <v>5.9</v>
      </c>
      <c r="H186" t="s">
        <v>2421</v>
      </c>
      <c r="I186">
        <v>1</v>
      </c>
      <c r="J186" t="s">
        <v>1924</v>
      </c>
      <c r="K186">
        <v>0</v>
      </c>
      <c r="M186">
        <v>5</v>
      </c>
    </row>
    <row r="187" spans="1:13" x14ac:dyDescent="0.15">
      <c r="A187" t="s">
        <v>2422</v>
      </c>
      <c r="B187" t="s">
        <v>2422</v>
      </c>
      <c r="C187" t="s">
        <v>484</v>
      </c>
      <c r="D187" t="s">
        <v>2423</v>
      </c>
      <c r="E187">
        <v>1</v>
      </c>
      <c r="G187">
        <v>6</v>
      </c>
      <c r="H187" t="s">
        <v>2424</v>
      </c>
      <c r="I187">
        <v>1</v>
      </c>
      <c r="J187" t="s">
        <v>1924</v>
      </c>
      <c r="K187">
        <v>0</v>
      </c>
      <c r="M187">
        <v>5</v>
      </c>
    </row>
    <row r="188" spans="1:13" x14ac:dyDescent="0.15">
      <c r="A188" t="s">
        <v>2425</v>
      </c>
      <c r="B188" t="s">
        <v>2425</v>
      </c>
      <c r="C188" t="s">
        <v>1424</v>
      </c>
      <c r="E188">
        <v>1</v>
      </c>
      <c r="G188">
        <v>120</v>
      </c>
      <c r="H188" t="s">
        <v>2426</v>
      </c>
      <c r="I188">
        <v>25</v>
      </c>
      <c r="J188" t="s">
        <v>1911</v>
      </c>
      <c r="K188">
        <v>0</v>
      </c>
      <c r="M188">
        <v>9</v>
      </c>
    </row>
    <row r="189" spans="1:13" x14ac:dyDescent="0.15">
      <c r="A189" t="s">
        <v>2427</v>
      </c>
      <c r="B189" t="s">
        <v>2427</v>
      </c>
      <c r="C189" t="s">
        <v>1425</v>
      </c>
      <c r="D189" t="s">
        <v>2428</v>
      </c>
      <c r="E189">
        <v>1</v>
      </c>
      <c r="G189">
        <v>5.0999999999999996</v>
      </c>
      <c r="H189" t="s">
        <v>2429</v>
      </c>
      <c r="I189">
        <v>7</v>
      </c>
      <c r="J189" t="s">
        <v>2151</v>
      </c>
      <c r="K189">
        <v>2</v>
      </c>
      <c r="M189">
        <v>11</v>
      </c>
    </row>
    <row r="190" spans="1:13" x14ac:dyDescent="0.15">
      <c r="A190" t="s">
        <v>2430</v>
      </c>
      <c r="B190" t="s">
        <v>2430</v>
      </c>
      <c r="C190" t="s">
        <v>1426</v>
      </c>
      <c r="D190" t="s">
        <v>2431</v>
      </c>
      <c r="E190">
        <v>1</v>
      </c>
      <c r="G190">
        <v>89.2</v>
      </c>
      <c r="H190" t="s">
        <v>2432</v>
      </c>
      <c r="I190">
        <v>21</v>
      </c>
      <c r="J190" t="s">
        <v>1954</v>
      </c>
      <c r="K190">
        <v>0</v>
      </c>
      <c r="M190">
        <v>3</v>
      </c>
    </row>
    <row r="191" spans="1:13" x14ac:dyDescent="0.15">
      <c r="A191" t="s">
        <v>2433</v>
      </c>
      <c r="B191" t="s">
        <v>2433</v>
      </c>
      <c r="C191" t="s">
        <v>1427</v>
      </c>
      <c r="D191" t="s">
        <v>2434</v>
      </c>
      <c r="E191">
        <v>1</v>
      </c>
      <c r="G191">
        <v>139.4</v>
      </c>
      <c r="H191" t="s">
        <v>2435</v>
      </c>
      <c r="I191">
        <v>1</v>
      </c>
      <c r="J191" t="s">
        <v>1924</v>
      </c>
      <c r="K191">
        <v>0</v>
      </c>
      <c r="M191">
        <v>1</v>
      </c>
    </row>
    <row r="192" spans="1:13" x14ac:dyDescent="0.15">
      <c r="A192" t="s">
        <v>2436</v>
      </c>
      <c r="B192" t="s">
        <v>2436</v>
      </c>
      <c r="C192" t="s">
        <v>1428</v>
      </c>
      <c r="D192" t="s">
        <v>2437</v>
      </c>
      <c r="E192">
        <v>1</v>
      </c>
      <c r="G192">
        <v>139</v>
      </c>
      <c r="H192" t="s">
        <v>2438</v>
      </c>
      <c r="I192">
        <v>25</v>
      </c>
      <c r="J192" t="s">
        <v>1911</v>
      </c>
      <c r="K192">
        <v>2</v>
      </c>
      <c r="M192">
        <v>9</v>
      </c>
    </row>
    <row r="193" spans="1:13" x14ac:dyDescent="0.15">
      <c r="A193" t="s">
        <v>2439</v>
      </c>
      <c r="B193" t="s">
        <v>2439</v>
      </c>
      <c r="C193" t="s">
        <v>1429</v>
      </c>
      <c r="D193" t="s">
        <v>2440</v>
      </c>
      <c r="E193">
        <v>2</v>
      </c>
      <c r="G193">
        <v>529.70000000000005</v>
      </c>
      <c r="H193" t="s">
        <v>2441</v>
      </c>
      <c r="I193">
        <v>21</v>
      </c>
      <c r="J193" t="s">
        <v>1954</v>
      </c>
      <c r="K193">
        <v>0</v>
      </c>
      <c r="M193">
        <v>3</v>
      </c>
    </row>
    <row r="194" spans="1:13" x14ac:dyDescent="0.15">
      <c r="A194" t="s">
        <v>2442</v>
      </c>
      <c r="B194" t="s">
        <v>2442</v>
      </c>
      <c r="C194" t="s">
        <v>1430</v>
      </c>
      <c r="D194" t="s">
        <v>2443</v>
      </c>
      <c r="E194">
        <v>1</v>
      </c>
      <c r="G194">
        <v>199.6</v>
      </c>
      <c r="H194" t="s">
        <v>2444</v>
      </c>
      <c r="I194">
        <v>1</v>
      </c>
      <c r="J194" t="s">
        <v>1924</v>
      </c>
      <c r="K194">
        <v>2</v>
      </c>
      <c r="M194">
        <v>1</v>
      </c>
    </row>
    <row r="195" spans="1:13" x14ac:dyDescent="0.15">
      <c r="A195" t="s">
        <v>2445</v>
      </c>
      <c r="B195" t="s">
        <v>2445</v>
      </c>
      <c r="C195" t="s">
        <v>1431</v>
      </c>
      <c r="D195" t="s">
        <v>2446</v>
      </c>
      <c r="E195">
        <v>1</v>
      </c>
      <c r="G195">
        <v>307</v>
      </c>
      <c r="H195" t="s">
        <v>2447</v>
      </c>
      <c r="I195">
        <v>1</v>
      </c>
      <c r="J195" t="s">
        <v>1924</v>
      </c>
      <c r="K195">
        <v>2</v>
      </c>
      <c r="M195">
        <v>1</v>
      </c>
    </row>
    <row r="196" spans="1:13" x14ac:dyDescent="0.15">
      <c r="A196" t="s">
        <v>2448</v>
      </c>
      <c r="B196" t="s">
        <v>2448</v>
      </c>
      <c r="C196" t="s">
        <v>1432</v>
      </c>
      <c r="D196" t="s">
        <v>2449</v>
      </c>
      <c r="E196">
        <v>1</v>
      </c>
      <c r="G196">
        <v>20.9</v>
      </c>
      <c r="H196" t="s">
        <v>2450</v>
      </c>
      <c r="I196">
        <v>12</v>
      </c>
      <c r="J196" t="s">
        <v>2256</v>
      </c>
      <c r="K196">
        <v>2</v>
      </c>
      <c r="M196">
        <v>11</v>
      </c>
    </row>
    <row r="197" spans="1:13" x14ac:dyDescent="0.15">
      <c r="A197" t="s">
        <v>2451</v>
      </c>
      <c r="B197" t="s">
        <v>2451</v>
      </c>
      <c r="C197" t="s">
        <v>1433</v>
      </c>
      <c r="D197" t="s">
        <v>2452</v>
      </c>
      <c r="E197">
        <v>2</v>
      </c>
      <c r="G197">
        <v>76</v>
      </c>
      <c r="H197" t="s">
        <v>2453</v>
      </c>
      <c r="I197">
        <v>2</v>
      </c>
      <c r="J197" t="s">
        <v>835</v>
      </c>
      <c r="K197">
        <v>2</v>
      </c>
      <c r="M197">
        <v>3</v>
      </c>
    </row>
    <row r="198" spans="1:13" x14ac:dyDescent="0.15">
      <c r="A198" t="s">
        <v>2454</v>
      </c>
      <c r="B198" t="s">
        <v>2454</v>
      </c>
      <c r="C198" t="s">
        <v>1434</v>
      </c>
      <c r="D198" t="s">
        <v>2455</v>
      </c>
      <c r="E198">
        <v>1</v>
      </c>
      <c r="G198">
        <v>10.4</v>
      </c>
      <c r="H198" t="s">
        <v>2456</v>
      </c>
      <c r="I198">
        <v>1</v>
      </c>
      <c r="J198" t="s">
        <v>1924</v>
      </c>
      <c r="K198">
        <v>1</v>
      </c>
      <c r="M198">
        <v>3</v>
      </c>
    </row>
    <row r="199" spans="1:13" x14ac:dyDescent="0.15">
      <c r="A199" t="s">
        <v>2457</v>
      </c>
      <c r="B199" t="s">
        <v>2457</v>
      </c>
      <c r="C199" t="s">
        <v>492</v>
      </c>
      <c r="D199" t="s">
        <v>2458</v>
      </c>
      <c r="E199">
        <v>1</v>
      </c>
      <c r="G199">
        <v>6.5</v>
      </c>
      <c r="H199" t="s">
        <v>2459</v>
      </c>
      <c r="I199">
        <v>3</v>
      </c>
      <c r="J199" t="s">
        <v>1947</v>
      </c>
      <c r="K199">
        <v>0</v>
      </c>
      <c r="M199">
        <v>3</v>
      </c>
    </row>
    <row r="200" spans="1:13" x14ac:dyDescent="0.15">
      <c r="A200" t="s">
        <v>2460</v>
      </c>
      <c r="B200" t="s">
        <v>2460</v>
      </c>
      <c r="C200" t="s">
        <v>1436</v>
      </c>
      <c r="D200" t="s">
        <v>2461</v>
      </c>
      <c r="E200">
        <v>1</v>
      </c>
      <c r="G200">
        <v>5.9</v>
      </c>
      <c r="H200" t="s">
        <v>2462</v>
      </c>
      <c r="I200">
        <v>1</v>
      </c>
      <c r="J200" t="s">
        <v>1924</v>
      </c>
      <c r="K200">
        <v>0</v>
      </c>
      <c r="M200">
        <v>1</v>
      </c>
    </row>
    <row r="201" spans="1:13" x14ac:dyDescent="0.15">
      <c r="A201" t="s">
        <v>2463</v>
      </c>
      <c r="B201" t="s">
        <v>2463</v>
      </c>
      <c r="C201" t="s">
        <v>1437</v>
      </c>
      <c r="D201" t="s">
        <v>2464</v>
      </c>
      <c r="E201">
        <v>1</v>
      </c>
      <c r="G201">
        <v>44.4</v>
      </c>
      <c r="H201" t="s">
        <v>2465</v>
      </c>
      <c r="I201">
        <v>1</v>
      </c>
      <c r="J201" t="s">
        <v>1924</v>
      </c>
      <c r="K201">
        <v>2</v>
      </c>
      <c r="M201">
        <v>1</v>
      </c>
    </row>
    <row r="202" spans="1:13" x14ac:dyDescent="0.15">
      <c r="A202" t="s">
        <v>2466</v>
      </c>
      <c r="B202" t="s">
        <v>2466</v>
      </c>
      <c r="C202" t="s">
        <v>1438</v>
      </c>
      <c r="D202" t="s">
        <v>2467</v>
      </c>
      <c r="E202">
        <v>1</v>
      </c>
      <c r="G202">
        <v>89.1</v>
      </c>
      <c r="H202" t="s">
        <v>2468</v>
      </c>
      <c r="I202">
        <v>1</v>
      </c>
      <c r="J202" t="s">
        <v>1924</v>
      </c>
      <c r="K202">
        <v>2</v>
      </c>
      <c r="M202">
        <v>1</v>
      </c>
    </row>
    <row r="203" spans="1:13" x14ac:dyDescent="0.15">
      <c r="A203" t="s">
        <v>2469</v>
      </c>
      <c r="B203" t="s">
        <v>2469</v>
      </c>
      <c r="C203" t="s">
        <v>1439</v>
      </c>
      <c r="D203" t="s">
        <v>2470</v>
      </c>
      <c r="E203">
        <v>1</v>
      </c>
      <c r="G203">
        <v>178.5</v>
      </c>
      <c r="H203" t="s">
        <v>2471</v>
      </c>
      <c r="I203">
        <v>1</v>
      </c>
      <c r="J203" t="s">
        <v>1924</v>
      </c>
      <c r="K203">
        <v>2</v>
      </c>
      <c r="M203">
        <v>1</v>
      </c>
    </row>
    <row r="204" spans="1:13" x14ac:dyDescent="0.15">
      <c r="A204" t="s">
        <v>2472</v>
      </c>
      <c r="B204" t="s">
        <v>2472</v>
      </c>
      <c r="C204" t="s">
        <v>1440</v>
      </c>
      <c r="D204" t="s">
        <v>2473</v>
      </c>
      <c r="E204">
        <v>2</v>
      </c>
      <c r="G204">
        <v>1572</v>
      </c>
      <c r="H204" t="s">
        <v>2474</v>
      </c>
      <c r="I204">
        <v>25</v>
      </c>
      <c r="J204" t="s">
        <v>1911</v>
      </c>
      <c r="K204">
        <v>2</v>
      </c>
      <c r="M204">
        <v>15</v>
      </c>
    </row>
    <row r="205" spans="1:13" x14ac:dyDescent="0.15">
      <c r="A205" t="s">
        <v>2475</v>
      </c>
      <c r="B205" t="s">
        <v>2475</v>
      </c>
      <c r="C205" t="s">
        <v>1441</v>
      </c>
      <c r="E205">
        <v>2</v>
      </c>
      <c r="G205">
        <v>15.9</v>
      </c>
      <c r="H205" t="s">
        <v>2476</v>
      </c>
      <c r="I205">
        <v>1</v>
      </c>
      <c r="J205" t="s">
        <v>1924</v>
      </c>
      <c r="K205">
        <v>2</v>
      </c>
      <c r="M205">
        <v>3</v>
      </c>
    </row>
    <row r="206" spans="1:13" x14ac:dyDescent="0.15">
      <c r="A206" t="s">
        <v>2477</v>
      </c>
      <c r="B206" t="s">
        <v>2477</v>
      </c>
      <c r="C206" t="s">
        <v>1442</v>
      </c>
      <c r="D206" t="s">
        <v>2478</v>
      </c>
      <c r="E206">
        <v>1</v>
      </c>
      <c r="G206">
        <v>5.9</v>
      </c>
      <c r="H206" t="s">
        <v>2479</v>
      </c>
      <c r="I206">
        <v>1</v>
      </c>
      <c r="J206" t="s">
        <v>1924</v>
      </c>
      <c r="K206">
        <v>0</v>
      </c>
      <c r="M206">
        <v>5</v>
      </c>
    </row>
    <row r="207" spans="1:13" x14ac:dyDescent="0.15">
      <c r="A207" t="s">
        <v>2480</v>
      </c>
      <c r="B207" t="s">
        <v>2480</v>
      </c>
      <c r="C207" t="s">
        <v>1443</v>
      </c>
      <c r="D207" t="s">
        <v>2481</v>
      </c>
      <c r="E207">
        <v>1</v>
      </c>
      <c r="G207">
        <v>6.1</v>
      </c>
      <c r="H207" t="s">
        <v>2482</v>
      </c>
      <c r="I207">
        <v>2</v>
      </c>
      <c r="J207" t="s">
        <v>835</v>
      </c>
      <c r="K207">
        <v>0</v>
      </c>
      <c r="M207">
        <v>5</v>
      </c>
    </row>
    <row r="208" spans="1:13" x14ac:dyDescent="0.15">
      <c r="A208" t="s">
        <v>2483</v>
      </c>
      <c r="B208" t="s">
        <v>2483</v>
      </c>
      <c r="C208" t="s">
        <v>1444</v>
      </c>
      <c r="D208" t="s">
        <v>2484</v>
      </c>
      <c r="E208">
        <v>1</v>
      </c>
      <c r="G208">
        <v>18132</v>
      </c>
      <c r="H208" t="s">
        <v>2485</v>
      </c>
      <c r="I208">
        <v>25</v>
      </c>
      <c r="J208" t="s">
        <v>1911</v>
      </c>
      <c r="K208">
        <v>0</v>
      </c>
      <c r="M208">
        <v>15</v>
      </c>
    </row>
    <row r="209" spans="1:13" x14ac:dyDescent="0.15">
      <c r="A209" t="s">
        <v>2486</v>
      </c>
      <c r="B209" t="s">
        <v>2486</v>
      </c>
      <c r="C209" t="s">
        <v>1445</v>
      </c>
      <c r="E209">
        <v>1</v>
      </c>
      <c r="G209">
        <v>24.4</v>
      </c>
      <c r="H209" t="s">
        <v>2487</v>
      </c>
      <c r="I209">
        <v>1</v>
      </c>
      <c r="J209" t="s">
        <v>1924</v>
      </c>
      <c r="K209">
        <v>0</v>
      </c>
      <c r="M209">
        <v>5</v>
      </c>
    </row>
    <row r="210" spans="1:13" x14ac:dyDescent="0.15">
      <c r="A210" t="s">
        <v>2488</v>
      </c>
      <c r="B210" t="s">
        <v>2488</v>
      </c>
      <c r="C210" t="s">
        <v>1446</v>
      </c>
      <c r="E210">
        <v>1</v>
      </c>
      <c r="G210">
        <v>13.2</v>
      </c>
      <c r="H210" t="s">
        <v>2489</v>
      </c>
      <c r="I210">
        <v>1</v>
      </c>
      <c r="J210" t="s">
        <v>1924</v>
      </c>
      <c r="K210">
        <v>2</v>
      </c>
      <c r="M210">
        <v>6</v>
      </c>
    </row>
    <row r="211" spans="1:13" x14ac:dyDescent="0.15">
      <c r="A211" t="s">
        <v>2490</v>
      </c>
      <c r="B211" t="s">
        <v>2490</v>
      </c>
      <c r="C211" t="s">
        <v>526</v>
      </c>
      <c r="D211" t="s">
        <v>2491</v>
      </c>
      <c r="E211">
        <v>1</v>
      </c>
      <c r="G211">
        <v>60.9</v>
      </c>
      <c r="H211" t="s">
        <v>2492</v>
      </c>
      <c r="I211">
        <v>1</v>
      </c>
      <c r="J211" t="s">
        <v>1924</v>
      </c>
      <c r="K211">
        <v>0</v>
      </c>
      <c r="M211">
        <v>5</v>
      </c>
    </row>
    <row r="212" spans="1:13" x14ac:dyDescent="0.15">
      <c r="A212" t="s">
        <v>2493</v>
      </c>
      <c r="B212" t="s">
        <v>2493</v>
      </c>
      <c r="C212" t="s">
        <v>1447</v>
      </c>
      <c r="D212" t="s">
        <v>2494</v>
      </c>
      <c r="E212">
        <v>1</v>
      </c>
      <c r="G212">
        <v>73.7</v>
      </c>
      <c r="H212" t="s">
        <v>2495</v>
      </c>
      <c r="I212">
        <v>12</v>
      </c>
      <c r="J212" t="s">
        <v>2256</v>
      </c>
      <c r="K212">
        <v>0</v>
      </c>
      <c r="M212">
        <v>11</v>
      </c>
    </row>
    <row r="213" spans="1:13" x14ac:dyDescent="0.15">
      <c r="A213" t="s">
        <v>2496</v>
      </c>
      <c r="B213" t="s">
        <v>2496</v>
      </c>
      <c r="C213" t="s">
        <v>1448</v>
      </c>
      <c r="D213" t="s">
        <v>2497</v>
      </c>
      <c r="E213">
        <v>1</v>
      </c>
      <c r="G213">
        <v>495</v>
      </c>
      <c r="H213" t="s">
        <v>2498</v>
      </c>
      <c r="I213">
        <v>25</v>
      </c>
      <c r="J213" t="s">
        <v>1911</v>
      </c>
      <c r="K213">
        <v>0</v>
      </c>
      <c r="M213">
        <v>9</v>
      </c>
    </row>
    <row r="214" spans="1:13" x14ac:dyDescent="0.15">
      <c r="A214" t="s">
        <v>2499</v>
      </c>
      <c r="B214" t="s">
        <v>2499</v>
      </c>
      <c r="C214" t="s">
        <v>528</v>
      </c>
      <c r="D214" t="s">
        <v>2500</v>
      </c>
      <c r="E214">
        <v>1</v>
      </c>
      <c r="G214">
        <v>9.6999999999999993</v>
      </c>
      <c r="H214" t="s">
        <v>2501</v>
      </c>
      <c r="I214">
        <v>14</v>
      </c>
      <c r="J214" t="s">
        <v>1907</v>
      </c>
      <c r="K214">
        <v>0</v>
      </c>
      <c r="M214">
        <v>7</v>
      </c>
    </row>
    <row r="215" spans="1:13" x14ac:dyDescent="0.15">
      <c r="A215" t="s">
        <v>2502</v>
      </c>
      <c r="B215" t="s">
        <v>2502</v>
      </c>
      <c r="C215" t="s">
        <v>1449</v>
      </c>
      <c r="D215" t="s">
        <v>2503</v>
      </c>
      <c r="E215">
        <v>1</v>
      </c>
      <c r="G215">
        <v>11.1</v>
      </c>
      <c r="H215" t="s">
        <v>2504</v>
      </c>
      <c r="I215">
        <v>15</v>
      </c>
      <c r="J215" t="s">
        <v>1915</v>
      </c>
      <c r="K215">
        <v>0</v>
      </c>
      <c r="M215">
        <v>15</v>
      </c>
    </row>
    <row r="216" spans="1:13" x14ac:dyDescent="0.15">
      <c r="A216" t="s">
        <v>2505</v>
      </c>
      <c r="B216" t="s">
        <v>2505</v>
      </c>
      <c r="C216" t="s">
        <v>1450</v>
      </c>
      <c r="D216" t="s">
        <v>2506</v>
      </c>
      <c r="E216">
        <v>2</v>
      </c>
      <c r="G216">
        <v>574.79999999999995</v>
      </c>
      <c r="H216" t="s">
        <v>2507</v>
      </c>
      <c r="I216">
        <v>1</v>
      </c>
      <c r="J216" t="s">
        <v>1924</v>
      </c>
      <c r="K216">
        <v>2</v>
      </c>
      <c r="M216">
        <v>3</v>
      </c>
    </row>
    <row r="217" spans="1:13" x14ac:dyDescent="0.15">
      <c r="A217" t="s">
        <v>2508</v>
      </c>
      <c r="B217" t="s">
        <v>2508</v>
      </c>
      <c r="C217" t="s">
        <v>1452</v>
      </c>
      <c r="D217" t="s">
        <v>2509</v>
      </c>
      <c r="E217">
        <v>1</v>
      </c>
      <c r="G217">
        <v>70.599999999999994</v>
      </c>
      <c r="H217" t="s">
        <v>2510</v>
      </c>
      <c r="I217">
        <v>19</v>
      </c>
      <c r="J217" t="s">
        <v>1988</v>
      </c>
      <c r="K217">
        <v>0</v>
      </c>
      <c r="M217">
        <v>3</v>
      </c>
    </row>
    <row r="218" spans="1:13" x14ac:dyDescent="0.15">
      <c r="A218" t="s">
        <v>2511</v>
      </c>
      <c r="B218" t="s">
        <v>2511</v>
      </c>
      <c r="C218" t="s">
        <v>1453</v>
      </c>
      <c r="D218" t="s">
        <v>2512</v>
      </c>
      <c r="E218">
        <v>1</v>
      </c>
      <c r="G218">
        <v>7.3</v>
      </c>
      <c r="H218" t="s">
        <v>2513</v>
      </c>
      <c r="I218">
        <v>1</v>
      </c>
      <c r="J218" t="s">
        <v>1924</v>
      </c>
      <c r="K218">
        <v>0</v>
      </c>
      <c r="M218">
        <v>5</v>
      </c>
    </row>
    <row r="219" spans="1:13" x14ac:dyDescent="0.15">
      <c r="A219" t="s">
        <v>2514</v>
      </c>
      <c r="B219" t="s">
        <v>2514</v>
      </c>
      <c r="C219" t="s">
        <v>1454</v>
      </c>
      <c r="E219">
        <v>2</v>
      </c>
      <c r="G219">
        <v>72.5</v>
      </c>
      <c r="H219" t="s">
        <v>2515</v>
      </c>
      <c r="I219">
        <v>17</v>
      </c>
      <c r="J219" t="s">
        <v>2099</v>
      </c>
      <c r="K219">
        <v>0</v>
      </c>
      <c r="M219">
        <v>3</v>
      </c>
    </row>
    <row r="220" spans="1:13" x14ac:dyDescent="0.15">
      <c r="A220" t="s">
        <v>2516</v>
      </c>
      <c r="B220" t="s">
        <v>2516</v>
      </c>
      <c r="C220" t="s">
        <v>1455</v>
      </c>
      <c r="D220" t="s">
        <v>2517</v>
      </c>
      <c r="E220">
        <v>1</v>
      </c>
      <c r="G220">
        <v>597</v>
      </c>
      <c r="H220" t="s">
        <v>2518</v>
      </c>
      <c r="I220">
        <v>25</v>
      </c>
      <c r="J220" t="s">
        <v>1911</v>
      </c>
      <c r="K220">
        <v>0</v>
      </c>
      <c r="M220">
        <v>8</v>
      </c>
    </row>
    <row r="221" spans="1:13" x14ac:dyDescent="0.15">
      <c r="A221" t="s">
        <v>2519</v>
      </c>
      <c r="B221" t="s">
        <v>2519</v>
      </c>
      <c r="C221" t="s">
        <v>1456</v>
      </c>
      <c r="D221" t="s">
        <v>2520</v>
      </c>
      <c r="E221">
        <v>1</v>
      </c>
      <c r="G221">
        <v>6.6</v>
      </c>
      <c r="H221" t="s">
        <v>2521</v>
      </c>
      <c r="I221">
        <v>1</v>
      </c>
      <c r="J221" t="s">
        <v>1924</v>
      </c>
      <c r="K221">
        <v>2</v>
      </c>
      <c r="M221">
        <v>6</v>
      </c>
    </row>
    <row r="222" spans="1:13" x14ac:dyDescent="0.15">
      <c r="A222" t="s">
        <v>2522</v>
      </c>
      <c r="B222" t="s">
        <v>2522</v>
      </c>
      <c r="C222" t="s">
        <v>1457</v>
      </c>
      <c r="D222" t="s">
        <v>2523</v>
      </c>
      <c r="E222">
        <v>1</v>
      </c>
      <c r="G222">
        <v>8.3000000000000007</v>
      </c>
      <c r="H222" t="s">
        <v>2524</v>
      </c>
      <c r="I222">
        <v>1</v>
      </c>
      <c r="J222" t="s">
        <v>1924</v>
      </c>
      <c r="K222">
        <v>2</v>
      </c>
      <c r="M222">
        <v>6</v>
      </c>
    </row>
    <row r="223" spans="1:13" x14ac:dyDescent="0.15">
      <c r="A223" t="s">
        <v>2525</v>
      </c>
      <c r="B223" t="s">
        <v>2525</v>
      </c>
      <c r="C223" t="s">
        <v>1458</v>
      </c>
      <c r="D223" t="s">
        <v>2526</v>
      </c>
      <c r="E223">
        <v>1</v>
      </c>
      <c r="G223">
        <v>6.6</v>
      </c>
      <c r="H223" t="s">
        <v>2527</v>
      </c>
      <c r="I223">
        <v>1</v>
      </c>
      <c r="J223" t="s">
        <v>1924</v>
      </c>
      <c r="K223">
        <v>0</v>
      </c>
      <c r="M223">
        <v>5</v>
      </c>
    </row>
    <row r="224" spans="1:13" x14ac:dyDescent="0.15">
      <c r="A224" t="s">
        <v>2528</v>
      </c>
      <c r="B224" t="s">
        <v>2528</v>
      </c>
      <c r="C224" t="s">
        <v>1459</v>
      </c>
      <c r="D224" t="s">
        <v>2529</v>
      </c>
      <c r="E224">
        <v>1</v>
      </c>
      <c r="G224">
        <v>236</v>
      </c>
      <c r="H224" t="s">
        <v>2530</v>
      </c>
      <c r="I224">
        <v>25</v>
      </c>
      <c r="J224" t="s">
        <v>1911</v>
      </c>
      <c r="K224">
        <v>0</v>
      </c>
      <c r="M224">
        <v>8</v>
      </c>
    </row>
    <row r="225" spans="1:13" x14ac:dyDescent="0.15">
      <c r="A225" t="s">
        <v>2531</v>
      </c>
      <c r="B225" t="s">
        <v>2531</v>
      </c>
      <c r="C225" t="s">
        <v>1459</v>
      </c>
      <c r="D225" t="s">
        <v>2532</v>
      </c>
      <c r="E225">
        <v>1</v>
      </c>
      <c r="G225">
        <v>236</v>
      </c>
      <c r="H225" t="s">
        <v>2530</v>
      </c>
      <c r="I225">
        <v>25</v>
      </c>
      <c r="J225" t="s">
        <v>1911</v>
      </c>
      <c r="K225">
        <v>0</v>
      </c>
      <c r="M225">
        <v>8</v>
      </c>
    </row>
    <row r="226" spans="1:13" x14ac:dyDescent="0.15">
      <c r="A226" t="s">
        <v>2533</v>
      </c>
      <c r="B226" t="s">
        <v>2533</v>
      </c>
      <c r="C226" t="s">
        <v>1460</v>
      </c>
      <c r="D226" t="s">
        <v>2534</v>
      </c>
      <c r="E226">
        <v>1</v>
      </c>
      <c r="G226">
        <v>212</v>
      </c>
      <c r="H226" t="s">
        <v>2535</v>
      </c>
      <c r="I226">
        <v>25</v>
      </c>
      <c r="J226" t="s">
        <v>1911</v>
      </c>
      <c r="K226">
        <v>0</v>
      </c>
      <c r="M226">
        <v>9</v>
      </c>
    </row>
    <row r="227" spans="1:13" x14ac:dyDescent="0.15">
      <c r="A227" t="s">
        <v>2536</v>
      </c>
      <c r="B227" t="s">
        <v>2536</v>
      </c>
      <c r="C227" t="s">
        <v>1461</v>
      </c>
      <c r="E227">
        <v>1</v>
      </c>
      <c r="G227">
        <v>100</v>
      </c>
      <c r="H227" t="s">
        <v>2537</v>
      </c>
      <c r="I227">
        <v>25</v>
      </c>
      <c r="J227" t="s">
        <v>1911</v>
      </c>
      <c r="K227">
        <v>0</v>
      </c>
      <c r="M227">
        <v>8</v>
      </c>
    </row>
    <row r="228" spans="1:13" x14ac:dyDescent="0.15">
      <c r="A228" t="s">
        <v>2538</v>
      </c>
      <c r="B228" t="s">
        <v>2538</v>
      </c>
      <c r="C228" t="s">
        <v>1462</v>
      </c>
      <c r="D228" t="s">
        <v>2539</v>
      </c>
      <c r="E228">
        <v>1</v>
      </c>
      <c r="G228">
        <v>147</v>
      </c>
      <c r="H228" t="s">
        <v>2540</v>
      </c>
      <c r="I228">
        <v>25</v>
      </c>
      <c r="J228" t="s">
        <v>1911</v>
      </c>
      <c r="K228">
        <v>0</v>
      </c>
      <c r="M228">
        <v>9</v>
      </c>
    </row>
    <row r="229" spans="1:13" x14ac:dyDescent="0.15">
      <c r="A229" t="s">
        <v>2541</v>
      </c>
      <c r="B229" t="s">
        <v>2541</v>
      </c>
      <c r="C229" t="s">
        <v>1462</v>
      </c>
      <c r="E229">
        <v>1</v>
      </c>
      <c r="G229">
        <v>100</v>
      </c>
      <c r="H229" t="s">
        <v>2542</v>
      </c>
      <c r="I229">
        <v>25</v>
      </c>
      <c r="J229" t="s">
        <v>1911</v>
      </c>
      <c r="K229">
        <v>0</v>
      </c>
      <c r="M229">
        <v>8</v>
      </c>
    </row>
    <row r="230" spans="1:13" x14ac:dyDescent="0.15">
      <c r="A230" t="s">
        <v>2543</v>
      </c>
      <c r="B230" t="s">
        <v>2543</v>
      </c>
      <c r="C230" t="s">
        <v>1463</v>
      </c>
      <c r="D230" t="s">
        <v>2544</v>
      </c>
      <c r="E230">
        <v>1</v>
      </c>
      <c r="G230">
        <v>15.5</v>
      </c>
      <c r="H230" t="s">
        <v>2545</v>
      </c>
      <c r="I230">
        <v>1</v>
      </c>
      <c r="J230" t="s">
        <v>1924</v>
      </c>
      <c r="K230">
        <v>2</v>
      </c>
      <c r="M230">
        <v>6</v>
      </c>
    </row>
    <row r="231" spans="1:13" x14ac:dyDescent="0.15">
      <c r="A231" t="s">
        <v>2546</v>
      </c>
      <c r="B231" t="s">
        <v>2546</v>
      </c>
      <c r="C231" t="s">
        <v>557</v>
      </c>
      <c r="D231" t="s">
        <v>2547</v>
      </c>
      <c r="E231">
        <v>1</v>
      </c>
      <c r="G231">
        <v>5.9</v>
      </c>
      <c r="H231" t="s">
        <v>2548</v>
      </c>
      <c r="I231">
        <v>1</v>
      </c>
      <c r="J231" t="s">
        <v>1924</v>
      </c>
      <c r="K231">
        <v>0</v>
      </c>
      <c r="M231">
        <v>5</v>
      </c>
    </row>
    <row r="232" spans="1:13" x14ac:dyDescent="0.15">
      <c r="A232" t="s">
        <v>2549</v>
      </c>
      <c r="B232" t="s">
        <v>2549</v>
      </c>
      <c r="C232" t="s">
        <v>558</v>
      </c>
      <c r="D232" t="s">
        <v>2550</v>
      </c>
      <c r="E232">
        <v>1</v>
      </c>
      <c r="G232">
        <v>6</v>
      </c>
      <c r="H232" t="s">
        <v>2551</v>
      </c>
      <c r="I232">
        <v>1</v>
      </c>
      <c r="J232" t="s">
        <v>1924</v>
      </c>
      <c r="K232">
        <v>0</v>
      </c>
      <c r="M232">
        <v>1</v>
      </c>
    </row>
    <row r="233" spans="1:13" x14ac:dyDescent="0.15">
      <c r="A233" t="s">
        <v>2552</v>
      </c>
      <c r="B233" t="s">
        <v>2552</v>
      </c>
      <c r="C233" t="s">
        <v>1464</v>
      </c>
      <c r="E233">
        <v>2</v>
      </c>
      <c r="G233">
        <v>13.4</v>
      </c>
      <c r="H233" t="s">
        <v>2553</v>
      </c>
      <c r="I233">
        <v>4</v>
      </c>
      <c r="J233" t="s">
        <v>2208</v>
      </c>
      <c r="K233">
        <v>2</v>
      </c>
      <c r="M233">
        <v>3</v>
      </c>
    </row>
    <row r="234" spans="1:13" x14ac:dyDescent="0.15">
      <c r="A234" t="s">
        <v>2554</v>
      </c>
      <c r="B234" t="s">
        <v>2554</v>
      </c>
      <c r="C234" t="s">
        <v>1465</v>
      </c>
      <c r="D234" t="s">
        <v>2555</v>
      </c>
      <c r="E234">
        <v>1</v>
      </c>
      <c r="G234">
        <v>522</v>
      </c>
      <c r="H234" t="s">
        <v>2556</v>
      </c>
      <c r="I234">
        <v>25</v>
      </c>
      <c r="J234" t="s">
        <v>1911</v>
      </c>
      <c r="K234">
        <v>0</v>
      </c>
      <c r="M234">
        <v>8</v>
      </c>
    </row>
    <row r="235" spans="1:13" x14ac:dyDescent="0.15">
      <c r="A235" t="s">
        <v>2557</v>
      </c>
      <c r="B235" t="s">
        <v>2557</v>
      </c>
      <c r="C235" t="s">
        <v>1466</v>
      </c>
      <c r="E235">
        <v>1</v>
      </c>
      <c r="G235">
        <v>686</v>
      </c>
      <c r="H235" t="s">
        <v>2558</v>
      </c>
      <c r="I235">
        <v>25</v>
      </c>
      <c r="J235" t="s">
        <v>1911</v>
      </c>
      <c r="K235">
        <v>0</v>
      </c>
      <c r="M235">
        <v>8</v>
      </c>
    </row>
    <row r="236" spans="1:13" x14ac:dyDescent="0.15">
      <c r="A236" t="s">
        <v>2559</v>
      </c>
      <c r="B236" t="s">
        <v>2559</v>
      </c>
      <c r="C236" t="s">
        <v>1467</v>
      </c>
      <c r="D236" t="s">
        <v>2560</v>
      </c>
      <c r="E236">
        <v>1</v>
      </c>
      <c r="G236">
        <v>422</v>
      </c>
      <c r="H236" t="s">
        <v>2561</v>
      </c>
      <c r="I236">
        <v>25</v>
      </c>
      <c r="J236" t="s">
        <v>1911</v>
      </c>
      <c r="K236">
        <v>0</v>
      </c>
      <c r="M236">
        <v>8</v>
      </c>
    </row>
    <row r="237" spans="1:13" x14ac:dyDescent="0.15">
      <c r="A237" t="s">
        <v>2562</v>
      </c>
      <c r="B237" t="s">
        <v>2562</v>
      </c>
      <c r="C237" t="s">
        <v>1468</v>
      </c>
      <c r="D237" t="s">
        <v>2563</v>
      </c>
      <c r="E237">
        <v>1</v>
      </c>
      <c r="G237">
        <v>17160</v>
      </c>
      <c r="H237" t="s">
        <v>2564</v>
      </c>
      <c r="I237">
        <v>25</v>
      </c>
      <c r="J237" t="s">
        <v>1911</v>
      </c>
      <c r="K237">
        <v>2</v>
      </c>
      <c r="M237">
        <v>9</v>
      </c>
    </row>
    <row r="238" spans="1:13" x14ac:dyDescent="0.15">
      <c r="A238" t="s">
        <v>2565</v>
      </c>
      <c r="B238" t="s">
        <v>2565</v>
      </c>
      <c r="C238" t="s">
        <v>1469</v>
      </c>
      <c r="D238" t="s">
        <v>2566</v>
      </c>
      <c r="E238">
        <v>1</v>
      </c>
      <c r="G238">
        <v>27994</v>
      </c>
      <c r="H238" t="s">
        <v>2567</v>
      </c>
      <c r="I238">
        <v>25</v>
      </c>
      <c r="J238" t="s">
        <v>1911</v>
      </c>
      <c r="K238">
        <v>2</v>
      </c>
      <c r="M238">
        <v>9</v>
      </c>
    </row>
    <row r="239" spans="1:13" x14ac:dyDescent="0.15">
      <c r="A239" t="s">
        <v>2568</v>
      </c>
      <c r="B239" t="s">
        <v>2568</v>
      </c>
      <c r="C239" t="s">
        <v>1470</v>
      </c>
      <c r="D239" t="s">
        <v>2569</v>
      </c>
      <c r="E239">
        <v>1</v>
      </c>
      <c r="G239">
        <v>36826</v>
      </c>
      <c r="H239" t="s">
        <v>2570</v>
      </c>
      <c r="I239">
        <v>25</v>
      </c>
      <c r="J239" t="s">
        <v>1911</v>
      </c>
      <c r="K239">
        <v>2</v>
      </c>
      <c r="M239">
        <v>9</v>
      </c>
    </row>
    <row r="240" spans="1:13" x14ac:dyDescent="0.15">
      <c r="A240" t="s">
        <v>2571</v>
      </c>
      <c r="B240" t="s">
        <v>2571</v>
      </c>
      <c r="C240" t="s">
        <v>1471</v>
      </c>
      <c r="D240" t="s">
        <v>2572</v>
      </c>
      <c r="E240">
        <v>1</v>
      </c>
      <c r="G240">
        <v>44680</v>
      </c>
      <c r="H240" t="s">
        <v>2573</v>
      </c>
      <c r="I240">
        <v>25</v>
      </c>
      <c r="J240" t="s">
        <v>1911</v>
      </c>
      <c r="K240">
        <v>2</v>
      </c>
      <c r="M240">
        <v>9</v>
      </c>
    </row>
    <row r="241" spans="1:13" x14ac:dyDescent="0.15">
      <c r="A241" t="s">
        <v>2574</v>
      </c>
      <c r="B241" t="s">
        <v>2574</v>
      </c>
      <c r="C241" t="s">
        <v>1472</v>
      </c>
      <c r="D241" t="s">
        <v>2575</v>
      </c>
      <c r="E241">
        <v>1</v>
      </c>
      <c r="G241">
        <v>57335</v>
      </c>
      <c r="H241" t="s">
        <v>2576</v>
      </c>
      <c r="I241">
        <v>25</v>
      </c>
      <c r="J241" t="s">
        <v>1911</v>
      </c>
      <c r="K241">
        <v>2</v>
      </c>
      <c r="M241">
        <v>9</v>
      </c>
    </row>
    <row r="242" spans="1:13" x14ac:dyDescent="0.15">
      <c r="A242" t="s">
        <v>2577</v>
      </c>
      <c r="B242" t="s">
        <v>2577</v>
      </c>
      <c r="C242" t="s">
        <v>1473</v>
      </c>
      <c r="D242" t="s">
        <v>2578</v>
      </c>
      <c r="E242">
        <v>2</v>
      </c>
      <c r="G242">
        <v>40.200000000000003</v>
      </c>
      <c r="H242" t="s">
        <v>2579</v>
      </c>
      <c r="I242">
        <v>1</v>
      </c>
      <c r="J242" t="s">
        <v>1924</v>
      </c>
      <c r="K242">
        <v>0</v>
      </c>
      <c r="M242">
        <v>3</v>
      </c>
    </row>
    <row r="243" spans="1:13" x14ac:dyDescent="0.15">
      <c r="A243" t="s">
        <v>2580</v>
      </c>
      <c r="B243" t="s">
        <v>2580</v>
      </c>
      <c r="C243" t="s">
        <v>1474</v>
      </c>
      <c r="E243">
        <v>1</v>
      </c>
      <c r="G243">
        <v>14.4</v>
      </c>
      <c r="H243" t="s">
        <v>2581</v>
      </c>
      <c r="I243">
        <v>1</v>
      </c>
      <c r="J243" t="s">
        <v>1924</v>
      </c>
      <c r="K243">
        <v>2</v>
      </c>
      <c r="M243">
        <v>6</v>
      </c>
    </row>
    <row r="244" spans="1:13" x14ac:dyDescent="0.15">
      <c r="A244" t="s">
        <v>2582</v>
      </c>
      <c r="B244" t="s">
        <v>2582</v>
      </c>
      <c r="C244" t="s">
        <v>1475</v>
      </c>
      <c r="D244" t="s">
        <v>2583</v>
      </c>
      <c r="E244">
        <v>1</v>
      </c>
      <c r="G244">
        <v>6.1</v>
      </c>
      <c r="H244" t="s">
        <v>2584</v>
      </c>
      <c r="I244">
        <v>1</v>
      </c>
      <c r="J244" t="s">
        <v>1924</v>
      </c>
      <c r="K244">
        <v>2</v>
      </c>
      <c r="M244">
        <v>6</v>
      </c>
    </row>
    <row r="245" spans="1:13" x14ac:dyDescent="0.15">
      <c r="A245" t="s">
        <v>2585</v>
      </c>
      <c r="B245" t="s">
        <v>2585</v>
      </c>
      <c r="C245" t="s">
        <v>575</v>
      </c>
      <c r="D245" t="s">
        <v>2586</v>
      </c>
      <c r="E245">
        <v>1</v>
      </c>
      <c r="G245">
        <v>8</v>
      </c>
      <c r="H245" t="s">
        <v>2587</v>
      </c>
      <c r="I245">
        <v>1</v>
      </c>
      <c r="J245" t="s">
        <v>1924</v>
      </c>
      <c r="K245">
        <v>0</v>
      </c>
      <c r="M245">
        <v>5</v>
      </c>
    </row>
    <row r="246" spans="1:13" x14ac:dyDescent="0.15">
      <c r="A246" t="s">
        <v>2588</v>
      </c>
      <c r="B246" t="s">
        <v>2588</v>
      </c>
      <c r="C246" t="s">
        <v>1476</v>
      </c>
      <c r="E246">
        <v>1</v>
      </c>
      <c r="G246">
        <v>36.700000000000003</v>
      </c>
      <c r="H246" t="s">
        <v>2589</v>
      </c>
      <c r="I246">
        <v>5</v>
      </c>
      <c r="J246" t="s">
        <v>2590</v>
      </c>
      <c r="K246">
        <v>0</v>
      </c>
      <c r="M246">
        <v>2</v>
      </c>
    </row>
    <row r="247" spans="1:13" x14ac:dyDescent="0.15">
      <c r="A247" t="s">
        <v>2591</v>
      </c>
      <c r="B247" t="s">
        <v>2591</v>
      </c>
      <c r="C247" t="s">
        <v>578</v>
      </c>
      <c r="D247" t="s">
        <v>2592</v>
      </c>
      <c r="E247">
        <v>1</v>
      </c>
      <c r="G247">
        <v>100</v>
      </c>
      <c r="H247" t="s">
        <v>2593</v>
      </c>
      <c r="I247">
        <v>25</v>
      </c>
      <c r="J247" t="s">
        <v>1911</v>
      </c>
      <c r="K247">
        <v>2</v>
      </c>
      <c r="M247">
        <v>5</v>
      </c>
    </row>
    <row r="248" spans="1:13" x14ac:dyDescent="0.15">
      <c r="A248" t="s">
        <v>2594</v>
      </c>
      <c r="B248" t="s">
        <v>2594</v>
      </c>
      <c r="C248" t="s">
        <v>580</v>
      </c>
      <c r="D248" t="s">
        <v>2595</v>
      </c>
      <c r="E248">
        <v>1</v>
      </c>
      <c r="G248">
        <v>15.1</v>
      </c>
      <c r="H248" t="s">
        <v>2596</v>
      </c>
      <c r="I248">
        <v>7</v>
      </c>
      <c r="J248" t="s">
        <v>2151</v>
      </c>
      <c r="K248">
        <v>2</v>
      </c>
      <c r="M248">
        <v>13</v>
      </c>
    </row>
    <row r="249" spans="1:13" x14ac:dyDescent="0.15">
      <c r="A249" t="s">
        <v>2597</v>
      </c>
      <c r="B249" t="s">
        <v>2597</v>
      </c>
      <c r="C249" t="s">
        <v>1477</v>
      </c>
      <c r="E249">
        <v>1</v>
      </c>
      <c r="G249">
        <v>5.3</v>
      </c>
      <c r="H249" t="s">
        <v>2598</v>
      </c>
      <c r="I249">
        <v>1</v>
      </c>
      <c r="J249" t="s">
        <v>1924</v>
      </c>
      <c r="K249">
        <v>0</v>
      </c>
      <c r="M249">
        <v>5</v>
      </c>
    </row>
    <row r="250" spans="1:13" x14ac:dyDescent="0.15">
      <c r="A250" t="s">
        <v>2599</v>
      </c>
      <c r="B250" t="s">
        <v>2599</v>
      </c>
      <c r="C250" t="s">
        <v>1478</v>
      </c>
      <c r="D250" t="s">
        <v>2600</v>
      </c>
      <c r="E250">
        <v>1</v>
      </c>
      <c r="G250">
        <v>7.7</v>
      </c>
      <c r="H250" t="s">
        <v>2601</v>
      </c>
      <c r="I250">
        <v>3</v>
      </c>
      <c r="J250" t="s">
        <v>1947</v>
      </c>
      <c r="K250">
        <v>0</v>
      </c>
      <c r="M250">
        <v>2</v>
      </c>
    </row>
    <row r="251" spans="1:13" x14ac:dyDescent="0.15">
      <c r="A251" t="s">
        <v>2602</v>
      </c>
      <c r="B251" t="s">
        <v>2602</v>
      </c>
      <c r="C251" t="s">
        <v>1479</v>
      </c>
      <c r="D251" t="s">
        <v>2603</v>
      </c>
      <c r="E251">
        <v>1</v>
      </c>
      <c r="G251">
        <v>1144</v>
      </c>
      <c r="H251" t="s">
        <v>2604</v>
      </c>
      <c r="I251">
        <v>25</v>
      </c>
      <c r="J251" t="s">
        <v>1911</v>
      </c>
      <c r="K251">
        <v>0</v>
      </c>
      <c r="M251">
        <v>8</v>
      </c>
    </row>
    <row r="252" spans="1:13" x14ac:dyDescent="0.15">
      <c r="A252" t="s">
        <v>2605</v>
      </c>
      <c r="B252" t="s">
        <v>2605</v>
      </c>
      <c r="C252" t="s">
        <v>1480</v>
      </c>
      <c r="E252">
        <v>2</v>
      </c>
      <c r="G252">
        <v>60.3</v>
      </c>
      <c r="H252" t="s">
        <v>2606</v>
      </c>
      <c r="I252">
        <v>1</v>
      </c>
      <c r="J252" t="s">
        <v>1924</v>
      </c>
      <c r="K252">
        <v>0</v>
      </c>
      <c r="M252">
        <v>15</v>
      </c>
    </row>
    <row r="253" spans="1:13" x14ac:dyDescent="0.15">
      <c r="A253" t="s">
        <v>2607</v>
      </c>
      <c r="B253" t="s">
        <v>2607</v>
      </c>
      <c r="C253" t="s">
        <v>1481</v>
      </c>
      <c r="D253" t="s">
        <v>2608</v>
      </c>
      <c r="E253">
        <v>1</v>
      </c>
      <c r="G253">
        <v>11.7</v>
      </c>
      <c r="H253" t="s">
        <v>2609</v>
      </c>
      <c r="I253">
        <v>1</v>
      </c>
      <c r="J253" t="s">
        <v>1924</v>
      </c>
      <c r="K253">
        <v>2</v>
      </c>
      <c r="M253">
        <v>6</v>
      </c>
    </row>
    <row r="254" spans="1:13" x14ac:dyDescent="0.15">
      <c r="A254" t="s">
        <v>2610</v>
      </c>
      <c r="B254" t="s">
        <v>2610</v>
      </c>
      <c r="C254" t="s">
        <v>1482</v>
      </c>
      <c r="E254">
        <v>1</v>
      </c>
      <c r="G254">
        <v>275</v>
      </c>
      <c r="H254" t="s">
        <v>2611</v>
      </c>
      <c r="I254">
        <v>1</v>
      </c>
      <c r="J254" t="s">
        <v>1924</v>
      </c>
      <c r="K254">
        <v>2</v>
      </c>
      <c r="M254">
        <v>6</v>
      </c>
    </row>
    <row r="255" spans="1:13" x14ac:dyDescent="0.15">
      <c r="A255" t="s">
        <v>2612</v>
      </c>
      <c r="B255" t="s">
        <v>2612</v>
      </c>
      <c r="C255" t="s">
        <v>594</v>
      </c>
      <c r="D255" t="s">
        <v>2613</v>
      </c>
      <c r="E255">
        <v>1</v>
      </c>
      <c r="G255">
        <v>6.7</v>
      </c>
      <c r="H255" t="s">
        <v>2614</v>
      </c>
      <c r="I255">
        <v>1</v>
      </c>
      <c r="J255" t="s">
        <v>1924</v>
      </c>
      <c r="K255">
        <v>0</v>
      </c>
      <c r="M255">
        <v>5</v>
      </c>
    </row>
    <row r="256" spans="1:13" x14ac:dyDescent="0.15">
      <c r="A256" t="s">
        <v>2615</v>
      </c>
      <c r="B256" t="s">
        <v>2615</v>
      </c>
      <c r="C256" t="s">
        <v>1483</v>
      </c>
      <c r="D256" t="s">
        <v>2616</v>
      </c>
      <c r="E256">
        <v>1</v>
      </c>
      <c r="G256">
        <v>2438.8000000000002</v>
      </c>
      <c r="H256" t="s">
        <v>2617</v>
      </c>
      <c r="I256">
        <v>1</v>
      </c>
      <c r="J256" t="s">
        <v>1924</v>
      </c>
      <c r="K256">
        <v>0</v>
      </c>
      <c r="M256">
        <v>1</v>
      </c>
    </row>
    <row r="257" spans="1:13" x14ac:dyDescent="0.15">
      <c r="A257" t="s">
        <v>2618</v>
      </c>
      <c r="B257" t="s">
        <v>2618</v>
      </c>
      <c r="C257" t="s">
        <v>1484</v>
      </c>
      <c r="D257" t="s">
        <v>2619</v>
      </c>
      <c r="E257">
        <v>1</v>
      </c>
      <c r="G257">
        <v>6.1</v>
      </c>
      <c r="H257" t="s">
        <v>2620</v>
      </c>
      <c r="I257">
        <v>1</v>
      </c>
      <c r="J257" t="s">
        <v>1924</v>
      </c>
      <c r="K257">
        <v>0</v>
      </c>
      <c r="M257">
        <v>1</v>
      </c>
    </row>
    <row r="258" spans="1:13" x14ac:dyDescent="0.15">
      <c r="A258" t="s">
        <v>2621</v>
      </c>
      <c r="B258" t="s">
        <v>2621</v>
      </c>
      <c r="C258" t="s">
        <v>1485</v>
      </c>
      <c r="D258" t="s">
        <v>2622</v>
      </c>
      <c r="E258">
        <v>1</v>
      </c>
      <c r="G258">
        <v>7.6</v>
      </c>
      <c r="H258" t="s">
        <v>2623</v>
      </c>
      <c r="I258">
        <v>1</v>
      </c>
      <c r="J258" t="s">
        <v>1924</v>
      </c>
      <c r="K258">
        <v>0</v>
      </c>
      <c r="M258">
        <v>1</v>
      </c>
    </row>
    <row r="259" spans="1:13" x14ac:dyDescent="0.15">
      <c r="A259" t="s">
        <v>2624</v>
      </c>
      <c r="B259" t="s">
        <v>2624</v>
      </c>
      <c r="C259" t="s">
        <v>1486</v>
      </c>
      <c r="E259">
        <v>1</v>
      </c>
      <c r="G259">
        <v>33</v>
      </c>
      <c r="H259" t="s">
        <v>2625</v>
      </c>
      <c r="I259">
        <v>1</v>
      </c>
      <c r="J259" t="s">
        <v>1924</v>
      </c>
      <c r="K259">
        <v>0</v>
      </c>
      <c r="M259">
        <v>1</v>
      </c>
    </row>
    <row r="260" spans="1:13" x14ac:dyDescent="0.15">
      <c r="A260" t="s">
        <v>2626</v>
      </c>
      <c r="B260" t="s">
        <v>2626</v>
      </c>
      <c r="C260" t="s">
        <v>1487</v>
      </c>
      <c r="E260">
        <v>2</v>
      </c>
      <c r="G260">
        <v>216</v>
      </c>
      <c r="H260" t="s">
        <v>2627</v>
      </c>
      <c r="I260">
        <v>25</v>
      </c>
      <c r="J260" t="s">
        <v>1911</v>
      </c>
      <c r="K260">
        <v>2</v>
      </c>
      <c r="M260">
        <v>9</v>
      </c>
    </row>
    <row r="261" spans="1:13" x14ac:dyDescent="0.15">
      <c r="A261" t="s">
        <v>2628</v>
      </c>
      <c r="B261" t="s">
        <v>2628</v>
      </c>
      <c r="C261" t="s">
        <v>1488</v>
      </c>
      <c r="D261" t="s">
        <v>2629</v>
      </c>
      <c r="E261">
        <v>1</v>
      </c>
      <c r="G261">
        <v>184</v>
      </c>
      <c r="H261" t="s">
        <v>2630</v>
      </c>
      <c r="I261">
        <v>25</v>
      </c>
      <c r="J261" t="s">
        <v>1911</v>
      </c>
      <c r="K261">
        <v>0</v>
      </c>
      <c r="M261">
        <v>10</v>
      </c>
    </row>
    <row r="262" spans="1:13" x14ac:dyDescent="0.15">
      <c r="A262" t="s">
        <v>2631</v>
      </c>
      <c r="B262" t="s">
        <v>2631</v>
      </c>
      <c r="C262" t="s">
        <v>1488</v>
      </c>
      <c r="D262" t="s">
        <v>2632</v>
      </c>
      <c r="E262">
        <v>1</v>
      </c>
      <c r="G262">
        <v>145</v>
      </c>
      <c r="H262" t="s">
        <v>2630</v>
      </c>
      <c r="I262">
        <v>25</v>
      </c>
      <c r="J262" t="s">
        <v>1911</v>
      </c>
      <c r="K262">
        <v>0</v>
      </c>
      <c r="M262">
        <v>10</v>
      </c>
    </row>
    <row r="263" spans="1:13" x14ac:dyDescent="0.15">
      <c r="A263" t="s">
        <v>2633</v>
      </c>
      <c r="B263" t="s">
        <v>2633</v>
      </c>
      <c r="C263" t="s">
        <v>607</v>
      </c>
      <c r="D263" t="s">
        <v>2634</v>
      </c>
      <c r="E263">
        <v>1</v>
      </c>
      <c r="G263">
        <v>50.7</v>
      </c>
      <c r="H263" t="s">
        <v>2635</v>
      </c>
      <c r="I263">
        <v>12</v>
      </c>
      <c r="J263" t="s">
        <v>2256</v>
      </c>
      <c r="K263">
        <v>0</v>
      </c>
      <c r="M263">
        <v>3</v>
      </c>
    </row>
    <row r="264" spans="1:13" x14ac:dyDescent="0.15">
      <c r="A264" t="s">
        <v>2636</v>
      </c>
      <c r="B264" t="s">
        <v>2636</v>
      </c>
      <c r="C264" t="s">
        <v>609</v>
      </c>
      <c r="E264">
        <v>1</v>
      </c>
      <c r="G264">
        <v>61</v>
      </c>
      <c r="H264" t="s">
        <v>2637</v>
      </c>
      <c r="I264">
        <v>25</v>
      </c>
      <c r="J264" t="s">
        <v>1911</v>
      </c>
      <c r="K264">
        <v>0</v>
      </c>
      <c r="M264">
        <v>11</v>
      </c>
    </row>
    <row r="265" spans="1:13" x14ac:dyDescent="0.15">
      <c r="A265" t="s">
        <v>2638</v>
      </c>
      <c r="B265" t="s">
        <v>2638</v>
      </c>
      <c r="C265" t="s">
        <v>612</v>
      </c>
      <c r="D265" t="s">
        <v>2639</v>
      </c>
      <c r="E265">
        <v>2</v>
      </c>
      <c r="G265">
        <v>15.1</v>
      </c>
      <c r="H265" t="s">
        <v>2640</v>
      </c>
      <c r="I265">
        <v>1</v>
      </c>
      <c r="J265" t="s">
        <v>1924</v>
      </c>
      <c r="K265">
        <v>0</v>
      </c>
      <c r="M265">
        <v>15</v>
      </c>
    </row>
    <row r="266" spans="1:13" x14ac:dyDescent="0.15">
      <c r="A266" t="s">
        <v>2641</v>
      </c>
      <c r="B266" t="s">
        <v>2641</v>
      </c>
      <c r="C266" t="s">
        <v>1489</v>
      </c>
      <c r="E266">
        <v>2</v>
      </c>
      <c r="G266">
        <v>153.5</v>
      </c>
      <c r="H266" t="s">
        <v>2642</v>
      </c>
      <c r="I266">
        <v>2</v>
      </c>
      <c r="J266" t="s">
        <v>835</v>
      </c>
      <c r="K266">
        <v>2</v>
      </c>
      <c r="M266">
        <v>15</v>
      </c>
    </row>
    <row r="267" spans="1:13" x14ac:dyDescent="0.15">
      <c r="A267" t="s">
        <v>2643</v>
      </c>
      <c r="B267" t="s">
        <v>2643</v>
      </c>
      <c r="C267" t="s">
        <v>1490</v>
      </c>
      <c r="E267">
        <v>1</v>
      </c>
      <c r="G267">
        <v>94.3</v>
      </c>
      <c r="H267" t="s">
        <v>2644</v>
      </c>
      <c r="I267">
        <v>1</v>
      </c>
      <c r="J267" t="s">
        <v>1924</v>
      </c>
      <c r="K267">
        <v>0</v>
      </c>
      <c r="M267">
        <v>5</v>
      </c>
    </row>
    <row r="268" spans="1:13" x14ac:dyDescent="0.15">
      <c r="A268" t="s">
        <v>2645</v>
      </c>
      <c r="B268" t="s">
        <v>2645</v>
      </c>
      <c r="C268" t="s">
        <v>1491</v>
      </c>
      <c r="E268">
        <v>1</v>
      </c>
      <c r="G268">
        <v>141</v>
      </c>
      <c r="H268" t="s">
        <v>2646</v>
      </c>
      <c r="I268">
        <v>1</v>
      </c>
      <c r="J268" t="s">
        <v>1924</v>
      </c>
      <c r="K268">
        <v>0</v>
      </c>
      <c r="M268">
        <v>5</v>
      </c>
    </row>
    <row r="269" spans="1:13" x14ac:dyDescent="0.15">
      <c r="A269" t="s">
        <v>2647</v>
      </c>
      <c r="B269" t="s">
        <v>2647</v>
      </c>
      <c r="C269" t="s">
        <v>1492</v>
      </c>
      <c r="D269" t="s">
        <v>2648</v>
      </c>
      <c r="E269">
        <v>1</v>
      </c>
      <c r="G269">
        <v>452</v>
      </c>
      <c r="H269" t="s">
        <v>2649</v>
      </c>
      <c r="I269">
        <v>25</v>
      </c>
      <c r="J269" t="s">
        <v>1911</v>
      </c>
      <c r="K269">
        <v>0</v>
      </c>
      <c r="M269">
        <v>9</v>
      </c>
    </row>
    <row r="270" spans="1:13" x14ac:dyDescent="0.15">
      <c r="A270" t="s">
        <v>2650</v>
      </c>
      <c r="B270" t="s">
        <v>2650</v>
      </c>
      <c r="C270" t="s">
        <v>1493</v>
      </c>
      <c r="D270" t="s">
        <v>2651</v>
      </c>
      <c r="E270">
        <v>2</v>
      </c>
      <c r="G270">
        <v>7.2</v>
      </c>
      <c r="H270" t="s">
        <v>2652</v>
      </c>
      <c r="I270">
        <v>1</v>
      </c>
      <c r="J270" t="s">
        <v>1924</v>
      </c>
      <c r="K270">
        <v>0</v>
      </c>
      <c r="M270">
        <v>3</v>
      </c>
    </row>
    <row r="271" spans="1:13" x14ac:dyDescent="0.15">
      <c r="A271" t="s">
        <v>2653</v>
      </c>
      <c r="B271" t="s">
        <v>2653</v>
      </c>
      <c r="C271" t="s">
        <v>1494</v>
      </c>
      <c r="D271" t="s">
        <v>2654</v>
      </c>
      <c r="E271">
        <v>2</v>
      </c>
      <c r="G271">
        <v>541.70000000000005</v>
      </c>
      <c r="H271" t="s">
        <v>2655</v>
      </c>
      <c r="I271">
        <v>21</v>
      </c>
      <c r="J271" t="s">
        <v>1954</v>
      </c>
      <c r="K271">
        <v>2</v>
      </c>
      <c r="M271">
        <v>11</v>
      </c>
    </row>
    <row r="272" spans="1:13" x14ac:dyDescent="0.15">
      <c r="A272" t="s">
        <v>2656</v>
      </c>
      <c r="B272" t="s">
        <v>2656</v>
      </c>
      <c r="C272" t="s">
        <v>1495</v>
      </c>
      <c r="E272">
        <v>2</v>
      </c>
      <c r="G272">
        <v>157.4</v>
      </c>
      <c r="H272" t="s">
        <v>2657</v>
      </c>
      <c r="I272">
        <v>1</v>
      </c>
      <c r="J272" t="s">
        <v>1924</v>
      </c>
      <c r="K272">
        <v>2</v>
      </c>
      <c r="M272">
        <v>15</v>
      </c>
    </row>
    <row r="273" spans="1:13" x14ac:dyDescent="0.15">
      <c r="A273" t="s">
        <v>2658</v>
      </c>
      <c r="B273" t="s">
        <v>2658</v>
      </c>
      <c r="C273" t="s">
        <v>1496</v>
      </c>
      <c r="D273" t="s">
        <v>2659</v>
      </c>
      <c r="E273">
        <v>1</v>
      </c>
      <c r="G273">
        <v>18.5</v>
      </c>
      <c r="H273" t="s">
        <v>2660</v>
      </c>
      <c r="I273">
        <v>1</v>
      </c>
      <c r="J273" t="s">
        <v>1924</v>
      </c>
      <c r="K273">
        <v>0</v>
      </c>
      <c r="M273">
        <v>5</v>
      </c>
    </row>
    <row r="274" spans="1:13" x14ac:dyDescent="0.15">
      <c r="A274" t="s">
        <v>2661</v>
      </c>
      <c r="B274" t="s">
        <v>2661</v>
      </c>
      <c r="C274" t="s">
        <v>1497</v>
      </c>
      <c r="E274">
        <v>2</v>
      </c>
      <c r="G274">
        <v>23.8</v>
      </c>
      <c r="H274" t="s">
        <v>2662</v>
      </c>
      <c r="I274">
        <v>2</v>
      </c>
      <c r="J274" t="s">
        <v>835</v>
      </c>
      <c r="K274">
        <v>0</v>
      </c>
      <c r="M274">
        <v>15</v>
      </c>
    </row>
    <row r="275" spans="1:13" x14ac:dyDescent="0.15">
      <c r="A275" t="s">
        <v>2663</v>
      </c>
      <c r="B275" t="s">
        <v>2663</v>
      </c>
      <c r="C275" t="s">
        <v>1498</v>
      </c>
      <c r="E275">
        <v>2</v>
      </c>
      <c r="G275">
        <v>92.5</v>
      </c>
      <c r="H275" t="s">
        <v>2664</v>
      </c>
      <c r="I275">
        <v>1</v>
      </c>
      <c r="J275" t="s">
        <v>1924</v>
      </c>
      <c r="K275">
        <v>0</v>
      </c>
      <c r="M275">
        <v>3</v>
      </c>
    </row>
    <row r="276" spans="1:13" x14ac:dyDescent="0.15">
      <c r="A276" t="s">
        <v>2665</v>
      </c>
      <c r="B276" t="s">
        <v>2665</v>
      </c>
      <c r="C276" t="s">
        <v>1499</v>
      </c>
      <c r="D276" t="s">
        <v>2666</v>
      </c>
      <c r="E276">
        <v>1</v>
      </c>
      <c r="G276">
        <v>113.5</v>
      </c>
      <c r="H276" t="s">
        <v>2667</v>
      </c>
      <c r="I276">
        <v>14</v>
      </c>
      <c r="J276" t="s">
        <v>1907</v>
      </c>
      <c r="K276">
        <v>0</v>
      </c>
      <c r="M276">
        <v>3</v>
      </c>
    </row>
    <row r="277" spans="1:13" x14ac:dyDescent="0.15">
      <c r="A277" t="s">
        <v>2668</v>
      </c>
      <c r="B277" t="s">
        <v>2668</v>
      </c>
      <c r="C277" t="s">
        <v>1500</v>
      </c>
      <c r="D277" t="s">
        <v>2669</v>
      </c>
      <c r="E277">
        <v>1</v>
      </c>
      <c r="G277">
        <v>111.2</v>
      </c>
      <c r="H277" t="s">
        <v>2670</v>
      </c>
      <c r="I277">
        <v>22</v>
      </c>
      <c r="J277" t="s">
        <v>2671</v>
      </c>
      <c r="K277">
        <v>0</v>
      </c>
      <c r="M277">
        <v>3</v>
      </c>
    </row>
    <row r="278" spans="1:13" x14ac:dyDescent="0.15">
      <c r="A278" t="s">
        <v>2672</v>
      </c>
      <c r="B278" t="s">
        <v>2672</v>
      </c>
      <c r="C278" t="s">
        <v>1501</v>
      </c>
      <c r="E278">
        <v>2</v>
      </c>
      <c r="G278">
        <v>6155</v>
      </c>
      <c r="H278" t="s">
        <v>2673</v>
      </c>
      <c r="I278">
        <v>25</v>
      </c>
      <c r="J278" t="s">
        <v>1911</v>
      </c>
      <c r="K278">
        <v>2</v>
      </c>
      <c r="M278">
        <v>11</v>
      </c>
    </row>
    <row r="279" spans="1:13" x14ac:dyDescent="0.15">
      <c r="A279" t="s">
        <v>2674</v>
      </c>
      <c r="B279" t="s">
        <v>2674</v>
      </c>
      <c r="C279" t="s">
        <v>1502</v>
      </c>
      <c r="D279" t="s">
        <v>2675</v>
      </c>
      <c r="E279">
        <v>2</v>
      </c>
      <c r="G279">
        <v>1976</v>
      </c>
      <c r="H279" t="s">
        <v>2676</v>
      </c>
      <c r="I279">
        <v>25</v>
      </c>
      <c r="J279" t="s">
        <v>1911</v>
      </c>
      <c r="K279">
        <v>2</v>
      </c>
      <c r="M279">
        <v>15</v>
      </c>
    </row>
    <row r="280" spans="1:13" x14ac:dyDescent="0.15">
      <c r="A280" t="s">
        <v>2677</v>
      </c>
      <c r="B280" t="s">
        <v>2677</v>
      </c>
      <c r="C280" t="s">
        <v>1503</v>
      </c>
      <c r="E280">
        <v>2</v>
      </c>
      <c r="G280">
        <v>3424</v>
      </c>
      <c r="H280" t="s">
        <v>2678</v>
      </c>
      <c r="I280">
        <v>25</v>
      </c>
      <c r="J280" t="s">
        <v>1911</v>
      </c>
      <c r="K280">
        <v>2</v>
      </c>
      <c r="M280">
        <v>15</v>
      </c>
    </row>
    <row r="281" spans="1:13" x14ac:dyDescent="0.15">
      <c r="A281" t="s">
        <v>2679</v>
      </c>
      <c r="B281" t="s">
        <v>2679</v>
      </c>
      <c r="C281" t="s">
        <v>1504</v>
      </c>
      <c r="E281">
        <v>2</v>
      </c>
      <c r="G281">
        <v>1061</v>
      </c>
      <c r="H281" t="s">
        <v>2680</v>
      </c>
      <c r="I281">
        <v>25</v>
      </c>
      <c r="J281" t="s">
        <v>1911</v>
      </c>
      <c r="K281">
        <v>2</v>
      </c>
      <c r="M281">
        <v>15</v>
      </c>
    </row>
    <row r="282" spans="1:13" x14ac:dyDescent="0.15">
      <c r="A282" t="s">
        <v>2681</v>
      </c>
      <c r="B282" t="s">
        <v>2681</v>
      </c>
      <c r="C282" t="s">
        <v>1505</v>
      </c>
      <c r="D282" t="s">
        <v>2682</v>
      </c>
      <c r="E282">
        <v>1</v>
      </c>
      <c r="G282">
        <v>0.77</v>
      </c>
      <c r="H282" t="s">
        <v>2683</v>
      </c>
      <c r="I282">
        <v>3</v>
      </c>
      <c r="J282" t="s">
        <v>1947</v>
      </c>
      <c r="K282">
        <v>0</v>
      </c>
      <c r="M282">
        <v>2</v>
      </c>
    </row>
    <row r="283" spans="1:13" x14ac:dyDescent="0.15">
      <c r="A283" t="s">
        <v>2684</v>
      </c>
      <c r="B283" t="s">
        <v>2684</v>
      </c>
      <c r="C283" t="s">
        <v>1506</v>
      </c>
      <c r="E283">
        <v>1</v>
      </c>
      <c r="G283">
        <v>12.6</v>
      </c>
      <c r="H283" t="s">
        <v>2685</v>
      </c>
      <c r="I283">
        <v>1</v>
      </c>
      <c r="J283" t="s">
        <v>1924</v>
      </c>
      <c r="K283">
        <v>2</v>
      </c>
      <c r="M283">
        <v>6</v>
      </c>
    </row>
    <row r="284" spans="1:13" x14ac:dyDescent="0.15">
      <c r="A284" t="s">
        <v>2686</v>
      </c>
      <c r="B284" t="s">
        <v>2686</v>
      </c>
      <c r="C284" t="s">
        <v>1507</v>
      </c>
      <c r="E284">
        <v>1</v>
      </c>
      <c r="G284">
        <v>8.9</v>
      </c>
      <c r="H284" t="s">
        <v>2687</v>
      </c>
      <c r="I284">
        <v>1</v>
      </c>
      <c r="J284" t="s">
        <v>1924</v>
      </c>
      <c r="K284">
        <v>2</v>
      </c>
      <c r="M284">
        <v>6</v>
      </c>
    </row>
    <row r="285" spans="1:13" x14ac:dyDescent="0.15">
      <c r="A285" t="s">
        <v>2688</v>
      </c>
      <c r="B285" t="s">
        <v>2688</v>
      </c>
      <c r="C285" t="s">
        <v>1508</v>
      </c>
      <c r="D285" t="s">
        <v>2689</v>
      </c>
      <c r="E285">
        <v>1</v>
      </c>
      <c r="G285">
        <v>17.600000000000001</v>
      </c>
      <c r="H285" t="s">
        <v>2690</v>
      </c>
      <c r="I285">
        <v>2</v>
      </c>
      <c r="J285" t="s">
        <v>835</v>
      </c>
      <c r="K285">
        <v>0</v>
      </c>
      <c r="M285">
        <v>1</v>
      </c>
    </row>
    <row r="286" spans="1:13" x14ac:dyDescent="0.15">
      <c r="A286" t="s">
        <v>2691</v>
      </c>
      <c r="B286" t="s">
        <v>2691</v>
      </c>
      <c r="C286" t="s">
        <v>1509</v>
      </c>
      <c r="D286" t="s">
        <v>2692</v>
      </c>
      <c r="E286">
        <v>1</v>
      </c>
      <c r="G286">
        <v>9039</v>
      </c>
      <c r="H286" t="s">
        <v>2693</v>
      </c>
      <c r="I286">
        <v>25</v>
      </c>
      <c r="J286" t="s">
        <v>1911</v>
      </c>
      <c r="K286">
        <v>0</v>
      </c>
      <c r="M286">
        <v>9</v>
      </c>
    </row>
    <row r="287" spans="1:13" x14ac:dyDescent="0.15">
      <c r="A287" t="s">
        <v>2694</v>
      </c>
      <c r="B287" t="s">
        <v>2694</v>
      </c>
      <c r="C287" t="s">
        <v>1510</v>
      </c>
      <c r="D287" t="s">
        <v>2695</v>
      </c>
      <c r="E287">
        <v>1</v>
      </c>
      <c r="G287">
        <v>7.2</v>
      </c>
      <c r="H287" t="s">
        <v>2696</v>
      </c>
      <c r="I287">
        <v>3</v>
      </c>
      <c r="J287" t="s">
        <v>1947</v>
      </c>
      <c r="K287">
        <v>0</v>
      </c>
      <c r="M287">
        <v>2</v>
      </c>
    </row>
    <row r="288" spans="1:13" x14ac:dyDescent="0.15">
      <c r="A288" t="s">
        <v>2697</v>
      </c>
      <c r="B288" t="s">
        <v>2697</v>
      </c>
      <c r="C288" t="s">
        <v>1511</v>
      </c>
      <c r="D288" t="s">
        <v>2698</v>
      </c>
      <c r="E288">
        <v>2</v>
      </c>
      <c r="G288">
        <v>40.5</v>
      </c>
      <c r="H288" t="s">
        <v>2699</v>
      </c>
      <c r="I288">
        <v>1</v>
      </c>
      <c r="J288" t="s">
        <v>1924</v>
      </c>
      <c r="K288">
        <v>2</v>
      </c>
      <c r="M288">
        <v>8</v>
      </c>
    </row>
    <row r="289" spans="1:13" x14ac:dyDescent="0.15">
      <c r="A289" t="s">
        <v>2700</v>
      </c>
      <c r="B289" t="s">
        <v>2700</v>
      </c>
      <c r="C289" t="s">
        <v>1512</v>
      </c>
      <c r="D289" t="s">
        <v>2701</v>
      </c>
      <c r="E289">
        <v>2</v>
      </c>
      <c r="G289">
        <v>960</v>
      </c>
      <c r="H289" t="s">
        <v>2702</v>
      </c>
      <c r="I289">
        <v>25</v>
      </c>
      <c r="J289" t="s">
        <v>1911</v>
      </c>
      <c r="K289">
        <v>0</v>
      </c>
      <c r="M289">
        <v>8</v>
      </c>
    </row>
    <row r="290" spans="1:13" x14ac:dyDescent="0.15">
      <c r="A290" t="s">
        <v>2703</v>
      </c>
      <c r="B290" t="s">
        <v>2703</v>
      </c>
      <c r="C290" t="s">
        <v>1513</v>
      </c>
      <c r="D290" t="s">
        <v>2704</v>
      </c>
      <c r="E290">
        <v>1</v>
      </c>
      <c r="G290">
        <v>6.1</v>
      </c>
      <c r="H290" t="s">
        <v>2705</v>
      </c>
      <c r="I290">
        <v>1</v>
      </c>
      <c r="J290" t="s">
        <v>1924</v>
      </c>
      <c r="K290">
        <v>0</v>
      </c>
      <c r="M290">
        <v>5</v>
      </c>
    </row>
    <row r="291" spans="1:13" x14ac:dyDescent="0.15">
      <c r="A291" t="s">
        <v>2706</v>
      </c>
      <c r="B291" t="s">
        <v>2706</v>
      </c>
      <c r="C291" t="s">
        <v>1514</v>
      </c>
      <c r="D291" t="s">
        <v>2707</v>
      </c>
      <c r="E291">
        <v>2</v>
      </c>
      <c r="G291">
        <v>52.3</v>
      </c>
      <c r="H291" t="s">
        <v>2708</v>
      </c>
      <c r="I291">
        <v>21</v>
      </c>
      <c r="J291" t="s">
        <v>1954</v>
      </c>
      <c r="K291">
        <v>0</v>
      </c>
      <c r="M291">
        <v>3</v>
      </c>
    </row>
    <row r="292" spans="1:13" x14ac:dyDescent="0.15">
      <c r="A292" t="s">
        <v>2709</v>
      </c>
      <c r="B292" t="s">
        <v>2709</v>
      </c>
      <c r="C292" t="s">
        <v>1515</v>
      </c>
      <c r="D292" t="s">
        <v>2710</v>
      </c>
      <c r="E292">
        <v>1</v>
      </c>
      <c r="G292">
        <v>147</v>
      </c>
      <c r="H292" t="s">
        <v>2711</v>
      </c>
      <c r="I292">
        <v>25</v>
      </c>
      <c r="J292" t="s">
        <v>1911</v>
      </c>
      <c r="K292">
        <v>0</v>
      </c>
      <c r="M292">
        <v>8</v>
      </c>
    </row>
    <row r="293" spans="1:13" x14ac:dyDescent="0.15">
      <c r="A293" t="s">
        <v>2712</v>
      </c>
      <c r="B293" t="s">
        <v>2712</v>
      </c>
      <c r="C293" t="s">
        <v>1515</v>
      </c>
      <c r="D293" t="s">
        <v>2713</v>
      </c>
      <c r="E293">
        <v>1</v>
      </c>
      <c r="G293">
        <v>100</v>
      </c>
      <c r="H293" t="s">
        <v>2711</v>
      </c>
      <c r="I293">
        <v>25</v>
      </c>
      <c r="J293" t="s">
        <v>1911</v>
      </c>
      <c r="K293">
        <v>0</v>
      </c>
      <c r="M293">
        <v>8</v>
      </c>
    </row>
    <row r="294" spans="1:13" x14ac:dyDescent="0.15">
      <c r="A294" t="s">
        <v>2714</v>
      </c>
      <c r="B294" t="s">
        <v>2714</v>
      </c>
      <c r="C294" t="s">
        <v>1516</v>
      </c>
      <c r="D294" t="s">
        <v>2715</v>
      </c>
      <c r="E294">
        <v>1</v>
      </c>
      <c r="G294">
        <v>0</v>
      </c>
      <c r="H294" t="s">
        <v>2716</v>
      </c>
      <c r="I294">
        <v>3</v>
      </c>
      <c r="J294" t="s">
        <v>1947</v>
      </c>
      <c r="K294">
        <v>0</v>
      </c>
      <c r="M294">
        <v>3</v>
      </c>
    </row>
    <row r="295" spans="1:13" x14ac:dyDescent="0.15">
      <c r="A295" t="s">
        <v>2717</v>
      </c>
      <c r="B295" t="s">
        <v>2717</v>
      </c>
      <c r="C295" t="s">
        <v>1517</v>
      </c>
      <c r="D295" t="s">
        <v>2718</v>
      </c>
      <c r="E295">
        <v>1</v>
      </c>
      <c r="G295">
        <v>10.4</v>
      </c>
      <c r="H295" t="s">
        <v>2719</v>
      </c>
      <c r="I295">
        <v>1</v>
      </c>
      <c r="J295" t="s">
        <v>1924</v>
      </c>
      <c r="K295">
        <v>2</v>
      </c>
      <c r="M295">
        <v>6</v>
      </c>
    </row>
    <row r="296" spans="1:13" x14ac:dyDescent="0.15">
      <c r="A296" t="s">
        <v>2720</v>
      </c>
      <c r="B296" t="s">
        <v>2720</v>
      </c>
      <c r="C296" t="s">
        <v>1518</v>
      </c>
      <c r="D296" t="s">
        <v>2721</v>
      </c>
      <c r="E296">
        <v>1</v>
      </c>
      <c r="G296">
        <v>10.4</v>
      </c>
      <c r="H296" t="s">
        <v>2722</v>
      </c>
      <c r="I296">
        <v>1</v>
      </c>
      <c r="J296" t="s">
        <v>1924</v>
      </c>
      <c r="K296">
        <v>2</v>
      </c>
      <c r="M296">
        <v>6</v>
      </c>
    </row>
    <row r="297" spans="1:13" x14ac:dyDescent="0.15">
      <c r="A297" t="s">
        <v>2723</v>
      </c>
      <c r="B297" t="s">
        <v>2723</v>
      </c>
      <c r="C297" t="s">
        <v>1519</v>
      </c>
      <c r="E297">
        <v>2</v>
      </c>
      <c r="G297">
        <v>20192</v>
      </c>
      <c r="H297" t="s">
        <v>2724</v>
      </c>
      <c r="I297">
        <v>25</v>
      </c>
      <c r="J297" t="s">
        <v>1911</v>
      </c>
      <c r="K297">
        <v>2</v>
      </c>
      <c r="M297">
        <v>15</v>
      </c>
    </row>
    <row r="298" spans="1:13" x14ac:dyDescent="0.15">
      <c r="A298" t="s">
        <v>2725</v>
      </c>
      <c r="B298" t="s">
        <v>2725</v>
      </c>
      <c r="C298" t="s">
        <v>1520</v>
      </c>
      <c r="E298">
        <v>2</v>
      </c>
      <c r="G298">
        <v>34.1</v>
      </c>
      <c r="H298" t="s">
        <v>2726</v>
      </c>
      <c r="I298">
        <v>1</v>
      </c>
      <c r="J298" t="s">
        <v>1924</v>
      </c>
      <c r="K298">
        <v>0</v>
      </c>
      <c r="M298">
        <v>3</v>
      </c>
    </row>
    <row r="299" spans="1:13" x14ac:dyDescent="0.15">
      <c r="A299" t="s">
        <v>2727</v>
      </c>
      <c r="B299" t="s">
        <v>2727</v>
      </c>
      <c r="C299" t="s">
        <v>1521</v>
      </c>
      <c r="D299" t="s">
        <v>2728</v>
      </c>
      <c r="E299">
        <v>2</v>
      </c>
      <c r="G299">
        <v>9.8000000000000007</v>
      </c>
      <c r="H299" t="s">
        <v>2729</v>
      </c>
      <c r="I299">
        <v>3</v>
      </c>
      <c r="J299" t="s">
        <v>1947</v>
      </c>
      <c r="K299">
        <v>0</v>
      </c>
      <c r="M299">
        <v>4</v>
      </c>
    </row>
    <row r="300" spans="1:13" x14ac:dyDescent="0.15">
      <c r="A300" t="s">
        <v>2730</v>
      </c>
      <c r="B300" t="s">
        <v>2730</v>
      </c>
      <c r="C300" t="s">
        <v>1522</v>
      </c>
      <c r="D300" t="s">
        <v>2731</v>
      </c>
      <c r="E300">
        <v>2</v>
      </c>
      <c r="G300">
        <v>20.3</v>
      </c>
      <c r="H300" t="s">
        <v>2732</v>
      </c>
      <c r="I300">
        <v>3</v>
      </c>
      <c r="J300" t="s">
        <v>1947</v>
      </c>
      <c r="K300">
        <v>0</v>
      </c>
      <c r="M300">
        <v>4</v>
      </c>
    </row>
    <row r="301" spans="1:13" x14ac:dyDescent="0.15">
      <c r="A301" t="s">
        <v>2733</v>
      </c>
      <c r="B301" t="s">
        <v>2733</v>
      </c>
      <c r="C301" t="s">
        <v>1523</v>
      </c>
      <c r="D301" t="s">
        <v>2734</v>
      </c>
      <c r="E301">
        <v>2</v>
      </c>
      <c r="G301">
        <v>14.6</v>
      </c>
      <c r="H301" t="s">
        <v>2735</v>
      </c>
      <c r="I301">
        <v>3</v>
      </c>
      <c r="J301" t="s">
        <v>1947</v>
      </c>
      <c r="K301">
        <v>0</v>
      </c>
      <c r="M301">
        <v>4</v>
      </c>
    </row>
    <row r="302" spans="1:13" x14ac:dyDescent="0.15">
      <c r="A302" t="s">
        <v>2736</v>
      </c>
      <c r="B302" t="s">
        <v>2736</v>
      </c>
      <c r="C302" t="s">
        <v>1524</v>
      </c>
      <c r="D302" t="s">
        <v>2737</v>
      </c>
      <c r="E302">
        <v>1</v>
      </c>
      <c r="G302">
        <v>13.6</v>
      </c>
      <c r="H302" t="s">
        <v>2738</v>
      </c>
      <c r="I302">
        <v>3</v>
      </c>
      <c r="J302" t="s">
        <v>1947</v>
      </c>
      <c r="K302">
        <v>0</v>
      </c>
      <c r="M302">
        <v>4</v>
      </c>
    </row>
    <row r="303" spans="1:13" x14ac:dyDescent="0.15">
      <c r="A303" t="s">
        <v>2739</v>
      </c>
      <c r="B303" t="s">
        <v>2739</v>
      </c>
      <c r="C303" t="s">
        <v>1525</v>
      </c>
      <c r="E303">
        <v>2</v>
      </c>
      <c r="G303">
        <v>12.8</v>
      </c>
      <c r="H303" t="s">
        <v>2740</v>
      </c>
      <c r="I303">
        <v>5</v>
      </c>
      <c r="J303" t="s">
        <v>2590</v>
      </c>
      <c r="K303">
        <v>0</v>
      </c>
      <c r="M303">
        <v>4</v>
      </c>
    </row>
    <row r="304" spans="1:13" x14ac:dyDescent="0.15">
      <c r="A304" t="s">
        <v>2741</v>
      </c>
      <c r="B304" t="s">
        <v>2741</v>
      </c>
      <c r="C304" t="s">
        <v>1526</v>
      </c>
      <c r="D304" t="s">
        <v>2742</v>
      </c>
      <c r="E304">
        <v>2</v>
      </c>
      <c r="G304">
        <v>14.9</v>
      </c>
      <c r="H304" t="s">
        <v>2743</v>
      </c>
      <c r="I304">
        <v>3</v>
      </c>
      <c r="J304" t="s">
        <v>1947</v>
      </c>
      <c r="K304">
        <v>0</v>
      </c>
      <c r="M304">
        <v>4</v>
      </c>
    </row>
    <row r="305" spans="1:13" x14ac:dyDescent="0.15">
      <c r="A305" t="s">
        <v>2744</v>
      </c>
      <c r="B305" t="s">
        <v>2744</v>
      </c>
      <c r="C305" t="s">
        <v>1527</v>
      </c>
      <c r="D305" t="s">
        <v>2745</v>
      </c>
      <c r="E305">
        <v>2</v>
      </c>
      <c r="G305">
        <v>18</v>
      </c>
      <c r="H305" t="s">
        <v>2746</v>
      </c>
      <c r="I305">
        <v>3</v>
      </c>
      <c r="J305" t="s">
        <v>1947</v>
      </c>
      <c r="K305">
        <v>0</v>
      </c>
      <c r="M305">
        <v>4</v>
      </c>
    </row>
    <row r="306" spans="1:13" x14ac:dyDescent="0.15">
      <c r="A306" t="s">
        <v>2747</v>
      </c>
      <c r="B306" t="s">
        <v>2747</v>
      </c>
      <c r="C306" t="s">
        <v>1528</v>
      </c>
      <c r="D306" t="s">
        <v>2748</v>
      </c>
      <c r="E306">
        <v>1</v>
      </c>
      <c r="G306">
        <v>16.100000000000001</v>
      </c>
      <c r="H306" t="s">
        <v>2749</v>
      </c>
      <c r="I306">
        <v>3</v>
      </c>
      <c r="J306" t="s">
        <v>1947</v>
      </c>
      <c r="K306">
        <v>0</v>
      </c>
      <c r="M306">
        <v>4</v>
      </c>
    </row>
    <row r="307" spans="1:13" x14ac:dyDescent="0.15">
      <c r="A307" t="s">
        <v>2750</v>
      </c>
      <c r="B307" t="s">
        <v>2750</v>
      </c>
      <c r="C307" t="s">
        <v>1529</v>
      </c>
      <c r="D307" t="s">
        <v>2751</v>
      </c>
      <c r="E307">
        <v>1</v>
      </c>
      <c r="G307">
        <v>13.8</v>
      </c>
      <c r="H307" t="s">
        <v>2752</v>
      </c>
      <c r="I307">
        <v>3</v>
      </c>
      <c r="J307" t="s">
        <v>1947</v>
      </c>
      <c r="K307">
        <v>0</v>
      </c>
      <c r="M307">
        <v>4</v>
      </c>
    </row>
    <row r="308" spans="1:13" x14ac:dyDescent="0.15">
      <c r="A308" t="s">
        <v>2753</v>
      </c>
      <c r="B308" t="s">
        <v>2753</v>
      </c>
      <c r="C308" t="s">
        <v>1530</v>
      </c>
      <c r="D308" t="s">
        <v>2754</v>
      </c>
      <c r="E308">
        <v>1</v>
      </c>
      <c r="G308">
        <v>10.4</v>
      </c>
      <c r="H308" t="s">
        <v>2755</v>
      </c>
      <c r="I308">
        <v>3</v>
      </c>
      <c r="J308" t="s">
        <v>1947</v>
      </c>
      <c r="K308">
        <v>0</v>
      </c>
      <c r="M308">
        <v>4</v>
      </c>
    </row>
    <row r="309" spans="1:13" x14ac:dyDescent="0.15">
      <c r="A309" t="s">
        <v>2756</v>
      </c>
      <c r="B309" t="s">
        <v>2756</v>
      </c>
      <c r="C309" t="s">
        <v>1531</v>
      </c>
      <c r="D309" t="s">
        <v>2757</v>
      </c>
      <c r="E309">
        <v>1</v>
      </c>
      <c r="G309">
        <v>14.4</v>
      </c>
      <c r="H309" t="s">
        <v>2758</v>
      </c>
      <c r="I309">
        <v>3</v>
      </c>
      <c r="J309" t="s">
        <v>1947</v>
      </c>
      <c r="K309">
        <v>0</v>
      </c>
      <c r="M309">
        <v>4</v>
      </c>
    </row>
    <row r="310" spans="1:13" x14ac:dyDescent="0.15">
      <c r="A310" t="s">
        <v>2759</v>
      </c>
      <c r="B310" t="s">
        <v>2759</v>
      </c>
      <c r="C310" t="s">
        <v>1532</v>
      </c>
      <c r="D310" t="s">
        <v>2760</v>
      </c>
      <c r="E310">
        <v>1</v>
      </c>
      <c r="G310">
        <v>13.7</v>
      </c>
      <c r="H310" t="s">
        <v>2761</v>
      </c>
      <c r="I310">
        <v>3</v>
      </c>
      <c r="J310" t="s">
        <v>1947</v>
      </c>
      <c r="K310">
        <v>0</v>
      </c>
      <c r="M310">
        <v>4</v>
      </c>
    </row>
    <row r="311" spans="1:13" x14ac:dyDescent="0.15">
      <c r="A311" t="s">
        <v>2762</v>
      </c>
      <c r="B311" t="s">
        <v>2762</v>
      </c>
      <c r="C311" t="s">
        <v>1533</v>
      </c>
      <c r="D311" t="s">
        <v>2763</v>
      </c>
      <c r="E311">
        <v>2</v>
      </c>
      <c r="G311">
        <v>20.100000000000001</v>
      </c>
      <c r="H311" t="s">
        <v>2764</v>
      </c>
      <c r="I311">
        <v>3</v>
      </c>
      <c r="J311" t="s">
        <v>1947</v>
      </c>
      <c r="K311">
        <v>0</v>
      </c>
      <c r="M311">
        <v>4</v>
      </c>
    </row>
    <row r="312" spans="1:13" x14ac:dyDescent="0.15">
      <c r="A312" t="s">
        <v>2765</v>
      </c>
      <c r="B312" t="s">
        <v>2765</v>
      </c>
      <c r="C312" t="s">
        <v>1534</v>
      </c>
      <c r="E312">
        <v>2</v>
      </c>
      <c r="G312">
        <v>22.9</v>
      </c>
      <c r="H312" t="s">
        <v>2766</v>
      </c>
      <c r="I312">
        <v>5</v>
      </c>
      <c r="J312" t="s">
        <v>2590</v>
      </c>
      <c r="K312">
        <v>0</v>
      </c>
      <c r="M312">
        <v>4</v>
      </c>
    </row>
    <row r="313" spans="1:13" x14ac:dyDescent="0.15">
      <c r="A313" t="s">
        <v>2767</v>
      </c>
      <c r="B313" t="s">
        <v>2767</v>
      </c>
      <c r="C313" t="s">
        <v>1535</v>
      </c>
      <c r="D313" t="s">
        <v>2768</v>
      </c>
      <c r="E313">
        <v>1</v>
      </c>
      <c r="G313">
        <v>22.8</v>
      </c>
      <c r="H313" t="s">
        <v>2769</v>
      </c>
      <c r="I313">
        <v>19</v>
      </c>
      <c r="J313" t="s">
        <v>1988</v>
      </c>
      <c r="K313">
        <v>0</v>
      </c>
      <c r="M313">
        <v>3</v>
      </c>
    </row>
    <row r="314" spans="1:13" x14ac:dyDescent="0.15">
      <c r="A314" t="s">
        <v>2770</v>
      </c>
      <c r="B314" t="s">
        <v>2770</v>
      </c>
      <c r="C314" t="s">
        <v>1410</v>
      </c>
      <c r="D314" t="s">
        <v>2771</v>
      </c>
      <c r="E314">
        <v>1</v>
      </c>
      <c r="G314">
        <v>5.7</v>
      </c>
      <c r="H314" t="s">
        <v>2772</v>
      </c>
      <c r="I314">
        <v>1</v>
      </c>
      <c r="J314" t="s">
        <v>1924</v>
      </c>
      <c r="K314">
        <v>0</v>
      </c>
      <c r="M314">
        <v>1</v>
      </c>
    </row>
    <row r="315" spans="1:13" x14ac:dyDescent="0.15">
      <c r="A315" t="s">
        <v>2773</v>
      </c>
      <c r="B315" t="s">
        <v>2773</v>
      </c>
      <c r="C315" t="s">
        <v>1536</v>
      </c>
      <c r="D315" t="s">
        <v>2774</v>
      </c>
      <c r="E315">
        <v>1</v>
      </c>
      <c r="G315">
        <v>44.9</v>
      </c>
      <c r="H315" t="s">
        <v>2775</v>
      </c>
      <c r="I315">
        <v>1</v>
      </c>
      <c r="J315" t="s">
        <v>1924</v>
      </c>
      <c r="K315">
        <v>0</v>
      </c>
      <c r="M315">
        <v>5</v>
      </c>
    </row>
    <row r="316" spans="1:13" x14ac:dyDescent="0.15">
      <c r="A316" t="s">
        <v>2776</v>
      </c>
      <c r="B316" t="s">
        <v>2776</v>
      </c>
      <c r="C316" t="s">
        <v>1537</v>
      </c>
      <c r="D316" t="s">
        <v>2777</v>
      </c>
      <c r="E316">
        <v>1</v>
      </c>
      <c r="G316">
        <v>71.3</v>
      </c>
      <c r="H316" t="s">
        <v>2778</v>
      </c>
      <c r="I316">
        <v>1</v>
      </c>
      <c r="J316" t="s">
        <v>1924</v>
      </c>
      <c r="K316">
        <v>0</v>
      </c>
      <c r="M316">
        <v>5</v>
      </c>
    </row>
    <row r="317" spans="1:13" x14ac:dyDescent="0.15">
      <c r="A317" t="s">
        <v>2779</v>
      </c>
      <c r="B317" t="s">
        <v>2779</v>
      </c>
      <c r="C317" t="s">
        <v>1538</v>
      </c>
      <c r="D317" t="s">
        <v>2780</v>
      </c>
      <c r="E317">
        <v>1</v>
      </c>
      <c r="G317">
        <v>6.1</v>
      </c>
      <c r="H317" t="s">
        <v>2781</v>
      </c>
      <c r="I317">
        <v>1</v>
      </c>
      <c r="J317" t="s">
        <v>1924</v>
      </c>
      <c r="K317">
        <v>2</v>
      </c>
      <c r="M317">
        <v>6</v>
      </c>
    </row>
    <row r="318" spans="1:13" x14ac:dyDescent="0.15">
      <c r="A318" t="s">
        <v>2782</v>
      </c>
      <c r="B318" t="s">
        <v>2782</v>
      </c>
      <c r="C318" t="s">
        <v>1539</v>
      </c>
      <c r="E318">
        <v>1</v>
      </c>
      <c r="G318">
        <v>173</v>
      </c>
      <c r="H318" t="s">
        <v>2783</v>
      </c>
      <c r="I318">
        <v>25</v>
      </c>
      <c r="J318" t="s">
        <v>1911</v>
      </c>
      <c r="K318">
        <v>0</v>
      </c>
      <c r="M318">
        <v>11</v>
      </c>
    </row>
    <row r="319" spans="1:13" x14ac:dyDescent="0.15">
      <c r="A319" t="s">
        <v>2784</v>
      </c>
      <c r="B319" t="s">
        <v>2784</v>
      </c>
      <c r="C319" t="s">
        <v>1540</v>
      </c>
      <c r="D319" t="s">
        <v>2785</v>
      </c>
      <c r="E319">
        <v>1</v>
      </c>
      <c r="G319">
        <v>39</v>
      </c>
      <c r="H319" t="s">
        <v>2786</v>
      </c>
      <c r="I319">
        <v>14</v>
      </c>
      <c r="J319" t="s">
        <v>1907</v>
      </c>
      <c r="K319">
        <v>0</v>
      </c>
      <c r="M319">
        <v>3</v>
      </c>
    </row>
    <row r="320" spans="1:13" x14ac:dyDescent="0.15">
      <c r="A320" t="s">
        <v>2787</v>
      </c>
      <c r="B320" t="s">
        <v>2787</v>
      </c>
      <c r="C320" t="s">
        <v>1541</v>
      </c>
      <c r="E320">
        <v>2</v>
      </c>
      <c r="G320">
        <v>5.9</v>
      </c>
      <c r="H320" t="s">
        <v>2788</v>
      </c>
      <c r="I320">
        <v>1</v>
      </c>
      <c r="J320" t="s">
        <v>1924</v>
      </c>
      <c r="K320">
        <v>0</v>
      </c>
      <c r="M320">
        <v>3</v>
      </c>
    </row>
    <row r="321" spans="1:13" x14ac:dyDescent="0.15">
      <c r="A321" t="s">
        <v>2789</v>
      </c>
      <c r="B321" t="s">
        <v>2789</v>
      </c>
      <c r="C321" t="s">
        <v>1542</v>
      </c>
      <c r="E321">
        <v>1</v>
      </c>
      <c r="G321">
        <v>19.2</v>
      </c>
      <c r="H321" t="s">
        <v>2790</v>
      </c>
      <c r="I321">
        <v>15</v>
      </c>
      <c r="J321" t="s">
        <v>1915</v>
      </c>
      <c r="K321">
        <v>2</v>
      </c>
      <c r="M321">
        <v>3</v>
      </c>
    </row>
    <row r="322" spans="1:13" s="26" customFormat="1" x14ac:dyDescent="0.15">
      <c r="A322" s="26" t="s">
        <v>2791</v>
      </c>
      <c r="B322" s="26" t="s">
        <v>2791</v>
      </c>
      <c r="C322" s="26" t="s">
        <v>1543</v>
      </c>
      <c r="D322" s="26">
        <v>123</v>
      </c>
      <c r="E322" s="26">
        <v>1</v>
      </c>
      <c r="G322" s="26">
        <v>0</v>
      </c>
      <c r="H322" s="26" t="s">
        <v>1543</v>
      </c>
      <c r="I322" s="26">
        <v>1</v>
      </c>
      <c r="J322" s="26" t="s">
        <v>1924</v>
      </c>
      <c r="K322" s="26">
        <v>0</v>
      </c>
    </row>
    <row r="323" spans="1:13" s="26" customFormat="1" x14ac:dyDescent="0.15">
      <c r="A323" s="26" t="s">
        <v>2792</v>
      </c>
      <c r="B323" s="26" t="s">
        <v>2792</v>
      </c>
      <c r="C323" s="26" t="s">
        <v>1417</v>
      </c>
      <c r="E323" s="26">
        <v>1</v>
      </c>
      <c r="G323" s="26">
        <v>10.1</v>
      </c>
      <c r="H323" s="26" t="s">
        <v>2386</v>
      </c>
      <c r="I323" s="26">
        <v>1</v>
      </c>
      <c r="J323" s="26" t="s">
        <v>1924</v>
      </c>
      <c r="K323" s="26">
        <v>0</v>
      </c>
    </row>
    <row r="324" spans="1:13" x14ac:dyDescent="0.15">
      <c r="A324" t="s">
        <v>2793</v>
      </c>
      <c r="B324" t="s">
        <v>2793</v>
      </c>
      <c r="C324" t="s">
        <v>665</v>
      </c>
      <c r="D324" t="s">
        <v>2794</v>
      </c>
      <c r="E324">
        <v>1</v>
      </c>
      <c r="G324">
        <v>9.1</v>
      </c>
      <c r="H324" t="s">
        <v>2795</v>
      </c>
      <c r="I324">
        <v>1</v>
      </c>
      <c r="J324" t="s">
        <v>1924</v>
      </c>
      <c r="K324">
        <v>0</v>
      </c>
      <c r="M324">
        <v>5</v>
      </c>
    </row>
    <row r="325" spans="1:13" x14ac:dyDescent="0.15">
      <c r="A325" t="s">
        <v>2796</v>
      </c>
      <c r="B325" t="s">
        <v>2796</v>
      </c>
      <c r="C325" t="s">
        <v>1544</v>
      </c>
      <c r="D325" t="s">
        <v>2797</v>
      </c>
      <c r="E325">
        <v>1</v>
      </c>
      <c r="G325">
        <v>25</v>
      </c>
      <c r="H325" t="s">
        <v>2798</v>
      </c>
      <c r="I325">
        <v>1</v>
      </c>
      <c r="J325" t="s">
        <v>1924</v>
      </c>
      <c r="K325">
        <v>0</v>
      </c>
      <c r="M325">
        <v>5</v>
      </c>
    </row>
    <row r="326" spans="1:13" x14ac:dyDescent="0.15">
      <c r="A326" t="s">
        <v>2799</v>
      </c>
      <c r="B326" t="s">
        <v>2799</v>
      </c>
      <c r="C326" t="s">
        <v>670</v>
      </c>
      <c r="D326" t="s">
        <v>2800</v>
      </c>
      <c r="E326">
        <v>1</v>
      </c>
      <c r="G326">
        <v>11.3</v>
      </c>
      <c r="H326" t="s">
        <v>2801</v>
      </c>
      <c r="I326">
        <v>1</v>
      </c>
      <c r="J326" t="s">
        <v>1924</v>
      </c>
      <c r="K326">
        <v>0</v>
      </c>
      <c r="M326">
        <v>5</v>
      </c>
    </row>
    <row r="327" spans="1:13" x14ac:dyDescent="0.15">
      <c r="A327" t="s">
        <v>2802</v>
      </c>
      <c r="B327" t="s">
        <v>2802</v>
      </c>
      <c r="C327" t="s">
        <v>1545</v>
      </c>
      <c r="D327" t="s">
        <v>2803</v>
      </c>
      <c r="E327">
        <v>2</v>
      </c>
      <c r="G327">
        <v>34</v>
      </c>
      <c r="H327" t="s">
        <v>2804</v>
      </c>
      <c r="I327">
        <v>3</v>
      </c>
      <c r="J327" t="s">
        <v>1947</v>
      </c>
      <c r="K327">
        <v>0</v>
      </c>
      <c r="M327">
        <v>2</v>
      </c>
    </row>
    <row r="328" spans="1:13" x14ac:dyDescent="0.15">
      <c r="A328" t="s">
        <v>2805</v>
      </c>
      <c r="B328" t="s">
        <v>2805</v>
      </c>
      <c r="C328" t="s">
        <v>1546</v>
      </c>
      <c r="D328" t="s">
        <v>2806</v>
      </c>
      <c r="E328">
        <v>1</v>
      </c>
      <c r="G328">
        <v>9.4</v>
      </c>
      <c r="H328" t="s">
        <v>2807</v>
      </c>
      <c r="I328">
        <v>3</v>
      </c>
      <c r="J328" t="s">
        <v>1947</v>
      </c>
      <c r="K328">
        <v>0</v>
      </c>
      <c r="M328">
        <v>2</v>
      </c>
    </row>
    <row r="329" spans="1:13" x14ac:dyDescent="0.15">
      <c r="A329" t="s">
        <v>2808</v>
      </c>
      <c r="B329" t="s">
        <v>2808</v>
      </c>
      <c r="C329" t="s">
        <v>1547</v>
      </c>
      <c r="E329">
        <v>1</v>
      </c>
      <c r="G329">
        <v>6.5</v>
      </c>
      <c r="H329" t="s">
        <v>2809</v>
      </c>
      <c r="I329">
        <v>2</v>
      </c>
      <c r="J329" t="s">
        <v>835</v>
      </c>
      <c r="K329">
        <v>0</v>
      </c>
      <c r="M329">
        <v>5</v>
      </c>
    </row>
    <row r="330" spans="1:13" x14ac:dyDescent="0.15">
      <c r="A330" t="s">
        <v>2810</v>
      </c>
      <c r="B330" t="s">
        <v>2810</v>
      </c>
      <c r="C330" t="s">
        <v>1548</v>
      </c>
      <c r="E330">
        <v>1</v>
      </c>
      <c r="G330">
        <v>18.3</v>
      </c>
      <c r="H330" t="s">
        <v>2811</v>
      </c>
      <c r="I330">
        <v>1</v>
      </c>
      <c r="J330" t="s">
        <v>1924</v>
      </c>
      <c r="K330">
        <v>0</v>
      </c>
      <c r="M330">
        <v>5</v>
      </c>
    </row>
    <row r="331" spans="1:13" x14ac:dyDescent="0.15">
      <c r="A331" t="s">
        <v>2812</v>
      </c>
      <c r="B331" t="s">
        <v>2812</v>
      </c>
      <c r="C331" t="s">
        <v>1549</v>
      </c>
      <c r="D331" t="s">
        <v>2813</v>
      </c>
      <c r="E331">
        <v>2</v>
      </c>
      <c r="G331">
        <v>26.8</v>
      </c>
      <c r="H331" t="s">
        <v>2814</v>
      </c>
      <c r="I331">
        <v>2</v>
      </c>
      <c r="J331" t="s">
        <v>835</v>
      </c>
      <c r="K331">
        <v>2</v>
      </c>
      <c r="M331">
        <v>3</v>
      </c>
    </row>
    <row r="332" spans="1:13" x14ac:dyDescent="0.15">
      <c r="A332" t="s">
        <v>2815</v>
      </c>
      <c r="B332" t="s">
        <v>2815</v>
      </c>
      <c r="C332" t="s">
        <v>1550</v>
      </c>
      <c r="D332" t="s">
        <v>2816</v>
      </c>
      <c r="E332">
        <v>1</v>
      </c>
      <c r="G332">
        <v>25.7</v>
      </c>
      <c r="H332" t="s">
        <v>2817</v>
      </c>
      <c r="I332">
        <v>2</v>
      </c>
      <c r="J332" t="s">
        <v>835</v>
      </c>
      <c r="K332">
        <v>2</v>
      </c>
      <c r="M332">
        <v>6</v>
      </c>
    </row>
    <row r="333" spans="1:13" x14ac:dyDescent="0.15">
      <c r="A333" t="s">
        <v>2818</v>
      </c>
      <c r="B333" t="s">
        <v>2818</v>
      </c>
      <c r="C333" t="s">
        <v>1551</v>
      </c>
      <c r="D333" t="s">
        <v>2819</v>
      </c>
      <c r="E333">
        <v>2</v>
      </c>
      <c r="G333">
        <v>10045</v>
      </c>
      <c r="H333" t="s">
        <v>2820</v>
      </c>
      <c r="I333">
        <v>25</v>
      </c>
      <c r="J333" t="s">
        <v>1911</v>
      </c>
      <c r="K333">
        <v>0</v>
      </c>
      <c r="M333">
        <v>15</v>
      </c>
    </row>
    <row r="334" spans="1:13" x14ac:dyDescent="0.15">
      <c r="A334" t="s">
        <v>2821</v>
      </c>
      <c r="B334" t="s">
        <v>2821</v>
      </c>
      <c r="C334" t="s">
        <v>1552</v>
      </c>
      <c r="E334">
        <v>1</v>
      </c>
      <c r="G334">
        <v>9.5</v>
      </c>
      <c r="H334" t="s">
        <v>2822</v>
      </c>
      <c r="I334">
        <v>15</v>
      </c>
      <c r="J334" t="s">
        <v>1915</v>
      </c>
      <c r="K334">
        <v>0</v>
      </c>
      <c r="M334">
        <v>3</v>
      </c>
    </row>
    <row r="335" spans="1:13" x14ac:dyDescent="0.15">
      <c r="A335" t="s">
        <v>2823</v>
      </c>
      <c r="B335" t="s">
        <v>2823</v>
      </c>
      <c r="C335" t="s">
        <v>1553</v>
      </c>
      <c r="E335">
        <v>1</v>
      </c>
      <c r="G335">
        <v>9.5</v>
      </c>
      <c r="H335" t="s">
        <v>2824</v>
      </c>
      <c r="I335">
        <v>17</v>
      </c>
      <c r="J335" t="s">
        <v>2099</v>
      </c>
      <c r="K335">
        <v>0</v>
      </c>
      <c r="M335">
        <v>3</v>
      </c>
    </row>
    <row r="336" spans="1:13" x14ac:dyDescent="0.15">
      <c r="A336" t="s">
        <v>2825</v>
      </c>
      <c r="B336" t="s">
        <v>2825</v>
      </c>
      <c r="C336" t="s">
        <v>1554</v>
      </c>
      <c r="E336">
        <v>1</v>
      </c>
      <c r="G336">
        <v>10.4</v>
      </c>
      <c r="H336" t="s">
        <v>2826</v>
      </c>
      <c r="I336">
        <v>1</v>
      </c>
      <c r="J336" t="s">
        <v>1924</v>
      </c>
      <c r="K336">
        <v>0</v>
      </c>
      <c r="M336">
        <v>5</v>
      </c>
    </row>
    <row r="337" spans="1:13" x14ac:dyDescent="0.15">
      <c r="A337" t="s">
        <v>2827</v>
      </c>
      <c r="B337" t="s">
        <v>2827</v>
      </c>
      <c r="C337" t="s">
        <v>1556</v>
      </c>
      <c r="D337" t="s">
        <v>2828</v>
      </c>
      <c r="E337">
        <v>1</v>
      </c>
      <c r="G337">
        <v>27.7</v>
      </c>
      <c r="H337" t="s">
        <v>2829</v>
      </c>
      <c r="I337">
        <v>14</v>
      </c>
      <c r="J337" t="s">
        <v>1907</v>
      </c>
      <c r="K337">
        <v>0</v>
      </c>
      <c r="M337">
        <v>3</v>
      </c>
    </row>
    <row r="338" spans="1:13" x14ac:dyDescent="0.15">
      <c r="A338" t="s">
        <v>2830</v>
      </c>
      <c r="B338" t="s">
        <v>2830</v>
      </c>
      <c r="C338" t="s">
        <v>690</v>
      </c>
      <c r="E338">
        <v>2</v>
      </c>
      <c r="G338">
        <v>7.2</v>
      </c>
      <c r="H338" t="s">
        <v>2831</v>
      </c>
      <c r="I338">
        <v>1</v>
      </c>
      <c r="J338" t="s">
        <v>1924</v>
      </c>
      <c r="K338">
        <v>2</v>
      </c>
      <c r="M338">
        <v>3</v>
      </c>
    </row>
    <row r="339" spans="1:13" x14ac:dyDescent="0.15">
      <c r="A339" t="s">
        <v>2832</v>
      </c>
      <c r="B339" t="s">
        <v>2832</v>
      </c>
      <c r="C339" t="s">
        <v>1557</v>
      </c>
      <c r="D339" t="s">
        <v>2833</v>
      </c>
      <c r="E339">
        <v>1</v>
      </c>
      <c r="G339">
        <v>332</v>
      </c>
      <c r="H339" t="s">
        <v>2834</v>
      </c>
      <c r="I339">
        <v>25</v>
      </c>
      <c r="J339" t="s">
        <v>1911</v>
      </c>
      <c r="K339">
        <v>0</v>
      </c>
      <c r="M339">
        <v>10</v>
      </c>
    </row>
    <row r="340" spans="1:13" x14ac:dyDescent="0.15">
      <c r="A340" t="s">
        <v>2835</v>
      </c>
      <c r="B340" t="s">
        <v>2835</v>
      </c>
      <c r="C340" t="s">
        <v>1558</v>
      </c>
      <c r="E340">
        <v>1</v>
      </c>
      <c r="G340">
        <v>50.4</v>
      </c>
      <c r="H340" t="s">
        <v>2836</v>
      </c>
      <c r="I340">
        <v>1</v>
      </c>
      <c r="J340" t="s">
        <v>1924</v>
      </c>
      <c r="K340">
        <v>0</v>
      </c>
      <c r="M340">
        <v>1</v>
      </c>
    </row>
    <row r="341" spans="1:13" x14ac:dyDescent="0.15">
      <c r="A341" t="s">
        <v>2837</v>
      </c>
      <c r="B341" t="s">
        <v>2837</v>
      </c>
      <c r="C341" t="s">
        <v>1559</v>
      </c>
      <c r="E341">
        <v>1</v>
      </c>
      <c r="G341">
        <v>29.1</v>
      </c>
      <c r="H341" t="s">
        <v>2838</v>
      </c>
      <c r="I341">
        <v>1</v>
      </c>
      <c r="J341" t="s">
        <v>1924</v>
      </c>
      <c r="K341">
        <v>2</v>
      </c>
      <c r="M341">
        <v>6</v>
      </c>
    </row>
    <row r="342" spans="1:13" x14ac:dyDescent="0.15">
      <c r="A342" t="s">
        <v>2839</v>
      </c>
      <c r="B342" t="s">
        <v>2839</v>
      </c>
      <c r="C342" t="s">
        <v>1560</v>
      </c>
      <c r="E342">
        <v>1</v>
      </c>
      <c r="G342">
        <v>43.4</v>
      </c>
      <c r="H342" t="s">
        <v>2840</v>
      </c>
      <c r="I342">
        <v>1</v>
      </c>
      <c r="J342" t="s">
        <v>1924</v>
      </c>
      <c r="K342">
        <v>2</v>
      </c>
      <c r="M342">
        <v>6</v>
      </c>
    </row>
    <row r="343" spans="1:13" x14ac:dyDescent="0.15">
      <c r="A343" t="s">
        <v>2841</v>
      </c>
      <c r="B343" t="s">
        <v>2841</v>
      </c>
      <c r="C343" t="s">
        <v>1561</v>
      </c>
      <c r="E343">
        <v>1</v>
      </c>
      <c r="G343">
        <v>73.099999999999994</v>
      </c>
      <c r="H343" t="s">
        <v>2842</v>
      </c>
      <c r="I343">
        <v>1</v>
      </c>
      <c r="J343" t="s">
        <v>1924</v>
      </c>
      <c r="K343">
        <v>2</v>
      </c>
      <c r="M343">
        <v>6</v>
      </c>
    </row>
    <row r="344" spans="1:13" x14ac:dyDescent="0.15">
      <c r="A344" t="s">
        <v>2843</v>
      </c>
      <c r="B344" t="s">
        <v>2843</v>
      </c>
      <c r="C344" t="s">
        <v>1562</v>
      </c>
      <c r="D344" t="s">
        <v>2844</v>
      </c>
      <c r="E344">
        <v>2</v>
      </c>
      <c r="G344">
        <v>339</v>
      </c>
      <c r="H344" t="s">
        <v>2845</v>
      </c>
      <c r="I344">
        <v>25</v>
      </c>
      <c r="J344" t="s">
        <v>1911</v>
      </c>
      <c r="K344">
        <v>0</v>
      </c>
      <c r="M344">
        <v>9</v>
      </c>
    </row>
    <row r="345" spans="1:13" x14ac:dyDescent="0.15">
      <c r="A345" t="s">
        <v>2846</v>
      </c>
      <c r="B345" t="s">
        <v>2846</v>
      </c>
      <c r="C345" t="s">
        <v>1563</v>
      </c>
      <c r="D345" t="s">
        <v>2847</v>
      </c>
      <c r="E345">
        <v>1</v>
      </c>
      <c r="G345">
        <v>146</v>
      </c>
      <c r="H345" t="s">
        <v>2848</v>
      </c>
      <c r="I345">
        <v>25</v>
      </c>
      <c r="J345" t="s">
        <v>1911</v>
      </c>
      <c r="K345">
        <v>2</v>
      </c>
      <c r="M345">
        <v>9</v>
      </c>
    </row>
    <row r="346" spans="1:13" x14ac:dyDescent="0.15">
      <c r="A346" t="s">
        <v>2849</v>
      </c>
      <c r="B346" t="s">
        <v>2849</v>
      </c>
      <c r="C346" t="s">
        <v>1564</v>
      </c>
      <c r="D346" t="s">
        <v>2850</v>
      </c>
      <c r="E346">
        <v>1</v>
      </c>
      <c r="G346">
        <v>29.7</v>
      </c>
      <c r="H346" t="s">
        <v>2851</v>
      </c>
      <c r="I346">
        <v>1</v>
      </c>
      <c r="J346" t="s">
        <v>1924</v>
      </c>
      <c r="K346">
        <v>0</v>
      </c>
      <c r="M346">
        <v>5</v>
      </c>
    </row>
    <row r="347" spans="1:13" x14ac:dyDescent="0.15">
      <c r="A347" t="s">
        <v>2852</v>
      </c>
      <c r="B347" t="s">
        <v>2852</v>
      </c>
      <c r="C347" t="s">
        <v>1565</v>
      </c>
      <c r="D347" t="s">
        <v>2853</v>
      </c>
      <c r="E347">
        <v>1</v>
      </c>
      <c r="G347">
        <v>32.700000000000003</v>
      </c>
      <c r="H347" t="s">
        <v>2854</v>
      </c>
      <c r="I347">
        <v>1</v>
      </c>
      <c r="J347" t="s">
        <v>1924</v>
      </c>
      <c r="K347">
        <v>0</v>
      </c>
      <c r="M347">
        <v>5</v>
      </c>
    </row>
    <row r="348" spans="1:13" x14ac:dyDescent="0.15">
      <c r="A348" t="s">
        <v>2855</v>
      </c>
      <c r="B348" t="s">
        <v>2855</v>
      </c>
      <c r="C348" t="s">
        <v>707</v>
      </c>
      <c r="D348" t="s">
        <v>2856</v>
      </c>
      <c r="E348">
        <v>1</v>
      </c>
      <c r="G348">
        <v>10.1</v>
      </c>
      <c r="H348" t="s">
        <v>2857</v>
      </c>
      <c r="I348">
        <v>1</v>
      </c>
      <c r="J348" t="s">
        <v>1924</v>
      </c>
      <c r="K348">
        <v>0</v>
      </c>
      <c r="M348">
        <v>5</v>
      </c>
    </row>
    <row r="349" spans="1:13" x14ac:dyDescent="0.15">
      <c r="A349" t="s">
        <v>2858</v>
      </c>
      <c r="B349" t="s">
        <v>2858</v>
      </c>
      <c r="C349" t="s">
        <v>1566</v>
      </c>
      <c r="D349" t="s">
        <v>2859</v>
      </c>
      <c r="E349">
        <v>2</v>
      </c>
      <c r="G349">
        <v>118.9</v>
      </c>
      <c r="H349" t="s">
        <v>2860</v>
      </c>
      <c r="I349">
        <v>1</v>
      </c>
      <c r="J349" t="s">
        <v>1924</v>
      </c>
      <c r="K349">
        <v>0</v>
      </c>
      <c r="M349">
        <v>3</v>
      </c>
    </row>
    <row r="350" spans="1:13" x14ac:dyDescent="0.15">
      <c r="A350" t="s">
        <v>2861</v>
      </c>
      <c r="B350" t="s">
        <v>2861</v>
      </c>
      <c r="C350" t="s">
        <v>1567</v>
      </c>
      <c r="E350">
        <v>2</v>
      </c>
      <c r="G350">
        <v>6.1</v>
      </c>
      <c r="H350" t="s">
        <v>2862</v>
      </c>
      <c r="I350">
        <v>1</v>
      </c>
      <c r="J350" t="s">
        <v>1924</v>
      </c>
      <c r="K350">
        <v>0</v>
      </c>
      <c r="M350">
        <v>3</v>
      </c>
    </row>
    <row r="351" spans="1:13" x14ac:dyDescent="0.15">
      <c r="A351" t="s">
        <v>2863</v>
      </c>
      <c r="B351" t="s">
        <v>2863</v>
      </c>
      <c r="C351" t="s">
        <v>1568</v>
      </c>
      <c r="D351" t="s">
        <v>2864</v>
      </c>
      <c r="E351">
        <v>1</v>
      </c>
      <c r="G351">
        <v>6.1</v>
      </c>
      <c r="H351" t="s">
        <v>2865</v>
      </c>
      <c r="I351">
        <v>1</v>
      </c>
      <c r="J351" t="s">
        <v>1924</v>
      </c>
      <c r="K351">
        <v>2</v>
      </c>
      <c r="M351">
        <v>6</v>
      </c>
    </row>
    <row r="352" spans="1:13" x14ac:dyDescent="0.15">
      <c r="A352" t="s">
        <v>2866</v>
      </c>
      <c r="B352" t="s">
        <v>2866</v>
      </c>
      <c r="C352" t="s">
        <v>1569</v>
      </c>
      <c r="E352">
        <v>2</v>
      </c>
      <c r="G352">
        <v>17</v>
      </c>
      <c r="H352" t="s">
        <v>2867</v>
      </c>
      <c r="I352">
        <v>1</v>
      </c>
      <c r="J352" t="s">
        <v>1924</v>
      </c>
      <c r="K352">
        <v>2</v>
      </c>
      <c r="M352">
        <v>3</v>
      </c>
    </row>
    <row r="353" spans="1:13" x14ac:dyDescent="0.15">
      <c r="A353" t="s">
        <v>2868</v>
      </c>
      <c r="B353" t="s">
        <v>2868</v>
      </c>
      <c r="C353" t="s">
        <v>1570</v>
      </c>
      <c r="D353" t="s">
        <v>2869</v>
      </c>
      <c r="E353">
        <v>1</v>
      </c>
      <c r="G353">
        <v>10.4</v>
      </c>
      <c r="H353" t="s">
        <v>2870</v>
      </c>
      <c r="I353">
        <v>2</v>
      </c>
      <c r="J353" t="s">
        <v>835</v>
      </c>
      <c r="K353">
        <v>0</v>
      </c>
      <c r="M353">
        <v>1</v>
      </c>
    </row>
    <row r="354" spans="1:13" x14ac:dyDescent="0.15">
      <c r="A354" t="s">
        <v>2871</v>
      </c>
      <c r="B354" t="s">
        <v>2871</v>
      </c>
      <c r="C354" t="s">
        <v>1571</v>
      </c>
      <c r="D354" t="s">
        <v>2872</v>
      </c>
      <c r="E354">
        <v>1</v>
      </c>
      <c r="G354">
        <v>100</v>
      </c>
      <c r="H354" t="s">
        <v>2873</v>
      </c>
      <c r="I354">
        <v>25</v>
      </c>
      <c r="J354" t="s">
        <v>1911</v>
      </c>
      <c r="K354">
        <v>0</v>
      </c>
      <c r="M354">
        <v>9</v>
      </c>
    </row>
    <row r="355" spans="1:13" x14ac:dyDescent="0.15">
      <c r="A355" t="s">
        <v>2874</v>
      </c>
      <c r="B355" t="s">
        <v>2874</v>
      </c>
      <c r="C355" t="s">
        <v>1572</v>
      </c>
      <c r="D355" t="s">
        <v>2875</v>
      </c>
      <c r="E355">
        <v>1</v>
      </c>
      <c r="G355">
        <v>6.1</v>
      </c>
      <c r="H355" t="s">
        <v>2876</v>
      </c>
      <c r="I355">
        <v>1</v>
      </c>
      <c r="J355" t="s">
        <v>1924</v>
      </c>
      <c r="K355">
        <v>0</v>
      </c>
      <c r="M355">
        <v>5</v>
      </c>
    </row>
    <row r="356" spans="1:13" x14ac:dyDescent="0.15">
      <c r="A356" t="s">
        <v>2877</v>
      </c>
      <c r="B356" t="s">
        <v>2877</v>
      </c>
      <c r="C356" t="s">
        <v>719</v>
      </c>
      <c r="D356" t="s">
        <v>2878</v>
      </c>
      <c r="E356">
        <v>1</v>
      </c>
      <c r="G356">
        <v>10.1</v>
      </c>
      <c r="H356" t="s">
        <v>2879</v>
      </c>
      <c r="I356">
        <v>1</v>
      </c>
      <c r="J356" t="s">
        <v>1924</v>
      </c>
      <c r="K356">
        <v>0</v>
      </c>
      <c r="M356">
        <v>5</v>
      </c>
    </row>
    <row r="357" spans="1:13" x14ac:dyDescent="0.15">
      <c r="A357" t="s">
        <v>2880</v>
      </c>
      <c r="B357" t="s">
        <v>2880</v>
      </c>
      <c r="C357" t="s">
        <v>1573</v>
      </c>
      <c r="D357" t="s">
        <v>2881</v>
      </c>
      <c r="E357">
        <v>1</v>
      </c>
      <c r="G357">
        <v>256</v>
      </c>
      <c r="H357" t="s">
        <v>2882</v>
      </c>
      <c r="I357">
        <v>25</v>
      </c>
      <c r="J357" t="s">
        <v>1911</v>
      </c>
      <c r="K357">
        <v>0</v>
      </c>
      <c r="M357">
        <v>10</v>
      </c>
    </row>
    <row r="358" spans="1:13" x14ac:dyDescent="0.15">
      <c r="A358" t="s">
        <v>2883</v>
      </c>
      <c r="B358" t="s">
        <v>2883</v>
      </c>
      <c r="C358" t="s">
        <v>1574</v>
      </c>
      <c r="E358">
        <v>1</v>
      </c>
      <c r="G358">
        <v>9</v>
      </c>
      <c r="H358" t="s">
        <v>2884</v>
      </c>
      <c r="I358">
        <v>1</v>
      </c>
      <c r="J358" t="s">
        <v>1924</v>
      </c>
      <c r="K358">
        <v>0</v>
      </c>
      <c r="M358">
        <v>5</v>
      </c>
    </row>
    <row r="359" spans="1:13" x14ac:dyDescent="0.15">
      <c r="A359" t="s">
        <v>2885</v>
      </c>
      <c r="B359" t="s">
        <v>2885</v>
      </c>
      <c r="C359" t="s">
        <v>1575</v>
      </c>
      <c r="D359" t="s">
        <v>2886</v>
      </c>
      <c r="E359">
        <v>1</v>
      </c>
      <c r="G359">
        <v>6.1</v>
      </c>
      <c r="H359" t="s">
        <v>2887</v>
      </c>
      <c r="I359">
        <v>1</v>
      </c>
      <c r="J359" t="s">
        <v>1924</v>
      </c>
      <c r="K359">
        <v>0</v>
      </c>
      <c r="M359">
        <v>5</v>
      </c>
    </row>
    <row r="360" spans="1:13" x14ac:dyDescent="0.15">
      <c r="A360" t="s">
        <v>2888</v>
      </c>
      <c r="B360" t="s">
        <v>2888</v>
      </c>
      <c r="C360" t="s">
        <v>1576</v>
      </c>
      <c r="D360" t="s">
        <v>2889</v>
      </c>
      <c r="E360">
        <v>1</v>
      </c>
      <c r="G360">
        <v>161.69999999999999</v>
      </c>
      <c r="H360" t="s">
        <v>2890</v>
      </c>
      <c r="I360">
        <v>1</v>
      </c>
      <c r="J360" t="s">
        <v>1924</v>
      </c>
      <c r="K360">
        <v>2</v>
      </c>
      <c r="M360">
        <v>6</v>
      </c>
    </row>
    <row r="361" spans="1:13" x14ac:dyDescent="0.15">
      <c r="A361" t="s">
        <v>2891</v>
      </c>
      <c r="B361" t="s">
        <v>2891</v>
      </c>
      <c r="C361" t="s">
        <v>1577</v>
      </c>
      <c r="D361" t="s">
        <v>2892</v>
      </c>
      <c r="E361">
        <v>2</v>
      </c>
      <c r="G361">
        <v>155.1</v>
      </c>
      <c r="H361" t="s">
        <v>2893</v>
      </c>
      <c r="I361">
        <v>21</v>
      </c>
      <c r="J361" t="s">
        <v>1954</v>
      </c>
      <c r="K361">
        <v>0</v>
      </c>
      <c r="M361">
        <v>15</v>
      </c>
    </row>
    <row r="362" spans="1:13" x14ac:dyDescent="0.15">
      <c r="A362" t="s">
        <v>2894</v>
      </c>
      <c r="B362" t="s">
        <v>2894</v>
      </c>
      <c r="C362" t="s">
        <v>1578</v>
      </c>
      <c r="D362" t="s">
        <v>2895</v>
      </c>
      <c r="E362">
        <v>2</v>
      </c>
      <c r="G362">
        <v>309</v>
      </c>
      <c r="H362" t="s">
        <v>2896</v>
      </c>
      <c r="I362">
        <v>1</v>
      </c>
      <c r="J362" t="s">
        <v>1924</v>
      </c>
      <c r="K362">
        <v>2</v>
      </c>
      <c r="M362">
        <v>3</v>
      </c>
    </row>
    <row r="363" spans="1:13" x14ac:dyDescent="0.15">
      <c r="A363" t="s">
        <v>2897</v>
      </c>
      <c r="B363" t="s">
        <v>2897</v>
      </c>
      <c r="C363" t="s">
        <v>1579</v>
      </c>
      <c r="D363" t="s">
        <v>2898</v>
      </c>
      <c r="E363">
        <v>2</v>
      </c>
      <c r="G363">
        <v>115</v>
      </c>
      <c r="H363" t="s">
        <v>2899</v>
      </c>
      <c r="I363">
        <v>25</v>
      </c>
      <c r="J363" t="s">
        <v>1911</v>
      </c>
      <c r="K363">
        <v>0</v>
      </c>
      <c r="M363">
        <v>15</v>
      </c>
    </row>
    <row r="364" spans="1:13" x14ac:dyDescent="0.15">
      <c r="A364" t="s">
        <v>2900</v>
      </c>
      <c r="B364" t="s">
        <v>2900</v>
      </c>
      <c r="C364" t="s">
        <v>1580</v>
      </c>
      <c r="D364" t="s">
        <v>2901</v>
      </c>
      <c r="E364">
        <v>2</v>
      </c>
      <c r="G364">
        <v>2749</v>
      </c>
      <c r="H364" t="s">
        <v>2902</v>
      </c>
      <c r="I364">
        <v>25</v>
      </c>
      <c r="J364" t="s">
        <v>1911</v>
      </c>
      <c r="K364">
        <v>2</v>
      </c>
      <c r="M364">
        <v>11</v>
      </c>
    </row>
    <row r="365" spans="1:13" x14ac:dyDescent="0.15">
      <c r="A365" t="s">
        <v>2903</v>
      </c>
      <c r="B365" t="s">
        <v>2903</v>
      </c>
      <c r="C365" t="s">
        <v>1581</v>
      </c>
      <c r="D365" t="s">
        <v>2904</v>
      </c>
      <c r="E365">
        <v>2</v>
      </c>
      <c r="G365">
        <v>1841</v>
      </c>
      <c r="H365" t="s">
        <v>2905</v>
      </c>
      <c r="I365">
        <v>25</v>
      </c>
      <c r="J365" t="s">
        <v>1911</v>
      </c>
      <c r="K365">
        <v>2</v>
      </c>
      <c r="M365">
        <v>11</v>
      </c>
    </row>
    <row r="366" spans="1:13" x14ac:dyDescent="0.15">
      <c r="A366" t="s">
        <v>2906</v>
      </c>
      <c r="B366" t="s">
        <v>2906</v>
      </c>
      <c r="C366" t="s">
        <v>1582</v>
      </c>
      <c r="D366" t="s">
        <v>2907</v>
      </c>
      <c r="E366">
        <v>1</v>
      </c>
      <c r="G366">
        <v>9.1999999999999993</v>
      </c>
      <c r="H366" t="s">
        <v>2908</v>
      </c>
      <c r="I366">
        <v>1</v>
      </c>
      <c r="J366" t="s">
        <v>1924</v>
      </c>
      <c r="K366">
        <v>2</v>
      </c>
      <c r="M366">
        <v>6</v>
      </c>
    </row>
    <row r="367" spans="1:13" x14ac:dyDescent="0.15">
      <c r="A367" t="s">
        <v>2909</v>
      </c>
      <c r="B367" t="s">
        <v>2909</v>
      </c>
      <c r="C367" t="s">
        <v>1583</v>
      </c>
      <c r="D367" t="s">
        <v>2910</v>
      </c>
      <c r="E367">
        <v>1</v>
      </c>
      <c r="G367">
        <v>12.8</v>
      </c>
      <c r="H367" t="s">
        <v>2911</v>
      </c>
      <c r="I367">
        <v>1</v>
      </c>
      <c r="J367" t="s">
        <v>1924</v>
      </c>
      <c r="K367">
        <v>2</v>
      </c>
      <c r="M367">
        <v>6</v>
      </c>
    </row>
    <row r="368" spans="1:13" x14ac:dyDescent="0.15">
      <c r="A368" t="s">
        <v>2912</v>
      </c>
      <c r="B368" t="s">
        <v>2912</v>
      </c>
      <c r="C368" t="s">
        <v>1585</v>
      </c>
      <c r="D368" t="s">
        <v>2913</v>
      </c>
      <c r="E368">
        <v>1</v>
      </c>
      <c r="G368">
        <v>192</v>
      </c>
      <c r="H368" t="s">
        <v>2914</v>
      </c>
      <c r="I368">
        <v>25</v>
      </c>
      <c r="J368" t="s">
        <v>1911</v>
      </c>
      <c r="K368">
        <v>2</v>
      </c>
      <c r="M368">
        <v>9</v>
      </c>
    </row>
    <row r="369" spans="1:13" x14ac:dyDescent="0.15">
      <c r="A369" t="s">
        <v>2915</v>
      </c>
      <c r="B369" t="s">
        <v>2915</v>
      </c>
      <c r="C369" t="s">
        <v>692</v>
      </c>
      <c r="D369" t="s">
        <v>2916</v>
      </c>
      <c r="E369">
        <v>1</v>
      </c>
      <c r="G369">
        <v>6.5</v>
      </c>
      <c r="H369" t="s">
        <v>2917</v>
      </c>
      <c r="I369">
        <v>3</v>
      </c>
      <c r="J369" t="s">
        <v>1947</v>
      </c>
      <c r="K369">
        <v>2</v>
      </c>
      <c r="M369">
        <v>3</v>
      </c>
    </row>
    <row r="370" spans="1:13" x14ac:dyDescent="0.15">
      <c r="A370" t="s">
        <v>2918</v>
      </c>
      <c r="B370" t="s">
        <v>2918</v>
      </c>
      <c r="C370" t="s">
        <v>1586</v>
      </c>
      <c r="E370">
        <v>1</v>
      </c>
      <c r="G370">
        <v>6.1</v>
      </c>
      <c r="H370" t="s">
        <v>2919</v>
      </c>
      <c r="I370">
        <v>1</v>
      </c>
      <c r="J370" t="s">
        <v>1924</v>
      </c>
      <c r="K370">
        <v>0</v>
      </c>
      <c r="M370">
        <v>5</v>
      </c>
    </row>
    <row r="371" spans="1:13" x14ac:dyDescent="0.15">
      <c r="A371" t="s">
        <v>2920</v>
      </c>
      <c r="B371" t="s">
        <v>2920</v>
      </c>
      <c r="C371" t="s">
        <v>1587</v>
      </c>
      <c r="E371">
        <v>1</v>
      </c>
      <c r="G371">
        <v>76.5</v>
      </c>
      <c r="H371" t="s">
        <v>2921</v>
      </c>
      <c r="I371">
        <v>12</v>
      </c>
      <c r="J371" t="s">
        <v>2256</v>
      </c>
      <c r="K371">
        <v>0</v>
      </c>
      <c r="M371">
        <v>3</v>
      </c>
    </row>
    <row r="372" spans="1:13" x14ac:dyDescent="0.15">
      <c r="A372" t="s">
        <v>2922</v>
      </c>
      <c r="B372" t="s">
        <v>2922</v>
      </c>
      <c r="C372" t="s">
        <v>739</v>
      </c>
      <c r="D372" t="s">
        <v>2923</v>
      </c>
      <c r="E372">
        <v>1</v>
      </c>
      <c r="G372">
        <v>10.4</v>
      </c>
      <c r="H372" t="s">
        <v>2924</v>
      </c>
      <c r="I372">
        <v>1</v>
      </c>
      <c r="J372" t="s">
        <v>1924</v>
      </c>
      <c r="K372">
        <v>0</v>
      </c>
      <c r="M372">
        <v>5</v>
      </c>
    </row>
    <row r="373" spans="1:13" x14ac:dyDescent="0.15">
      <c r="A373" t="s">
        <v>2925</v>
      </c>
      <c r="B373" t="s">
        <v>2925</v>
      </c>
      <c r="C373" t="s">
        <v>1588</v>
      </c>
      <c r="D373" t="s">
        <v>2926</v>
      </c>
      <c r="E373">
        <v>2</v>
      </c>
      <c r="G373">
        <v>10.7</v>
      </c>
      <c r="H373" t="s">
        <v>2927</v>
      </c>
      <c r="I373">
        <v>3</v>
      </c>
      <c r="J373" t="s">
        <v>1947</v>
      </c>
      <c r="K373">
        <v>0</v>
      </c>
      <c r="M373">
        <v>2</v>
      </c>
    </row>
    <row r="374" spans="1:13" x14ac:dyDescent="0.15">
      <c r="A374" t="s">
        <v>2928</v>
      </c>
      <c r="B374" t="s">
        <v>2928</v>
      </c>
      <c r="C374" t="s">
        <v>1589</v>
      </c>
      <c r="D374" t="s">
        <v>2929</v>
      </c>
      <c r="E374">
        <v>1</v>
      </c>
      <c r="G374">
        <v>6.1</v>
      </c>
      <c r="H374" t="s">
        <v>2930</v>
      </c>
      <c r="I374">
        <v>1</v>
      </c>
      <c r="J374" t="s">
        <v>1924</v>
      </c>
      <c r="K374">
        <v>0</v>
      </c>
      <c r="M374">
        <v>5</v>
      </c>
    </row>
    <row r="375" spans="1:13" x14ac:dyDescent="0.15">
      <c r="A375" t="s">
        <v>2931</v>
      </c>
      <c r="B375" t="s">
        <v>2931</v>
      </c>
      <c r="C375" t="s">
        <v>1590</v>
      </c>
      <c r="D375" t="s">
        <v>2932</v>
      </c>
      <c r="E375">
        <v>1</v>
      </c>
      <c r="G375">
        <v>10.1</v>
      </c>
      <c r="H375" t="s">
        <v>2933</v>
      </c>
      <c r="I375">
        <v>1</v>
      </c>
      <c r="J375" t="s">
        <v>1924</v>
      </c>
      <c r="K375">
        <v>0</v>
      </c>
      <c r="M375">
        <v>5</v>
      </c>
    </row>
    <row r="376" spans="1:13" x14ac:dyDescent="0.15">
      <c r="A376" t="s">
        <v>2934</v>
      </c>
      <c r="B376" t="s">
        <v>2934</v>
      </c>
      <c r="C376" t="s">
        <v>1591</v>
      </c>
      <c r="D376" t="s">
        <v>2935</v>
      </c>
      <c r="E376">
        <v>1</v>
      </c>
      <c r="G376">
        <v>16</v>
      </c>
      <c r="H376" t="s">
        <v>2936</v>
      </c>
      <c r="I376">
        <v>15</v>
      </c>
      <c r="J376" t="s">
        <v>1915</v>
      </c>
      <c r="K376">
        <v>0</v>
      </c>
      <c r="M376">
        <v>3</v>
      </c>
    </row>
    <row r="377" spans="1:13" x14ac:dyDescent="0.15">
      <c r="A377" t="s">
        <v>2937</v>
      </c>
      <c r="B377" t="s">
        <v>2937</v>
      </c>
      <c r="C377" t="s">
        <v>744</v>
      </c>
      <c r="D377" t="s">
        <v>2938</v>
      </c>
      <c r="E377">
        <v>1</v>
      </c>
      <c r="G377">
        <v>22.1</v>
      </c>
      <c r="H377" t="s">
        <v>2939</v>
      </c>
      <c r="I377">
        <v>17</v>
      </c>
      <c r="J377" t="s">
        <v>2099</v>
      </c>
      <c r="K377">
        <v>0</v>
      </c>
      <c r="M377">
        <v>15</v>
      </c>
    </row>
    <row r="378" spans="1:13" x14ac:dyDescent="0.15">
      <c r="A378" t="s">
        <v>2940</v>
      </c>
      <c r="B378" t="s">
        <v>2940</v>
      </c>
      <c r="C378" t="s">
        <v>1592</v>
      </c>
      <c r="D378" t="s">
        <v>2941</v>
      </c>
      <c r="E378">
        <v>1</v>
      </c>
      <c r="G378">
        <v>10</v>
      </c>
      <c r="H378" t="s">
        <v>2942</v>
      </c>
      <c r="I378">
        <v>1</v>
      </c>
      <c r="J378" t="s">
        <v>1924</v>
      </c>
      <c r="K378">
        <v>2</v>
      </c>
      <c r="M378">
        <v>1</v>
      </c>
    </row>
    <row r="379" spans="1:13" x14ac:dyDescent="0.15">
      <c r="A379" t="s">
        <v>2943</v>
      </c>
      <c r="B379" t="s">
        <v>2943</v>
      </c>
      <c r="C379" t="s">
        <v>1593</v>
      </c>
      <c r="D379" t="s">
        <v>2944</v>
      </c>
      <c r="E379">
        <v>1</v>
      </c>
      <c r="G379">
        <v>8.3000000000000007</v>
      </c>
      <c r="H379" t="s">
        <v>2945</v>
      </c>
      <c r="I379">
        <v>2</v>
      </c>
      <c r="J379" t="s">
        <v>835</v>
      </c>
      <c r="K379">
        <v>2</v>
      </c>
      <c r="M379">
        <v>1</v>
      </c>
    </row>
    <row r="380" spans="1:13" x14ac:dyDescent="0.15">
      <c r="A380" t="s">
        <v>2946</v>
      </c>
      <c r="B380" t="s">
        <v>2946</v>
      </c>
      <c r="C380" t="s">
        <v>1594</v>
      </c>
      <c r="D380" t="s">
        <v>2947</v>
      </c>
      <c r="E380">
        <v>1</v>
      </c>
      <c r="G380">
        <v>1.47</v>
      </c>
      <c r="H380" t="s">
        <v>2948</v>
      </c>
      <c r="I380">
        <v>3</v>
      </c>
      <c r="J380" t="s">
        <v>1947</v>
      </c>
      <c r="K380">
        <v>0</v>
      </c>
      <c r="M380">
        <v>2</v>
      </c>
    </row>
    <row r="381" spans="1:13" x14ac:dyDescent="0.15">
      <c r="A381" t="s">
        <v>2949</v>
      </c>
      <c r="B381" t="s">
        <v>2949</v>
      </c>
      <c r="C381" t="s">
        <v>1595</v>
      </c>
      <c r="E381">
        <v>2</v>
      </c>
      <c r="G381">
        <v>296.10000000000002</v>
      </c>
      <c r="H381" t="s">
        <v>2950</v>
      </c>
      <c r="I381">
        <v>19</v>
      </c>
      <c r="J381" t="s">
        <v>1988</v>
      </c>
      <c r="K381">
        <v>2</v>
      </c>
      <c r="M381">
        <v>3</v>
      </c>
    </row>
    <row r="382" spans="1:13" x14ac:dyDescent="0.15">
      <c r="A382" t="s">
        <v>2951</v>
      </c>
      <c r="B382" t="s">
        <v>2951</v>
      </c>
      <c r="C382" t="s">
        <v>1596</v>
      </c>
      <c r="D382" t="s">
        <v>2952</v>
      </c>
      <c r="E382">
        <v>2</v>
      </c>
      <c r="G382">
        <v>4735</v>
      </c>
      <c r="H382" t="s">
        <v>2953</v>
      </c>
      <c r="I382">
        <v>25</v>
      </c>
      <c r="J382" t="s">
        <v>1911</v>
      </c>
      <c r="K382">
        <v>2</v>
      </c>
      <c r="M382">
        <v>15</v>
      </c>
    </row>
    <row r="383" spans="1:13" x14ac:dyDescent="0.15">
      <c r="A383" t="s">
        <v>2954</v>
      </c>
      <c r="B383" t="s">
        <v>2954</v>
      </c>
      <c r="C383" t="s">
        <v>1597</v>
      </c>
      <c r="D383" t="s">
        <v>2955</v>
      </c>
      <c r="E383">
        <v>1</v>
      </c>
      <c r="G383">
        <v>6.1</v>
      </c>
      <c r="H383" t="s">
        <v>2956</v>
      </c>
      <c r="I383">
        <v>1</v>
      </c>
      <c r="J383" t="s">
        <v>1924</v>
      </c>
      <c r="K383">
        <v>0</v>
      </c>
      <c r="M383">
        <v>5</v>
      </c>
    </row>
    <row r="384" spans="1:13" x14ac:dyDescent="0.15">
      <c r="A384" t="s">
        <v>2957</v>
      </c>
      <c r="B384" t="s">
        <v>2957</v>
      </c>
      <c r="C384" t="s">
        <v>1598</v>
      </c>
      <c r="D384" t="s">
        <v>2958</v>
      </c>
      <c r="E384">
        <v>1</v>
      </c>
      <c r="G384">
        <v>6.7</v>
      </c>
      <c r="H384" t="s">
        <v>2959</v>
      </c>
      <c r="I384">
        <v>1</v>
      </c>
      <c r="J384" t="s">
        <v>1924</v>
      </c>
      <c r="K384">
        <v>0</v>
      </c>
      <c r="M384">
        <v>5</v>
      </c>
    </row>
    <row r="385" spans="1:13" x14ac:dyDescent="0.15">
      <c r="A385" t="s">
        <v>2960</v>
      </c>
      <c r="B385" t="s">
        <v>2960</v>
      </c>
      <c r="C385" t="s">
        <v>1599</v>
      </c>
      <c r="D385" t="s">
        <v>2961</v>
      </c>
      <c r="E385">
        <v>1</v>
      </c>
      <c r="G385">
        <v>2.9</v>
      </c>
      <c r="H385" t="s">
        <v>2962</v>
      </c>
      <c r="I385">
        <v>15</v>
      </c>
      <c r="J385" t="s">
        <v>1915</v>
      </c>
      <c r="K385">
        <v>0</v>
      </c>
      <c r="M385">
        <v>3</v>
      </c>
    </row>
    <row r="386" spans="1:13" x14ac:dyDescent="0.15">
      <c r="A386" t="s">
        <v>2963</v>
      </c>
      <c r="B386" t="s">
        <v>2963</v>
      </c>
      <c r="C386" t="s">
        <v>1600</v>
      </c>
      <c r="E386">
        <v>1</v>
      </c>
      <c r="G386">
        <v>10.4</v>
      </c>
      <c r="H386" t="s">
        <v>2964</v>
      </c>
      <c r="I386">
        <v>1</v>
      </c>
      <c r="J386" t="s">
        <v>1924</v>
      </c>
      <c r="K386">
        <v>2</v>
      </c>
      <c r="M386">
        <v>6</v>
      </c>
    </row>
    <row r="387" spans="1:13" x14ac:dyDescent="0.15">
      <c r="A387" t="s">
        <v>2965</v>
      </c>
      <c r="B387" t="s">
        <v>2965</v>
      </c>
      <c r="C387" t="s">
        <v>1601</v>
      </c>
      <c r="D387" t="s">
        <v>2966</v>
      </c>
      <c r="E387">
        <v>2</v>
      </c>
      <c r="G387">
        <v>814.8</v>
      </c>
      <c r="H387" t="s">
        <v>2967</v>
      </c>
      <c r="I387">
        <v>2</v>
      </c>
      <c r="J387" t="s">
        <v>835</v>
      </c>
      <c r="K387">
        <v>0</v>
      </c>
      <c r="M387">
        <v>3</v>
      </c>
    </row>
    <row r="388" spans="1:13" x14ac:dyDescent="0.15">
      <c r="A388" t="s">
        <v>2968</v>
      </c>
      <c r="B388" t="s">
        <v>2968</v>
      </c>
      <c r="C388" t="s">
        <v>757</v>
      </c>
      <c r="D388" t="s">
        <v>2969</v>
      </c>
      <c r="E388">
        <v>1</v>
      </c>
      <c r="G388">
        <v>14.7</v>
      </c>
      <c r="H388" t="s">
        <v>2970</v>
      </c>
      <c r="I388">
        <v>1</v>
      </c>
      <c r="J388" t="s">
        <v>1924</v>
      </c>
      <c r="K388">
        <v>0</v>
      </c>
      <c r="M388">
        <v>5</v>
      </c>
    </row>
    <row r="389" spans="1:13" x14ac:dyDescent="0.15">
      <c r="A389" t="s">
        <v>2971</v>
      </c>
      <c r="B389" t="s">
        <v>2971</v>
      </c>
      <c r="C389" t="s">
        <v>1602</v>
      </c>
      <c r="D389" t="s">
        <v>2972</v>
      </c>
      <c r="E389">
        <v>1</v>
      </c>
      <c r="G389">
        <v>100</v>
      </c>
      <c r="H389" t="s">
        <v>2973</v>
      </c>
      <c r="I389">
        <v>25</v>
      </c>
      <c r="J389" t="s">
        <v>1911</v>
      </c>
      <c r="K389">
        <v>0</v>
      </c>
      <c r="M389">
        <v>15</v>
      </c>
    </row>
    <row r="390" spans="1:13" x14ac:dyDescent="0.15">
      <c r="A390" t="s">
        <v>2974</v>
      </c>
      <c r="B390" t="s">
        <v>2974</v>
      </c>
      <c r="C390" t="s">
        <v>1603</v>
      </c>
      <c r="D390" t="s">
        <v>2975</v>
      </c>
      <c r="E390">
        <v>1</v>
      </c>
      <c r="G390">
        <v>61</v>
      </c>
      <c r="H390" t="s">
        <v>2976</v>
      </c>
      <c r="I390">
        <v>25</v>
      </c>
      <c r="J390" t="s">
        <v>1911</v>
      </c>
      <c r="K390">
        <v>0</v>
      </c>
      <c r="M390">
        <v>8</v>
      </c>
    </row>
    <row r="391" spans="1:13" x14ac:dyDescent="0.15">
      <c r="A391" t="s">
        <v>2977</v>
      </c>
      <c r="B391" t="s">
        <v>2977</v>
      </c>
      <c r="C391" t="s">
        <v>1604</v>
      </c>
      <c r="E391">
        <v>1</v>
      </c>
      <c r="G391">
        <v>45.5</v>
      </c>
      <c r="H391" t="s">
        <v>2978</v>
      </c>
      <c r="I391">
        <v>14</v>
      </c>
      <c r="J391" t="s">
        <v>1907</v>
      </c>
      <c r="K391">
        <v>0</v>
      </c>
      <c r="M391">
        <v>3</v>
      </c>
    </row>
    <row r="392" spans="1:13" x14ac:dyDescent="0.15">
      <c r="A392" t="s">
        <v>2979</v>
      </c>
      <c r="B392" t="s">
        <v>2979</v>
      </c>
      <c r="C392" t="s">
        <v>1605</v>
      </c>
      <c r="D392" t="s">
        <v>2980</v>
      </c>
      <c r="E392">
        <v>1</v>
      </c>
      <c r="G392">
        <v>28.5</v>
      </c>
      <c r="H392" t="s">
        <v>2981</v>
      </c>
      <c r="I392">
        <v>1</v>
      </c>
      <c r="J392" t="s">
        <v>1924</v>
      </c>
      <c r="K392">
        <v>0</v>
      </c>
      <c r="M392">
        <v>5</v>
      </c>
    </row>
    <row r="393" spans="1:13" x14ac:dyDescent="0.15">
      <c r="A393" t="s">
        <v>2982</v>
      </c>
      <c r="B393" t="s">
        <v>2982</v>
      </c>
      <c r="C393" t="s">
        <v>765</v>
      </c>
      <c r="E393">
        <v>1</v>
      </c>
      <c r="G393">
        <v>6</v>
      </c>
      <c r="H393" t="s">
        <v>2983</v>
      </c>
      <c r="I393">
        <v>1</v>
      </c>
      <c r="J393" t="s">
        <v>1924</v>
      </c>
      <c r="K393">
        <v>0</v>
      </c>
      <c r="M393">
        <v>5</v>
      </c>
    </row>
    <row r="394" spans="1:13" x14ac:dyDescent="0.15">
      <c r="A394" t="s">
        <v>2984</v>
      </c>
      <c r="B394" t="s">
        <v>2984</v>
      </c>
      <c r="C394" t="s">
        <v>1607</v>
      </c>
      <c r="D394" t="s">
        <v>2985</v>
      </c>
      <c r="E394">
        <v>2</v>
      </c>
      <c r="G394">
        <v>201.1</v>
      </c>
      <c r="H394" t="s">
        <v>2986</v>
      </c>
      <c r="I394">
        <v>1</v>
      </c>
      <c r="J394" t="s">
        <v>1924</v>
      </c>
      <c r="K394">
        <v>2</v>
      </c>
      <c r="M394">
        <v>3</v>
      </c>
    </row>
    <row r="395" spans="1:13" x14ac:dyDescent="0.15">
      <c r="A395" t="s">
        <v>2987</v>
      </c>
      <c r="B395" t="s">
        <v>2987</v>
      </c>
      <c r="C395" t="s">
        <v>1608</v>
      </c>
      <c r="D395" t="s">
        <v>2988</v>
      </c>
      <c r="E395">
        <v>1</v>
      </c>
      <c r="G395">
        <v>100</v>
      </c>
      <c r="H395" t="s">
        <v>2989</v>
      </c>
      <c r="I395">
        <v>25</v>
      </c>
      <c r="J395" t="s">
        <v>1911</v>
      </c>
      <c r="K395">
        <v>2</v>
      </c>
      <c r="M395">
        <v>9</v>
      </c>
    </row>
    <row r="396" spans="1:13" x14ac:dyDescent="0.15">
      <c r="A396" t="s">
        <v>2990</v>
      </c>
      <c r="B396" t="s">
        <v>2990</v>
      </c>
      <c r="C396" t="s">
        <v>1609</v>
      </c>
      <c r="E396">
        <v>1</v>
      </c>
      <c r="G396">
        <v>12.3</v>
      </c>
      <c r="H396" t="s">
        <v>2991</v>
      </c>
      <c r="I396">
        <v>1</v>
      </c>
      <c r="J396" t="s">
        <v>1924</v>
      </c>
      <c r="K396">
        <v>2</v>
      </c>
      <c r="M396">
        <v>6</v>
      </c>
    </row>
    <row r="397" spans="1:13" x14ac:dyDescent="0.15">
      <c r="A397" t="s">
        <v>2992</v>
      </c>
      <c r="B397" t="s">
        <v>2992</v>
      </c>
      <c r="C397" t="s">
        <v>1610</v>
      </c>
      <c r="D397" t="s">
        <v>2993</v>
      </c>
      <c r="E397">
        <v>1</v>
      </c>
      <c r="G397">
        <v>33.700000000000003</v>
      </c>
      <c r="H397" t="s">
        <v>2994</v>
      </c>
      <c r="I397">
        <v>1</v>
      </c>
      <c r="J397" t="s">
        <v>1924</v>
      </c>
      <c r="K397">
        <v>2</v>
      </c>
      <c r="M397">
        <v>6</v>
      </c>
    </row>
    <row r="398" spans="1:13" x14ac:dyDescent="0.15">
      <c r="A398" t="s">
        <v>2995</v>
      </c>
      <c r="B398" t="s">
        <v>2995</v>
      </c>
      <c r="C398" t="s">
        <v>1611</v>
      </c>
      <c r="E398">
        <v>1</v>
      </c>
      <c r="G398">
        <v>12538.6</v>
      </c>
      <c r="H398" t="s">
        <v>2996</v>
      </c>
      <c r="I398">
        <v>24</v>
      </c>
      <c r="J398" t="s">
        <v>2065</v>
      </c>
      <c r="K398">
        <v>2</v>
      </c>
      <c r="M398">
        <v>6</v>
      </c>
    </row>
    <row r="399" spans="1:13" x14ac:dyDescent="0.15">
      <c r="A399" t="s">
        <v>2997</v>
      </c>
      <c r="B399" t="s">
        <v>2997</v>
      </c>
      <c r="C399" t="s">
        <v>1612</v>
      </c>
      <c r="E399">
        <v>1</v>
      </c>
      <c r="G399">
        <v>19805.5</v>
      </c>
      <c r="H399" t="s">
        <v>2998</v>
      </c>
      <c r="I399">
        <v>24</v>
      </c>
      <c r="J399" t="s">
        <v>2065</v>
      </c>
      <c r="K399">
        <v>2</v>
      </c>
      <c r="M399">
        <v>6</v>
      </c>
    </row>
    <row r="400" spans="1:13" x14ac:dyDescent="0.15">
      <c r="A400" t="s">
        <v>2999</v>
      </c>
      <c r="B400" t="s">
        <v>2999</v>
      </c>
      <c r="C400" t="s">
        <v>1613</v>
      </c>
      <c r="D400" t="s">
        <v>3000</v>
      </c>
      <c r="E400">
        <v>1</v>
      </c>
      <c r="G400">
        <v>2.09</v>
      </c>
      <c r="H400" t="s">
        <v>3001</v>
      </c>
      <c r="I400">
        <v>24</v>
      </c>
      <c r="J400" t="s">
        <v>2065</v>
      </c>
      <c r="K400">
        <v>0</v>
      </c>
      <c r="M400">
        <v>7</v>
      </c>
    </row>
    <row r="401" spans="1:13" x14ac:dyDescent="0.15">
      <c r="A401" t="s">
        <v>3002</v>
      </c>
      <c r="B401" t="s">
        <v>3002</v>
      </c>
      <c r="C401" t="s">
        <v>1614</v>
      </c>
      <c r="D401" t="s">
        <v>3003</v>
      </c>
      <c r="E401">
        <v>1</v>
      </c>
      <c r="G401">
        <v>5.9</v>
      </c>
      <c r="H401" t="s">
        <v>3004</v>
      </c>
      <c r="I401">
        <v>1</v>
      </c>
      <c r="J401" t="s">
        <v>1924</v>
      </c>
      <c r="K401">
        <v>0</v>
      </c>
      <c r="M401">
        <v>5</v>
      </c>
    </row>
    <row r="402" spans="1:13" x14ac:dyDescent="0.15">
      <c r="A402" t="s">
        <v>3005</v>
      </c>
      <c r="B402" t="s">
        <v>3005</v>
      </c>
      <c r="C402" t="s">
        <v>1615</v>
      </c>
      <c r="D402" t="s">
        <v>3006</v>
      </c>
      <c r="E402">
        <v>1</v>
      </c>
      <c r="G402">
        <v>42.6</v>
      </c>
      <c r="H402" t="s">
        <v>3007</v>
      </c>
      <c r="I402">
        <v>1</v>
      </c>
      <c r="J402" t="s">
        <v>1924</v>
      </c>
      <c r="K402">
        <v>0</v>
      </c>
      <c r="M402">
        <v>1</v>
      </c>
    </row>
    <row r="403" spans="1:13" x14ac:dyDescent="0.15">
      <c r="A403" t="s">
        <v>3008</v>
      </c>
      <c r="B403" t="s">
        <v>3008</v>
      </c>
      <c r="C403" t="s">
        <v>1616</v>
      </c>
      <c r="D403" t="s">
        <v>3009</v>
      </c>
      <c r="E403">
        <v>2</v>
      </c>
      <c r="G403">
        <v>10.1</v>
      </c>
      <c r="H403" t="s">
        <v>3010</v>
      </c>
      <c r="I403">
        <v>1</v>
      </c>
      <c r="J403" t="s">
        <v>1924</v>
      </c>
      <c r="K403">
        <v>2</v>
      </c>
      <c r="M403">
        <v>15</v>
      </c>
    </row>
    <row r="404" spans="1:13" x14ac:dyDescent="0.15">
      <c r="A404" t="s">
        <v>3011</v>
      </c>
      <c r="B404" t="s">
        <v>3011</v>
      </c>
      <c r="C404" t="s">
        <v>1617</v>
      </c>
      <c r="D404" t="s">
        <v>3012</v>
      </c>
      <c r="E404">
        <v>1</v>
      </c>
      <c r="G404">
        <v>4691</v>
      </c>
      <c r="H404" t="s">
        <v>3013</v>
      </c>
      <c r="I404">
        <v>25</v>
      </c>
      <c r="J404" t="s">
        <v>1911</v>
      </c>
      <c r="K404">
        <v>2</v>
      </c>
      <c r="M404">
        <v>8</v>
      </c>
    </row>
    <row r="405" spans="1:13" x14ac:dyDescent="0.15">
      <c r="A405" t="s">
        <v>3014</v>
      </c>
      <c r="B405" t="s">
        <v>3014</v>
      </c>
      <c r="C405" t="s">
        <v>1618</v>
      </c>
      <c r="E405">
        <v>1</v>
      </c>
      <c r="G405">
        <v>67.5</v>
      </c>
      <c r="H405" t="s">
        <v>3015</v>
      </c>
      <c r="I405">
        <v>1</v>
      </c>
      <c r="J405" t="s">
        <v>1924</v>
      </c>
      <c r="K405">
        <v>0</v>
      </c>
      <c r="M405">
        <v>1</v>
      </c>
    </row>
    <row r="406" spans="1:13" x14ac:dyDescent="0.15">
      <c r="A406" t="s">
        <v>3016</v>
      </c>
      <c r="B406" t="s">
        <v>3016</v>
      </c>
      <c r="C406" t="s">
        <v>1619</v>
      </c>
      <c r="D406" t="s">
        <v>3017</v>
      </c>
      <c r="E406">
        <v>1</v>
      </c>
      <c r="G406">
        <v>14.3</v>
      </c>
      <c r="H406" t="s">
        <v>3018</v>
      </c>
      <c r="I406">
        <v>1</v>
      </c>
      <c r="J406" t="s">
        <v>1924</v>
      </c>
      <c r="K406">
        <v>0</v>
      </c>
      <c r="M406">
        <v>5</v>
      </c>
    </row>
    <row r="407" spans="1:13" x14ac:dyDescent="0.15">
      <c r="A407" t="s">
        <v>3019</v>
      </c>
      <c r="B407" t="s">
        <v>3019</v>
      </c>
      <c r="C407" t="s">
        <v>782</v>
      </c>
      <c r="E407">
        <v>1</v>
      </c>
      <c r="G407">
        <v>7</v>
      </c>
      <c r="H407" t="s">
        <v>3020</v>
      </c>
      <c r="I407">
        <v>6</v>
      </c>
      <c r="J407" t="s">
        <v>3021</v>
      </c>
      <c r="K407">
        <v>0</v>
      </c>
      <c r="M407">
        <v>13</v>
      </c>
    </row>
    <row r="408" spans="1:13" x14ac:dyDescent="0.15">
      <c r="A408" t="s">
        <v>3022</v>
      </c>
      <c r="B408" t="s">
        <v>3022</v>
      </c>
      <c r="C408" t="s">
        <v>785</v>
      </c>
      <c r="D408" t="s">
        <v>3023</v>
      </c>
      <c r="E408">
        <v>1</v>
      </c>
      <c r="G408">
        <v>554</v>
      </c>
      <c r="H408" t="s">
        <v>3024</v>
      </c>
      <c r="I408">
        <v>25</v>
      </c>
      <c r="J408" t="s">
        <v>1911</v>
      </c>
      <c r="K408">
        <v>0</v>
      </c>
      <c r="M408">
        <v>10</v>
      </c>
    </row>
    <row r="409" spans="1:13" x14ac:dyDescent="0.15">
      <c r="A409" t="s">
        <v>3025</v>
      </c>
      <c r="B409" t="s">
        <v>3025</v>
      </c>
      <c r="C409" t="s">
        <v>1620</v>
      </c>
      <c r="E409">
        <v>1</v>
      </c>
      <c r="G409">
        <v>14.6</v>
      </c>
      <c r="H409" t="s">
        <v>3026</v>
      </c>
      <c r="I409">
        <v>1</v>
      </c>
      <c r="J409" t="s">
        <v>1924</v>
      </c>
      <c r="K409">
        <v>2</v>
      </c>
      <c r="M409">
        <v>6</v>
      </c>
    </row>
    <row r="410" spans="1:13" x14ac:dyDescent="0.15">
      <c r="A410" t="s">
        <v>3027</v>
      </c>
      <c r="B410" t="s">
        <v>3027</v>
      </c>
      <c r="C410" t="s">
        <v>1621</v>
      </c>
      <c r="D410" t="s">
        <v>3028</v>
      </c>
      <c r="E410">
        <v>1</v>
      </c>
      <c r="G410">
        <v>6.2</v>
      </c>
      <c r="H410" t="s">
        <v>3029</v>
      </c>
      <c r="I410">
        <v>1</v>
      </c>
      <c r="J410" t="s">
        <v>1924</v>
      </c>
      <c r="K410">
        <v>2</v>
      </c>
      <c r="M410">
        <v>6</v>
      </c>
    </row>
    <row r="411" spans="1:13" x14ac:dyDescent="0.15">
      <c r="A411" t="s">
        <v>3030</v>
      </c>
      <c r="B411" t="s">
        <v>3030</v>
      </c>
      <c r="C411" t="s">
        <v>1622</v>
      </c>
      <c r="D411" t="s">
        <v>3031</v>
      </c>
      <c r="E411">
        <v>1</v>
      </c>
      <c r="G411">
        <v>6.3</v>
      </c>
      <c r="H411" t="s">
        <v>3032</v>
      </c>
      <c r="I411">
        <v>1</v>
      </c>
      <c r="J411" t="s">
        <v>1924</v>
      </c>
      <c r="K411">
        <v>2</v>
      </c>
      <c r="M411">
        <v>6</v>
      </c>
    </row>
    <row r="412" spans="1:13" x14ac:dyDescent="0.15">
      <c r="A412" t="s">
        <v>3033</v>
      </c>
      <c r="B412" t="s">
        <v>3033</v>
      </c>
      <c r="C412" t="s">
        <v>1623</v>
      </c>
      <c r="D412" t="s">
        <v>3034</v>
      </c>
      <c r="E412">
        <v>1</v>
      </c>
      <c r="G412">
        <v>6.3</v>
      </c>
      <c r="H412" t="s">
        <v>3035</v>
      </c>
      <c r="I412">
        <v>1</v>
      </c>
      <c r="J412" t="s">
        <v>1924</v>
      </c>
      <c r="K412">
        <v>2</v>
      </c>
      <c r="M412">
        <v>6</v>
      </c>
    </row>
    <row r="413" spans="1:13" x14ac:dyDescent="0.15">
      <c r="A413" t="s">
        <v>3036</v>
      </c>
      <c r="B413" t="s">
        <v>3036</v>
      </c>
      <c r="C413" t="s">
        <v>1624</v>
      </c>
      <c r="D413" t="s">
        <v>3037</v>
      </c>
      <c r="E413">
        <v>1</v>
      </c>
      <c r="G413">
        <v>6.6</v>
      </c>
      <c r="H413" t="s">
        <v>3038</v>
      </c>
      <c r="I413">
        <v>1</v>
      </c>
      <c r="J413" t="s">
        <v>1924</v>
      </c>
      <c r="K413">
        <v>2</v>
      </c>
      <c r="M413">
        <v>6</v>
      </c>
    </row>
    <row r="414" spans="1:13" x14ac:dyDescent="0.15">
      <c r="A414" t="s">
        <v>3039</v>
      </c>
      <c r="B414" t="s">
        <v>3039</v>
      </c>
      <c r="C414" t="s">
        <v>1625</v>
      </c>
      <c r="D414" t="s">
        <v>3040</v>
      </c>
      <c r="E414">
        <v>1</v>
      </c>
      <c r="G414">
        <v>10.1</v>
      </c>
      <c r="H414" t="s">
        <v>3041</v>
      </c>
      <c r="I414">
        <v>3</v>
      </c>
      <c r="J414" t="s">
        <v>1947</v>
      </c>
      <c r="K414">
        <v>2</v>
      </c>
      <c r="M414">
        <v>2</v>
      </c>
    </row>
    <row r="415" spans="1:13" x14ac:dyDescent="0.15">
      <c r="A415" t="s">
        <v>3042</v>
      </c>
      <c r="B415" t="s">
        <v>3042</v>
      </c>
      <c r="C415" t="s">
        <v>1626</v>
      </c>
      <c r="D415" t="s">
        <v>3043</v>
      </c>
      <c r="E415">
        <v>1</v>
      </c>
      <c r="G415">
        <v>1443</v>
      </c>
      <c r="H415" t="s">
        <v>3044</v>
      </c>
      <c r="I415">
        <v>25</v>
      </c>
      <c r="J415" t="s">
        <v>1911</v>
      </c>
      <c r="K415">
        <v>2</v>
      </c>
      <c r="M415">
        <v>9</v>
      </c>
    </row>
    <row r="416" spans="1:13" x14ac:dyDescent="0.15">
      <c r="A416" t="s">
        <v>3045</v>
      </c>
      <c r="B416" t="s">
        <v>3045</v>
      </c>
      <c r="C416" t="s">
        <v>1627</v>
      </c>
      <c r="D416" t="s">
        <v>3046</v>
      </c>
      <c r="E416">
        <v>1</v>
      </c>
      <c r="G416">
        <v>2263</v>
      </c>
      <c r="H416" t="s">
        <v>3047</v>
      </c>
      <c r="I416">
        <v>25</v>
      </c>
      <c r="J416" t="s">
        <v>1911</v>
      </c>
      <c r="K416">
        <v>2</v>
      </c>
      <c r="M416">
        <v>9</v>
      </c>
    </row>
    <row r="417" spans="1:13" x14ac:dyDescent="0.15">
      <c r="A417" t="s">
        <v>3048</v>
      </c>
      <c r="B417" t="s">
        <v>3048</v>
      </c>
      <c r="C417" t="s">
        <v>1628</v>
      </c>
      <c r="D417" t="s">
        <v>3049</v>
      </c>
      <c r="E417">
        <v>1</v>
      </c>
      <c r="G417">
        <v>754</v>
      </c>
      <c r="H417" t="s">
        <v>3050</v>
      </c>
      <c r="I417">
        <v>25</v>
      </c>
      <c r="J417" t="s">
        <v>1911</v>
      </c>
      <c r="K417">
        <v>0</v>
      </c>
      <c r="M417">
        <v>8</v>
      </c>
    </row>
    <row r="418" spans="1:13" x14ac:dyDescent="0.15">
      <c r="A418" t="s">
        <v>3051</v>
      </c>
      <c r="B418" t="s">
        <v>3051</v>
      </c>
      <c r="C418" t="s">
        <v>1629</v>
      </c>
      <c r="D418" t="s">
        <v>3052</v>
      </c>
      <c r="E418">
        <v>1</v>
      </c>
      <c r="G418">
        <v>11.1</v>
      </c>
      <c r="H418" t="s">
        <v>3053</v>
      </c>
      <c r="I418">
        <v>3</v>
      </c>
      <c r="J418" t="s">
        <v>1947</v>
      </c>
      <c r="K418">
        <v>0</v>
      </c>
      <c r="M418">
        <v>2</v>
      </c>
    </row>
    <row r="419" spans="1:13" x14ac:dyDescent="0.15">
      <c r="A419" t="s">
        <v>3054</v>
      </c>
      <c r="B419" t="s">
        <v>3054</v>
      </c>
      <c r="C419" t="s">
        <v>1630</v>
      </c>
      <c r="D419" t="s">
        <v>3055</v>
      </c>
      <c r="E419">
        <v>1</v>
      </c>
      <c r="G419">
        <v>10.8</v>
      </c>
      <c r="H419" t="s">
        <v>3056</v>
      </c>
      <c r="I419">
        <v>1</v>
      </c>
      <c r="J419" t="s">
        <v>1924</v>
      </c>
      <c r="K419">
        <v>0</v>
      </c>
      <c r="M419">
        <v>5</v>
      </c>
    </row>
    <row r="420" spans="1:13" x14ac:dyDescent="0.15">
      <c r="A420" t="s">
        <v>3057</v>
      </c>
      <c r="B420" t="s">
        <v>3057</v>
      </c>
      <c r="C420" t="s">
        <v>1631</v>
      </c>
      <c r="D420" t="s">
        <v>3058</v>
      </c>
      <c r="E420">
        <v>1</v>
      </c>
      <c r="G420">
        <v>61</v>
      </c>
      <c r="H420" t="s">
        <v>3059</v>
      </c>
      <c r="I420">
        <v>25</v>
      </c>
      <c r="J420" t="s">
        <v>1911</v>
      </c>
      <c r="K420">
        <v>0</v>
      </c>
      <c r="M420">
        <v>9</v>
      </c>
    </row>
    <row r="421" spans="1:13" x14ac:dyDescent="0.15">
      <c r="A421" t="s">
        <v>3060</v>
      </c>
      <c r="B421" t="s">
        <v>3060</v>
      </c>
      <c r="C421" t="s">
        <v>1632</v>
      </c>
      <c r="D421" t="s">
        <v>3061</v>
      </c>
      <c r="E421">
        <v>1</v>
      </c>
      <c r="G421">
        <v>173.1</v>
      </c>
      <c r="H421" t="s">
        <v>3062</v>
      </c>
      <c r="I421">
        <v>21</v>
      </c>
      <c r="J421" t="s">
        <v>1954</v>
      </c>
      <c r="K421">
        <v>0</v>
      </c>
      <c r="M421">
        <v>3</v>
      </c>
    </row>
    <row r="422" spans="1:13" x14ac:dyDescent="0.15">
      <c r="A422" t="s">
        <v>3063</v>
      </c>
      <c r="B422" t="s">
        <v>3063</v>
      </c>
      <c r="C422" t="s">
        <v>809</v>
      </c>
      <c r="D422" t="s">
        <v>3064</v>
      </c>
      <c r="E422">
        <v>1</v>
      </c>
      <c r="G422">
        <v>6.5</v>
      </c>
      <c r="H422" t="s">
        <v>3065</v>
      </c>
      <c r="I422">
        <v>3</v>
      </c>
      <c r="J422" t="s">
        <v>1947</v>
      </c>
      <c r="K422">
        <v>0</v>
      </c>
      <c r="M422">
        <v>3</v>
      </c>
    </row>
    <row r="423" spans="1:13" x14ac:dyDescent="0.15">
      <c r="A423" t="s">
        <v>3066</v>
      </c>
      <c r="B423" t="s">
        <v>3066</v>
      </c>
      <c r="C423" t="s">
        <v>806</v>
      </c>
      <c r="D423" t="s">
        <v>3067</v>
      </c>
      <c r="E423">
        <v>1</v>
      </c>
      <c r="G423">
        <v>5.9</v>
      </c>
      <c r="H423" t="s">
        <v>3068</v>
      </c>
      <c r="I423">
        <v>1</v>
      </c>
      <c r="J423" t="s">
        <v>1924</v>
      </c>
      <c r="K423">
        <v>0</v>
      </c>
      <c r="M423">
        <v>5</v>
      </c>
    </row>
    <row r="424" spans="1:13" x14ac:dyDescent="0.15">
      <c r="A424" t="s">
        <v>3069</v>
      </c>
      <c r="B424" t="s">
        <v>3069</v>
      </c>
      <c r="C424" t="s">
        <v>1633</v>
      </c>
      <c r="E424">
        <v>2</v>
      </c>
      <c r="G424">
        <v>110.9</v>
      </c>
      <c r="H424" t="s">
        <v>3070</v>
      </c>
      <c r="I424">
        <v>1</v>
      </c>
      <c r="J424" t="s">
        <v>1924</v>
      </c>
      <c r="K424">
        <v>2</v>
      </c>
      <c r="M424">
        <v>3</v>
      </c>
    </row>
    <row r="425" spans="1:13" x14ac:dyDescent="0.15">
      <c r="A425" t="s">
        <v>3071</v>
      </c>
      <c r="B425" t="s">
        <v>3071</v>
      </c>
      <c r="C425" t="s">
        <v>1634</v>
      </c>
      <c r="D425" t="s">
        <v>3072</v>
      </c>
      <c r="E425">
        <v>1</v>
      </c>
      <c r="G425">
        <v>6.1</v>
      </c>
      <c r="H425" t="s">
        <v>3073</v>
      </c>
      <c r="I425">
        <v>1</v>
      </c>
      <c r="J425" t="s">
        <v>1924</v>
      </c>
      <c r="K425">
        <v>0</v>
      </c>
      <c r="M425">
        <v>5</v>
      </c>
    </row>
    <row r="426" spans="1:13" x14ac:dyDescent="0.15">
      <c r="A426" t="s">
        <v>3074</v>
      </c>
      <c r="B426" t="s">
        <v>3074</v>
      </c>
      <c r="C426" t="s">
        <v>1635</v>
      </c>
      <c r="D426" t="s">
        <v>3075</v>
      </c>
      <c r="E426">
        <v>1</v>
      </c>
      <c r="G426">
        <v>7.5</v>
      </c>
      <c r="H426" t="s">
        <v>3076</v>
      </c>
      <c r="I426">
        <v>7</v>
      </c>
      <c r="J426" t="s">
        <v>2151</v>
      </c>
      <c r="K426">
        <v>0</v>
      </c>
      <c r="M426">
        <v>1</v>
      </c>
    </row>
    <row r="427" spans="1:13" x14ac:dyDescent="0.15">
      <c r="A427" t="s">
        <v>3077</v>
      </c>
      <c r="B427" t="s">
        <v>3077</v>
      </c>
      <c r="C427" t="s">
        <v>1636</v>
      </c>
      <c r="D427" t="s">
        <v>3078</v>
      </c>
      <c r="E427">
        <v>2</v>
      </c>
      <c r="G427">
        <v>16.600000000000001</v>
      </c>
      <c r="H427" t="s">
        <v>3079</v>
      </c>
      <c r="I427">
        <v>1</v>
      </c>
      <c r="J427" t="s">
        <v>1924</v>
      </c>
      <c r="K427">
        <v>2</v>
      </c>
      <c r="M427">
        <v>3</v>
      </c>
    </row>
    <row r="428" spans="1:13" x14ac:dyDescent="0.15">
      <c r="A428" t="s">
        <v>3080</v>
      </c>
      <c r="B428" t="s">
        <v>3080</v>
      </c>
      <c r="C428" t="s">
        <v>804</v>
      </c>
      <c r="D428" t="s">
        <v>3081</v>
      </c>
      <c r="E428">
        <v>2</v>
      </c>
      <c r="G428">
        <v>9.6999999999999993</v>
      </c>
      <c r="H428" t="s">
        <v>3082</v>
      </c>
      <c r="I428">
        <v>1</v>
      </c>
      <c r="J428" t="s">
        <v>1924</v>
      </c>
      <c r="K428">
        <v>0</v>
      </c>
      <c r="M428">
        <v>3</v>
      </c>
    </row>
    <row r="429" spans="1:13" x14ac:dyDescent="0.15">
      <c r="A429" t="s">
        <v>3083</v>
      </c>
      <c r="B429" t="s">
        <v>3083</v>
      </c>
      <c r="C429" t="s">
        <v>1637</v>
      </c>
      <c r="D429" t="s">
        <v>3084</v>
      </c>
      <c r="E429">
        <v>2</v>
      </c>
      <c r="G429">
        <v>57</v>
      </c>
      <c r="H429" t="s">
        <v>3085</v>
      </c>
      <c r="I429">
        <v>19</v>
      </c>
      <c r="J429" t="s">
        <v>1988</v>
      </c>
      <c r="K429">
        <v>0</v>
      </c>
      <c r="M429">
        <v>3</v>
      </c>
    </row>
    <row r="430" spans="1:13" x14ac:dyDescent="0.15">
      <c r="A430" t="s">
        <v>3086</v>
      </c>
      <c r="B430" t="s">
        <v>3086</v>
      </c>
      <c r="C430" t="s">
        <v>817</v>
      </c>
      <c r="E430">
        <v>2</v>
      </c>
      <c r="G430">
        <v>41.5</v>
      </c>
      <c r="H430" t="s">
        <v>3087</v>
      </c>
      <c r="I430">
        <v>19</v>
      </c>
      <c r="J430" t="s">
        <v>1988</v>
      </c>
      <c r="K430">
        <v>0</v>
      </c>
      <c r="M430">
        <v>3</v>
      </c>
    </row>
    <row r="431" spans="1:13" x14ac:dyDescent="0.15">
      <c r="A431" t="s">
        <v>3088</v>
      </c>
      <c r="B431" t="s">
        <v>3088</v>
      </c>
      <c r="C431" t="s">
        <v>1638</v>
      </c>
      <c r="E431">
        <v>1</v>
      </c>
      <c r="G431">
        <v>10.4</v>
      </c>
      <c r="H431" t="s">
        <v>3089</v>
      </c>
      <c r="I431">
        <v>1</v>
      </c>
      <c r="J431" t="s">
        <v>1924</v>
      </c>
      <c r="K431">
        <v>0</v>
      </c>
      <c r="M431">
        <v>1</v>
      </c>
    </row>
    <row r="432" spans="1:13" x14ac:dyDescent="0.15">
      <c r="A432" t="s">
        <v>3090</v>
      </c>
      <c r="B432" t="s">
        <v>3090</v>
      </c>
      <c r="C432" t="s">
        <v>1639</v>
      </c>
      <c r="E432">
        <v>1</v>
      </c>
      <c r="G432">
        <v>10.4</v>
      </c>
      <c r="H432" t="s">
        <v>3091</v>
      </c>
      <c r="I432">
        <v>1</v>
      </c>
      <c r="J432" t="s">
        <v>1924</v>
      </c>
      <c r="K432">
        <v>0</v>
      </c>
      <c r="M432">
        <v>5</v>
      </c>
    </row>
    <row r="433" spans="1:13" x14ac:dyDescent="0.15">
      <c r="A433" t="s">
        <v>3092</v>
      </c>
      <c r="B433" t="s">
        <v>3092</v>
      </c>
      <c r="C433" t="s">
        <v>1640</v>
      </c>
      <c r="D433" t="s">
        <v>3093</v>
      </c>
      <c r="E433">
        <v>1</v>
      </c>
      <c r="G433">
        <v>74.099999999999994</v>
      </c>
      <c r="H433" t="s">
        <v>3094</v>
      </c>
      <c r="I433">
        <v>14</v>
      </c>
      <c r="J433" t="s">
        <v>1907</v>
      </c>
      <c r="K433">
        <v>0</v>
      </c>
      <c r="M433">
        <v>3</v>
      </c>
    </row>
    <row r="434" spans="1:13" x14ac:dyDescent="0.15">
      <c r="A434" t="s">
        <v>3095</v>
      </c>
      <c r="B434" t="s">
        <v>3095</v>
      </c>
      <c r="C434" t="s">
        <v>1641</v>
      </c>
      <c r="E434">
        <v>1</v>
      </c>
      <c r="G434">
        <v>12.5</v>
      </c>
      <c r="H434" t="s">
        <v>3096</v>
      </c>
      <c r="I434">
        <v>1</v>
      </c>
      <c r="J434" t="s">
        <v>1924</v>
      </c>
      <c r="K434">
        <v>0</v>
      </c>
      <c r="M434">
        <v>1</v>
      </c>
    </row>
    <row r="435" spans="1:13" x14ac:dyDescent="0.15">
      <c r="A435" t="s">
        <v>3097</v>
      </c>
      <c r="B435" t="s">
        <v>3097</v>
      </c>
      <c r="C435" t="s">
        <v>1642</v>
      </c>
      <c r="D435" t="s">
        <v>3098</v>
      </c>
      <c r="E435">
        <v>2</v>
      </c>
      <c r="G435">
        <v>48.7</v>
      </c>
      <c r="H435" t="s">
        <v>3099</v>
      </c>
      <c r="I435">
        <v>1</v>
      </c>
      <c r="J435" t="s">
        <v>1924</v>
      </c>
      <c r="K435">
        <v>2</v>
      </c>
      <c r="M435">
        <v>3</v>
      </c>
    </row>
    <row r="436" spans="1:13" x14ac:dyDescent="0.15">
      <c r="A436" t="s">
        <v>3100</v>
      </c>
      <c r="B436" t="s">
        <v>3100</v>
      </c>
      <c r="C436" t="s">
        <v>1643</v>
      </c>
      <c r="D436" t="s">
        <v>3101</v>
      </c>
      <c r="E436">
        <v>2</v>
      </c>
      <c r="G436">
        <v>131.30000000000001</v>
      </c>
      <c r="H436" t="s">
        <v>3102</v>
      </c>
      <c r="I436">
        <v>1</v>
      </c>
      <c r="J436" t="s">
        <v>1924</v>
      </c>
      <c r="K436">
        <v>2</v>
      </c>
      <c r="M436">
        <v>3</v>
      </c>
    </row>
    <row r="437" spans="1:13" x14ac:dyDescent="0.15">
      <c r="A437" t="s">
        <v>3103</v>
      </c>
      <c r="B437" t="s">
        <v>3103</v>
      </c>
      <c r="C437" t="s">
        <v>1644</v>
      </c>
      <c r="D437" t="s">
        <v>3104</v>
      </c>
      <c r="E437">
        <v>1</v>
      </c>
      <c r="G437">
        <v>5.9</v>
      </c>
      <c r="H437" t="s">
        <v>3105</v>
      </c>
      <c r="I437">
        <v>1</v>
      </c>
      <c r="J437" t="s">
        <v>1924</v>
      </c>
      <c r="K437">
        <v>0</v>
      </c>
      <c r="M437">
        <v>5</v>
      </c>
    </row>
    <row r="438" spans="1:13" x14ac:dyDescent="0.15">
      <c r="A438" t="s">
        <v>3106</v>
      </c>
      <c r="B438" t="s">
        <v>3106</v>
      </c>
      <c r="C438" t="s">
        <v>1645</v>
      </c>
      <c r="D438" t="s">
        <v>3107</v>
      </c>
      <c r="E438">
        <v>1</v>
      </c>
      <c r="G438">
        <v>11</v>
      </c>
      <c r="H438" t="s">
        <v>3108</v>
      </c>
      <c r="I438">
        <v>3</v>
      </c>
      <c r="J438" t="s">
        <v>1947</v>
      </c>
      <c r="K438">
        <v>0</v>
      </c>
      <c r="M438">
        <v>15</v>
      </c>
    </row>
    <row r="439" spans="1:13" x14ac:dyDescent="0.15">
      <c r="A439" t="s">
        <v>3109</v>
      </c>
      <c r="B439" t="s">
        <v>3109</v>
      </c>
      <c r="C439" t="s">
        <v>831</v>
      </c>
      <c r="D439" t="s">
        <v>3110</v>
      </c>
      <c r="E439">
        <v>1</v>
      </c>
      <c r="G439">
        <v>5.9</v>
      </c>
      <c r="H439" t="s">
        <v>3111</v>
      </c>
      <c r="I439">
        <v>1</v>
      </c>
      <c r="J439" t="s">
        <v>1924</v>
      </c>
      <c r="K439">
        <v>0</v>
      </c>
      <c r="M439">
        <v>5</v>
      </c>
    </row>
    <row r="440" spans="1:13" x14ac:dyDescent="0.15">
      <c r="A440" t="s">
        <v>3112</v>
      </c>
      <c r="B440" t="s">
        <v>3112</v>
      </c>
      <c r="C440" t="s">
        <v>1648</v>
      </c>
      <c r="D440" t="s">
        <v>3113</v>
      </c>
      <c r="E440">
        <v>2</v>
      </c>
      <c r="G440">
        <v>39.200000000000003</v>
      </c>
      <c r="H440" t="s">
        <v>3114</v>
      </c>
      <c r="I440">
        <v>2</v>
      </c>
      <c r="J440" t="s">
        <v>835</v>
      </c>
      <c r="K440">
        <v>2</v>
      </c>
      <c r="M440">
        <v>3</v>
      </c>
    </row>
    <row r="441" spans="1:13" x14ac:dyDescent="0.15">
      <c r="A441" t="s">
        <v>3115</v>
      </c>
      <c r="B441" t="s">
        <v>3115</v>
      </c>
      <c r="C441" t="s">
        <v>1649</v>
      </c>
      <c r="D441" t="s">
        <v>3116</v>
      </c>
      <c r="E441">
        <v>2</v>
      </c>
      <c r="G441">
        <v>31.9</v>
      </c>
      <c r="H441" t="s">
        <v>3117</v>
      </c>
      <c r="I441">
        <v>1</v>
      </c>
      <c r="J441" t="s">
        <v>1924</v>
      </c>
      <c r="K441">
        <v>0</v>
      </c>
      <c r="M441">
        <v>15</v>
      </c>
    </row>
    <row r="442" spans="1:13" x14ac:dyDescent="0.15">
      <c r="A442" t="s">
        <v>3118</v>
      </c>
      <c r="B442" t="s">
        <v>3118</v>
      </c>
      <c r="C442" t="s">
        <v>1650</v>
      </c>
      <c r="D442" t="s">
        <v>3119</v>
      </c>
      <c r="E442">
        <v>1</v>
      </c>
      <c r="G442">
        <v>232</v>
      </c>
      <c r="H442" t="s">
        <v>3120</v>
      </c>
      <c r="I442">
        <v>25</v>
      </c>
      <c r="J442" t="s">
        <v>1911</v>
      </c>
      <c r="K442">
        <v>2</v>
      </c>
      <c r="M442">
        <v>11</v>
      </c>
    </row>
    <row r="443" spans="1:13" x14ac:dyDescent="0.15">
      <c r="A443" t="s">
        <v>3121</v>
      </c>
      <c r="B443" t="s">
        <v>3121</v>
      </c>
      <c r="C443" t="s">
        <v>1651</v>
      </c>
      <c r="E443">
        <v>2</v>
      </c>
      <c r="G443">
        <v>1190</v>
      </c>
      <c r="H443" t="s">
        <v>3122</v>
      </c>
      <c r="I443">
        <v>25</v>
      </c>
      <c r="J443" t="s">
        <v>1911</v>
      </c>
      <c r="K443">
        <v>2</v>
      </c>
      <c r="M443">
        <v>11</v>
      </c>
    </row>
    <row r="444" spans="1:13" x14ac:dyDescent="0.15">
      <c r="A444" t="s">
        <v>3123</v>
      </c>
      <c r="B444" t="s">
        <v>3123</v>
      </c>
      <c r="C444" t="s">
        <v>1652</v>
      </c>
      <c r="E444">
        <v>1</v>
      </c>
      <c r="G444">
        <v>49.1</v>
      </c>
      <c r="H444" t="s">
        <v>3124</v>
      </c>
      <c r="I444">
        <v>1</v>
      </c>
      <c r="J444" t="s">
        <v>1924</v>
      </c>
      <c r="K444">
        <v>0</v>
      </c>
      <c r="M444">
        <v>5</v>
      </c>
    </row>
    <row r="445" spans="1:13" x14ac:dyDescent="0.15">
      <c r="A445" t="s">
        <v>3125</v>
      </c>
      <c r="B445" t="s">
        <v>3125</v>
      </c>
      <c r="C445" t="s">
        <v>1653</v>
      </c>
      <c r="D445" t="s">
        <v>3126</v>
      </c>
      <c r="E445">
        <v>1</v>
      </c>
      <c r="G445">
        <v>18.2</v>
      </c>
      <c r="H445" t="s">
        <v>3127</v>
      </c>
      <c r="I445">
        <v>14</v>
      </c>
      <c r="J445" t="s">
        <v>1907</v>
      </c>
      <c r="K445">
        <v>0</v>
      </c>
      <c r="M445">
        <v>3</v>
      </c>
    </row>
    <row r="446" spans="1:13" x14ac:dyDescent="0.15">
      <c r="A446" t="s">
        <v>3128</v>
      </c>
      <c r="B446" t="s">
        <v>3128</v>
      </c>
      <c r="C446" t="s">
        <v>1654</v>
      </c>
      <c r="E446">
        <v>1</v>
      </c>
      <c r="G446">
        <v>5.9</v>
      </c>
      <c r="H446" t="s">
        <v>3129</v>
      </c>
      <c r="I446">
        <v>1</v>
      </c>
      <c r="J446" t="s">
        <v>1924</v>
      </c>
      <c r="K446">
        <v>0</v>
      </c>
      <c r="M446">
        <v>5</v>
      </c>
    </row>
    <row r="447" spans="1:13" x14ac:dyDescent="0.15">
      <c r="A447" t="s">
        <v>3130</v>
      </c>
      <c r="B447" t="s">
        <v>3130</v>
      </c>
      <c r="C447" t="s">
        <v>1655</v>
      </c>
      <c r="E447">
        <v>1</v>
      </c>
      <c r="G447">
        <v>5.9</v>
      </c>
      <c r="H447" t="s">
        <v>3131</v>
      </c>
      <c r="I447">
        <v>1</v>
      </c>
      <c r="J447" t="s">
        <v>1924</v>
      </c>
      <c r="K447">
        <v>0</v>
      </c>
      <c r="M447">
        <v>5</v>
      </c>
    </row>
    <row r="448" spans="1:13" x14ac:dyDescent="0.15">
      <c r="A448" t="s">
        <v>3132</v>
      </c>
      <c r="B448" t="s">
        <v>3132</v>
      </c>
      <c r="C448" t="s">
        <v>1656</v>
      </c>
      <c r="E448">
        <v>1</v>
      </c>
      <c r="G448">
        <v>8.9</v>
      </c>
      <c r="H448" t="s">
        <v>3133</v>
      </c>
      <c r="I448">
        <v>1</v>
      </c>
      <c r="J448" t="s">
        <v>1924</v>
      </c>
      <c r="K448">
        <v>2</v>
      </c>
      <c r="M448">
        <v>6</v>
      </c>
    </row>
    <row r="449" spans="1:13" x14ac:dyDescent="0.15">
      <c r="A449" t="s">
        <v>3134</v>
      </c>
      <c r="B449" t="s">
        <v>3134</v>
      </c>
      <c r="C449" t="s">
        <v>1657</v>
      </c>
      <c r="E449">
        <v>1</v>
      </c>
      <c r="G449">
        <v>14.3</v>
      </c>
      <c r="H449" t="s">
        <v>3135</v>
      </c>
      <c r="I449">
        <v>4</v>
      </c>
      <c r="J449" t="s">
        <v>2208</v>
      </c>
      <c r="K449">
        <v>2</v>
      </c>
      <c r="M449">
        <v>2</v>
      </c>
    </row>
    <row r="450" spans="1:13" x14ac:dyDescent="0.15">
      <c r="A450" t="s">
        <v>3136</v>
      </c>
      <c r="B450" t="s">
        <v>3136</v>
      </c>
      <c r="C450" t="s">
        <v>1658</v>
      </c>
      <c r="D450" t="s">
        <v>3137</v>
      </c>
      <c r="E450">
        <v>2</v>
      </c>
      <c r="G450">
        <v>67</v>
      </c>
      <c r="H450" t="s">
        <v>3138</v>
      </c>
      <c r="I450">
        <v>21</v>
      </c>
      <c r="J450" t="s">
        <v>1954</v>
      </c>
      <c r="K450">
        <v>0</v>
      </c>
      <c r="M450">
        <v>3</v>
      </c>
    </row>
    <row r="451" spans="1:13" x14ac:dyDescent="0.15">
      <c r="A451" t="s">
        <v>3139</v>
      </c>
      <c r="B451" t="s">
        <v>3139</v>
      </c>
      <c r="C451" t="s">
        <v>1659</v>
      </c>
      <c r="D451" t="s">
        <v>3140</v>
      </c>
      <c r="E451">
        <v>1</v>
      </c>
      <c r="G451">
        <v>10.4</v>
      </c>
      <c r="H451" t="s">
        <v>3141</v>
      </c>
      <c r="I451">
        <v>1</v>
      </c>
      <c r="J451" t="s">
        <v>1924</v>
      </c>
      <c r="K451">
        <v>0</v>
      </c>
      <c r="M451">
        <v>5</v>
      </c>
    </row>
    <row r="452" spans="1:13" x14ac:dyDescent="0.15">
      <c r="A452" t="s">
        <v>3142</v>
      </c>
      <c r="B452" t="s">
        <v>3142</v>
      </c>
      <c r="C452" t="s">
        <v>1660</v>
      </c>
      <c r="E452">
        <v>1</v>
      </c>
      <c r="G452">
        <v>100</v>
      </c>
      <c r="H452" t="s">
        <v>3143</v>
      </c>
      <c r="I452">
        <v>25</v>
      </c>
      <c r="J452" t="s">
        <v>1911</v>
      </c>
      <c r="K452">
        <v>0</v>
      </c>
      <c r="M452">
        <v>9</v>
      </c>
    </row>
    <row r="453" spans="1:13" x14ac:dyDescent="0.15">
      <c r="A453" t="s">
        <v>3144</v>
      </c>
      <c r="B453" t="s">
        <v>3144</v>
      </c>
      <c r="C453" t="s">
        <v>1661</v>
      </c>
      <c r="D453" t="s">
        <v>3145</v>
      </c>
      <c r="E453">
        <v>1</v>
      </c>
      <c r="G453">
        <v>153</v>
      </c>
      <c r="H453" t="s">
        <v>3146</v>
      </c>
      <c r="I453">
        <v>1</v>
      </c>
      <c r="J453" t="s">
        <v>1924</v>
      </c>
      <c r="K453">
        <v>0</v>
      </c>
      <c r="M453">
        <v>1</v>
      </c>
    </row>
    <row r="454" spans="1:13" x14ac:dyDescent="0.15">
      <c r="A454" t="s">
        <v>3147</v>
      </c>
      <c r="B454" t="s">
        <v>3147</v>
      </c>
      <c r="C454" t="s">
        <v>1662</v>
      </c>
      <c r="D454" t="s">
        <v>3148</v>
      </c>
      <c r="E454">
        <v>1</v>
      </c>
      <c r="G454">
        <v>54.6</v>
      </c>
      <c r="H454" t="s">
        <v>3149</v>
      </c>
      <c r="I454">
        <v>6</v>
      </c>
      <c r="J454" t="s">
        <v>3021</v>
      </c>
      <c r="K454">
        <v>2</v>
      </c>
      <c r="M454">
        <v>15</v>
      </c>
    </row>
    <row r="455" spans="1:13" x14ac:dyDescent="0.15">
      <c r="A455" t="s">
        <v>3150</v>
      </c>
      <c r="B455" t="s">
        <v>3150</v>
      </c>
      <c r="C455" t="s">
        <v>1663</v>
      </c>
      <c r="D455" t="s">
        <v>3151</v>
      </c>
      <c r="E455">
        <v>1</v>
      </c>
      <c r="G455">
        <v>195.7</v>
      </c>
      <c r="H455" t="s">
        <v>3152</v>
      </c>
      <c r="I455">
        <v>1</v>
      </c>
      <c r="J455" t="s">
        <v>1924</v>
      </c>
      <c r="K455">
        <v>0</v>
      </c>
      <c r="M455">
        <v>1</v>
      </c>
    </row>
    <row r="456" spans="1:13" x14ac:dyDescent="0.15">
      <c r="A456" t="s">
        <v>3153</v>
      </c>
      <c r="B456" t="s">
        <v>3153</v>
      </c>
      <c r="C456" t="s">
        <v>1664</v>
      </c>
      <c r="D456" t="s">
        <v>3154</v>
      </c>
      <c r="E456">
        <v>1</v>
      </c>
      <c r="G456">
        <v>127</v>
      </c>
      <c r="H456" t="s">
        <v>3155</v>
      </c>
      <c r="I456">
        <v>25</v>
      </c>
      <c r="J456" t="s">
        <v>1911</v>
      </c>
      <c r="K456">
        <v>0</v>
      </c>
      <c r="M456">
        <v>9</v>
      </c>
    </row>
    <row r="457" spans="1:13" x14ac:dyDescent="0.15">
      <c r="A457" t="s">
        <v>3156</v>
      </c>
      <c r="B457" t="s">
        <v>3156</v>
      </c>
      <c r="C457" t="s">
        <v>1665</v>
      </c>
      <c r="D457" t="s">
        <v>3157</v>
      </c>
      <c r="E457">
        <v>1</v>
      </c>
      <c r="G457">
        <v>7.5</v>
      </c>
      <c r="H457" t="s">
        <v>3158</v>
      </c>
      <c r="I457">
        <v>3</v>
      </c>
      <c r="J457" t="s">
        <v>1947</v>
      </c>
      <c r="K457">
        <v>2</v>
      </c>
      <c r="M457">
        <v>2</v>
      </c>
    </row>
    <row r="458" spans="1:13" x14ac:dyDescent="0.15">
      <c r="A458" t="s">
        <v>3159</v>
      </c>
      <c r="B458" t="s">
        <v>3159</v>
      </c>
      <c r="C458" t="s">
        <v>1666</v>
      </c>
      <c r="D458" t="s">
        <v>3160</v>
      </c>
      <c r="E458">
        <v>2</v>
      </c>
      <c r="G458">
        <v>10.4</v>
      </c>
      <c r="H458" t="s">
        <v>3161</v>
      </c>
      <c r="I458">
        <v>1</v>
      </c>
      <c r="J458" t="s">
        <v>1924</v>
      </c>
      <c r="K458">
        <v>2</v>
      </c>
      <c r="M458">
        <v>3</v>
      </c>
    </row>
    <row r="459" spans="1:13" x14ac:dyDescent="0.15">
      <c r="A459" t="s">
        <v>3162</v>
      </c>
      <c r="B459" t="s">
        <v>3162</v>
      </c>
      <c r="C459" t="s">
        <v>1667</v>
      </c>
      <c r="D459" t="s">
        <v>3163</v>
      </c>
      <c r="E459">
        <v>1</v>
      </c>
      <c r="G459">
        <v>70</v>
      </c>
      <c r="H459" t="s">
        <v>3164</v>
      </c>
      <c r="I459">
        <v>25</v>
      </c>
      <c r="J459" t="s">
        <v>1911</v>
      </c>
      <c r="K459">
        <v>2</v>
      </c>
      <c r="M459">
        <v>9</v>
      </c>
    </row>
    <row r="460" spans="1:13" x14ac:dyDescent="0.15">
      <c r="A460" t="s">
        <v>3165</v>
      </c>
      <c r="B460" t="s">
        <v>3165</v>
      </c>
      <c r="C460" t="s">
        <v>1668</v>
      </c>
      <c r="E460">
        <v>1</v>
      </c>
      <c r="G460">
        <v>6.1</v>
      </c>
      <c r="H460" t="s">
        <v>3166</v>
      </c>
      <c r="I460">
        <v>1</v>
      </c>
      <c r="J460" t="s">
        <v>1924</v>
      </c>
      <c r="K460">
        <v>0</v>
      </c>
      <c r="M460">
        <v>5</v>
      </c>
    </row>
    <row r="461" spans="1:13" x14ac:dyDescent="0.15">
      <c r="A461" t="s">
        <v>3167</v>
      </c>
      <c r="B461" t="s">
        <v>3167</v>
      </c>
      <c r="C461" t="s">
        <v>1669</v>
      </c>
      <c r="E461">
        <v>1</v>
      </c>
      <c r="G461">
        <v>6.1</v>
      </c>
      <c r="H461" t="s">
        <v>3168</v>
      </c>
      <c r="I461">
        <v>1</v>
      </c>
      <c r="J461" t="s">
        <v>1924</v>
      </c>
      <c r="K461">
        <v>0</v>
      </c>
      <c r="M461">
        <v>5</v>
      </c>
    </row>
    <row r="462" spans="1:13" x14ac:dyDescent="0.15">
      <c r="A462" t="s">
        <v>3169</v>
      </c>
      <c r="B462" t="s">
        <v>3169</v>
      </c>
      <c r="C462" t="s">
        <v>1670</v>
      </c>
      <c r="E462">
        <v>1</v>
      </c>
      <c r="G462">
        <v>11.3</v>
      </c>
      <c r="H462" t="s">
        <v>3170</v>
      </c>
      <c r="I462">
        <v>1</v>
      </c>
      <c r="J462" t="s">
        <v>1924</v>
      </c>
      <c r="K462">
        <v>2</v>
      </c>
      <c r="M462">
        <v>6</v>
      </c>
    </row>
    <row r="463" spans="1:13" x14ac:dyDescent="0.15">
      <c r="A463" t="s">
        <v>3171</v>
      </c>
      <c r="B463" t="s">
        <v>3171</v>
      </c>
      <c r="C463" t="s">
        <v>867</v>
      </c>
      <c r="D463" t="s">
        <v>3172</v>
      </c>
      <c r="E463">
        <v>1</v>
      </c>
      <c r="G463">
        <v>149.30000000000001</v>
      </c>
      <c r="H463" t="s">
        <v>3173</v>
      </c>
      <c r="I463">
        <v>1</v>
      </c>
      <c r="J463" t="s">
        <v>1924</v>
      </c>
      <c r="K463">
        <v>0</v>
      </c>
      <c r="M463">
        <v>5</v>
      </c>
    </row>
    <row r="464" spans="1:13" x14ac:dyDescent="0.15">
      <c r="A464" t="s">
        <v>3174</v>
      </c>
      <c r="B464" t="s">
        <v>3174</v>
      </c>
      <c r="C464" t="s">
        <v>1671</v>
      </c>
      <c r="D464" t="s">
        <v>3175</v>
      </c>
      <c r="E464">
        <v>1</v>
      </c>
      <c r="G464">
        <v>10.1</v>
      </c>
      <c r="H464" t="s">
        <v>3176</v>
      </c>
      <c r="I464">
        <v>1</v>
      </c>
      <c r="J464" t="s">
        <v>1924</v>
      </c>
      <c r="K464">
        <v>0</v>
      </c>
      <c r="M464">
        <v>5</v>
      </c>
    </row>
    <row r="465" spans="1:13" x14ac:dyDescent="0.15">
      <c r="A465" t="s">
        <v>3177</v>
      </c>
      <c r="B465" t="s">
        <v>3177</v>
      </c>
      <c r="C465" t="s">
        <v>1672</v>
      </c>
      <c r="E465">
        <v>2</v>
      </c>
      <c r="G465">
        <v>715</v>
      </c>
      <c r="H465" t="s">
        <v>3178</v>
      </c>
      <c r="I465">
        <v>25</v>
      </c>
      <c r="J465" t="s">
        <v>1911</v>
      </c>
      <c r="K465">
        <v>2</v>
      </c>
      <c r="M465">
        <v>9</v>
      </c>
    </row>
    <row r="466" spans="1:13" x14ac:dyDescent="0.15">
      <c r="A466" t="s">
        <v>3179</v>
      </c>
      <c r="B466" t="s">
        <v>3179</v>
      </c>
      <c r="C466" t="s">
        <v>1673</v>
      </c>
      <c r="D466" t="s">
        <v>3180</v>
      </c>
      <c r="E466">
        <v>1</v>
      </c>
      <c r="G466">
        <v>61</v>
      </c>
      <c r="H466" t="s">
        <v>3181</v>
      </c>
      <c r="I466">
        <v>25</v>
      </c>
      <c r="J466" t="s">
        <v>1911</v>
      </c>
      <c r="K466">
        <v>2</v>
      </c>
      <c r="M466">
        <v>9</v>
      </c>
    </row>
    <row r="467" spans="1:13" x14ac:dyDescent="0.15">
      <c r="A467" t="s">
        <v>3182</v>
      </c>
      <c r="B467" t="s">
        <v>3182</v>
      </c>
      <c r="C467" t="s">
        <v>1674</v>
      </c>
      <c r="D467" t="s">
        <v>3183</v>
      </c>
      <c r="E467">
        <v>1</v>
      </c>
      <c r="G467">
        <v>0.77</v>
      </c>
      <c r="H467" t="s">
        <v>3184</v>
      </c>
      <c r="I467">
        <v>3</v>
      </c>
      <c r="J467" t="s">
        <v>1947</v>
      </c>
      <c r="K467">
        <v>0</v>
      </c>
      <c r="M467">
        <v>2</v>
      </c>
    </row>
    <row r="468" spans="1:13" x14ac:dyDescent="0.15">
      <c r="A468" t="s">
        <v>3185</v>
      </c>
      <c r="B468" t="s">
        <v>3185</v>
      </c>
      <c r="C468" t="s">
        <v>1675</v>
      </c>
      <c r="D468" t="s">
        <v>3186</v>
      </c>
      <c r="E468">
        <v>1</v>
      </c>
      <c r="G468">
        <v>100</v>
      </c>
      <c r="H468" t="s">
        <v>3187</v>
      </c>
      <c r="I468">
        <v>25</v>
      </c>
      <c r="J468" t="s">
        <v>1911</v>
      </c>
      <c r="K468">
        <v>0</v>
      </c>
      <c r="M468">
        <v>8</v>
      </c>
    </row>
    <row r="469" spans="1:13" x14ac:dyDescent="0.15">
      <c r="A469" t="s">
        <v>3188</v>
      </c>
      <c r="B469" t="s">
        <v>3188</v>
      </c>
      <c r="C469" t="s">
        <v>1676</v>
      </c>
      <c r="D469" t="s">
        <v>3189</v>
      </c>
      <c r="E469">
        <v>1</v>
      </c>
      <c r="G469">
        <v>100</v>
      </c>
      <c r="H469" t="s">
        <v>3190</v>
      </c>
      <c r="I469">
        <v>25</v>
      </c>
      <c r="J469" t="s">
        <v>1911</v>
      </c>
      <c r="K469">
        <v>0</v>
      </c>
      <c r="M469">
        <v>9</v>
      </c>
    </row>
    <row r="470" spans="1:13" x14ac:dyDescent="0.15">
      <c r="A470" t="s">
        <v>3191</v>
      </c>
      <c r="B470" t="s">
        <v>3191</v>
      </c>
      <c r="C470" t="s">
        <v>1675</v>
      </c>
      <c r="E470">
        <v>1</v>
      </c>
      <c r="G470">
        <v>151</v>
      </c>
      <c r="H470" t="s">
        <v>3192</v>
      </c>
      <c r="I470">
        <v>25</v>
      </c>
      <c r="J470" t="s">
        <v>1911</v>
      </c>
      <c r="K470">
        <v>0</v>
      </c>
      <c r="M470">
        <v>8</v>
      </c>
    </row>
    <row r="471" spans="1:13" x14ac:dyDescent="0.15">
      <c r="A471" t="s">
        <v>3193</v>
      </c>
      <c r="B471" t="s">
        <v>3193</v>
      </c>
      <c r="C471" t="s">
        <v>1677</v>
      </c>
      <c r="D471" t="s">
        <v>3194</v>
      </c>
      <c r="E471">
        <v>2</v>
      </c>
      <c r="G471">
        <v>54.3</v>
      </c>
      <c r="H471" t="s">
        <v>3195</v>
      </c>
      <c r="I471">
        <v>11</v>
      </c>
      <c r="J471" t="s">
        <v>2360</v>
      </c>
      <c r="K471">
        <v>0</v>
      </c>
      <c r="M471">
        <v>15</v>
      </c>
    </row>
    <row r="472" spans="1:13" x14ac:dyDescent="0.15">
      <c r="A472" t="s">
        <v>3196</v>
      </c>
      <c r="B472" t="s">
        <v>3196</v>
      </c>
      <c r="C472" t="s">
        <v>1678</v>
      </c>
      <c r="D472" t="s">
        <v>3197</v>
      </c>
      <c r="E472">
        <v>2</v>
      </c>
      <c r="G472">
        <v>36.200000000000003</v>
      </c>
      <c r="H472" t="s">
        <v>3198</v>
      </c>
      <c r="I472">
        <v>1</v>
      </c>
      <c r="J472" t="s">
        <v>1924</v>
      </c>
      <c r="K472">
        <v>0</v>
      </c>
      <c r="M472">
        <v>3</v>
      </c>
    </row>
    <row r="473" spans="1:13" x14ac:dyDescent="0.15">
      <c r="A473" t="s">
        <v>3199</v>
      </c>
      <c r="B473" t="s">
        <v>3199</v>
      </c>
      <c r="C473" t="s">
        <v>1679</v>
      </c>
      <c r="D473" t="s">
        <v>3200</v>
      </c>
      <c r="E473">
        <v>1</v>
      </c>
      <c r="G473">
        <v>0</v>
      </c>
      <c r="H473" t="s">
        <v>3201</v>
      </c>
      <c r="I473">
        <v>2</v>
      </c>
      <c r="J473" t="s">
        <v>835</v>
      </c>
      <c r="K473">
        <v>0</v>
      </c>
      <c r="M473">
        <v>1</v>
      </c>
    </row>
    <row r="474" spans="1:13" x14ac:dyDescent="0.15">
      <c r="A474" t="s">
        <v>3202</v>
      </c>
      <c r="B474" t="s">
        <v>3202</v>
      </c>
      <c r="C474" t="s">
        <v>1680</v>
      </c>
      <c r="D474" t="s">
        <v>3203</v>
      </c>
      <c r="E474">
        <v>1</v>
      </c>
      <c r="G474">
        <v>0</v>
      </c>
      <c r="H474" t="s">
        <v>3204</v>
      </c>
      <c r="I474">
        <v>24</v>
      </c>
      <c r="J474" t="s">
        <v>2065</v>
      </c>
      <c r="K474">
        <v>0</v>
      </c>
      <c r="M474">
        <v>1</v>
      </c>
    </row>
    <row r="475" spans="1:13" x14ac:dyDescent="0.15">
      <c r="A475" t="s">
        <v>3205</v>
      </c>
      <c r="B475" t="s">
        <v>3205</v>
      </c>
      <c r="C475" t="s">
        <v>1681</v>
      </c>
      <c r="D475" t="s">
        <v>3206</v>
      </c>
      <c r="E475">
        <v>1</v>
      </c>
      <c r="G475">
        <v>10.4</v>
      </c>
      <c r="H475" t="s">
        <v>3207</v>
      </c>
      <c r="I475">
        <v>1</v>
      </c>
      <c r="J475" t="s">
        <v>1924</v>
      </c>
      <c r="K475">
        <v>0</v>
      </c>
      <c r="M475">
        <v>5</v>
      </c>
    </row>
    <row r="476" spans="1:13" x14ac:dyDescent="0.15">
      <c r="A476" t="s">
        <v>3208</v>
      </c>
      <c r="B476" t="s">
        <v>3208</v>
      </c>
      <c r="C476" t="s">
        <v>1682</v>
      </c>
      <c r="E476">
        <v>2</v>
      </c>
      <c r="G476">
        <v>24939</v>
      </c>
      <c r="H476" t="s">
        <v>3209</v>
      </c>
      <c r="I476">
        <v>25</v>
      </c>
      <c r="J476" t="s">
        <v>1911</v>
      </c>
      <c r="K476">
        <v>2</v>
      </c>
      <c r="M476">
        <v>15</v>
      </c>
    </row>
    <row r="477" spans="1:13" x14ac:dyDescent="0.15">
      <c r="A477" t="s">
        <v>3210</v>
      </c>
      <c r="B477" t="s">
        <v>3210</v>
      </c>
      <c r="C477" t="s">
        <v>1683</v>
      </c>
      <c r="D477" t="s">
        <v>3211</v>
      </c>
      <c r="E477">
        <v>1</v>
      </c>
      <c r="G477">
        <v>38.4</v>
      </c>
      <c r="H477" t="s">
        <v>3212</v>
      </c>
      <c r="I477">
        <v>19</v>
      </c>
      <c r="J477" t="s">
        <v>1988</v>
      </c>
      <c r="K477">
        <v>0</v>
      </c>
      <c r="M477">
        <v>3</v>
      </c>
    </row>
    <row r="478" spans="1:13" x14ac:dyDescent="0.15">
      <c r="A478" t="s">
        <v>3213</v>
      </c>
      <c r="B478" t="s">
        <v>3213</v>
      </c>
      <c r="C478" t="s">
        <v>1684</v>
      </c>
      <c r="D478" t="s">
        <v>3214</v>
      </c>
      <c r="E478">
        <v>2</v>
      </c>
      <c r="G478">
        <v>12.1</v>
      </c>
      <c r="H478" t="s">
        <v>3215</v>
      </c>
      <c r="I478">
        <v>1</v>
      </c>
      <c r="J478" t="s">
        <v>1924</v>
      </c>
      <c r="K478">
        <v>0</v>
      </c>
      <c r="M478">
        <v>15</v>
      </c>
    </row>
    <row r="479" spans="1:13" x14ac:dyDescent="0.15">
      <c r="A479" t="s">
        <v>3216</v>
      </c>
      <c r="B479" t="s">
        <v>3216</v>
      </c>
      <c r="C479" t="s">
        <v>1685</v>
      </c>
      <c r="E479">
        <v>1</v>
      </c>
      <c r="G479">
        <v>61</v>
      </c>
      <c r="H479" t="s">
        <v>3217</v>
      </c>
      <c r="I479">
        <v>25</v>
      </c>
      <c r="J479" t="s">
        <v>1911</v>
      </c>
      <c r="K479">
        <v>0</v>
      </c>
      <c r="M479">
        <v>9</v>
      </c>
    </row>
    <row r="480" spans="1:13" x14ac:dyDescent="0.15">
      <c r="A480" t="s">
        <v>3218</v>
      </c>
      <c r="B480" t="s">
        <v>3218</v>
      </c>
      <c r="C480" t="s">
        <v>890</v>
      </c>
      <c r="D480" t="s">
        <v>3219</v>
      </c>
      <c r="E480">
        <v>2</v>
      </c>
      <c r="G480">
        <v>10.1</v>
      </c>
      <c r="H480" t="s">
        <v>3220</v>
      </c>
      <c r="I480">
        <v>1</v>
      </c>
      <c r="J480" t="s">
        <v>1924</v>
      </c>
      <c r="K480">
        <v>0</v>
      </c>
      <c r="M480">
        <v>3</v>
      </c>
    </row>
    <row r="481" spans="1:13" x14ac:dyDescent="0.15">
      <c r="A481" t="s">
        <v>3221</v>
      </c>
      <c r="B481" t="s">
        <v>3221</v>
      </c>
      <c r="C481" t="s">
        <v>1686</v>
      </c>
      <c r="E481">
        <v>2</v>
      </c>
      <c r="G481">
        <v>17.899999999999999</v>
      </c>
      <c r="H481" t="s">
        <v>3222</v>
      </c>
      <c r="I481">
        <v>21</v>
      </c>
      <c r="J481" t="s">
        <v>1954</v>
      </c>
      <c r="K481">
        <v>0</v>
      </c>
      <c r="M481">
        <v>3</v>
      </c>
    </row>
    <row r="482" spans="1:13" x14ac:dyDescent="0.15">
      <c r="A482" t="s">
        <v>3223</v>
      </c>
      <c r="B482" t="s">
        <v>3223</v>
      </c>
      <c r="C482" t="s">
        <v>1687</v>
      </c>
      <c r="E482">
        <v>2</v>
      </c>
      <c r="G482">
        <v>150</v>
      </c>
      <c r="H482" t="s">
        <v>3224</v>
      </c>
      <c r="I482">
        <v>2</v>
      </c>
      <c r="J482" t="s">
        <v>835</v>
      </c>
      <c r="K482">
        <v>0</v>
      </c>
      <c r="M482">
        <v>15</v>
      </c>
    </row>
    <row r="483" spans="1:13" x14ac:dyDescent="0.15">
      <c r="A483" t="s">
        <v>3225</v>
      </c>
      <c r="B483" t="s">
        <v>3225</v>
      </c>
      <c r="C483" t="s">
        <v>892</v>
      </c>
      <c r="D483" t="s">
        <v>3226</v>
      </c>
      <c r="E483">
        <v>1</v>
      </c>
      <c r="G483">
        <v>1416</v>
      </c>
      <c r="H483" t="s">
        <v>3227</v>
      </c>
      <c r="I483">
        <v>25</v>
      </c>
      <c r="J483" t="s">
        <v>1911</v>
      </c>
      <c r="K483">
        <v>2</v>
      </c>
      <c r="M483">
        <v>15</v>
      </c>
    </row>
    <row r="484" spans="1:13" x14ac:dyDescent="0.15">
      <c r="A484" t="s">
        <v>3228</v>
      </c>
      <c r="B484" t="s">
        <v>3228</v>
      </c>
      <c r="C484" t="s">
        <v>1688</v>
      </c>
      <c r="D484" t="s">
        <v>3229</v>
      </c>
      <c r="E484">
        <v>1</v>
      </c>
      <c r="G484">
        <v>5.9</v>
      </c>
      <c r="H484" t="s">
        <v>3230</v>
      </c>
      <c r="I484">
        <v>1</v>
      </c>
      <c r="J484" t="s">
        <v>1924</v>
      </c>
      <c r="K484">
        <v>0</v>
      </c>
      <c r="M484">
        <v>3</v>
      </c>
    </row>
    <row r="485" spans="1:13" x14ac:dyDescent="0.15">
      <c r="A485" t="s">
        <v>3231</v>
      </c>
      <c r="B485" t="s">
        <v>3231</v>
      </c>
      <c r="C485" t="s">
        <v>1689</v>
      </c>
      <c r="D485" t="s">
        <v>3232</v>
      </c>
      <c r="E485">
        <v>1</v>
      </c>
      <c r="G485">
        <v>6.1</v>
      </c>
      <c r="H485" t="s">
        <v>3233</v>
      </c>
      <c r="I485">
        <v>1</v>
      </c>
      <c r="J485" t="s">
        <v>1924</v>
      </c>
      <c r="K485">
        <v>0</v>
      </c>
      <c r="M485">
        <v>3</v>
      </c>
    </row>
    <row r="486" spans="1:13" x14ac:dyDescent="0.15">
      <c r="A486" t="s">
        <v>3234</v>
      </c>
      <c r="B486" t="s">
        <v>3234</v>
      </c>
      <c r="C486" t="s">
        <v>1690</v>
      </c>
      <c r="D486" t="s">
        <v>3235</v>
      </c>
      <c r="E486">
        <v>2</v>
      </c>
      <c r="G486">
        <v>11.4</v>
      </c>
      <c r="H486" t="s">
        <v>3236</v>
      </c>
      <c r="I486">
        <v>1</v>
      </c>
      <c r="J486" t="s">
        <v>1924</v>
      </c>
      <c r="K486">
        <v>0</v>
      </c>
      <c r="M486">
        <v>1</v>
      </c>
    </row>
    <row r="487" spans="1:13" x14ac:dyDescent="0.15">
      <c r="A487" t="s">
        <v>3237</v>
      </c>
      <c r="B487" t="s">
        <v>3237</v>
      </c>
      <c r="C487" t="s">
        <v>1691</v>
      </c>
      <c r="D487" t="s">
        <v>3238</v>
      </c>
      <c r="E487">
        <v>2</v>
      </c>
      <c r="G487">
        <v>18.3</v>
      </c>
      <c r="H487" t="s">
        <v>3239</v>
      </c>
      <c r="I487">
        <v>1</v>
      </c>
      <c r="J487" t="s">
        <v>1924</v>
      </c>
      <c r="K487">
        <v>0</v>
      </c>
      <c r="M487">
        <v>1</v>
      </c>
    </row>
    <row r="488" spans="1:13" x14ac:dyDescent="0.15">
      <c r="A488" t="s">
        <v>3240</v>
      </c>
      <c r="B488" t="s">
        <v>3240</v>
      </c>
      <c r="C488" t="s">
        <v>1692</v>
      </c>
      <c r="D488" t="s">
        <v>3241</v>
      </c>
      <c r="E488">
        <v>2</v>
      </c>
      <c r="G488">
        <v>8.6</v>
      </c>
      <c r="H488" t="s">
        <v>3242</v>
      </c>
      <c r="I488">
        <v>1</v>
      </c>
      <c r="J488" t="s">
        <v>1924</v>
      </c>
      <c r="K488">
        <v>0</v>
      </c>
      <c r="M488">
        <v>1</v>
      </c>
    </row>
    <row r="489" spans="1:13" x14ac:dyDescent="0.15">
      <c r="A489" t="s">
        <v>3243</v>
      </c>
      <c r="B489" t="s">
        <v>3243</v>
      </c>
      <c r="C489" t="s">
        <v>1693</v>
      </c>
      <c r="D489" t="s">
        <v>3244</v>
      </c>
      <c r="E489">
        <v>1</v>
      </c>
      <c r="G489">
        <v>10.1</v>
      </c>
      <c r="H489" t="s">
        <v>3245</v>
      </c>
      <c r="I489">
        <v>1</v>
      </c>
      <c r="J489" t="s">
        <v>1924</v>
      </c>
      <c r="K489">
        <v>0</v>
      </c>
      <c r="M489">
        <v>5</v>
      </c>
    </row>
    <row r="490" spans="1:13" x14ac:dyDescent="0.15">
      <c r="A490" t="s">
        <v>3246</v>
      </c>
      <c r="B490" t="s">
        <v>3246</v>
      </c>
      <c r="C490" t="s">
        <v>1694</v>
      </c>
      <c r="E490">
        <v>2</v>
      </c>
      <c r="G490">
        <v>205</v>
      </c>
      <c r="H490" t="s">
        <v>3247</v>
      </c>
      <c r="I490">
        <v>25</v>
      </c>
      <c r="J490" t="s">
        <v>1911</v>
      </c>
      <c r="K490">
        <v>0</v>
      </c>
      <c r="M490">
        <v>9</v>
      </c>
    </row>
    <row r="491" spans="1:13" x14ac:dyDescent="0.15">
      <c r="A491" t="s">
        <v>3248</v>
      </c>
      <c r="B491" t="s">
        <v>3248</v>
      </c>
      <c r="C491" t="s">
        <v>1695</v>
      </c>
      <c r="D491" t="s">
        <v>3249</v>
      </c>
      <c r="E491">
        <v>1</v>
      </c>
      <c r="G491">
        <v>34.299999999999997</v>
      </c>
      <c r="H491" t="s">
        <v>3250</v>
      </c>
      <c r="I491">
        <v>14</v>
      </c>
      <c r="J491" t="s">
        <v>1907</v>
      </c>
      <c r="K491">
        <v>2</v>
      </c>
      <c r="M491">
        <v>3</v>
      </c>
    </row>
    <row r="492" spans="1:13" x14ac:dyDescent="0.15">
      <c r="A492" t="s">
        <v>3251</v>
      </c>
      <c r="B492" t="s">
        <v>3251</v>
      </c>
      <c r="C492" t="s">
        <v>1696</v>
      </c>
      <c r="D492" t="s">
        <v>3252</v>
      </c>
      <c r="E492">
        <v>1</v>
      </c>
      <c r="G492">
        <v>6.3</v>
      </c>
      <c r="H492" t="s">
        <v>3253</v>
      </c>
      <c r="I492">
        <v>1</v>
      </c>
      <c r="J492" t="s">
        <v>1924</v>
      </c>
      <c r="K492">
        <v>0</v>
      </c>
      <c r="M492">
        <v>5</v>
      </c>
    </row>
    <row r="493" spans="1:13" x14ac:dyDescent="0.15">
      <c r="A493" t="s">
        <v>3254</v>
      </c>
      <c r="B493" t="s">
        <v>3254</v>
      </c>
      <c r="C493" t="s">
        <v>1697</v>
      </c>
      <c r="D493" t="s">
        <v>3255</v>
      </c>
      <c r="E493">
        <v>1</v>
      </c>
      <c r="G493">
        <v>27.4</v>
      </c>
      <c r="H493" t="s">
        <v>3256</v>
      </c>
      <c r="I493">
        <v>3</v>
      </c>
      <c r="J493" t="s">
        <v>1947</v>
      </c>
      <c r="K493">
        <v>0</v>
      </c>
      <c r="M493">
        <v>2</v>
      </c>
    </row>
    <row r="494" spans="1:13" x14ac:dyDescent="0.15">
      <c r="A494" t="s">
        <v>3257</v>
      </c>
      <c r="B494" t="s">
        <v>3257</v>
      </c>
      <c r="C494" t="s">
        <v>1698</v>
      </c>
      <c r="D494" t="s">
        <v>3258</v>
      </c>
      <c r="E494">
        <v>1</v>
      </c>
      <c r="G494">
        <v>60</v>
      </c>
      <c r="H494" t="s">
        <v>3259</v>
      </c>
      <c r="I494">
        <v>25</v>
      </c>
      <c r="J494" t="s">
        <v>1911</v>
      </c>
      <c r="K494">
        <v>0</v>
      </c>
      <c r="M494">
        <v>9</v>
      </c>
    </row>
    <row r="495" spans="1:13" x14ac:dyDescent="0.15">
      <c r="A495" t="s">
        <v>3260</v>
      </c>
      <c r="B495" t="s">
        <v>3260</v>
      </c>
      <c r="C495" t="s">
        <v>1699</v>
      </c>
      <c r="E495">
        <v>1</v>
      </c>
      <c r="G495">
        <v>10.4</v>
      </c>
      <c r="H495" t="s">
        <v>3261</v>
      </c>
      <c r="I495">
        <v>1</v>
      </c>
      <c r="J495" t="s">
        <v>1924</v>
      </c>
      <c r="K495">
        <v>0</v>
      </c>
      <c r="M495">
        <v>5</v>
      </c>
    </row>
    <row r="496" spans="1:13" x14ac:dyDescent="0.15">
      <c r="A496" t="s">
        <v>3262</v>
      </c>
      <c r="B496" t="s">
        <v>3262</v>
      </c>
      <c r="C496" t="s">
        <v>1700</v>
      </c>
      <c r="D496" t="s">
        <v>3263</v>
      </c>
      <c r="E496">
        <v>1</v>
      </c>
      <c r="G496">
        <v>9.3000000000000007</v>
      </c>
      <c r="H496" t="s">
        <v>3264</v>
      </c>
      <c r="I496">
        <v>1</v>
      </c>
      <c r="J496" t="s">
        <v>1924</v>
      </c>
      <c r="K496">
        <v>2</v>
      </c>
      <c r="M496">
        <v>6</v>
      </c>
    </row>
    <row r="497" spans="1:13" x14ac:dyDescent="0.15">
      <c r="A497" t="s">
        <v>3265</v>
      </c>
      <c r="B497" t="s">
        <v>3265</v>
      </c>
      <c r="C497" t="s">
        <v>1701</v>
      </c>
      <c r="D497" t="s">
        <v>3266</v>
      </c>
      <c r="E497">
        <v>1</v>
      </c>
      <c r="G497">
        <v>18</v>
      </c>
      <c r="H497" t="s">
        <v>3267</v>
      </c>
      <c r="I497">
        <v>1</v>
      </c>
      <c r="J497" t="s">
        <v>1924</v>
      </c>
      <c r="K497">
        <v>2</v>
      </c>
      <c r="M497">
        <v>6</v>
      </c>
    </row>
    <row r="498" spans="1:13" x14ac:dyDescent="0.15">
      <c r="A498" t="s">
        <v>3268</v>
      </c>
      <c r="B498" t="s">
        <v>3268</v>
      </c>
      <c r="C498" t="s">
        <v>1702</v>
      </c>
      <c r="D498" t="s">
        <v>3269</v>
      </c>
      <c r="E498">
        <v>1</v>
      </c>
      <c r="G498">
        <v>32</v>
      </c>
      <c r="H498" t="s">
        <v>3270</v>
      </c>
      <c r="I498">
        <v>1</v>
      </c>
      <c r="J498" t="s">
        <v>1924</v>
      </c>
      <c r="K498">
        <v>2</v>
      </c>
      <c r="M498">
        <v>6</v>
      </c>
    </row>
    <row r="499" spans="1:13" x14ac:dyDescent="0.15">
      <c r="A499" t="s">
        <v>3271</v>
      </c>
      <c r="B499" t="s">
        <v>3271</v>
      </c>
      <c r="C499" t="s">
        <v>1703</v>
      </c>
      <c r="D499" t="s">
        <v>3272</v>
      </c>
      <c r="E499">
        <v>1</v>
      </c>
      <c r="G499">
        <v>99.2</v>
      </c>
      <c r="H499" t="s">
        <v>3273</v>
      </c>
      <c r="I499">
        <v>3</v>
      </c>
      <c r="J499" t="s">
        <v>1947</v>
      </c>
      <c r="K499">
        <v>2</v>
      </c>
      <c r="M499">
        <v>2</v>
      </c>
    </row>
    <row r="500" spans="1:13" x14ac:dyDescent="0.15">
      <c r="A500" t="s">
        <v>3274</v>
      </c>
      <c r="B500" t="s">
        <v>3274</v>
      </c>
      <c r="C500" t="s">
        <v>1704</v>
      </c>
      <c r="D500" t="s">
        <v>3275</v>
      </c>
      <c r="E500">
        <v>2</v>
      </c>
      <c r="G500">
        <v>64.3</v>
      </c>
      <c r="H500" t="s">
        <v>3276</v>
      </c>
      <c r="I500">
        <v>21</v>
      </c>
      <c r="J500" t="s">
        <v>1954</v>
      </c>
      <c r="K500">
        <v>0</v>
      </c>
      <c r="M500">
        <v>3</v>
      </c>
    </row>
    <row r="501" spans="1:13" x14ac:dyDescent="0.15">
      <c r="A501" t="s">
        <v>3277</v>
      </c>
      <c r="B501" t="s">
        <v>3277</v>
      </c>
      <c r="C501" t="s">
        <v>1705</v>
      </c>
      <c r="D501" t="s">
        <v>3278</v>
      </c>
      <c r="E501">
        <v>1</v>
      </c>
      <c r="G501">
        <v>12</v>
      </c>
      <c r="H501" t="s">
        <v>3279</v>
      </c>
      <c r="I501">
        <v>1</v>
      </c>
      <c r="J501" t="s">
        <v>1924</v>
      </c>
      <c r="K501">
        <v>0</v>
      </c>
      <c r="M501">
        <v>1</v>
      </c>
    </row>
    <row r="502" spans="1:13" x14ac:dyDescent="0.15">
      <c r="A502" t="s">
        <v>3280</v>
      </c>
      <c r="B502" t="s">
        <v>3280</v>
      </c>
      <c r="C502" t="s">
        <v>1706</v>
      </c>
      <c r="D502" t="s">
        <v>3281</v>
      </c>
      <c r="E502">
        <v>1</v>
      </c>
      <c r="G502">
        <v>15.6</v>
      </c>
      <c r="H502" t="s">
        <v>3282</v>
      </c>
      <c r="I502">
        <v>1</v>
      </c>
      <c r="J502" t="s">
        <v>1924</v>
      </c>
      <c r="K502">
        <v>0</v>
      </c>
      <c r="M502">
        <v>5</v>
      </c>
    </row>
    <row r="503" spans="1:13" x14ac:dyDescent="0.15">
      <c r="A503" t="s">
        <v>3283</v>
      </c>
      <c r="B503" t="s">
        <v>3283</v>
      </c>
      <c r="C503" t="s">
        <v>1707</v>
      </c>
      <c r="D503" t="s">
        <v>3284</v>
      </c>
      <c r="E503">
        <v>1</v>
      </c>
      <c r="G503">
        <v>6.7</v>
      </c>
      <c r="H503" t="s">
        <v>3285</v>
      </c>
      <c r="I503">
        <v>1</v>
      </c>
      <c r="J503" t="s">
        <v>1924</v>
      </c>
      <c r="K503">
        <v>2</v>
      </c>
      <c r="M503">
        <v>6</v>
      </c>
    </row>
    <row r="504" spans="1:13" x14ac:dyDescent="0.15">
      <c r="A504" t="s">
        <v>3286</v>
      </c>
      <c r="B504" t="s">
        <v>3286</v>
      </c>
      <c r="C504" t="s">
        <v>1240</v>
      </c>
      <c r="D504" t="s">
        <v>3287</v>
      </c>
      <c r="E504">
        <v>1</v>
      </c>
      <c r="G504">
        <v>5.3</v>
      </c>
      <c r="H504" t="s">
        <v>3288</v>
      </c>
      <c r="I504">
        <v>1</v>
      </c>
      <c r="J504" t="s">
        <v>1924</v>
      </c>
      <c r="K504">
        <v>0</v>
      </c>
      <c r="M504">
        <v>5</v>
      </c>
    </row>
    <row r="505" spans="1:13" x14ac:dyDescent="0.15">
      <c r="A505" t="s">
        <v>3289</v>
      </c>
      <c r="B505" t="s">
        <v>3289</v>
      </c>
      <c r="C505" t="s">
        <v>1708</v>
      </c>
      <c r="E505">
        <v>1</v>
      </c>
      <c r="G505">
        <v>27.7</v>
      </c>
      <c r="H505" t="s">
        <v>3290</v>
      </c>
      <c r="I505">
        <v>4</v>
      </c>
      <c r="J505" t="s">
        <v>2208</v>
      </c>
      <c r="K505">
        <v>2</v>
      </c>
      <c r="M505">
        <v>2</v>
      </c>
    </row>
    <row r="506" spans="1:13" x14ac:dyDescent="0.15">
      <c r="A506" t="s">
        <v>3291</v>
      </c>
      <c r="B506" t="s">
        <v>3291</v>
      </c>
      <c r="C506" t="s">
        <v>1709</v>
      </c>
      <c r="E506">
        <v>1</v>
      </c>
      <c r="G506">
        <v>5.6</v>
      </c>
      <c r="H506" t="s">
        <v>3292</v>
      </c>
      <c r="I506">
        <v>10</v>
      </c>
      <c r="J506" t="s">
        <v>1976</v>
      </c>
      <c r="K506">
        <v>0</v>
      </c>
      <c r="M506">
        <v>3</v>
      </c>
    </row>
    <row r="507" spans="1:13" x14ac:dyDescent="0.15">
      <c r="A507" t="s">
        <v>3293</v>
      </c>
      <c r="B507" t="s">
        <v>3293</v>
      </c>
      <c r="C507" t="s">
        <v>1710</v>
      </c>
      <c r="E507">
        <v>1</v>
      </c>
      <c r="G507">
        <v>59</v>
      </c>
      <c r="H507" t="s">
        <v>3294</v>
      </c>
      <c r="I507">
        <v>25</v>
      </c>
      <c r="J507" t="s">
        <v>1911</v>
      </c>
      <c r="K507">
        <v>0</v>
      </c>
      <c r="M507">
        <v>9</v>
      </c>
    </row>
    <row r="508" spans="1:13" x14ac:dyDescent="0.15">
      <c r="A508" t="s">
        <v>3295</v>
      </c>
      <c r="B508" t="s">
        <v>3295</v>
      </c>
      <c r="C508" t="s">
        <v>1711</v>
      </c>
      <c r="D508" t="s">
        <v>3296</v>
      </c>
      <c r="E508">
        <v>1</v>
      </c>
      <c r="G508">
        <v>16.600000000000001</v>
      </c>
      <c r="H508" t="s">
        <v>3297</v>
      </c>
      <c r="I508">
        <v>14</v>
      </c>
      <c r="J508" t="s">
        <v>1907</v>
      </c>
      <c r="K508">
        <v>0</v>
      </c>
      <c r="M508">
        <v>15</v>
      </c>
    </row>
    <row r="509" spans="1:13" x14ac:dyDescent="0.15">
      <c r="A509" t="s">
        <v>3298</v>
      </c>
      <c r="B509" t="s">
        <v>3298</v>
      </c>
      <c r="C509" t="s">
        <v>1712</v>
      </c>
      <c r="E509">
        <v>1</v>
      </c>
      <c r="G509">
        <v>146.1</v>
      </c>
      <c r="H509" t="s">
        <v>3299</v>
      </c>
      <c r="I509">
        <v>1</v>
      </c>
      <c r="J509" t="s">
        <v>1924</v>
      </c>
      <c r="K509">
        <v>0</v>
      </c>
      <c r="M509">
        <v>5</v>
      </c>
    </row>
    <row r="510" spans="1:13" x14ac:dyDescent="0.15">
      <c r="A510" t="s">
        <v>3300</v>
      </c>
      <c r="B510" t="s">
        <v>3300</v>
      </c>
      <c r="C510" t="s">
        <v>1713</v>
      </c>
      <c r="D510" t="s">
        <v>3301</v>
      </c>
      <c r="E510">
        <v>1</v>
      </c>
      <c r="G510">
        <v>46498</v>
      </c>
      <c r="H510" t="s">
        <v>3302</v>
      </c>
      <c r="I510">
        <v>25</v>
      </c>
      <c r="J510" t="s">
        <v>1911</v>
      </c>
      <c r="K510">
        <v>0</v>
      </c>
      <c r="M510">
        <v>6</v>
      </c>
    </row>
    <row r="511" spans="1:13" x14ac:dyDescent="0.15">
      <c r="A511" t="s">
        <v>3303</v>
      </c>
      <c r="B511" t="s">
        <v>3303</v>
      </c>
      <c r="C511" t="s">
        <v>926</v>
      </c>
      <c r="D511" t="s">
        <v>3304</v>
      </c>
      <c r="E511">
        <v>2</v>
      </c>
      <c r="G511">
        <v>8.8000000000000007</v>
      </c>
      <c r="H511" t="s">
        <v>3305</v>
      </c>
      <c r="I511">
        <v>3</v>
      </c>
      <c r="J511" t="s">
        <v>1947</v>
      </c>
      <c r="K511">
        <v>2</v>
      </c>
      <c r="M511">
        <v>2</v>
      </c>
    </row>
    <row r="512" spans="1:13" x14ac:dyDescent="0.15">
      <c r="A512" t="s">
        <v>3306</v>
      </c>
      <c r="B512" t="s">
        <v>3306</v>
      </c>
      <c r="C512" t="s">
        <v>1714</v>
      </c>
      <c r="D512" t="s">
        <v>3307</v>
      </c>
      <c r="E512">
        <v>1</v>
      </c>
      <c r="G512">
        <v>10.4</v>
      </c>
      <c r="H512" t="s">
        <v>3308</v>
      </c>
      <c r="I512">
        <v>1</v>
      </c>
      <c r="J512" t="s">
        <v>1924</v>
      </c>
      <c r="K512">
        <v>0</v>
      </c>
      <c r="M512">
        <v>5</v>
      </c>
    </row>
    <row r="513" spans="1:13" x14ac:dyDescent="0.15">
      <c r="A513" t="s">
        <v>3309</v>
      </c>
      <c r="B513" t="s">
        <v>3309</v>
      </c>
      <c r="C513" t="s">
        <v>1715</v>
      </c>
      <c r="E513">
        <v>2</v>
      </c>
      <c r="G513">
        <v>6.8</v>
      </c>
      <c r="H513" t="s">
        <v>3310</v>
      </c>
      <c r="I513">
        <v>1</v>
      </c>
      <c r="J513" t="s">
        <v>1924</v>
      </c>
      <c r="K513">
        <v>0</v>
      </c>
      <c r="M513">
        <v>15</v>
      </c>
    </row>
    <row r="514" spans="1:13" x14ac:dyDescent="0.15">
      <c r="A514" t="s">
        <v>3311</v>
      </c>
      <c r="B514" t="s">
        <v>3311</v>
      </c>
      <c r="C514" t="s">
        <v>1717</v>
      </c>
      <c r="D514" t="s">
        <v>3312</v>
      </c>
      <c r="E514">
        <v>1</v>
      </c>
      <c r="G514">
        <v>8.5</v>
      </c>
      <c r="H514" t="s">
        <v>3313</v>
      </c>
      <c r="I514">
        <v>17</v>
      </c>
      <c r="J514" t="s">
        <v>2099</v>
      </c>
      <c r="K514">
        <v>0</v>
      </c>
      <c r="M514">
        <v>3</v>
      </c>
    </row>
    <row r="515" spans="1:13" x14ac:dyDescent="0.15">
      <c r="A515" t="s">
        <v>3314</v>
      </c>
      <c r="B515" t="s">
        <v>3314</v>
      </c>
      <c r="C515" t="s">
        <v>1718</v>
      </c>
      <c r="D515" t="s">
        <v>3315</v>
      </c>
      <c r="E515">
        <v>2</v>
      </c>
      <c r="G515">
        <v>28172</v>
      </c>
      <c r="H515" t="s">
        <v>3316</v>
      </c>
      <c r="I515">
        <v>25</v>
      </c>
      <c r="J515" t="s">
        <v>1911</v>
      </c>
      <c r="K515">
        <v>0</v>
      </c>
      <c r="M515">
        <v>3</v>
      </c>
    </row>
    <row r="516" spans="1:13" x14ac:dyDescent="0.15">
      <c r="A516" t="s">
        <v>3317</v>
      </c>
      <c r="B516" t="s">
        <v>3317</v>
      </c>
      <c r="C516" t="s">
        <v>1719</v>
      </c>
      <c r="D516" t="s">
        <v>3318</v>
      </c>
      <c r="E516">
        <v>1</v>
      </c>
      <c r="G516">
        <v>165</v>
      </c>
      <c r="H516" t="s">
        <v>3319</v>
      </c>
      <c r="I516">
        <v>25</v>
      </c>
      <c r="J516" t="s">
        <v>1911</v>
      </c>
      <c r="K516">
        <v>0</v>
      </c>
      <c r="M516">
        <v>9</v>
      </c>
    </row>
    <row r="517" spans="1:13" x14ac:dyDescent="0.15">
      <c r="A517" t="s">
        <v>3320</v>
      </c>
      <c r="B517" t="s">
        <v>3320</v>
      </c>
      <c r="C517" t="s">
        <v>1720</v>
      </c>
      <c r="D517" t="s">
        <v>3321</v>
      </c>
      <c r="E517">
        <v>1</v>
      </c>
      <c r="G517">
        <v>126</v>
      </c>
      <c r="H517" t="s">
        <v>3322</v>
      </c>
      <c r="I517">
        <v>25</v>
      </c>
      <c r="J517" t="s">
        <v>1911</v>
      </c>
      <c r="K517">
        <v>0</v>
      </c>
      <c r="M517">
        <v>8</v>
      </c>
    </row>
    <row r="518" spans="1:13" x14ac:dyDescent="0.15">
      <c r="A518" t="s">
        <v>3323</v>
      </c>
      <c r="B518" t="s">
        <v>3323</v>
      </c>
      <c r="C518" t="s">
        <v>1721</v>
      </c>
      <c r="D518" t="s">
        <v>3324</v>
      </c>
      <c r="E518">
        <v>1</v>
      </c>
      <c r="G518">
        <v>7.4</v>
      </c>
      <c r="H518" t="s">
        <v>3325</v>
      </c>
      <c r="I518">
        <v>18</v>
      </c>
      <c r="J518" t="s">
        <v>2263</v>
      </c>
      <c r="K518">
        <v>0</v>
      </c>
      <c r="M518">
        <v>5</v>
      </c>
    </row>
    <row r="519" spans="1:13" x14ac:dyDescent="0.15">
      <c r="A519" t="s">
        <v>3326</v>
      </c>
      <c r="B519" t="s">
        <v>3326</v>
      </c>
      <c r="C519" t="s">
        <v>1722</v>
      </c>
      <c r="D519" t="s">
        <v>3327</v>
      </c>
      <c r="E519">
        <v>1</v>
      </c>
      <c r="G519">
        <v>7.4</v>
      </c>
      <c r="H519" t="s">
        <v>3328</v>
      </c>
      <c r="I519">
        <v>18</v>
      </c>
      <c r="J519" t="s">
        <v>2263</v>
      </c>
      <c r="K519">
        <v>0</v>
      </c>
      <c r="M519">
        <v>5</v>
      </c>
    </row>
    <row r="520" spans="1:13" x14ac:dyDescent="0.15">
      <c r="A520" t="s">
        <v>3329</v>
      </c>
      <c r="B520" t="s">
        <v>3329</v>
      </c>
      <c r="C520" t="s">
        <v>1723</v>
      </c>
      <c r="E520">
        <v>1</v>
      </c>
      <c r="G520">
        <v>3.7</v>
      </c>
      <c r="H520" t="s">
        <v>3330</v>
      </c>
      <c r="I520">
        <v>14</v>
      </c>
      <c r="J520" t="s">
        <v>1907</v>
      </c>
      <c r="K520">
        <v>0</v>
      </c>
      <c r="M520">
        <v>5</v>
      </c>
    </row>
    <row r="521" spans="1:13" x14ac:dyDescent="0.15">
      <c r="A521" t="s">
        <v>3331</v>
      </c>
      <c r="B521" t="s">
        <v>3331</v>
      </c>
      <c r="C521" t="s">
        <v>1724</v>
      </c>
      <c r="D521" t="s">
        <v>3332</v>
      </c>
      <c r="E521">
        <v>1</v>
      </c>
      <c r="G521">
        <v>35976</v>
      </c>
      <c r="H521" t="s">
        <v>3333</v>
      </c>
      <c r="I521">
        <v>25</v>
      </c>
      <c r="J521" t="s">
        <v>1911</v>
      </c>
      <c r="K521">
        <v>0</v>
      </c>
      <c r="M521">
        <v>11</v>
      </c>
    </row>
    <row r="522" spans="1:13" x14ac:dyDescent="0.15">
      <c r="A522" t="s">
        <v>3334</v>
      </c>
      <c r="B522" t="s">
        <v>3334</v>
      </c>
      <c r="C522" t="s">
        <v>1725</v>
      </c>
      <c r="D522" t="s">
        <v>3335</v>
      </c>
      <c r="E522">
        <v>2</v>
      </c>
      <c r="G522">
        <v>33.6</v>
      </c>
      <c r="H522" t="s">
        <v>3336</v>
      </c>
      <c r="I522">
        <v>1</v>
      </c>
      <c r="J522" t="s">
        <v>1924</v>
      </c>
      <c r="K522">
        <v>2</v>
      </c>
      <c r="M522">
        <v>3</v>
      </c>
    </row>
    <row r="523" spans="1:13" x14ac:dyDescent="0.15">
      <c r="A523" t="s">
        <v>3337</v>
      </c>
      <c r="B523" t="s">
        <v>3337</v>
      </c>
      <c r="C523" t="s">
        <v>1726</v>
      </c>
      <c r="E523">
        <v>1</v>
      </c>
      <c r="G523">
        <v>201.4</v>
      </c>
      <c r="H523" t="s">
        <v>3338</v>
      </c>
      <c r="I523">
        <v>21</v>
      </c>
      <c r="J523" t="s">
        <v>1954</v>
      </c>
      <c r="K523">
        <v>0</v>
      </c>
      <c r="M523">
        <v>3</v>
      </c>
    </row>
    <row r="524" spans="1:13" x14ac:dyDescent="0.15">
      <c r="A524" t="s">
        <v>3339</v>
      </c>
      <c r="B524" t="s">
        <v>3339</v>
      </c>
      <c r="C524" t="s">
        <v>945</v>
      </c>
      <c r="D524" t="s">
        <v>3340</v>
      </c>
      <c r="E524">
        <v>1</v>
      </c>
      <c r="G524">
        <v>21.3</v>
      </c>
      <c r="H524" t="s">
        <v>3341</v>
      </c>
      <c r="I524">
        <v>14</v>
      </c>
      <c r="J524" t="s">
        <v>1907</v>
      </c>
      <c r="K524">
        <v>0</v>
      </c>
      <c r="M524">
        <v>3</v>
      </c>
    </row>
    <row r="525" spans="1:13" x14ac:dyDescent="0.15">
      <c r="A525" t="s">
        <v>3342</v>
      </c>
      <c r="B525" t="s">
        <v>3342</v>
      </c>
      <c r="C525" t="s">
        <v>1727</v>
      </c>
      <c r="D525" t="s">
        <v>3343</v>
      </c>
      <c r="E525">
        <v>1</v>
      </c>
      <c r="G525">
        <v>90.8</v>
      </c>
      <c r="H525" t="s">
        <v>3344</v>
      </c>
      <c r="I525">
        <v>1</v>
      </c>
      <c r="J525" t="s">
        <v>1924</v>
      </c>
      <c r="K525">
        <v>0</v>
      </c>
      <c r="M525">
        <v>1</v>
      </c>
    </row>
    <row r="526" spans="1:13" x14ac:dyDescent="0.15">
      <c r="A526" t="s">
        <v>3345</v>
      </c>
      <c r="B526" t="s">
        <v>3345</v>
      </c>
      <c r="C526" t="s">
        <v>1728</v>
      </c>
      <c r="D526" t="s">
        <v>3346</v>
      </c>
      <c r="E526">
        <v>1</v>
      </c>
      <c r="G526">
        <v>109.9</v>
      </c>
      <c r="H526" t="s">
        <v>3347</v>
      </c>
      <c r="I526">
        <v>1</v>
      </c>
      <c r="J526" t="s">
        <v>1924</v>
      </c>
      <c r="K526">
        <v>0</v>
      </c>
      <c r="M526">
        <v>1</v>
      </c>
    </row>
    <row r="527" spans="1:13" x14ac:dyDescent="0.15">
      <c r="A527" t="s">
        <v>3348</v>
      </c>
      <c r="B527" t="s">
        <v>3348</v>
      </c>
      <c r="C527" t="s">
        <v>1729</v>
      </c>
      <c r="D527" t="s">
        <v>3349</v>
      </c>
      <c r="E527">
        <v>1</v>
      </c>
      <c r="G527">
        <v>7.3</v>
      </c>
      <c r="H527" t="s">
        <v>3350</v>
      </c>
      <c r="I527">
        <v>1</v>
      </c>
      <c r="J527" t="s">
        <v>1924</v>
      </c>
      <c r="K527">
        <v>0</v>
      </c>
      <c r="M527">
        <v>5</v>
      </c>
    </row>
    <row r="528" spans="1:13" x14ac:dyDescent="0.15">
      <c r="A528" t="s">
        <v>3351</v>
      </c>
      <c r="B528" t="s">
        <v>3351</v>
      </c>
      <c r="C528" t="s">
        <v>1730</v>
      </c>
      <c r="E528">
        <v>1</v>
      </c>
      <c r="G528">
        <v>561</v>
      </c>
      <c r="H528" t="s">
        <v>3352</v>
      </c>
      <c r="I528">
        <v>25</v>
      </c>
      <c r="J528" t="s">
        <v>1911</v>
      </c>
      <c r="K528">
        <v>2</v>
      </c>
      <c r="M528">
        <v>9</v>
      </c>
    </row>
    <row r="529" spans="1:13" x14ac:dyDescent="0.15">
      <c r="A529" t="s">
        <v>3353</v>
      </c>
      <c r="B529" t="s">
        <v>3353</v>
      </c>
      <c r="C529" t="s">
        <v>1731</v>
      </c>
      <c r="D529" t="s">
        <v>3354</v>
      </c>
      <c r="E529">
        <v>1</v>
      </c>
      <c r="G529">
        <v>7.8</v>
      </c>
      <c r="H529" t="s">
        <v>3355</v>
      </c>
      <c r="I529">
        <v>1</v>
      </c>
      <c r="J529" t="s">
        <v>1924</v>
      </c>
      <c r="K529">
        <v>0</v>
      </c>
      <c r="M529">
        <v>5</v>
      </c>
    </row>
    <row r="530" spans="1:13" x14ac:dyDescent="0.15">
      <c r="A530" t="s">
        <v>3356</v>
      </c>
      <c r="B530" t="s">
        <v>3356</v>
      </c>
      <c r="C530" t="s">
        <v>1732</v>
      </c>
      <c r="E530">
        <v>1</v>
      </c>
      <c r="G530">
        <v>16.2</v>
      </c>
      <c r="H530" t="s">
        <v>3357</v>
      </c>
      <c r="I530">
        <v>4</v>
      </c>
      <c r="J530" t="s">
        <v>2208</v>
      </c>
      <c r="K530">
        <v>0</v>
      </c>
      <c r="M530">
        <v>2</v>
      </c>
    </row>
    <row r="531" spans="1:13" x14ac:dyDescent="0.15">
      <c r="A531" t="s">
        <v>3358</v>
      </c>
      <c r="B531" t="s">
        <v>3358</v>
      </c>
      <c r="C531" t="s">
        <v>1733</v>
      </c>
      <c r="E531">
        <v>2</v>
      </c>
      <c r="G531">
        <v>100.1</v>
      </c>
      <c r="H531" t="s">
        <v>3359</v>
      </c>
      <c r="I531">
        <v>5</v>
      </c>
      <c r="J531" t="s">
        <v>2590</v>
      </c>
      <c r="K531">
        <v>0</v>
      </c>
      <c r="M531">
        <v>1</v>
      </c>
    </row>
    <row r="532" spans="1:13" x14ac:dyDescent="0.15">
      <c r="A532" t="s">
        <v>3360</v>
      </c>
      <c r="B532" t="s">
        <v>3360</v>
      </c>
      <c r="C532" t="s">
        <v>1734</v>
      </c>
      <c r="D532" t="s">
        <v>3361</v>
      </c>
      <c r="E532">
        <v>1</v>
      </c>
      <c r="G532">
        <v>329</v>
      </c>
      <c r="H532" t="s">
        <v>3362</v>
      </c>
      <c r="I532">
        <v>25</v>
      </c>
      <c r="J532" t="s">
        <v>1911</v>
      </c>
      <c r="K532">
        <v>0</v>
      </c>
      <c r="M532">
        <v>8</v>
      </c>
    </row>
    <row r="533" spans="1:13" x14ac:dyDescent="0.15">
      <c r="A533" t="s">
        <v>3363</v>
      </c>
      <c r="B533" t="s">
        <v>3363</v>
      </c>
      <c r="C533" t="s">
        <v>1735</v>
      </c>
      <c r="E533">
        <v>1</v>
      </c>
      <c r="G533">
        <v>11.3</v>
      </c>
      <c r="H533" t="s">
        <v>3364</v>
      </c>
      <c r="I533">
        <v>14</v>
      </c>
      <c r="J533" t="s">
        <v>1907</v>
      </c>
      <c r="K533">
        <v>0</v>
      </c>
      <c r="M533">
        <v>8</v>
      </c>
    </row>
    <row r="534" spans="1:13" x14ac:dyDescent="0.15">
      <c r="A534" t="s">
        <v>3365</v>
      </c>
      <c r="B534" t="s">
        <v>3365</v>
      </c>
      <c r="C534" t="s">
        <v>1736</v>
      </c>
      <c r="E534">
        <v>1</v>
      </c>
      <c r="G534">
        <v>10.4</v>
      </c>
      <c r="H534" t="s">
        <v>3366</v>
      </c>
      <c r="I534">
        <v>1</v>
      </c>
      <c r="J534" t="s">
        <v>1924</v>
      </c>
      <c r="K534">
        <v>0</v>
      </c>
      <c r="M534">
        <v>5</v>
      </c>
    </row>
    <row r="535" spans="1:13" x14ac:dyDescent="0.15">
      <c r="A535" t="s">
        <v>3367</v>
      </c>
      <c r="B535" t="s">
        <v>3367</v>
      </c>
      <c r="C535" t="s">
        <v>966</v>
      </c>
      <c r="D535" t="s">
        <v>3368</v>
      </c>
      <c r="E535">
        <v>1</v>
      </c>
      <c r="G535">
        <v>863</v>
      </c>
      <c r="H535" t="s">
        <v>3369</v>
      </c>
      <c r="I535">
        <v>25</v>
      </c>
      <c r="J535" t="s">
        <v>1911</v>
      </c>
      <c r="K535">
        <v>0</v>
      </c>
      <c r="M535">
        <v>8</v>
      </c>
    </row>
    <row r="536" spans="1:13" x14ac:dyDescent="0.15">
      <c r="A536" t="s">
        <v>3370</v>
      </c>
      <c r="B536" t="s">
        <v>3370</v>
      </c>
      <c r="C536" t="s">
        <v>1737</v>
      </c>
      <c r="D536" t="s">
        <v>3371</v>
      </c>
      <c r="E536">
        <v>1</v>
      </c>
      <c r="G536">
        <v>188</v>
      </c>
      <c r="H536" t="s">
        <v>3372</v>
      </c>
      <c r="I536">
        <v>25</v>
      </c>
      <c r="J536" t="s">
        <v>1911</v>
      </c>
      <c r="K536">
        <v>2</v>
      </c>
      <c r="M536">
        <v>9</v>
      </c>
    </row>
    <row r="537" spans="1:13" x14ac:dyDescent="0.15">
      <c r="A537" t="s">
        <v>3373</v>
      </c>
      <c r="B537" t="s">
        <v>3373</v>
      </c>
      <c r="C537" t="s">
        <v>970</v>
      </c>
      <c r="D537" t="s">
        <v>3374</v>
      </c>
      <c r="E537">
        <v>2</v>
      </c>
      <c r="G537">
        <v>71.099999999999994</v>
      </c>
      <c r="H537" t="s">
        <v>3375</v>
      </c>
      <c r="I537">
        <v>3</v>
      </c>
      <c r="J537" t="s">
        <v>1947</v>
      </c>
      <c r="K537">
        <v>0</v>
      </c>
      <c r="M537">
        <v>15</v>
      </c>
    </row>
    <row r="538" spans="1:13" x14ac:dyDescent="0.15">
      <c r="A538" t="s">
        <v>3376</v>
      </c>
      <c r="B538" t="s">
        <v>3376</v>
      </c>
      <c r="C538" t="s">
        <v>1738</v>
      </c>
      <c r="D538" t="s">
        <v>3377</v>
      </c>
      <c r="E538">
        <v>1</v>
      </c>
      <c r="G538">
        <v>251</v>
      </c>
      <c r="H538" t="s">
        <v>3378</v>
      </c>
      <c r="I538">
        <v>25</v>
      </c>
      <c r="J538" t="s">
        <v>1911</v>
      </c>
      <c r="K538">
        <v>0</v>
      </c>
      <c r="M538">
        <v>10</v>
      </c>
    </row>
    <row r="539" spans="1:13" x14ac:dyDescent="0.15">
      <c r="A539" t="s">
        <v>3379</v>
      </c>
      <c r="B539" t="s">
        <v>3379</v>
      </c>
      <c r="C539" t="s">
        <v>1739</v>
      </c>
      <c r="D539" t="s">
        <v>3380</v>
      </c>
      <c r="E539">
        <v>1</v>
      </c>
      <c r="G539">
        <v>279</v>
      </c>
      <c r="H539" t="s">
        <v>3378</v>
      </c>
      <c r="I539">
        <v>25</v>
      </c>
      <c r="J539" t="s">
        <v>1911</v>
      </c>
      <c r="K539">
        <v>0</v>
      </c>
      <c r="M539">
        <v>10</v>
      </c>
    </row>
    <row r="540" spans="1:13" x14ac:dyDescent="0.15">
      <c r="A540" t="s">
        <v>3381</v>
      </c>
      <c r="B540" t="s">
        <v>3381</v>
      </c>
      <c r="C540" t="s">
        <v>1740</v>
      </c>
      <c r="D540" t="s">
        <v>3382</v>
      </c>
      <c r="E540">
        <v>1</v>
      </c>
      <c r="G540">
        <v>3.2</v>
      </c>
      <c r="H540" t="s">
        <v>3383</v>
      </c>
      <c r="I540">
        <v>9</v>
      </c>
      <c r="J540" t="s">
        <v>3384</v>
      </c>
      <c r="K540">
        <v>0</v>
      </c>
      <c r="M540">
        <v>3</v>
      </c>
    </row>
    <row r="541" spans="1:13" x14ac:dyDescent="0.15">
      <c r="A541" t="s">
        <v>3385</v>
      </c>
      <c r="B541" t="s">
        <v>3385</v>
      </c>
      <c r="C541" t="s">
        <v>1741</v>
      </c>
      <c r="D541" t="s">
        <v>3386</v>
      </c>
      <c r="E541">
        <v>1</v>
      </c>
      <c r="G541">
        <v>0</v>
      </c>
      <c r="H541" t="s">
        <v>1741</v>
      </c>
      <c r="I541">
        <v>24</v>
      </c>
      <c r="J541" t="s">
        <v>2065</v>
      </c>
      <c r="K541">
        <v>0</v>
      </c>
      <c r="M541">
        <v>15</v>
      </c>
    </row>
    <row r="542" spans="1:13" x14ac:dyDescent="0.15">
      <c r="A542" t="s">
        <v>3387</v>
      </c>
      <c r="B542" t="s">
        <v>3387</v>
      </c>
      <c r="C542" t="s">
        <v>1742</v>
      </c>
      <c r="D542" t="s">
        <v>3388</v>
      </c>
      <c r="E542">
        <v>2</v>
      </c>
      <c r="G542">
        <v>69</v>
      </c>
      <c r="H542" t="s">
        <v>3389</v>
      </c>
      <c r="I542">
        <v>25</v>
      </c>
      <c r="J542" t="s">
        <v>1911</v>
      </c>
      <c r="K542">
        <v>0</v>
      </c>
      <c r="M542">
        <v>15</v>
      </c>
    </row>
    <row r="543" spans="1:13" x14ac:dyDescent="0.15">
      <c r="A543" t="s">
        <v>3390</v>
      </c>
      <c r="B543" t="s">
        <v>3390</v>
      </c>
      <c r="C543" t="s">
        <v>1743</v>
      </c>
      <c r="D543" t="s">
        <v>3391</v>
      </c>
      <c r="E543">
        <v>1</v>
      </c>
      <c r="G543">
        <v>77.8</v>
      </c>
      <c r="H543" t="s">
        <v>3392</v>
      </c>
      <c r="I543">
        <v>16</v>
      </c>
      <c r="J543" t="s">
        <v>3393</v>
      </c>
      <c r="K543">
        <v>0</v>
      </c>
      <c r="M543">
        <v>5</v>
      </c>
    </row>
    <row r="544" spans="1:13" x14ac:dyDescent="0.15">
      <c r="A544" t="s">
        <v>3394</v>
      </c>
      <c r="B544" t="s">
        <v>3394</v>
      </c>
      <c r="C544" t="s">
        <v>1744</v>
      </c>
      <c r="D544" t="s">
        <v>3395</v>
      </c>
      <c r="E544">
        <v>2</v>
      </c>
      <c r="G544">
        <v>22.9</v>
      </c>
      <c r="H544" t="s">
        <v>3396</v>
      </c>
      <c r="I544">
        <v>11</v>
      </c>
      <c r="J544" t="s">
        <v>2360</v>
      </c>
      <c r="K544">
        <v>0</v>
      </c>
      <c r="M544">
        <v>3</v>
      </c>
    </row>
    <row r="545" spans="1:13" x14ac:dyDescent="0.15">
      <c r="A545" t="s">
        <v>3397</v>
      </c>
      <c r="B545" t="s">
        <v>3397</v>
      </c>
      <c r="C545" t="s">
        <v>1745</v>
      </c>
      <c r="E545">
        <v>2</v>
      </c>
      <c r="G545">
        <v>71.3</v>
      </c>
      <c r="H545" t="s">
        <v>3398</v>
      </c>
      <c r="I545">
        <v>1</v>
      </c>
      <c r="J545" t="s">
        <v>1924</v>
      </c>
      <c r="K545">
        <v>0</v>
      </c>
      <c r="M545">
        <v>3</v>
      </c>
    </row>
    <row r="546" spans="1:13" x14ac:dyDescent="0.15">
      <c r="A546" t="s">
        <v>3399</v>
      </c>
      <c r="B546" t="s">
        <v>3399</v>
      </c>
      <c r="C546" t="s">
        <v>1746</v>
      </c>
      <c r="D546" t="s">
        <v>3400</v>
      </c>
      <c r="E546">
        <v>2</v>
      </c>
      <c r="G546">
        <v>7.3</v>
      </c>
      <c r="H546" t="s">
        <v>3401</v>
      </c>
      <c r="I546">
        <v>1</v>
      </c>
      <c r="J546" t="s">
        <v>1924</v>
      </c>
      <c r="K546">
        <v>2</v>
      </c>
      <c r="M546">
        <v>2</v>
      </c>
    </row>
    <row r="547" spans="1:13" x14ac:dyDescent="0.15">
      <c r="A547" t="s">
        <v>3402</v>
      </c>
      <c r="B547" t="s">
        <v>3402</v>
      </c>
      <c r="C547" t="s">
        <v>1747</v>
      </c>
      <c r="D547" t="s">
        <v>3403</v>
      </c>
      <c r="E547">
        <v>1</v>
      </c>
      <c r="G547">
        <v>12</v>
      </c>
      <c r="H547" t="s">
        <v>3404</v>
      </c>
      <c r="I547">
        <v>14</v>
      </c>
      <c r="J547" t="s">
        <v>1907</v>
      </c>
      <c r="K547">
        <v>0</v>
      </c>
      <c r="M547">
        <v>3</v>
      </c>
    </row>
    <row r="548" spans="1:13" x14ac:dyDescent="0.15">
      <c r="A548" t="s">
        <v>3405</v>
      </c>
      <c r="B548" t="s">
        <v>3405</v>
      </c>
      <c r="C548" t="s">
        <v>992</v>
      </c>
      <c r="D548" t="s">
        <v>3406</v>
      </c>
      <c r="E548">
        <v>1</v>
      </c>
      <c r="G548">
        <v>17.5</v>
      </c>
      <c r="H548" t="s">
        <v>3407</v>
      </c>
      <c r="I548">
        <v>1</v>
      </c>
      <c r="J548" t="s">
        <v>1924</v>
      </c>
      <c r="K548">
        <v>0</v>
      </c>
      <c r="M548">
        <v>5</v>
      </c>
    </row>
    <row r="549" spans="1:13" x14ac:dyDescent="0.15">
      <c r="A549" t="s">
        <v>3408</v>
      </c>
      <c r="B549" t="s">
        <v>3408</v>
      </c>
      <c r="C549" t="s">
        <v>991</v>
      </c>
      <c r="D549" t="s">
        <v>3409</v>
      </c>
      <c r="E549">
        <v>1</v>
      </c>
      <c r="G549">
        <v>14</v>
      </c>
      <c r="H549" t="s">
        <v>3410</v>
      </c>
      <c r="I549">
        <v>1</v>
      </c>
      <c r="J549" t="s">
        <v>1924</v>
      </c>
      <c r="K549">
        <v>0</v>
      </c>
      <c r="M549">
        <v>5</v>
      </c>
    </row>
    <row r="550" spans="1:13" x14ac:dyDescent="0.15">
      <c r="A550" t="s">
        <v>3411</v>
      </c>
      <c r="B550" t="s">
        <v>3411</v>
      </c>
      <c r="C550" t="s">
        <v>1748</v>
      </c>
      <c r="D550" t="s">
        <v>3412</v>
      </c>
      <c r="E550">
        <v>1</v>
      </c>
      <c r="G550">
        <v>5.9</v>
      </c>
      <c r="H550" t="s">
        <v>3413</v>
      </c>
      <c r="I550">
        <v>1</v>
      </c>
      <c r="J550" t="s">
        <v>1924</v>
      </c>
      <c r="K550">
        <v>0</v>
      </c>
      <c r="M550">
        <v>5</v>
      </c>
    </row>
    <row r="551" spans="1:13" x14ac:dyDescent="0.15">
      <c r="A551" t="s">
        <v>3414</v>
      </c>
      <c r="B551" t="s">
        <v>3414</v>
      </c>
      <c r="C551" t="s">
        <v>1749</v>
      </c>
      <c r="D551" t="s">
        <v>3415</v>
      </c>
      <c r="E551">
        <v>1</v>
      </c>
      <c r="G551">
        <v>5.9</v>
      </c>
      <c r="H551" t="s">
        <v>3416</v>
      </c>
      <c r="I551">
        <v>1</v>
      </c>
      <c r="J551" t="s">
        <v>1924</v>
      </c>
      <c r="K551">
        <v>0</v>
      </c>
      <c r="M551">
        <v>5</v>
      </c>
    </row>
    <row r="552" spans="1:13" x14ac:dyDescent="0.15">
      <c r="A552" t="s">
        <v>3417</v>
      </c>
      <c r="B552" t="s">
        <v>3417</v>
      </c>
      <c r="C552" t="s">
        <v>987</v>
      </c>
      <c r="D552" t="s">
        <v>3418</v>
      </c>
      <c r="E552">
        <v>1</v>
      </c>
      <c r="G552">
        <v>9.6</v>
      </c>
      <c r="H552" t="s">
        <v>3419</v>
      </c>
      <c r="I552">
        <v>3</v>
      </c>
      <c r="J552" t="s">
        <v>1947</v>
      </c>
      <c r="K552">
        <v>0</v>
      </c>
      <c r="M552">
        <v>3</v>
      </c>
    </row>
    <row r="553" spans="1:13" x14ac:dyDescent="0.15">
      <c r="A553" t="s">
        <v>3420</v>
      </c>
      <c r="B553" t="s">
        <v>3420</v>
      </c>
      <c r="C553" t="s">
        <v>1751</v>
      </c>
      <c r="D553" t="s">
        <v>3421</v>
      </c>
      <c r="E553">
        <v>1</v>
      </c>
      <c r="G553">
        <v>6.1</v>
      </c>
      <c r="H553" t="s">
        <v>3422</v>
      </c>
      <c r="I553">
        <v>1</v>
      </c>
      <c r="J553" t="s">
        <v>1924</v>
      </c>
      <c r="K553">
        <v>0</v>
      </c>
      <c r="M553">
        <v>5</v>
      </c>
    </row>
    <row r="554" spans="1:13" x14ac:dyDescent="0.15">
      <c r="A554" t="s">
        <v>3423</v>
      </c>
      <c r="B554" t="s">
        <v>3423</v>
      </c>
      <c r="C554" t="s">
        <v>1752</v>
      </c>
      <c r="D554" t="s">
        <v>3424</v>
      </c>
      <c r="E554">
        <v>1</v>
      </c>
      <c r="G554">
        <v>8.6999999999999993</v>
      </c>
      <c r="H554" t="s">
        <v>3425</v>
      </c>
      <c r="I554">
        <v>1</v>
      </c>
      <c r="J554" t="s">
        <v>1924</v>
      </c>
      <c r="K554">
        <v>0</v>
      </c>
      <c r="M554">
        <v>5</v>
      </c>
    </row>
    <row r="555" spans="1:13" x14ac:dyDescent="0.15">
      <c r="A555" t="s">
        <v>3426</v>
      </c>
      <c r="B555" t="s">
        <v>3426</v>
      </c>
      <c r="C555" t="s">
        <v>1753</v>
      </c>
      <c r="E555">
        <v>2</v>
      </c>
      <c r="G555">
        <v>1924</v>
      </c>
      <c r="H555" t="s">
        <v>3427</v>
      </c>
      <c r="I555">
        <v>25</v>
      </c>
      <c r="J555" t="s">
        <v>1911</v>
      </c>
      <c r="K555">
        <v>2</v>
      </c>
      <c r="M555">
        <v>11</v>
      </c>
    </row>
    <row r="556" spans="1:13" x14ac:dyDescent="0.15">
      <c r="A556" t="s">
        <v>3428</v>
      </c>
      <c r="B556" t="s">
        <v>3428</v>
      </c>
      <c r="C556" t="s">
        <v>999</v>
      </c>
      <c r="E556">
        <v>2</v>
      </c>
      <c r="G556">
        <v>552.20000000000005</v>
      </c>
      <c r="H556" t="s">
        <v>3429</v>
      </c>
      <c r="I556">
        <v>21</v>
      </c>
      <c r="J556" t="s">
        <v>1954</v>
      </c>
      <c r="K556">
        <v>0</v>
      </c>
      <c r="M556">
        <v>3</v>
      </c>
    </row>
    <row r="557" spans="1:13" x14ac:dyDescent="0.15">
      <c r="A557" t="s">
        <v>3430</v>
      </c>
      <c r="B557" t="s">
        <v>3430</v>
      </c>
      <c r="C557" t="s">
        <v>1754</v>
      </c>
      <c r="D557" t="s">
        <v>3431</v>
      </c>
      <c r="E557">
        <v>1</v>
      </c>
      <c r="G557">
        <v>8.3000000000000007</v>
      </c>
      <c r="H557" t="s">
        <v>3432</v>
      </c>
      <c r="I557">
        <v>1</v>
      </c>
      <c r="J557" t="s">
        <v>1924</v>
      </c>
      <c r="K557">
        <v>0</v>
      </c>
      <c r="M557">
        <v>5</v>
      </c>
    </row>
    <row r="558" spans="1:13" x14ac:dyDescent="0.15">
      <c r="A558" t="s">
        <v>3433</v>
      </c>
      <c r="B558" t="s">
        <v>3433</v>
      </c>
      <c r="C558" t="s">
        <v>1002</v>
      </c>
      <c r="D558" t="s">
        <v>3434</v>
      </c>
      <c r="E558">
        <v>1</v>
      </c>
      <c r="G558">
        <v>8.1</v>
      </c>
      <c r="H558" t="s">
        <v>3435</v>
      </c>
      <c r="I558">
        <v>1</v>
      </c>
      <c r="J558" t="s">
        <v>1924</v>
      </c>
      <c r="K558">
        <v>0</v>
      </c>
      <c r="M558">
        <v>5</v>
      </c>
    </row>
    <row r="559" spans="1:13" x14ac:dyDescent="0.15">
      <c r="A559" t="s">
        <v>3436</v>
      </c>
      <c r="B559" t="s">
        <v>3436</v>
      </c>
      <c r="C559" t="s">
        <v>1755</v>
      </c>
      <c r="D559" t="s">
        <v>3437</v>
      </c>
      <c r="E559">
        <v>2</v>
      </c>
      <c r="G559">
        <v>27.6</v>
      </c>
      <c r="H559" t="s">
        <v>3438</v>
      </c>
      <c r="I559">
        <v>21</v>
      </c>
      <c r="J559" t="s">
        <v>1954</v>
      </c>
      <c r="K559">
        <v>0</v>
      </c>
      <c r="M559">
        <v>15</v>
      </c>
    </row>
    <row r="560" spans="1:13" x14ac:dyDescent="0.15">
      <c r="A560" t="s">
        <v>3439</v>
      </c>
      <c r="B560" t="s">
        <v>3439</v>
      </c>
      <c r="C560" t="s">
        <v>1756</v>
      </c>
      <c r="D560" t="s">
        <v>3440</v>
      </c>
      <c r="E560">
        <v>1</v>
      </c>
      <c r="G560">
        <v>328</v>
      </c>
      <c r="H560" t="s">
        <v>3441</v>
      </c>
      <c r="I560">
        <v>25</v>
      </c>
      <c r="J560" t="s">
        <v>1911</v>
      </c>
      <c r="K560">
        <v>0</v>
      </c>
      <c r="M560">
        <v>8</v>
      </c>
    </row>
    <row r="561" spans="1:13" x14ac:dyDescent="0.15">
      <c r="A561" t="s">
        <v>3442</v>
      </c>
      <c r="B561" t="s">
        <v>3442</v>
      </c>
      <c r="C561" t="s">
        <v>1757</v>
      </c>
      <c r="D561" t="s">
        <v>3443</v>
      </c>
      <c r="E561">
        <v>1</v>
      </c>
      <c r="G561">
        <v>513.1</v>
      </c>
      <c r="H561" t="s">
        <v>3444</v>
      </c>
      <c r="I561">
        <v>1</v>
      </c>
      <c r="J561" t="s">
        <v>1924</v>
      </c>
      <c r="K561">
        <v>2</v>
      </c>
      <c r="M561">
        <v>1</v>
      </c>
    </row>
    <row r="562" spans="1:13" x14ac:dyDescent="0.15">
      <c r="A562" t="s">
        <v>3445</v>
      </c>
      <c r="B562" t="s">
        <v>3445</v>
      </c>
      <c r="C562" t="s">
        <v>1758</v>
      </c>
      <c r="E562">
        <v>1</v>
      </c>
      <c r="G562">
        <v>15.7</v>
      </c>
      <c r="H562" t="s">
        <v>3446</v>
      </c>
      <c r="I562">
        <v>1</v>
      </c>
      <c r="J562" t="s">
        <v>1924</v>
      </c>
      <c r="K562">
        <v>2</v>
      </c>
      <c r="M562">
        <v>6</v>
      </c>
    </row>
    <row r="563" spans="1:13" x14ac:dyDescent="0.15">
      <c r="A563" t="s">
        <v>3447</v>
      </c>
      <c r="B563" t="s">
        <v>3447</v>
      </c>
      <c r="C563" t="s">
        <v>1759</v>
      </c>
      <c r="D563" t="s">
        <v>3448</v>
      </c>
      <c r="E563">
        <v>2</v>
      </c>
      <c r="G563">
        <v>15.9</v>
      </c>
      <c r="H563" t="s">
        <v>3449</v>
      </c>
      <c r="I563">
        <v>21</v>
      </c>
      <c r="J563" t="s">
        <v>1954</v>
      </c>
      <c r="K563">
        <v>0</v>
      </c>
      <c r="M563">
        <v>3</v>
      </c>
    </row>
    <row r="564" spans="1:13" x14ac:dyDescent="0.15">
      <c r="A564" t="s">
        <v>3450</v>
      </c>
      <c r="B564" t="s">
        <v>3450</v>
      </c>
      <c r="C564" t="s">
        <v>1760</v>
      </c>
      <c r="D564" t="s">
        <v>3451</v>
      </c>
      <c r="E564">
        <v>1</v>
      </c>
      <c r="G564">
        <v>10.4</v>
      </c>
      <c r="H564" t="s">
        <v>3452</v>
      </c>
      <c r="I564">
        <v>1</v>
      </c>
      <c r="J564" t="s">
        <v>1924</v>
      </c>
      <c r="K564">
        <v>0</v>
      </c>
      <c r="M564">
        <v>5</v>
      </c>
    </row>
    <row r="565" spans="1:13" x14ac:dyDescent="0.15">
      <c r="A565" t="s">
        <v>3453</v>
      </c>
      <c r="B565" t="s">
        <v>3453</v>
      </c>
      <c r="C565" t="s">
        <v>1761</v>
      </c>
      <c r="D565" t="s">
        <v>3454</v>
      </c>
      <c r="E565">
        <v>1</v>
      </c>
      <c r="G565">
        <v>100</v>
      </c>
      <c r="H565" t="s">
        <v>3455</v>
      </c>
      <c r="I565">
        <v>25</v>
      </c>
      <c r="J565" t="s">
        <v>1911</v>
      </c>
      <c r="K565">
        <v>0</v>
      </c>
      <c r="M565">
        <v>9</v>
      </c>
    </row>
    <row r="566" spans="1:13" x14ac:dyDescent="0.15">
      <c r="A566" t="s">
        <v>3456</v>
      </c>
      <c r="B566" t="s">
        <v>3456</v>
      </c>
      <c r="C566" t="s">
        <v>1762</v>
      </c>
      <c r="D566" t="s">
        <v>3457</v>
      </c>
      <c r="E566">
        <v>1</v>
      </c>
      <c r="G566">
        <v>8.8000000000000007</v>
      </c>
      <c r="H566" t="s">
        <v>3458</v>
      </c>
      <c r="I566">
        <v>2</v>
      </c>
      <c r="J566" t="s">
        <v>835</v>
      </c>
      <c r="K566">
        <v>2</v>
      </c>
      <c r="M566">
        <v>6</v>
      </c>
    </row>
    <row r="567" spans="1:13" x14ac:dyDescent="0.15">
      <c r="A567" t="s">
        <v>3459</v>
      </c>
      <c r="B567" t="s">
        <v>3459</v>
      </c>
      <c r="C567" t="s">
        <v>1014</v>
      </c>
      <c r="D567" t="s">
        <v>3460</v>
      </c>
      <c r="E567">
        <v>1</v>
      </c>
      <c r="G567">
        <v>5.9</v>
      </c>
      <c r="H567" t="s">
        <v>3461</v>
      </c>
      <c r="I567">
        <v>1</v>
      </c>
      <c r="J567" t="s">
        <v>1924</v>
      </c>
      <c r="K567">
        <v>0</v>
      </c>
      <c r="M567">
        <v>5</v>
      </c>
    </row>
    <row r="568" spans="1:13" x14ac:dyDescent="0.15">
      <c r="A568" t="s">
        <v>3462</v>
      </c>
      <c r="B568" t="s">
        <v>3462</v>
      </c>
      <c r="C568" t="s">
        <v>1763</v>
      </c>
      <c r="D568" t="s">
        <v>3463</v>
      </c>
      <c r="E568">
        <v>2</v>
      </c>
      <c r="G568">
        <v>77.400000000000006</v>
      </c>
      <c r="H568" t="s">
        <v>3464</v>
      </c>
      <c r="I568">
        <v>1</v>
      </c>
      <c r="J568" t="s">
        <v>1924</v>
      </c>
      <c r="K568">
        <v>2</v>
      </c>
      <c r="M568">
        <v>3</v>
      </c>
    </row>
    <row r="569" spans="1:13" x14ac:dyDescent="0.15">
      <c r="A569" t="s">
        <v>3465</v>
      </c>
      <c r="B569" t="s">
        <v>3465</v>
      </c>
      <c r="C569" t="s">
        <v>1764</v>
      </c>
      <c r="D569" t="s">
        <v>3466</v>
      </c>
      <c r="E569">
        <v>1</v>
      </c>
      <c r="G569">
        <v>10.4</v>
      </c>
      <c r="H569" t="s">
        <v>3467</v>
      </c>
      <c r="I569">
        <v>1</v>
      </c>
      <c r="J569" t="s">
        <v>1924</v>
      </c>
      <c r="K569">
        <v>2</v>
      </c>
      <c r="M569">
        <v>6</v>
      </c>
    </row>
    <row r="570" spans="1:13" x14ac:dyDescent="0.15">
      <c r="A570" t="s">
        <v>3468</v>
      </c>
      <c r="B570" t="s">
        <v>3468</v>
      </c>
      <c r="C570" t="s">
        <v>1765</v>
      </c>
      <c r="D570" t="s">
        <v>3469</v>
      </c>
      <c r="E570">
        <v>1</v>
      </c>
      <c r="G570">
        <v>1060.9000000000001</v>
      </c>
      <c r="H570" t="s">
        <v>3470</v>
      </c>
      <c r="I570">
        <v>10</v>
      </c>
      <c r="J570" t="s">
        <v>1976</v>
      </c>
      <c r="K570">
        <v>0</v>
      </c>
      <c r="M570">
        <v>3</v>
      </c>
    </row>
    <row r="571" spans="1:13" x14ac:dyDescent="0.15">
      <c r="A571" t="s">
        <v>3471</v>
      </c>
      <c r="B571" t="s">
        <v>3471</v>
      </c>
      <c r="C571" t="s">
        <v>1766</v>
      </c>
      <c r="D571" t="s">
        <v>3472</v>
      </c>
      <c r="E571">
        <v>1</v>
      </c>
      <c r="G571">
        <v>21.5</v>
      </c>
      <c r="H571" t="s">
        <v>3473</v>
      </c>
      <c r="I571">
        <v>1</v>
      </c>
      <c r="J571" t="s">
        <v>1924</v>
      </c>
      <c r="K571">
        <v>2</v>
      </c>
      <c r="M571">
        <v>6</v>
      </c>
    </row>
    <row r="572" spans="1:13" x14ac:dyDescent="0.15">
      <c r="A572" t="s">
        <v>3474</v>
      </c>
      <c r="B572" t="s">
        <v>3474</v>
      </c>
      <c r="C572" t="s">
        <v>1767</v>
      </c>
      <c r="D572" t="s">
        <v>3475</v>
      </c>
      <c r="E572">
        <v>1</v>
      </c>
      <c r="G572">
        <v>66</v>
      </c>
      <c r="H572" t="s">
        <v>3476</v>
      </c>
      <c r="I572">
        <v>1</v>
      </c>
      <c r="J572" t="s">
        <v>1924</v>
      </c>
      <c r="K572">
        <v>2</v>
      </c>
      <c r="M572">
        <v>6</v>
      </c>
    </row>
    <row r="573" spans="1:13" x14ac:dyDescent="0.15">
      <c r="A573" t="s">
        <v>3477</v>
      </c>
      <c r="B573" t="s">
        <v>3477</v>
      </c>
      <c r="C573" t="s">
        <v>1768</v>
      </c>
      <c r="E573">
        <v>2</v>
      </c>
      <c r="G573">
        <v>9</v>
      </c>
      <c r="H573" t="s">
        <v>3478</v>
      </c>
      <c r="I573">
        <v>1</v>
      </c>
      <c r="J573" t="s">
        <v>1924</v>
      </c>
      <c r="K573">
        <v>0</v>
      </c>
      <c r="M573">
        <v>3</v>
      </c>
    </row>
    <row r="574" spans="1:13" x14ac:dyDescent="0.15">
      <c r="A574" t="s">
        <v>3479</v>
      </c>
      <c r="B574" t="s">
        <v>3479</v>
      </c>
      <c r="C574" t="s">
        <v>1022</v>
      </c>
      <c r="D574" t="s">
        <v>3480</v>
      </c>
      <c r="E574">
        <v>2</v>
      </c>
      <c r="G574">
        <v>10.1</v>
      </c>
      <c r="H574" t="s">
        <v>3481</v>
      </c>
      <c r="I574">
        <v>1</v>
      </c>
      <c r="J574" t="s">
        <v>1924</v>
      </c>
      <c r="K574">
        <v>0</v>
      </c>
      <c r="M574">
        <v>3</v>
      </c>
    </row>
    <row r="575" spans="1:13" x14ac:dyDescent="0.15">
      <c r="A575" t="s">
        <v>3482</v>
      </c>
      <c r="B575" t="s">
        <v>3482</v>
      </c>
      <c r="C575" t="s">
        <v>1769</v>
      </c>
      <c r="E575">
        <v>1</v>
      </c>
      <c r="G575">
        <v>656</v>
      </c>
      <c r="H575" t="s">
        <v>3483</v>
      </c>
      <c r="I575">
        <v>25</v>
      </c>
      <c r="J575" t="s">
        <v>1911</v>
      </c>
      <c r="K575">
        <v>0</v>
      </c>
      <c r="M575">
        <v>8</v>
      </c>
    </row>
    <row r="576" spans="1:13" x14ac:dyDescent="0.15">
      <c r="A576" t="s">
        <v>3484</v>
      </c>
      <c r="B576" t="s">
        <v>3484</v>
      </c>
      <c r="C576" t="s">
        <v>1770</v>
      </c>
      <c r="E576">
        <v>2</v>
      </c>
      <c r="G576">
        <v>26.3</v>
      </c>
      <c r="H576" t="s">
        <v>3485</v>
      </c>
      <c r="I576">
        <v>21</v>
      </c>
      <c r="J576" t="s">
        <v>1954</v>
      </c>
      <c r="K576">
        <v>0</v>
      </c>
      <c r="M576">
        <v>15</v>
      </c>
    </row>
    <row r="577" spans="1:13" x14ac:dyDescent="0.15">
      <c r="A577" t="s">
        <v>3486</v>
      </c>
      <c r="B577" t="s">
        <v>3486</v>
      </c>
      <c r="C577" t="s">
        <v>1771</v>
      </c>
      <c r="D577" t="s">
        <v>3487</v>
      </c>
      <c r="E577">
        <v>1</v>
      </c>
      <c r="G577">
        <v>10.4</v>
      </c>
      <c r="H577" t="s">
        <v>3488</v>
      </c>
      <c r="I577">
        <v>1</v>
      </c>
      <c r="J577" t="s">
        <v>1924</v>
      </c>
      <c r="K577">
        <v>0</v>
      </c>
      <c r="M577">
        <v>5</v>
      </c>
    </row>
    <row r="578" spans="1:13" x14ac:dyDescent="0.15">
      <c r="A578" t="s">
        <v>3489</v>
      </c>
      <c r="B578" t="s">
        <v>3489</v>
      </c>
      <c r="C578" t="s">
        <v>1025</v>
      </c>
      <c r="D578" t="s">
        <v>3490</v>
      </c>
      <c r="E578">
        <v>1</v>
      </c>
      <c r="G578">
        <v>9.6</v>
      </c>
      <c r="H578" t="s">
        <v>3491</v>
      </c>
      <c r="I578">
        <v>3</v>
      </c>
      <c r="J578" t="s">
        <v>1947</v>
      </c>
      <c r="K578">
        <v>0</v>
      </c>
      <c r="M578">
        <v>2</v>
      </c>
    </row>
    <row r="579" spans="1:13" x14ac:dyDescent="0.15">
      <c r="A579" t="s">
        <v>3492</v>
      </c>
      <c r="B579" t="s">
        <v>3492</v>
      </c>
      <c r="C579" t="s">
        <v>1772</v>
      </c>
      <c r="E579">
        <v>1</v>
      </c>
      <c r="G579">
        <v>303.60000000000002</v>
      </c>
      <c r="H579" t="s">
        <v>3493</v>
      </c>
      <c r="I579">
        <v>1</v>
      </c>
      <c r="J579" t="s">
        <v>1924</v>
      </c>
      <c r="K579">
        <v>2</v>
      </c>
      <c r="M579">
        <v>3</v>
      </c>
    </row>
    <row r="580" spans="1:13" x14ac:dyDescent="0.15">
      <c r="A580" t="s">
        <v>3494</v>
      </c>
      <c r="B580" t="s">
        <v>3494</v>
      </c>
      <c r="C580" t="s">
        <v>1773</v>
      </c>
      <c r="D580" t="s">
        <v>3495</v>
      </c>
      <c r="E580">
        <v>1</v>
      </c>
      <c r="G580">
        <v>61.4</v>
      </c>
      <c r="H580" t="s">
        <v>3496</v>
      </c>
      <c r="I580">
        <v>3</v>
      </c>
      <c r="J580" t="s">
        <v>1947</v>
      </c>
      <c r="K580">
        <v>0</v>
      </c>
      <c r="M580">
        <v>3</v>
      </c>
    </row>
    <row r="581" spans="1:13" x14ac:dyDescent="0.15">
      <c r="A581" t="s">
        <v>3497</v>
      </c>
      <c r="B581" t="s">
        <v>3497</v>
      </c>
      <c r="C581" t="s">
        <v>1774</v>
      </c>
      <c r="D581" t="s">
        <v>3498</v>
      </c>
      <c r="E581">
        <v>1</v>
      </c>
      <c r="G581">
        <v>6.8</v>
      </c>
      <c r="H581" t="s">
        <v>3499</v>
      </c>
      <c r="I581">
        <v>2</v>
      </c>
      <c r="J581" t="s">
        <v>835</v>
      </c>
      <c r="K581">
        <v>0</v>
      </c>
      <c r="M581">
        <v>5</v>
      </c>
    </row>
    <row r="582" spans="1:13" x14ac:dyDescent="0.15">
      <c r="A582" t="s">
        <v>3500</v>
      </c>
      <c r="B582" t="s">
        <v>3500</v>
      </c>
      <c r="C582" t="s">
        <v>1776</v>
      </c>
      <c r="E582">
        <v>2</v>
      </c>
      <c r="G582">
        <v>75.599999999999994</v>
      </c>
      <c r="H582" t="s">
        <v>3501</v>
      </c>
      <c r="I582">
        <v>1</v>
      </c>
      <c r="J582" t="s">
        <v>1924</v>
      </c>
      <c r="K582">
        <v>0</v>
      </c>
      <c r="M582">
        <v>1</v>
      </c>
    </row>
    <row r="583" spans="1:13" x14ac:dyDescent="0.15">
      <c r="A583" t="s">
        <v>3502</v>
      </c>
      <c r="B583" t="s">
        <v>3502</v>
      </c>
      <c r="C583" t="s">
        <v>1777</v>
      </c>
      <c r="D583" t="s">
        <v>3503</v>
      </c>
      <c r="E583">
        <v>1</v>
      </c>
      <c r="G583">
        <v>8.4</v>
      </c>
      <c r="H583" t="s">
        <v>3504</v>
      </c>
      <c r="I583">
        <v>1</v>
      </c>
      <c r="J583" t="s">
        <v>1924</v>
      </c>
      <c r="K583">
        <v>0</v>
      </c>
      <c r="M583">
        <v>5</v>
      </c>
    </row>
    <row r="584" spans="1:13" x14ac:dyDescent="0.15">
      <c r="A584" t="s">
        <v>3505</v>
      </c>
      <c r="B584" t="s">
        <v>3505</v>
      </c>
      <c r="C584" t="s">
        <v>1778</v>
      </c>
      <c r="E584">
        <v>2</v>
      </c>
      <c r="G584">
        <v>5.9</v>
      </c>
      <c r="H584" t="s">
        <v>3506</v>
      </c>
      <c r="I584">
        <v>1</v>
      </c>
      <c r="J584" t="s">
        <v>1924</v>
      </c>
      <c r="K584">
        <v>0</v>
      </c>
      <c r="M584">
        <v>15</v>
      </c>
    </row>
    <row r="585" spans="1:13" x14ac:dyDescent="0.15">
      <c r="A585" t="s">
        <v>3507</v>
      </c>
      <c r="B585" t="s">
        <v>3507</v>
      </c>
      <c r="C585" t="s">
        <v>1779</v>
      </c>
      <c r="E585">
        <v>2</v>
      </c>
      <c r="G585">
        <v>6.5</v>
      </c>
      <c r="H585" t="s">
        <v>3508</v>
      </c>
      <c r="I585">
        <v>1</v>
      </c>
      <c r="J585" t="s">
        <v>1924</v>
      </c>
      <c r="K585">
        <v>0</v>
      </c>
      <c r="M585">
        <v>15</v>
      </c>
    </row>
    <row r="586" spans="1:13" x14ac:dyDescent="0.15">
      <c r="A586" t="s">
        <v>3509</v>
      </c>
      <c r="B586" t="s">
        <v>3509</v>
      </c>
      <c r="C586" t="s">
        <v>1780</v>
      </c>
      <c r="D586" t="s">
        <v>3510</v>
      </c>
      <c r="E586">
        <v>1</v>
      </c>
      <c r="G586">
        <v>6.9</v>
      </c>
      <c r="H586" t="s">
        <v>3511</v>
      </c>
      <c r="I586">
        <v>6</v>
      </c>
      <c r="J586" t="s">
        <v>3021</v>
      </c>
      <c r="K586">
        <v>0</v>
      </c>
      <c r="M586">
        <v>13</v>
      </c>
    </row>
    <row r="587" spans="1:13" x14ac:dyDescent="0.15">
      <c r="A587" t="s">
        <v>3512</v>
      </c>
      <c r="B587" t="s">
        <v>3512</v>
      </c>
      <c r="C587" t="s">
        <v>1781</v>
      </c>
      <c r="D587" t="s">
        <v>3513</v>
      </c>
      <c r="E587">
        <v>1</v>
      </c>
      <c r="G587">
        <v>2164.9</v>
      </c>
      <c r="H587" t="s">
        <v>3514</v>
      </c>
      <c r="I587">
        <v>2</v>
      </c>
      <c r="J587" t="s">
        <v>835</v>
      </c>
      <c r="K587">
        <v>2</v>
      </c>
      <c r="M587">
        <v>6</v>
      </c>
    </row>
    <row r="588" spans="1:13" x14ac:dyDescent="0.15">
      <c r="A588" t="s">
        <v>3515</v>
      </c>
      <c r="B588" t="s">
        <v>3515</v>
      </c>
      <c r="C588" t="s">
        <v>1782</v>
      </c>
      <c r="E588">
        <v>2</v>
      </c>
      <c r="G588">
        <v>76.3</v>
      </c>
      <c r="H588" t="s">
        <v>3516</v>
      </c>
      <c r="I588">
        <v>1</v>
      </c>
      <c r="J588" t="s">
        <v>1924</v>
      </c>
      <c r="K588">
        <v>2</v>
      </c>
      <c r="M588">
        <v>3</v>
      </c>
    </row>
    <row r="589" spans="1:13" x14ac:dyDescent="0.15">
      <c r="A589" t="s">
        <v>3517</v>
      </c>
      <c r="B589" t="s">
        <v>3517</v>
      </c>
      <c r="C589" t="s">
        <v>1783</v>
      </c>
      <c r="D589" t="s">
        <v>3518</v>
      </c>
      <c r="E589">
        <v>1</v>
      </c>
      <c r="G589">
        <v>1.07</v>
      </c>
      <c r="H589" t="s">
        <v>3519</v>
      </c>
      <c r="I589">
        <v>7</v>
      </c>
      <c r="J589" t="s">
        <v>2151</v>
      </c>
      <c r="K589">
        <v>0</v>
      </c>
      <c r="M589">
        <v>7</v>
      </c>
    </row>
    <row r="590" spans="1:13" x14ac:dyDescent="0.15">
      <c r="A590" t="s">
        <v>3520</v>
      </c>
      <c r="B590" t="s">
        <v>3520</v>
      </c>
      <c r="C590" t="s">
        <v>1784</v>
      </c>
      <c r="D590" t="s">
        <v>3521</v>
      </c>
      <c r="E590">
        <v>1</v>
      </c>
      <c r="G590">
        <v>1.07</v>
      </c>
      <c r="H590" t="s">
        <v>3519</v>
      </c>
      <c r="I590">
        <v>7</v>
      </c>
      <c r="J590" t="s">
        <v>2151</v>
      </c>
      <c r="K590">
        <v>0</v>
      </c>
      <c r="M590">
        <v>7</v>
      </c>
    </row>
    <row r="591" spans="1:13" x14ac:dyDescent="0.15">
      <c r="A591" t="s">
        <v>3522</v>
      </c>
      <c r="B591" t="s">
        <v>3522</v>
      </c>
      <c r="C591" t="s">
        <v>1785</v>
      </c>
      <c r="E591">
        <v>2</v>
      </c>
      <c r="G591">
        <v>2744</v>
      </c>
      <c r="H591" t="s">
        <v>3523</v>
      </c>
      <c r="I591">
        <v>7</v>
      </c>
      <c r="J591" t="s">
        <v>2151</v>
      </c>
      <c r="K591">
        <v>0</v>
      </c>
      <c r="M591">
        <v>15</v>
      </c>
    </row>
    <row r="592" spans="1:13" x14ac:dyDescent="0.15">
      <c r="A592" t="s">
        <v>3524</v>
      </c>
      <c r="B592" t="s">
        <v>3524</v>
      </c>
      <c r="C592" t="s">
        <v>1786</v>
      </c>
      <c r="E592">
        <v>1</v>
      </c>
      <c r="G592">
        <v>3962</v>
      </c>
      <c r="H592" t="s">
        <v>3525</v>
      </c>
      <c r="I592">
        <v>25</v>
      </c>
      <c r="J592" t="s">
        <v>1911</v>
      </c>
      <c r="K592">
        <v>2</v>
      </c>
      <c r="M592">
        <v>8</v>
      </c>
    </row>
    <row r="593" spans="1:13" x14ac:dyDescent="0.15">
      <c r="A593" t="s">
        <v>3526</v>
      </c>
      <c r="B593" t="s">
        <v>3526</v>
      </c>
      <c r="C593" t="s">
        <v>1787</v>
      </c>
      <c r="E593">
        <v>1</v>
      </c>
      <c r="G593">
        <v>151</v>
      </c>
      <c r="H593" t="s">
        <v>3527</v>
      </c>
      <c r="I593">
        <v>21</v>
      </c>
      <c r="J593" t="s">
        <v>1954</v>
      </c>
      <c r="K593">
        <v>0</v>
      </c>
      <c r="M593">
        <v>11</v>
      </c>
    </row>
    <row r="594" spans="1:13" x14ac:dyDescent="0.15">
      <c r="A594" t="s">
        <v>3528</v>
      </c>
      <c r="B594" t="s">
        <v>3528</v>
      </c>
      <c r="C594" t="s">
        <v>1788</v>
      </c>
      <c r="D594" t="s">
        <v>3529</v>
      </c>
      <c r="E594">
        <v>1</v>
      </c>
      <c r="G594">
        <v>159.1</v>
      </c>
      <c r="H594" t="s">
        <v>3530</v>
      </c>
      <c r="I594">
        <v>1</v>
      </c>
      <c r="J594" t="s">
        <v>1924</v>
      </c>
      <c r="K594">
        <v>2</v>
      </c>
      <c r="M594">
        <v>6</v>
      </c>
    </row>
    <row r="595" spans="1:13" x14ac:dyDescent="0.15">
      <c r="A595" t="s">
        <v>3531</v>
      </c>
      <c r="B595" t="s">
        <v>3531</v>
      </c>
      <c r="C595" t="s">
        <v>1789</v>
      </c>
      <c r="D595" t="s">
        <v>3532</v>
      </c>
      <c r="E595">
        <v>1</v>
      </c>
      <c r="G595">
        <v>295.8</v>
      </c>
      <c r="H595" t="s">
        <v>3533</v>
      </c>
      <c r="I595">
        <v>1</v>
      </c>
      <c r="J595" t="s">
        <v>1924</v>
      </c>
      <c r="K595">
        <v>2</v>
      </c>
      <c r="M595">
        <v>6</v>
      </c>
    </row>
    <row r="596" spans="1:13" x14ac:dyDescent="0.15">
      <c r="A596" t="s">
        <v>3534</v>
      </c>
      <c r="B596" t="s">
        <v>3534</v>
      </c>
      <c r="C596" t="s">
        <v>1790</v>
      </c>
      <c r="D596" t="s">
        <v>3535</v>
      </c>
      <c r="E596">
        <v>2</v>
      </c>
      <c r="G596">
        <v>6197</v>
      </c>
      <c r="H596" t="s">
        <v>3536</v>
      </c>
      <c r="I596">
        <v>25</v>
      </c>
      <c r="J596" t="s">
        <v>1911</v>
      </c>
      <c r="K596">
        <v>0</v>
      </c>
      <c r="M596">
        <v>6</v>
      </c>
    </row>
    <row r="597" spans="1:13" x14ac:dyDescent="0.15">
      <c r="A597" t="s">
        <v>3537</v>
      </c>
      <c r="B597" t="s">
        <v>3537</v>
      </c>
      <c r="C597" t="s">
        <v>1791</v>
      </c>
      <c r="D597" t="s">
        <v>3538</v>
      </c>
      <c r="E597">
        <v>1</v>
      </c>
      <c r="G597">
        <v>18.899999999999999</v>
      </c>
      <c r="H597" t="s">
        <v>3539</v>
      </c>
      <c r="I597">
        <v>1</v>
      </c>
      <c r="J597" t="s">
        <v>1924</v>
      </c>
      <c r="K597">
        <v>0</v>
      </c>
      <c r="M597">
        <v>5</v>
      </c>
    </row>
    <row r="598" spans="1:13" x14ac:dyDescent="0.15">
      <c r="A598" t="s">
        <v>3540</v>
      </c>
      <c r="B598" t="s">
        <v>3540</v>
      </c>
      <c r="C598" t="s">
        <v>1792</v>
      </c>
      <c r="D598" t="s">
        <v>3541</v>
      </c>
      <c r="E598">
        <v>1</v>
      </c>
      <c r="G598">
        <v>11.7</v>
      </c>
      <c r="H598" t="s">
        <v>3542</v>
      </c>
      <c r="I598">
        <v>1</v>
      </c>
      <c r="J598" t="s">
        <v>1924</v>
      </c>
      <c r="K598">
        <v>2</v>
      </c>
      <c r="M598">
        <v>6</v>
      </c>
    </row>
    <row r="599" spans="1:13" x14ac:dyDescent="0.15">
      <c r="A599" t="s">
        <v>3543</v>
      </c>
      <c r="B599" t="s">
        <v>3543</v>
      </c>
      <c r="C599" t="s">
        <v>1793</v>
      </c>
      <c r="D599" t="s">
        <v>3544</v>
      </c>
      <c r="E599">
        <v>1</v>
      </c>
      <c r="G599">
        <v>28.7</v>
      </c>
      <c r="H599" t="s">
        <v>3545</v>
      </c>
      <c r="I599">
        <v>1</v>
      </c>
      <c r="J599" t="s">
        <v>1924</v>
      </c>
      <c r="K599">
        <v>2</v>
      </c>
      <c r="M599">
        <v>6</v>
      </c>
    </row>
    <row r="600" spans="1:13" x14ac:dyDescent="0.15">
      <c r="A600" t="s">
        <v>3546</v>
      </c>
      <c r="B600" t="s">
        <v>3546</v>
      </c>
      <c r="C600" t="s">
        <v>1794</v>
      </c>
      <c r="D600" t="s">
        <v>3547</v>
      </c>
      <c r="E600">
        <v>1</v>
      </c>
      <c r="G600">
        <v>11.3</v>
      </c>
      <c r="H600" t="s">
        <v>3548</v>
      </c>
      <c r="I600">
        <v>1</v>
      </c>
      <c r="J600" t="s">
        <v>1924</v>
      </c>
      <c r="K600">
        <v>0</v>
      </c>
      <c r="M600">
        <v>5</v>
      </c>
    </row>
    <row r="601" spans="1:13" x14ac:dyDescent="0.15">
      <c r="A601" t="s">
        <v>3549</v>
      </c>
      <c r="B601" t="s">
        <v>3549</v>
      </c>
      <c r="C601" t="s">
        <v>1795</v>
      </c>
      <c r="D601" t="s">
        <v>3550</v>
      </c>
      <c r="E601">
        <v>2</v>
      </c>
      <c r="G601">
        <v>1049</v>
      </c>
      <c r="H601" t="s">
        <v>3551</v>
      </c>
      <c r="I601">
        <v>25</v>
      </c>
      <c r="J601" t="s">
        <v>1911</v>
      </c>
      <c r="K601">
        <v>2</v>
      </c>
      <c r="M601">
        <v>11</v>
      </c>
    </row>
    <row r="602" spans="1:13" x14ac:dyDescent="0.15">
      <c r="A602" t="s">
        <v>3552</v>
      </c>
      <c r="B602" t="s">
        <v>3552</v>
      </c>
      <c r="C602" t="s">
        <v>1796</v>
      </c>
      <c r="D602" t="s">
        <v>3553</v>
      </c>
      <c r="E602">
        <v>2</v>
      </c>
      <c r="G602">
        <v>10.4</v>
      </c>
      <c r="H602" t="s">
        <v>3554</v>
      </c>
      <c r="I602">
        <v>1</v>
      </c>
      <c r="J602" t="s">
        <v>1924</v>
      </c>
      <c r="K602">
        <v>2</v>
      </c>
      <c r="M602">
        <v>3</v>
      </c>
    </row>
    <row r="603" spans="1:13" x14ac:dyDescent="0.15">
      <c r="A603" t="s">
        <v>3555</v>
      </c>
      <c r="B603" t="s">
        <v>3555</v>
      </c>
      <c r="C603" t="s">
        <v>1797</v>
      </c>
      <c r="D603" t="s">
        <v>3556</v>
      </c>
      <c r="E603">
        <v>1</v>
      </c>
      <c r="G603">
        <v>411.3</v>
      </c>
      <c r="H603" t="s">
        <v>3557</v>
      </c>
      <c r="I603">
        <v>1</v>
      </c>
      <c r="J603" t="s">
        <v>1924</v>
      </c>
      <c r="K603">
        <v>0</v>
      </c>
      <c r="M603">
        <v>5</v>
      </c>
    </row>
    <row r="604" spans="1:13" x14ac:dyDescent="0.15">
      <c r="A604" t="s">
        <v>3558</v>
      </c>
      <c r="B604" t="s">
        <v>3558</v>
      </c>
      <c r="C604" t="s">
        <v>1798</v>
      </c>
      <c r="D604" t="s">
        <v>3559</v>
      </c>
      <c r="E604">
        <v>2</v>
      </c>
      <c r="G604">
        <v>33070</v>
      </c>
      <c r="H604" t="s">
        <v>3560</v>
      </c>
      <c r="I604">
        <v>25</v>
      </c>
      <c r="J604" t="s">
        <v>1911</v>
      </c>
      <c r="K604">
        <v>2</v>
      </c>
      <c r="M604">
        <v>9</v>
      </c>
    </row>
    <row r="605" spans="1:13" x14ac:dyDescent="0.15">
      <c r="A605" t="s">
        <v>3561</v>
      </c>
      <c r="B605" t="s">
        <v>3561</v>
      </c>
      <c r="C605" t="s">
        <v>1799</v>
      </c>
      <c r="D605" t="s">
        <v>3562</v>
      </c>
      <c r="E605">
        <v>2</v>
      </c>
      <c r="G605">
        <v>33347</v>
      </c>
      <c r="H605" t="s">
        <v>3563</v>
      </c>
      <c r="I605">
        <v>25</v>
      </c>
      <c r="J605" t="s">
        <v>1911</v>
      </c>
      <c r="K605">
        <v>0</v>
      </c>
      <c r="M605">
        <v>15</v>
      </c>
    </row>
    <row r="606" spans="1:13" x14ac:dyDescent="0.15">
      <c r="A606" t="s">
        <v>3564</v>
      </c>
      <c r="B606" t="s">
        <v>3564</v>
      </c>
      <c r="C606" t="s">
        <v>1800</v>
      </c>
      <c r="D606" t="s">
        <v>3565</v>
      </c>
      <c r="E606">
        <v>1</v>
      </c>
      <c r="G606">
        <v>11.9</v>
      </c>
      <c r="H606" t="s">
        <v>3566</v>
      </c>
      <c r="I606">
        <v>1</v>
      </c>
      <c r="J606" t="s">
        <v>1924</v>
      </c>
      <c r="K606">
        <v>2</v>
      </c>
      <c r="M606">
        <v>6</v>
      </c>
    </row>
    <row r="607" spans="1:13" x14ac:dyDescent="0.15">
      <c r="A607" t="s">
        <v>3567</v>
      </c>
      <c r="B607" t="s">
        <v>3567</v>
      </c>
      <c r="C607" t="s">
        <v>1801</v>
      </c>
      <c r="D607" t="s">
        <v>3568</v>
      </c>
      <c r="E607">
        <v>1</v>
      </c>
      <c r="G607">
        <v>31.5</v>
      </c>
      <c r="H607" t="s">
        <v>3569</v>
      </c>
      <c r="I607">
        <v>7</v>
      </c>
      <c r="J607" t="s">
        <v>2151</v>
      </c>
      <c r="K607">
        <v>2</v>
      </c>
      <c r="M607">
        <v>1</v>
      </c>
    </row>
    <row r="608" spans="1:13" x14ac:dyDescent="0.15">
      <c r="A608" t="s">
        <v>3570</v>
      </c>
      <c r="B608" t="s">
        <v>3570</v>
      </c>
      <c r="C608" t="s">
        <v>1802</v>
      </c>
      <c r="D608" t="s">
        <v>3571</v>
      </c>
      <c r="E608">
        <v>1</v>
      </c>
      <c r="G608">
        <v>31.5</v>
      </c>
      <c r="H608" t="s">
        <v>3569</v>
      </c>
      <c r="I608">
        <v>7</v>
      </c>
      <c r="J608" t="s">
        <v>2151</v>
      </c>
      <c r="K608">
        <v>2</v>
      </c>
      <c r="M608">
        <v>13</v>
      </c>
    </row>
    <row r="609" spans="1:13" x14ac:dyDescent="0.15">
      <c r="A609" t="s">
        <v>3572</v>
      </c>
      <c r="B609" t="s">
        <v>3572</v>
      </c>
      <c r="C609" t="s">
        <v>1803</v>
      </c>
      <c r="D609" t="s">
        <v>3573</v>
      </c>
      <c r="E609">
        <v>1</v>
      </c>
      <c r="G609">
        <v>31.5</v>
      </c>
      <c r="H609" t="s">
        <v>3569</v>
      </c>
      <c r="I609">
        <v>7</v>
      </c>
      <c r="J609" t="s">
        <v>2151</v>
      </c>
      <c r="K609">
        <v>2</v>
      </c>
      <c r="M609">
        <v>1</v>
      </c>
    </row>
    <row r="610" spans="1:13" x14ac:dyDescent="0.15">
      <c r="A610" t="s">
        <v>3574</v>
      </c>
      <c r="B610" t="s">
        <v>3574</v>
      </c>
      <c r="C610" t="s">
        <v>1804</v>
      </c>
      <c r="D610" t="s">
        <v>3575</v>
      </c>
      <c r="E610">
        <v>1</v>
      </c>
      <c r="G610">
        <v>19.3</v>
      </c>
      <c r="H610" t="s">
        <v>3576</v>
      </c>
      <c r="I610">
        <v>1</v>
      </c>
      <c r="J610" t="s">
        <v>1924</v>
      </c>
      <c r="K610">
        <v>2</v>
      </c>
      <c r="M610">
        <v>6</v>
      </c>
    </row>
    <row r="611" spans="1:13" x14ac:dyDescent="0.15">
      <c r="A611" t="s">
        <v>3577</v>
      </c>
      <c r="B611" t="s">
        <v>3577</v>
      </c>
      <c r="C611" t="s">
        <v>1076</v>
      </c>
      <c r="D611" t="s">
        <v>3578</v>
      </c>
      <c r="E611">
        <v>1</v>
      </c>
      <c r="G611">
        <v>26.2</v>
      </c>
      <c r="H611" t="s">
        <v>3579</v>
      </c>
      <c r="I611">
        <v>1</v>
      </c>
      <c r="J611" t="s">
        <v>1924</v>
      </c>
      <c r="K611">
        <v>2</v>
      </c>
      <c r="M611">
        <v>6</v>
      </c>
    </row>
    <row r="612" spans="1:13" x14ac:dyDescent="0.15">
      <c r="A612" t="s">
        <v>3580</v>
      </c>
      <c r="B612" t="s">
        <v>3580</v>
      </c>
      <c r="C612" t="s">
        <v>1073</v>
      </c>
      <c r="D612" t="s">
        <v>3581</v>
      </c>
      <c r="E612">
        <v>1</v>
      </c>
      <c r="G612">
        <v>84.2</v>
      </c>
      <c r="H612" t="s">
        <v>3582</v>
      </c>
      <c r="I612">
        <v>3</v>
      </c>
      <c r="J612" t="s">
        <v>1947</v>
      </c>
      <c r="K612">
        <v>2</v>
      </c>
      <c r="M612">
        <v>1</v>
      </c>
    </row>
    <row r="613" spans="1:13" x14ac:dyDescent="0.15">
      <c r="A613" t="s">
        <v>3583</v>
      </c>
      <c r="B613" t="s">
        <v>3583</v>
      </c>
      <c r="C613" t="s">
        <v>1805</v>
      </c>
      <c r="D613" t="s">
        <v>3584</v>
      </c>
      <c r="E613">
        <v>1</v>
      </c>
      <c r="G613">
        <v>13032</v>
      </c>
      <c r="H613" t="s">
        <v>3585</v>
      </c>
      <c r="I613">
        <v>25</v>
      </c>
      <c r="J613" t="s">
        <v>1911</v>
      </c>
      <c r="K613">
        <v>2</v>
      </c>
      <c r="M613">
        <v>11</v>
      </c>
    </row>
    <row r="614" spans="1:13" x14ac:dyDescent="0.15">
      <c r="A614" t="s">
        <v>3586</v>
      </c>
      <c r="B614" t="s">
        <v>3586</v>
      </c>
      <c r="C614" t="s">
        <v>1806</v>
      </c>
      <c r="D614" t="s">
        <v>3587</v>
      </c>
      <c r="E614">
        <v>1</v>
      </c>
      <c r="G614">
        <v>16654</v>
      </c>
      <c r="H614" t="s">
        <v>3588</v>
      </c>
      <c r="I614">
        <v>25</v>
      </c>
      <c r="J614" t="s">
        <v>1911</v>
      </c>
      <c r="K614">
        <v>2</v>
      </c>
      <c r="M614">
        <v>11</v>
      </c>
    </row>
    <row r="615" spans="1:13" x14ac:dyDescent="0.15">
      <c r="A615" t="s">
        <v>3589</v>
      </c>
      <c r="B615" t="s">
        <v>3589</v>
      </c>
      <c r="C615" t="s">
        <v>1807</v>
      </c>
      <c r="D615" t="s">
        <v>3590</v>
      </c>
      <c r="E615">
        <v>1</v>
      </c>
      <c r="G615">
        <v>19680</v>
      </c>
      <c r="H615" t="s">
        <v>3591</v>
      </c>
      <c r="I615">
        <v>25</v>
      </c>
      <c r="J615" t="s">
        <v>1911</v>
      </c>
      <c r="K615">
        <v>2</v>
      </c>
      <c r="M615">
        <v>11</v>
      </c>
    </row>
    <row r="616" spans="1:13" x14ac:dyDescent="0.15">
      <c r="A616" t="s">
        <v>3592</v>
      </c>
      <c r="B616" t="s">
        <v>3592</v>
      </c>
      <c r="C616" t="s">
        <v>1809</v>
      </c>
      <c r="D616" t="s">
        <v>3593</v>
      </c>
      <c r="E616">
        <v>1</v>
      </c>
      <c r="G616">
        <v>15</v>
      </c>
      <c r="H616" t="s">
        <v>3594</v>
      </c>
      <c r="I616">
        <v>7</v>
      </c>
      <c r="J616" t="s">
        <v>2151</v>
      </c>
      <c r="K616">
        <v>2</v>
      </c>
      <c r="M616">
        <v>1</v>
      </c>
    </row>
    <row r="617" spans="1:13" x14ac:dyDescent="0.15">
      <c r="A617" t="s">
        <v>3595</v>
      </c>
      <c r="B617" t="s">
        <v>3595</v>
      </c>
      <c r="C617" t="s">
        <v>1811</v>
      </c>
      <c r="D617" t="s">
        <v>3596</v>
      </c>
      <c r="E617">
        <v>1</v>
      </c>
      <c r="G617">
        <v>29.7</v>
      </c>
      <c r="H617" t="s">
        <v>3597</v>
      </c>
      <c r="I617">
        <v>7</v>
      </c>
      <c r="J617" t="s">
        <v>2151</v>
      </c>
      <c r="K617">
        <v>2</v>
      </c>
      <c r="M617">
        <v>1</v>
      </c>
    </row>
    <row r="618" spans="1:13" x14ac:dyDescent="0.15">
      <c r="A618" t="s">
        <v>3598</v>
      </c>
      <c r="B618" t="s">
        <v>3598</v>
      </c>
      <c r="C618" t="s">
        <v>1813</v>
      </c>
      <c r="E618">
        <v>1</v>
      </c>
      <c r="G618">
        <v>10.4</v>
      </c>
      <c r="H618" t="s">
        <v>3599</v>
      </c>
      <c r="I618">
        <v>1</v>
      </c>
      <c r="J618" t="s">
        <v>1924</v>
      </c>
      <c r="K618">
        <v>2</v>
      </c>
      <c r="M618">
        <v>6</v>
      </c>
    </row>
    <row r="619" spans="1:13" x14ac:dyDescent="0.15">
      <c r="A619" t="s">
        <v>3600</v>
      </c>
      <c r="B619" t="s">
        <v>3600</v>
      </c>
      <c r="C619" t="s">
        <v>1814</v>
      </c>
      <c r="E619">
        <v>1</v>
      </c>
      <c r="G619">
        <v>10.4</v>
      </c>
      <c r="H619" t="s">
        <v>3601</v>
      </c>
      <c r="I619">
        <v>1</v>
      </c>
      <c r="J619" t="s">
        <v>1924</v>
      </c>
      <c r="K619">
        <v>2</v>
      </c>
      <c r="M619">
        <v>6</v>
      </c>
    </row>
    <row r="620" spans="1:13" x14ac:dyDescent="0.15">
      <c r="A620" t="s">
        <v>3602</v>
      </c>
      <c r="B620" t="s">
        <v>3602</v>
      </c>
      <c r="C620" t="s">
        <v>1815</v>
      </c>
      <c r="E620">
        <v>1</v>
      </c>
      <c r="G620">
        <v>10.4</v>
      </c>
      <c r="H620" t="s">
        <v>3603</v>
      </c>
      <c r="I620">
        <v>1</v>
      </c>
      <c r="J620" t="s">
        <v>1924</v>
      </c>
      <c r="K620">
        <v>2</v>
      </c>
      <c r="M620">
        <v>6</v>
      </c>
    </row>
    <row r="621" spans="1:13" x14ac:dyDescent="0.15">
      <c r="A621" t="s">
        <v>3604</v>
      </c>
      <c r="B621" t="s">
        <v>3604</v>
      </c>
      <c r="C621" t="s">
        <v>1816</v>
      </c>
      <c r="E621">
        <v>1</v>
      </c>
      <c r="G621">
        <v>10.9</v>
      </c>
      <c r="H621" t="s">
        <v>3605</v>
      </c>
      <c r="I621">
        <v>1</v>
      </c>
      <c r="J621" t="s">
        <v>1924</v>
      </c>
      <c r="K621">
        <v>2</v>
      </c>
      <c r="M621">
        <v>6</v>
      </c>
    </row>
    <row r="622" spans="1:13" x14ac:dyDescent="0.15">
      <c r="A622" t="s">
        <v>3606</v>
      </c>
      <c r="B622" t="s">
        <v>3606</v>
      </c>
      <c r="C622" t="s">
        <v>1817</v>
      </c>
      <c r="D622" t="s">
        <v>3607</v>
      </c>
      <c r="E622">
        <v>1</v>
      </c>
      <c r="G622">
        <v>16.2</v>
      </c>
      <c r="H622" t="s">
        <v>3608</v>
      </c>
      <c r="I622">
        <v>1</v>
      </c>
      <c r="J622" t="s">
        <v>1924</v>
      </c>
      <c r="K622">
        <v>0</v>
      </c>
      <c r="M622">
        <v>5</v>
      </c>
    </row>
    <row r="623" spans="1:13" x14ac:dyDescent="0.15">
      <c r="A623" t="s">
        <v>3609</v>
      </c>
      <c r="B623" t="s">
        <v>3609</v>
      </c>
      <c r="C623" t="s">
        <v>1065</v>
      </c>
      <c r="D623" t="s">
        <v>3610</v>
      </c>
      <c r="E623">
        <v>1</v>
      </c>
      <c r="G623">
        <v>6.6</v>
      </c>
      <c r="H623" t="s">
        <v>3611</v>
      </c>
      <c r="I623">
        <v>1</v>
      </c>
      <c r="J623" t="s">
        <v>1924</v>
      </c>
      <c r="K623">
        <v>0</v>
      </c>
      <c r="M623">
        <v>1</v>
      </c>
    </row>
    <row r="624" spans="1:13" x14ac:dyDescent="0.15">
      <c r="A624" t="s">
        <v>3612</v>
      </c>
      <c r="B624" t="s">
        <v>3612</v>
      </c>
      <c r="C624" t="s">
        <v>1818</v>
      </c>
      <c r="E624">
        <v>2</v>
      </c>
      <c r="G624">
        <v>14.7</v>
      </c>
      <c r="H624" t="s">
        <v>3613</v>
      </c>
      <c r="I624">
        <v>14</v>
      </c>
      <c r="J624" t="s">
        <v>1907</v>
      </c>
      <c r="K624">
        <v>0</v>
      </c>
      <c r="M624">
        <v>3</v>
      </c>
    </row>
    <row r="625" spans="1:13" x14ac:dyDescent="0.15">
      <c r="A625" t="s">
        <v>3614</v>
      </c>
      <c r="B625" t="s">
        <v>3614</v>
      </c>
      <c r="C625" t="s">
        <v>1819</v>
      </c>
      <c r="E625">
        <v>1</v>
      </c>
      <c r="G625">
        <v>71.2</v>
      </c>
      <c r="H625" t="s">
        <v>3615</v>
      </c>
      <c r="I625">
        <v>19</v>
      </c>
      <c r="J625" t="s">
        <v>1988</v>
      </c>
      <c r="K625">
        <v>2</v>
      </c>
      <c r="M625">
        <v>3</v>
      </c>
    </row>
    <row r="626" spans="1:13" x14ac:dyDescent="0.15">
      <c r="A626" t="s">
        <v>3616</v>
      </c>
      <c r="B626" t="s">
        <v>3616</v>
      </c>
      <c r="C626" t="s">
        <v>1820</v>
      </c>
      <c r="E626">
        <v>1</v>
      </c>
      <c r="G626">
        <v>80.400000000000006</v>
      </c>
      <c r="H626" t="s">
        <v>3617</v>
      </c>
      <c r="I626">
        <v>19</v>
      </c>
      <c r="J626" t="s">
        <v>1988</v>
      </c>
      <c r="K626">
        <v>2</v>
      </c>
      <c r="M626">
        <v>3</v>
      </c>
    </row>
    <row r="627" spans="1:13" x14ac:dyDescent="0.15">
      <c r="A627" t="s">
        <v>3618</v>
      </c>
      <c r="B627" t="s">
        <v>3618</v>
      </c>
      <c r="C627" t="s">
        <v>1821</v>
      </c>
      <c r="E627">
        <v>1</v>
      </c>
      <c r="G627">
        <v>84</v>
      </c>
      <c r="H627" t="s">
        <v>3619</v>
      </c>
      <c r="I627">
        <v>19</v>
      </c>
      <c r="J627" t="s">
        <v>1988</v>
      </c>
      <c r="K627">
        <v>2</v>
      </c>
      <c r="M627">
        <v>3</v>
      </c>
    </row>
    <row r="628" spans="1:13" x14ac:dyDescent="0.15">
      <c r="A628" t="s">
        <v>3620</v>
      </c>
      <c r="B628" t="s">
        <v>3620</v>
      </c>
      <c r="C628" t="s">
        <v>1822</v>
      </c>
      <c r="E628">
        <v>1</v>
      </c>
      <c r="G628">
        <v>89.5</v>
      </c>
      <c r="H628" t="s">
        <v>3621</v>
      </c>
      <c r="I628">
        <v>19</v>
      </c>
      <c r="J628" t="s">
        <v>1988</v>
      </c>
      <c r="K628">
        <v>2</v>
      </c>
      <c r="M628">
        <v>3</v>
      </c>
    </row>
    <row r="629" spans="1:13" x14ac:dyDescent="0.15">
      <c r="A629" t="s">
        <v>3622</v>
      </c>
      <c r="B629" t="s">
        <v>3622</v>
      </c>
      <c r="C629" t="s">
        <v>1823</v>
      </c>
      <c r="E629">
        <v>1</v>
      </c>
      <c r="G629">
        <v>161.30000000000001</v>
      </c>
      <c r="H629" t="s">
        <v>3623</v>
      </c>
      <c r="I629">
        <v>1</v>
      </c>
      <c r="J629" t="s">
        <v>1924</v>
      </c>
      <c r="K629">
        <v>0</v>
      </c>
      <c r="M629">
        <v>5</v>
      </c>
    </row>
    <row r="630" spans="1:13" x14ac:dyDescent="0.15">
      <c r="A630" t="s">
        <v>3624</v>
      </c>
      <c r="B630" t="s">
        <v>3624</v>
      </c>
      <c r="C630" t="s">
        <v>1825</v>
      </c>
      <c r="D630" t="s">
        <v>3625</v>
      </c>
      <c r="E630">
        <v>1</v>
      </c>
      <c r="G630">
        <v>9.6</v>
      </c>
      <c r="H630" t="s">
        <v>3626</v>
      </c>
      <c r="I630">
        <v>1</v>
      </c>
      <c r="J630" t="s">
        <v>1924</v>
      </c>
      <c r="K630">
        <v>0</v>
      </c>
      <c r="M630">
        <v>5</v>
      </c>
    </row>
    <row r="631" spans="1:13" x14ac:dyDescent="0.15">
      <c r="A631" t="s">
        <v>3627</v>
      </c>
      <c r="B631" t="s">
        <v>3627</v>
      </c>
      <c r="C631" t="s">
        <v>1826</v>
      </c>
      <c r="D631" t="s">
        <v>3628</v>
      </c>
      <c r="E631">
        <v>1</v>
      </c>
      <c r="G631">
        <v>10.4</v>
      </c>
      <c r="H631" t="s">
        <v>3629</v>
      </c>
      <c r="I631">
        <v>1</v>
      </c>
      <c r="J631" t="s">
        <v>1924</v>
      </c>
      <c r="K631">
        <v>0</v>
      </c>
      <c r="M631">
        <v>5</v>
      </c>
    </row>
    <row r="632" spans="1:13" x14ac:dyDescent="0.15">
      <c r="A632" t="s">
        <v>3630</v>
      </c>
      <c r="B632" t="s">
        <v>3630</v>
      </c>
      <c r="C632" t="s">
        <v>1827</v>
      </c>
      <c r="E632">
        <v>2</v>
      </c>
      <c r="G632">
        <v>29</v>
      </c>
      <c r="H632" t="s">
        <v>3631</v>
      </c>
      <c r="I632">
        <v>1</v>
      </c>
      <c r="J632" t="s">
        <v>1924</v>
      </c>
      <c r="K632">
        <v>2</v>
      </c>
      <c r="M632">
        <v>1</v>
      </c>
    </row>
    <row r="633" spans="1:13" x14ac:dyDescent="0.15">
      <c r="A633" t="s">
        <v>3632</v>
      </c>
      <c r="B633" t="s">
        <v>3632</v>
      </c>
      <c r="C633" t="s">
        <v>1828</v>
      </c>
      <c r="D633" t="s">
        <v>3633</v>
      </c>
      <c r="E633">
        <v>1</v>
      </c>
      <c r="G633">
        <v>9.9</v>
      </c>
      <c r="H633" t="s">
        <v>3634</v>
      </c>
      <c r="I633">
        <v>1</v>
      </c>
      <c r="J633" t="s">
        <v>1924</v>
      </c>
      <c r="K633">
        <v>0</v>
      </c>
      <c r="M633">
        <v>5</v>
      </c>
    </row>
    <row r="634" spans="1:13" x14ac:dyDescent="0.15">
      <c r="A634" t="s">
        <v>3635</v>
      </c>
      <c r="B634" t="s">
        <v>3635</v>
      </c>
      <c r="C634" t="s">
        <v>1829</v>
      </c>
      <c r="D634" t="s">
        <v>3636</v>
      </c>
      <c r="E634">
        <v>2</v>
      </c>
      <c r="G634">
        <v>17611</v>
      </c>
      <c r="H634" t="s">
        <v>3637</v>
      </c>
      <c r="I634">
        <v>25</v>
      </c>
      <c r="J634" t="s">
        <v>1911</v>
      </c>
      <c r="K634">
        <v>2</v>
      </c>
      <c r="M634">
        <v>15</v>
      </c>
    </row>
    <row r="635" spans="1:13" x14ac:dyDescent="0.15">
      <c r="A635" t="s">
        <v>3638</v>
      </c>
      <c r="B635" t="s">
        <v>3638</v>
      </c>
      <c r="C635" t="s">
        <v>1830</v>
      </c>
      <c r="E635">
        <v>2</v>
      </c>
      <c r="G635">
        <v>383.5</v>
      </c>
      <c r="H635" t="s">
        <v>3639</v>
      </c>
      <c r="I635">
        <v>1</v>
      </c>
      <c r="J635" t="s">
        <v>1924</v>
      </c>
      <c r="K635">
        <v>0</v>
      </c>
      <c r="M635">
        <v>15</v>
      </c>
    </row>
    <row r="636" spans="1:13" x14ac:dyDescent="0.15">
      <c r="A636" t="s">
        <v>3640</v>
      </c>
      <c r="B636" t="s">
        <v>3640</v>
      </c>
      <c r="C636" t="s">
        <v>1831</v>
      </c>
      <c r="D636" t="s">
        <v>3641</v>
      </c>
      <c r="E636">
        <v>1</v>
      </c>
      <c r="G636">
        <v>64.5</v>
      </c>
      <c r="H636" t="s">
        <v>3642</v>
      </c>
      <c r="I636">
        <v>1</v>
      </c>
      <c r="J636" t="s">
        <v>1924</v>
      </c>
      <c r="K636">
        <v>0</v>
      </c>
      <c r="M636">
        <v>1</v>
      </c>
    </row>
    <row r="637" spans="1:13" x14ac:dyDescent="0.15">
      <c r="A637" t="s">
        <v>3643</v>
      </c>
      <c r="B637" t="s">
        <v>3643</v>
      </c>
      <c r="C637" t="s">
        <v>1832</v>
      </c>
      <c r="D637" t="s">
        <v>3644</v>
      </c>
      <c r="E637">
        <v>1</v>
      </c>
      <c r="G637">
        <v>49.1</v>
      </c>
      <c r="H637" t="s">
        <v>3645</v>
      </c>
      <c r="I637">
        <v>17</v>
      </c>
      <c r="J637" t="s">
        <v>2099</v>
      </c>
      <c r="K637">
        <v>0</v>
      </c>
      <c r="M637">
        <v>3</v>
      </c>
    </row>
    <row r="638" spans="1:13" x14ac:dyDescent="0.15">
      <c r="A638" t="s">
        <v>3646</v>
      </c>
      <c r="B638" t="s">
        <v>3646</v>
      </c>
      <c r="C638" t="s">
        <v>1833</v>
      </c>
      <c r="D638" t="s">
        <v>3647</v>
      </c>
      <c r="E638">
        <v>1</v>
      </c>
      <c r="G638">
        <v>16.899999999999999</v>
      </c>
      <c r="H638" t="s">
        <v>3648</v>
      </c>
      <c r="I638">
        <v>15</v>
      </c>
      <c r="J638" t="s">
        <v>1915</v>
      </c>
      <c r="K638">
        <v>0</v>
      </c>
      <c r="M638">
        <v>3</v>
      </c>
    </row>
    <row r="639" spans="1:13" x14ac:dyDescent="0.15">
      <c r="A639" t="s">
        <v>3649</v>
      </c>
      <c r="B639" t="s">
        <v>3649</v>
      </c>
      <c r="C639" t="s">
        <v>1834</v>
      </c>
      <c r="D639" t="s">
        <v>3650</v>
      </c>
      <c r="E639">
        <v>2</v>
      </c>
      <c r="G639">
        <v>16.899999999999999</v>
      </c>
      <c r="H639" t="s">
        <v>3651</v>
      </c>
      <c r="I639">
        <v>14</v>
      </c>
      <c r="J639" t="s">
        <v>1907</v>
      </c>
      <c r="K639">
        <v>0</v>
      </c>
      <c r="M639">
        <v>3</v>
      </c>
    </row>
    <row r="640" spans="1:13" x14ac:dyDescent="0.15">
      <c r="A640" t="s">
        <v>3652</v>
      </c>
      <c r="B640" t="s">
        <v>3652</v>
      </c>
      <c r="C640" t="s">
        <v>1835</v>
      </c>
      <c r="E640">
        <v>2</v>
      </c>
      <c r="G640">
        <v>208</v>
      </c>
      <c r="H640" t="s">
        <v>3653</v>
      </c>
      <c r="I640">
        <v>25</v>
      </c>
      <c r="J640" t="s">
        <v>1911</v>
      </c>
      <c r="K640">
        <v>0</v>
      </c>
      <c r="M640">
        <v>11</v>
      </c>
    </row>
    <row r="641" spans="1:13" x14ac:dyDescent="0.15">
      <c r="A641" t="s">
        <v>3654</v>
      </c>
      <c r="B641" t="s">
        <v>3654</v>
      </c>
      <c r="C641" t="s">
        <v>1836</v>
      </c>
      <c r="D641" t="s">
        <v>3655</v>
      </c>
      <c r="E641">
        <v>1</v>
      </c>
      <c r="G641">
        <v>9.6</v>
      </c>
      <c r="H641" t="s">
        <v>3656</v>
      </c>
      <c r="I641">
        <v>1</v>
      </c>
      <c r="J641" t="s">
        <v>1924</v>
      </c>
      <c r="K641">
        <v>2</v>
      </c>
      <c r="M641">
        <v>6</v>
      </c>
    </row>
    <row r="642" spans="1:13" x14ac:dyDescent="0.15">
      <c r="A642" t="s">
        <v>3657</v>
      </c>
      <c r="B642" t="s">
        <v>3657</v>
      </c>
      <c r="C642" t="s">
        <v>1118</v>
      </c>
      <c r="D642" t="s">
        <v>3658</v>
      </c>
      <c r="E642">
        <v>1</v>
      </c>
      <c r="G642">
        <v>18.7</v>
      </c>
      <c r="H642" t="s">
        <v>3659</v>
      </c>
      <c r="I642">
        <v>1</v>
      </c>
      <c r="J642" t="s">
        <v>1924</v>
      </c>
      <c r="K642">
        <v>2</v>
      </c>
      <c r="M642">
        <v>6</v>
      </c>
    </row>
    <row r="643" spans="1:13" x14ac:dyDescent="0.15">
      <c r="A643" t="s">
        <v>3660</v>
      </c>
      <c r="B643" t="s">
        <v>3660</v>
      </c>
      <c r="C643" t="s">
        <v>1837</v>
      </c>
      <c r="D643" t="s">
        <v>3661</v>
      </c>
      <c r="E643">
        <v>1</v>
      </c>
      <c r="G643">
        <v>241.8</v>
      </c>
      <c r="H643" t="s">
        <v>3662</v>
      </c>
      <c r="I643">
        <v>1</v>
      </c>
      <c r="J643" t="s">
        <v>1924</v>
      </c>
      <c r="K643">
        <v>2</v>
      </c>
      <c r="M643">
        <v>6</v>
      </c>
    </row>
    <row r="644" spans="1:13" x14ac:dyDescent="0.15">
      <c r="A644" t="s">
        <v>3663</v>
      </c>
      <c r="B644" t="s">
        <v>3663</v>
      </c>
      <c r="C644" t="s">
        <v>1838</v>
      </c>
      <c r="D644" t="s">
        <v>3664</v>
      </c>
      <c r="E644">
        <v>1</v>
      </c>
      <c r="G644">
        <v>461.9</v>
      </c>
      <c r="H644" t="s">
        <v>3665</v>
      </c>
      <c r="I644">
        <v>1</v>
      </c>
      <c r="J644" t="s">
        <v>1924</v>
      </c>
      <c r="K644">
        <v>2</v>
      </c>
      <c r="M644">
        <v>6</v>
      </c>
    </row>
    <row r="645" spans="1:13" x14ac:dyDescent="0.15">
      <c r="A645" t="s">
        <v>3666</v>
      </c>
      <c r="B645" t="s">
        <v>3666</v>
      </c>
      <c r="C645" t="s">
        <v>1839</v>
      </c>
      <c r="E645">
        <v>1</v>
      </c>
      <c r="G645">
        <v>128.69999999999999</v>
      </c>
      <c r="H645" t="s">
        <v>3667</v>
      </c>
      <c r="I645">
        <v>1</v>
      </c>
      <c r="J645" t="s">
        <v>1924</v>
      </c>
      <c r="K645">
        <v>2</v>
      </c>
      <c r="M645">
        <v>6</v>
      </c>
    </row>
    <row r="646" spans="1:13" x14ac:dyDescent="0.15">
      <c r="A646" t="s">
        <v>3668</v>
      </c>
      <c r="B646" t="s">
        <v>3668</v>
      </c>
      <c r="C646" t="s">
        <v>1124</v>
      </c>
      <c r="D646" t="s">
        <v>3669</v>
      </c>
      <c r="E646">
        <v>1</v>
      </c>
      <c r="G646">
        <v>6.1</v>
      </c>
      <c r="H646" t="s">
        <v>3670</v>
      </c>
      <c r="I646">
        <v>1</v>
      </c>
      <c r="J646" t="s">
        <v>1924</v>
      </c>
      <c r="K646">
        <v>0</v>
      </c>
      <c r="M646">
        <v>5</v>
      </c>
    </row>
    <row r="647" spans="1:13" x14ac:dyDescent="0.15">
      <c r="A647" t="s">
        <v>3671</v>
      </c>
      <c r="B647" t="s">
        <v>3671</v>
      </c>
      <c r="C647" t="s">
        <v>1126</v>
      </c>
      <c r="D647" t="s">
        <v>3672</v>
      </c>
      <c r="E647">
        <v>1</v>
      </c>
      <c r="G647">
        <v>7</v>
      </c>
      <c r="H647" t="s">
        <v>3673</v>
      </c>
      <c r="I647">
        <v>1</v>
      </c>
      <c r="J647" t="s">
        <v>1924</v>
      </c>
      <c r="K647">
        <v>0</v>
      </c>
      <c r="M647">
        <v>5</v>
      </c>
    </row>
    <row r="648" spans="1:13" x14ac:dyDescent="0.15">
      <c r="A648" t="s">
        <v>3674</v>
      </c>
      <c r="B648" t="s">
        <v>3674</v>
      </c>
      <c r="C648" t="s">
        <v>1840</v>
      </c>
      <c r="D648" t="s">
        <v>3675</v>
      </c>
      <c r="E648">
        <v>2</v>
      </c>
      <c r="G648">
        <v>76.3</v>
      </c>
      <c r="H648" t="s">
        <v>3676</v>
      </c>
      <c r="I648">
        <v>1</v>
      </c>
      <c r="J648" t="s">
        <v>1924</v>
      </c>
      <c r="K648">
        <v>0</v>
      </c>
      <c r="M648">
        <v>15</v>
      </c>
    </row>
    <row r="649" spans="1:13" x14ac:dyDescent="0.15">
      <c r="A649" t="s">
        <v>3677</v>
      </c>
      <c r="B649" t="s">
        <v>3677</v>
      </c>
      <c r="C649" t="s">
        <v>1841</v>
      </c>
      <c r="D649" t="s">
        <v>3678</v>
      </c>
      <c r="E649">
        <v>1</v>
      </c>
      <c r="G649">
        <v>34.200000000000003</v>
      </c>
      <c r="H649" t="s">
        <v>3679</v>
      </c>
      <c r="I649">
        <v>1</v>
      </c>
      <c r="J649" t="s">
        <v>1924</v>
      </c>
      <c r="K649">
        <v>0</v>
      </c>
      <c r="M649">
        <v>5</v>
      </c>
    </row>
    <row r="650" spans="1:13" x14ac:dyDescent="0.15">
      <c r="A650" t="s">
        <v>3680</v>
      </c>
      <c r="B650" t="s">
        <v>3680</v>
      </c>
      <c r="C650" t="s">
        <v>1842</v>
      </c>
      <c r="E650">
        <v>1</v>
      </c>
      <c r="G650">
        <v>2.13</v>
      </c>
      <c r="H650" t="s">
        <v>3681</v>
      </c>
      <c r="I650">
        <v>15</v>
      </c>
      <c r="J650" t="s">
        <v>1915</v>
      </c>
      <c r="K650">
        <v>0</v>
      </c>
      <c r="M650">
        <v>7</v>
      </c>
    </row>
    <row r="651" spans="1:13" x14ac:dyDescent="0.15">
      <c r="A651" t="s">
        <v>3682</v>
      </c>
      <c r="B651" t="s">
        <v>3682</v>
      </c>
      <c r="C651" t="s">
        <v>1843</v>
      </c>
      <c r="D651" t="s">
        <v>3683</v>
      </c>
      <c r="E651">
        <v>1</v>
      </c>
      <c r="G651">
        <v>10.8</v>
      </c>
      <c r="H651" t="s">
        <v>3684</v>
      </c>
      <c r="I651">
        <v>1</v>
      </c>
      <c r="J651" t="s">
        <v>1924</v>
      </c>
      <c r="K651">
        <v>0</v>
      </c>
      <c r="M651">
        <v>1</v>
      </c>
    </row>
    <row r="652" spans="1:13" x14ac:dyDescent="0.15">
      <c r="A652" t="s">
        <v>3685</v>
      </c>
      <c r="B652" t="s">
        <v>3685</v>
      </c>
      <c r="C652" t="s">
        <v>1844</v>
      </c>
      <c r="E652">
        <v>2</v>
      </c>
      <c r="G652">
        <v>52.4</v>
      </c>
      <c r="H652" t="s">
        <v>3686</v>
      </c>
      <c r="I652">
        <v>1</v>
      </c>
      <c r="J652" t="s">
        <v>1924</v>
      </c>
      <c r="K652">
        <v>2</v>
      </c>
      <c r="M652">
        <v>3</v>
      </c>
    </row>
    <row r="653" spans="1:13" x14ac:dyDescent="0.15">
      <c r="A653" t="s">
        <v>3687</v>
      </c>
      <c r="B653" t="s">
        <v>3687</v>
      </c>
      <c r="C653" t="s">
        <v>1845</v>
      </c>
      <c r="D653" t="s">
        <v>3688</v>
      </c>
      <c r="E653">
        <v>1</v>
      </c>
      <c r="G653">
        <v>10.4</v>
      </c>
      <c r="H653" t="s">
        <v>3689</v>
      </c>
      <c r="I653">
        <v>1</v>
      </c>
      <c r="J653" t="s">
        <v>1924</v>
      </c>
      <c r="K653">
        <v>0</v>
      </c>
      <c r="M653">
        <v>5</v>
      </c>
    </row>
    <row r="654" spans="1:13" x14ac:dyDescent="0.15">
      <c r="A654" t="s">
        <v>3690</v>
      </c>
      <c r="B654" t="s">
        <v>3690</v>
      </c>
      <c r="C654" t="s">
        <v>1846</v>
      </c>
      <c r="D654" t="s">
        <v>3691</v>
      </c>
      <c r="E654">
        <v>2</v>
      </c>
      <c r="G654">
        <v>111.8</v>
      </c>
      <c r="H654" t="s">
        <v>3692</v>
      </c>
      <c r="I654">
        <v>12</v>
      </c>
      <c r="J654" t="s">
        <v>2256</v>
      </c>
      <c r="K654">
        <v>2</v>
      </c>
      <c r="M654">
        <v>15</v>
      </c>
    </row>
    <row r="655" spans="1:13" x14ac:dyDescent="0.15">
      <c r="A655" t="s">
        <v>3693</v>
      </c>
      <c r="B655" t="s">
        <v>3693</v>
      </c>
      <c r="C655" t="s">
        <v>1847</v>
      </c>
      <c r="D655" t="s">
        <v>3694</v>
      </c>
      <c r="E655">
        <v>1</v>
      </c>
      <c r="G655">
        <v>669</v>
      </c>
      <c r="H655" t="s">
        <v>3695</v>
      </c>
      <c r="I655">
        <v>25</v>
      </c>
      <c r="J655" t="s">
        <v>1911</v>
      </c>
      <c r="K655">
        <v>0</v>
      </c>
      <c r="M655">
        <v>9</v>
      </c>
    </row>
    <row r="656" spans="1:13" x14ac:dyDescent="0.15">
      <c r="A656" t="s">
        <v>3696</v>
      </c>
      <c r="B656" t="s">
        <v>3696</v>
      </c>
      <c r="C656" t="s">
        <v>1848</v>
      </c>
      <c r="E656">
        <v>1</v>
      </c>
      <c r="G656">
        <v>25.4</v>
      </c>
      <c r="H656" t="s">
        <v>3697</v>
      </c>
      <c r="I656">
        <v>1</v>
      </c>
      <c r="J656" t="s">
        <v>1924</v>
      </c>
      <c r="K656">
        <v>0</v>
      </c>
      <c r="M656">
        <v>5</v>
      </c>
    </row>
    <row r="657" spans="1:13" x14ac:dyDescent="0.15">
      <c r="A657" t="s">
        <v>3698</v>
      </c>
      <c r="B657" t="s">
        <v>3698</v>
      </c>
      <c r="C657" t="s">
        <v>1849</v>
      </c>
      <c r="E657">
        <v>1</v>
      </c>
      <c r="G657">
        <v>63.7</v>
      </c>
      <c r="H657" t="s">
        <v>3699</v>
      </c>
      <c r="I657">
        <v>3</v>
      </c>
      <c r="J657" t="s">
        <v>1947</v>
      </c>
      <c r="K657">
        <v>0</v>
      </c>
      <c r="M657">
        <v>2</v>
      </c>
    </row>
    <row r="658" spans="1:13" x14ac:dyDescent="0.15">
      <c r="A658" t="s">
        <v>3700</v>
      </c>
      <c r="B658" t="s">
        <v>3700</v>
      </c>
      <c r="C658" t="s">
        <v>1850</v>
      </c>
      <c r="E658">
        <v>2</v>
      </c>
      <c r="G658">
        <v>75.900000000000006</v>
      </c>
      <c r="H658" t="s">
        <v>3701</v>
      </c>
      <c r="I658">
        <v>1</v>
      </c>
      <c r="J658" t="s">
        <v>1924</v>
      </c>
      <c r="K658">
        <v>0</v>
      </c>
      <c r="M658">
        <v>15</v>
      </c>
    </row>
    <row r="659" spans="1:13" x14ac:dyDescent="0.15">
      <c r="A659" t="s">
        <v>3702</v>
      </c>
      <c r="B659" t="s">
        <v>3702</v>
      </c>
      <c r="C659" t="s">
        <v>1851</v>
      </c>
      <c r="D659" t="s">
        <v>3703</v>
      </c>
      <c r="E659">
        <v>2</v>
      </c>
      <c r="G659">
        <v>27.7</v>
      </c>
      <c r="H659" t="s">
        <v>3704</v>
      </c>
      <c r="I659">
        <v>3</v>
      </c>
      <c r="J659" t="s">
        <v>1947</v>
      </c>
      <c r="K659">
        <v>0</v>
      </c>
      <c r="M659">
        <v>2</v>
      </c>
    </row>
    <row r="660" spans="1:13" x14ac:dyDescent="0.15">
      <c r="A660" t="s">
        <v>3705</v>
      </c>
      <c r="B660" t="s">
        <v>3705</v>
      </c>
      <c r="C660" t="s">
        <v>1852</v>
      </c>
      <c r="D660" t="s">
        <v>3706</v>
      </c>
      <c r="E660">
        <v>1</v>
      </c>
      <c r="G660">
        <v>32.9</v>
      </c>
      <c r="H660" t="s">
        <v>3707</v>
      </c>
      <c r="I660">
        <v>1</v>
      </c>
      <c r="J660" t="s">
        <v>1924</v>
      </c>
      <c r="K660">
        <v>0</v>
      </c>
      <c r="M660">
        <v>1</v>
      </c>
    </row>
    <row r="661" spans="1:13" x14ac:dyDescent="0.15">
      <c r="A661" t="s">
        <v>3708</v>
      </c>
      <c r="B661" t="s">
        <v>3708</v>
      </c>
      <c r="C661" t="s">
        <v>1853</v>
      </c>
      <c r="E661">
        <v>1</v>
      </c>
      <c r="G661">
        <v>1044</v>
      </c>
      <c r="H661" t="s">
        <v>3709</v>
      </c>
      <c r="I661">
        <v>25</v>
      </c>
      <c r="J661" t="s">
        <v>1911</v>
      </c>
      <c r="K661">
        <v>0</v>
      </c>
      <c r="M661">
        <v>9</v>
      </c>
    </row>
    <row r="662" spans="1:13" x14ac:dyDescent="0.15">
      <c r="A662" t="s">
        <v>3710</v>
      </c>
      <c r="B662" t="s">
        <v>3710</v>
      </c>
      <c r="C662" t="s">
        <v>1854</v>
      </c>
      <c r="E662">
        <v>2</v>
      </c>
      <c r="G662">
        <v>26.6</v>
      </c>
      <c r="H662" t="s">
        <v>3711</v>
      </c>
      <c r="I662">
        <v>21</v>
      </c>
      <c r="J662" t="s">
        <v>1954</v>
      </c>
      <c r="K662">
        <v>0</v>
      </c>
      <c r="M662">
        <v>3</v>
      </c>
    </row>
    <row r="663" spans="1:13" x14ac:dyDescent="0.15">
      <c r="A663" t="s">
        <v>3712</v>
      </c>
      <c r="B663" t="s">
        <v>3712</v>
      </c>
      <c r="C663" t="s">
        <v>1855</v>
      </c>
      <c r="D663" t="s">
        <v>3713</v>
      </c>
      <c r="E663">
        <v>2</v>
      </c>
      <c r="G663">
        <v>2377.3000000000002</v>
      </c>
      <c r="H663" t="s">
        <v>3714</v>
      </c>
      <c r="I663">
        <v>1</v>
      </c>
      <c r="J663" t="s">
        <v>1924</v>
      </c>
      <c r="K663">
        <v>2</v>
      </c>
      <c r="M663">
        <v>15</v>
      </c>
    </row>
    <row r="664" spans="1:13" x14ac:dyDescent="0.15">
      <c r="A664" t="s">
        <v>3715</v>
      </c>
      <c r="B664" t="s">
        <v>3715</v>
      </c>
      <c r="C664" t="s">
        <v>1856</v>
      </c>
      <c r="D664" t="s">
        <v>3716</v>
      </c>
      <c r="E664">
        <v>2</v>
      </c>
      <c r="G664">
        <v>346.9</v>
      </c>
      <c r="H664" t="s">
        <v>3717</v>
      </c>
      <c r="I664">
        <v>1</v>
      </c>
      <c r="J664" t="s">
        <v>1924</v>
      </c>
      <c r="K664">
        <v>2</v>
      </c>
      <c r="M664">
        <v>3</v>
      </c>
    </row>
    <row r="665" spans="1:13" x14ac:dyDescent="0.15">
      <c r="A665" t="s">
        <v>3718</v>
      </c>
      <c r="B665" t="s">
        <v>3718</v>
      </c>
      <c r="C665" t="s">
        <v>1857</v>
      </c>
      <c r="D665" t="s">
        <v>3719</v>
      </c>
      <c r="E665">
        <v>2</v>
      </c>
      <c r="G665">
        <v>5220.8</v>
      </c>
      <c r="H665" t="s">
        <v>3720</v>
      </c>
      <c r="I665">
        <v>10</v>
      </c>
      <c r="J665" t="s">
        <v>1976</v>
      </c>
      <c r="K665">
        <v>0</v>
      </c>
      <c r="M665">
        <v>3</v>
      </c>
    </row>
    <row r="666" spans="1:13" x14ac:dyDescent="0.15">
      <c r="A666" t="s">
        <v>3721</v>
      </c>
      <c r="B666" t="s">
        <v>3721</v>
      </c>
      <c r="C666" t="s">
        <v>1858</v>
      </c>
      <c r="D666" t="s">
        <v>3722</v>
      </c>
      <c r="E666">
        <v>2</v>
      </c>
      <c r="G666">
        <v>4829.8999999999996</v>
      </c>
      <c r="H666" t="s">
        <v>3723</v>
      </c>
      <c r="I666">
        <v>10</v>
      </c>
      <c r="J666" t="s">
        <v>1976</v>
      </c>
      <c r="K666">
        <v>0</v>
      </c>
      <c r="M666">
        <v>3</v>
      </c>
    </row>
    <row r="667" spans="1:13" x14ac:dyDescent="0.15">
      <c r="A667" t="s">
        <v>3724</v>
      </c>
      <c r="B667" t="s">
        <v>3724</v>
      </c>
      <c r="C667" t="s">
        <v>1859</v>
      </c>
      <c r="D667" t="s">
        <v>3725</v>
      </c>
      <c r="E667">
        <v>1</v>
      </c>
      <c r="G667">
        <v>10.1</v>
      </c>
      <c r="H667" t="s">
        <v>3726</v>
      </c>
      <c r="I667">
        <v>1</v>
      </c>
      <c r="J667" t="s">
        <v>1924</v>
      </c>
      <c r="K667">
        <v>0</v>
      </c>
      <c r="M667">
        <v>5</v>
      </c>
    </row>
    <row r="668" spans="1:13" x14ac:dyDescent="0.15">
      <c r="A668" t="s">
        <v>3727</v>
      </c>
      <c r="B668" t="s">
        <v>3727</v>
      </c>
      <c r="C668" t="s">
        <v>1860</v>
      </c>
      <c r="D668" t="s">
        <v>3728</v>
      </c>
      <c r="E668">
        <v>1</v>
      </c>
      <c r="G668">
        <v>13.8</v>
      </c>
      <c r="H668" t="s">
        <v>3729</v>
      </c>
      <c r="I668">
        <v>3</v>
      </c>
      <c r="J668" t="s">
        <v>1947</v>
      </c>
      <c r="K668">
        <v>0</v>
      </c>
      <c r="M668">
        <v>2</v>
      </c>
    </row>
    <row r="669" spans="1:13" x14ac:dyDescent="0.15">
      <c r="A669" t="s">
        <v>3730</v>
      </c>
      <c r="B669" t="s">
        <v>3730</v>
      </c>
      <c r="C669" t="s">
        <v>1861</v>
      </c>
      <c r="E669">
        <v>1</v>
      </c>
      <c r="G669">
        <v>17.600000000000001</v>
      </c>
      <c r="H669" t="s">
        <v>3731</v>
      </c>
      <c r="I669">
        <v>19</v>
      </c>
      <c r="J669" t="s">
        <v>1988</v>
      </c>
      <c r="K669">
        <v>0</v>
      </c>
      <c r="M669">
        <v>12</v>
      </c>
    </row>
    <row r="670" spans="1:13" x14ac:dyDescent="0.15">
      <c r="A670" t="s">
        <v>3732</v>
      </c>
      <c r="B670" t="s">
        <v>3732</v>
      </c>
      <c r="C670" t="s">
        <v>1862</v>
      </c>
      <c r="E670">
        <v>2</v>
      </c>
      <c r="G670">
        <v>1024.3</v>
      </c>
      <c r="H670" t="s">
        <v>3733</v>
      </c>
      <c r="I670">
        <v>3</v>
      </c>
      <c r="J670" t="s">
        <v>1947</v>
      </c>
      <c r="K670">
        <v>0</v>
      </c>
      <c r="M670">
        <v>3</v>
      </c>
    </row>
    <row r="671" spans="1:13" x14ac:dyDescent="0.15">
      <c r="A671" t="s">
        <v>3734</v>
      </c>
      <c r="B671" t="s">
        <v>3734</v>
      </c>
      <c r="C671" t="s">
        <v>1863</v>
      </c>
      <c r="E671">
        <v>1</v>
      </c>
      <c r="G671">
        <v>14.9</v>
      </c>
      <c r="H671" t="s">
        <v>3735</v>
      </c>
      <c r="I671">
        <v>14</v>
      </c>
      <c r="J671" t="s">
        <v>1907</v>
      </c>
      <c r="K671">
        <v>0</v>
      </c>
      <c r="M671">
        <v>3</v>
      </c>
    </row>
    <row r="672" spans="1:13" x14ac:dyDescent="0.15">
      <c r="A672" t="s">
        <v>3736</v>
      </c>
      <c r="B672" t="s">
        <v>3736</v>
      </c>
      <c r="C672" t="s">
        <v>1864</v>
      </c>
      <c r="E672">
        <v>1</v>
      </c>
      <c r="G672">
        <v>10.4</v>
      </c>
      <c r="H672" t="s">
        <v>3737</v>
      </c>
      <c r="I672">
        <v>1</v>
      </c>
      <c r="J672" t="s">
        <v>1924</v>
      </c>
      <c r="K672">
        <v>0</v>
      </c>
      <c r="M672">
        <v>5</v>
      </c>
    </row>
    <row r="673" spans="1:13" x14ac:dyDescent="0.15">
      <c r="A673" t="s">
        <v>3738</v>
      </c>
      <c r="B673" t="s">
        <v>3738</v>
      </c>
      <c r="C673" t="s">
        <v>1865</v>
      </c>
      <c r="D673" t="s">
        <v>3739</v>
      </c>
      <c r="E673">
        <v>2</v>
      </c>
      <c r="G673">
        <v>41.1</v>
      </c>
      <c r="H673" t="s">
        <v>3740</v>
      </c>
      <c r="I673">
        <v>1</v>
      </c>
      <c r="J673" t="s">
        <v>1924</v>
      </c>
      <c r="K673">
        <v>0</v>
      </c>
      <c r="M673">
        <v>3</v>
      </c>
    </row>
    <row r="674" spans="1:13" x14ac:dyDescent="0.15">
      <c r="A674" t="s">
        <v>3741</v>
      </c>
      <c r="B674" t="s">
        <v>3741</v>
      </c>
      <c r="C674" t="s">
        <v>1866</v>
      </c>
      <c r="D674" t="s">
        <v>3742</v>
      </c>
      <c r="E674">
        <v>1</v>
      </c>
      <c r="G674">
        <v>10.199999999999999</v>
      </c>
      <c r="H674" t="s">
        <v>3743</v>
      </c>
      <c r="I674">
        <v>1</v>
      </c>
      <c r="J674" t="s">
        <v>1924</v>
      </c>
      <c r="K674">
        <v>2</v>
      </c>
      <c r="M674">
        <v>6</v>
      </c>
    </row>
    <row r="675" spans="1:13" x14ac:dyDescent="0.15">
      <c r="A675" t="s">
        <v>3744</v>
      </c>
      <c r="B675" t="s">
        <v>3744</v>
      </c>
      <c r="C675" t="s">
        <v>1867</v>
      </c>
      <c r="D675" t="s">
        <v>3745</v>
      </c>
      <c r="E675">
        <v>1</v>
      </c>
      <c r="G675">
        <v>18.899999999999999</v>
      </c>
      <c r="H675" t="s">
        <v>3746</v>
      </c>
      <c r="I675">
        <v>1</v>
      </c>
      <c r="J675" t="s">
        <v>1924</v>
      </c>
      <c r="K675">
        <v>2</v>
      </c>
      <c r="M675">
        <v>6</v>
      </c>
    </row>
    <row r="676" spans="1:13" x14ac:dyDescent="0.15">
      <c r="A676" t="s">
        <v>3747</v>
      </c>
      <c r="B676" t="s">
        <v>3747</v>
      </c>
      <c r="C676" t="s">
        <v>1868</v>
      </c>
      <c r="D676" t="s">
        <v>3748</v>
      </c>
      <c r="E676">
        <v>1</v>
      </c>
      <c r="G676">
        <v>202.6</v>
      </c>
      <c r="H676" t="s">
        <v>3749</v>
      </c>
      <c r="I676">
        <v>3</v>
      </c>
      <c r="J676" t="s">
        <v>1947</v>
      </c>
      <c r="K676">
        <v>2</v>
      </c>
      <c r="M676">
        <v>2</v>
      </c>
    </row>
    <row r="677" spans="1:13" x14ac:dyDescent="0.15">
      <c r="A677" t="s">
        <v>3750</v>
      </c>
      <c r="B677" t="s">
        <v>3750</v>
      </c>
      <c r="C677" t="s">
        <v>1869</v>
      </c>
      <c r="D677" t="s">
        <v>3751</v>
      </c>
      <c r="E677">
        <v>1</v>
      </c>
      <c r="G677">
        <v>229</v>
      </c>
      <c r="H677" t="s">
        <v>3752</v>
      </c>
      <c r="I677">
        <v>19</v>
      </c>
      <c r="J677" t="s">
        <v>1988</v>
      </c>
      <c r="K677">
        <v>2</v>
      </c>
      <c r="M677">
        <v>3</v>
      </c>
    </row>
    <row r="678" spans="1:13" x14ac:dyDescent="0.15">
      <c r="A678" t="s">
        <v>3753</v>
      </c>
      <c r="B678" t="s">
        <v>3753</v>
      </c>
      <c r="C678" t="s">
        <v>1870</v>
      </c>
      <c r="D678" t="s">
        <v>3754</v>
      </c>
      <c r="E678">
        <v>1</v>
      </c>
      <c r="G678">
        <v>429.1</v>
      </c>
      <c r="H678" t="s">
        <v>3755</v>
      </c>
      <c r="I678">
        <v>19</v>
      </c>
      <c r="J678" t="s">
        <v>1988</v>
      </c>
      <c r="K678">
        <v>2</v>
      </c>
      <c r="M678">
        <v>3</v>
      </c>
    </row>
    <row r="679" spans="1:13" x14ac:dyDescent="0.15">
      <c r="A679" t="s">
        <v>3756</v>
      </c>
      <c r="B679" t="s">
        <v>3756</v>
      </c>
      <c r="C679" t="s">
        <v>1164</v>
      </c>
      <c r="D679" t="s">
        <v>3757</v>
      </c>
      <c r="E679">
        <v>1</v>
      </c>
      <c r="G679">
        <v>9.8000000000000007</v>
      </c>
      <c r="H679" t="s">
        <v>3758</v>
      </c>
      <c r="I679">
        <v>2</v>
      </c>
      <c r="J679" t="s">
        <v>835</v>
      </c>
      <c r="K679">
        <v>0</v>
      </c>
      <c r="M679">
        <v>1</v>
      </c>
    </row>
    <row r="680" spans="1:13" x14ac:dyDescent="0.15">
      <c r="A680" t="s">
        <v>3759</v>
      </c>
      <c r="B680" t="s">
        <v>3759</v>
      </c>
      <c r="C680" t="s">
        <v>1871</v>
      </c>
      <c r="D680" t="s">
        <v>3760</v>
      </c>
      <c r="E680">
        <v>1</v>
      </c>
      <c r="G680">
        <v>5.3</v>
      </c>
      <c r="H680" t="s">
        <v>3761</v>
      </c>
      <c r="I680">
        <v>1</v>
      </c>
      <c r="J680" t="s">
        <v>1924</v>
      </c>
      <c r="K680">
        <v>0</v>
      </c>
      <c r="M680">
        <v>5</v>
      </c>
    </row>
    <row r="681" spans="1:13" x14ac:dyDescent="0.15">
      <c r="A681" t="s">
        <v>3762</v>
      </c>
      <c r="B681" t="s">
        <v>3762</v>
      </c>
      <c r="C681" t="s">
        <v>1872</v>
      </c>
      <c r="D681" t="s">
        <v>3763</v>
      </c>
      <c r="E681">
        <v>1</v>
      </c>
      <c r="G681">
        <v>13.8</v>
      </c>
      <c r="H681" t="s">
        <v>3764</v>
      </c>
      <c r="I681">
        <v>1</v>
      </c>
      <c r="J681" t="s">
        <v>1924</v>
      </c>
      <c r="K681">
        <v>0</v>
      </c>
      <c r="M681">
        <v>5</v>
      </c>
    </row>
    <row r="682" spans="1:13" x14ac:dyDescent="0.15">
      <c r="A682" t="s">
        <v>3765</v>
      </c>
      <c r="B682" t="s">
        <v>3765</v>
      </c>
      <c r="C682" t="s">
        <v>1873</v>
      </c>
      <c r="D682" t="s">
        <v>3766</v>
      </c>
      <c r="E682">
        <v>1</v>
      </c>
      <c r="G682">
        <v>100</v>
      </c>
      <c r="H682" t="s">
        <v>3767</v>
      </c>
      <c r="I682">
        <v>25</v>
      </c>
      <c r="J682" t="s">
        <v>1911</v>
      </c>
      <c r="K682">
        <v>2</v>
      </c>
      <c r="M682">
        <v>15</v>
      </c>
    </row>
    <row r="683" spans="1:13" x14ac:dyDescent="0.15">
      <c r="A683" t="s">
        <v>3768</v>
      </c>
      <c r="B683" t="s">
        <v>3768</v>
      </c>
      <c r="C683" t="s">
        <v>1874</v>
      </c>
      <c r="D683" t="s">
        <v>3769</v>
      </c>
      <c r="E683">
        <v>1</v>
      </c>
      <c r="G683">
        <v>206</v>
      </c>
      <c r="H683" t="s">
        <v>3770</v>
      </c>
      <c r="I683">
        <v>25</v>
      </c>
      <c r="J683" t="s">
        <v>1911</v>
      </c>
      <c r="K683">
        <v>2</v>
      </c>
      <c r="M683">
        <v>9</v>
      </c>
    </row>
    <row r="684" spans="1:13" x14ac:dyDescent="0.15">
      <c r="A684" t="s">
        <v>3771</v>
      </c>
      <c r="B684" t="s">
        <v>3771</v>
      </c>
      <c r="C684" t="s">
        <v>1875</v>
      </c>
      <c r="D684" t="s">
        <v>3772</v>
      </c>
      <c r="E684">
        <v>1</v>
      </c>
      <c r="G684">
        <v>7.4</v>
      </c>
      <c r="H684" t="s">
        <v>3773</v>
      </c>
      <c r="I684">
        <v>1</v>
      </c>
      <c r="J684" t="s">
        <v>1924</v>
      </c>
      <c r="K684">
        <v>0</v>
      </c>
      <c r="M684">
        <v>4</v>
      </c>
    </row>
    <row r="685" spans="1:13" x14ac:dyDescent="0.15">
      <c r="A685" t="s">
        <v>3774</v>
      </c>
      <c r="B685" t="s">
        <v>3774</v>
      </c>
      <c r="C685" t="s">
        <v>1168</v>
      </c>
      <c r="D685" t="s">
        <v>3775</v>
      </c>
      <c r="E685">
        <v>1</v>
      </c>
      <c r="G685">
        <v>10.4</v>
      </c>
      <c r="H685" t="s">
        <v>3776</v>
      </c>
      <c r="I685">
        <v>1</v>
      </c>
      <c r="J685" t="s">
        <v>1924</v>
      </c>
      <c r="K685">
        <v>0</v>
      </c>
      <c r="M685">
        <v>5</v>
      </c>
    </row>
    <row r="686" spans="1:13" x14ac:dyDescent="0.15">
      <c r="A686" t="s">
        <v>3777</v>
      </c>
      <c r="B686" t="s">
        <v>3777</v>
      </c>
      <c r="C686" t="s">
        <v>1876</v>
      </c>
      <c r="D686" t="s">
        <v>3778</v>
      </c>
      <c r="E686">
        <v>1</v>
      </c>
      <c r="G686">
        <v>1825</v>
      </c>
      <c r="H686" t="s">
        <v>3779</v>
      </c>
      <c r="I686">
        <v>25</v>
      </c>
      <c r="J686" t="s">
        <v>1911</v>
      </c>
      <c r="K686">
        <v>0</v>
      </c>
      <c r="M686">
        <v>10</v>
      </c>
    </row>
    <row r="687" spans="1:13" x14ac:dyDescent="0.15">
      <c r="A687" t="s">
        <v>3780</v>
      </c>
      <c r="B687" t="s">
        <v>3780</v>
      </c>
      <c r="C687" t="s">
        <v>1877</v>
      </c>
      <c r="D687" t="s">
        <v>3781</v>
      </c>
      <c r="E687">
        <v>1</v>
      </c>
      <c r="G687">
        <v>1399</v>
      </c>
      <c r="H687" t="s">
        <v>3779</v>
      </c>
      <c r="I687">
        <v>25</v>
      </c>
      <c r="J687" t="s">
        <v>1911</v>
      </c>
      <c r="K687">
        <v>0</v>
      </c>
      <c r="M687">
        <v>10</v>
      </c>
    </row>
  </sheetData>
  <autoFilter ref="A4:L687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workbookViewId="0">
      <selection activeCell="A103" sqref="A103"/>
    </sheetView>
  </sheetViews>
  <sheetFormatPr defaultRowHeight="13.5" x14ac:dyDescent="0.15"/>
  <cols>
    <col min="2" max="2" width="41.5" customWidth="1"/>
    <col min="3" max="3" width="22" customWidth="1"/>
    <col min="4" max="4" width="70.375" bestFit="1" customWidth="1"/>
    <col min="5" max="83" width="12.25" customWidth="1"/>
  </cols>
  <sheetData>
    <row r="1" spans="1:83" x14ac:dyDescent="0.15">
      <c r="A1" t="s">
        <v>3782</v>
      </c>
      <c r="B1" t="s">
        <v>3783</v>
      </c>
      <c r="C1" t="s">
        <v>3784</v>
      </c>
      <c r="D1" t="s">
        <v>3785</v>
      </c>
      <c r="E1" t="s">
        <v>3786</v>
      </c>
      <c r="F1" t="s">
        <v>3787</v>
      </c>
      <c r="G1" t="s">
        <v>3788</v>
      </c>
      <c r="H1" t="s">
        <v>3789</v>
      </c>
      <c r="I1" t="s">
        <v>3790</v>
      </c>
      <c r="J1" t="s">
        <v>3791</v>
      </c>
      <c r="K1" t="s">
        <v>3792</v>
      </c>
      <c r="L1" t="s">
        <v>3793</v>
      </c>
      <c r="M1" t="s">
        <v>3794</v>
      </c>
      <c r="N1" t="s">
        <v>3795</v>
      </c>
      <c r="O1" t="s">
        <v>3796</v>
      </c>
      <c r="P1" t="s">
        <v>3797</v>
      </c>
      <c r="Q1" t="s">
        <v>3798</v>
      </c>
      <c r="R1" t="s">
        <v>3799</v>
      </c>
      <c r="S1" t="s">
        <v>3800</v>
      </c>
      <c r="T1" t="s">
        <v>3801</v>
      </c>
      <c r="U1" t="s">
        <v>3802</v>
      </c>
      <c r="V1" t="s">
        <v>3803</v>
      </c>
      <c r="W1" t="s">
        <v>3804</v>
      </c>
      <c r="X1" t="s">
        <v>3805</v>
      </c>
      <c r="Y1" t="s">
        <v>3806</v>
      </c>
      <c r="Z1" t="s">
        <v>3807</v>
      </c>
      <c r="AA1" t="s">
        <v>3808</v>
      </c>
      <c r="AB1" t="s">
        <v>3809</v>
      </c>
      <c r="AC1" t="s">
        <v>3810</v>
      </c>
      <c r="AD1" t="s">
        <v>3811</v>
      </c>
      <c r="AE1" t="s">
        <v>3812</v>
      </c>
      <c r="AF1" t="s">
        <v>3813</v>
      </c>
      <c r="AG1" t="s">
        <v>3814</v>
      </c>
      <c r="AH1" t="s">
        <v>3815</v>
      </c>
      <c r="AI1" t="s">
        <v>3816</v>
      </c>
      <c r="AJ1" t="s">
        <v>3817</v>
      </c>
      <c r="AK1" t="s">
        <v>3818</v>
      </c>
      <c r="AL1" t="s">
        <v>3819</v>
      </c>
      <c r="AM1" t="s">
        <v>3820</v>
      </c>
      <c r="AN1" t="s">
        <v>3821</v>
      </c>
      <c r="AO1" t="s">
        <v>3822</v>
      </c>
      <c r="AP1" t="s">
        <v>3823</v>
      </c>
      <c r="AQ1" t="s">
        <v>3824</v>
      </c>
      <c r="AR1" t="s">
        <v>3825</v>
      </c>
      <c r="AS1" t="s">
        <v>3826</v>
      </c>
      <c r="AT1" t="s">
        <v>3827</v>
      </c>
      <c r="AU1" t="s">
        <v>3828</v>
      </c>
      <c r="AV1" t="s">
        <v>3829</v>
      </c>
      <c r="AW1" t="s">
        <v>3830</v>
      </c>
      <c r="AX1" t="s">
        <v>3831</v>
      </c>
      <c r="AY1" t="s">
        <v>3832</v>
      </c>
      <c r="AZ1" t="s">
        <v>3833</v>
      </c>
      <c r="BA1" t="s">
        <v>3834</v>
      </c>
      <c r="BB1" t="s">
        <v>3835</v>
      </c>
      <c r="BC1" t="s">
        <v>3836</v>
      </c>
      <c r="BD1" t="s">
        <v>3837</v>
      </c>
      <c r="BE1" t="s">
        <v>3838</v>
      </c>
      <c r="BF1" t="s">
        <v>3839</v>
      </c>
      <c r="BG1" t="s">
        <v>3840</v>
      </c>
      <c r="BH1" t="s">
        <v>3841</v>
      </c>
      <c r="BI1" t="s">
        <v>3842</v>
      </c>
      <c r="BJ1" t="s">
        <v>3843</v>
      </c>
      <c r="BK1" t="s">
        <v>3844</v>
      </c>
      <c r="BL1" t="s">
        <v>3845</v>
      </c>
      <c r="BM1" t="s">
        <v>3846</v>
      </c>
      <c r="BN1" t="s">
        <v>3847</v>
      </c>
      <c r="BO1" t="s">
        <v>3848</v>
      </c>
      <c r="BP1" t="s">
        <v>3849</v>
      </c>
      <c r="BQ1" t="s">
        <v>3850</v>
      </c>
      <c r="BR1" t="s">
        <v>3851</v>
      </c>
      <c r="BS1" t="s">
        <v>3852</v>
      </c>
      <c r="BT1" t="s">
        <v>3853</v>
      </c>
      <c r="BU1" t="s">
        <v>3854</v>
      </c>
      <c r="BV1" t="s">
        <v>3855</v>
      </c>
      <c r="BW1" t="s">
        <v>3856</v>
      </c>
      <c r="BX1" t="s">
        <v>3857</v>
      </c>
      <c r="BY1" t="s">
        <v>3858</v>
      </c>
      <c r="BZ1" t="s">
        <v>3859</v>
      </c>
      <c r="CA1" t="s">
        <v>3860</v>
      </c>
      <c r="CB1" t="s">
        <v>3861</v>
      </c>
      <c r="CC1" t="s">
        <v>3862</v>
      </c>
      <c r="CD1" t="s">
        <v>3863</v>
      </c>
      <c r="CE1" t="s">
        <v>3864</v>
      </c>
    </row>
    <row r="2" spans="1:83" x14ac:dyDescent="0.15">
      <c r="A2">
        <v>1</v>
      </c>
      <c r="B2" t="s">
        <v>3865</v>
      </c>
      <c r="C2" t="s">
        <v>3866</v>
      </c>
      <c r="D2" s="25" t="s">
        <v>1521</v>
      </c>
      <c r="E2">
        <v>295</v>
      </c>
      <c r="F2" t="s">
        <v>1164</v>
      </c>
      <c r="G2">
        <v>675</v>
      </c>
    </row>
    <row r="3" spans="1:83" x14ac:dyDescent="0.15">
      <c r="A3">
        <v>2</v>
      </c>
      <c r="B3" t="s">
        <v>3865</v>
      </c>
      <c r="C3" t="s">
        <v>3866</v>
      </c>
      <c r="D3" s="25" t="s">
        <v>1521</v>
      </c>
      <c r="E3">
        <v>295</v>
      </c>
      <c r="F3" t="s">
        <v>1164</v>
      </c>
      <c r="G3">
        <v>675</v>
      </c>
    </row>
    <row r="4" spans="1:83" x14ac:dyDescent="0.15">
      <c r="A4">
        <v>3</v>
      </c>
      <c r="B4" t="s">
        <v>3867</v>
      </c>
      <c r="C4" t="s">
        <v>3866</v>
      </c>
      <c r="D4" s="25" t="s">
        <v>1522</v>
      </c>
      <c r="E4">
        <v>296</v>
      </c>
    </row>
    <row r="5" spans="1:83" x14ac:dyDescent="0.15">
      <c r="A5">
        <v>4</v>
      </c>
      <c r="B5" t="s">
        <v>3868</v>
      </c>
      <c r="C5" t="s">
        <v>3866</v>
      </c>
      <c r="D5" s="25" t="s">
        <v>1523</v>
      </c>
      <c r="E5">
        <v>297</v>
      </c>
      <c r="F5" t="s">
        <v>1620</v>
      </c>
      <c r="G5">
        <v>405</v>
      </c>
    </row>
    <row r="6" spans="1:83" x14ac:dyDescent="0.15">
      <c r="A6">
        <v>5</v>
      </c>
      <c r="B6" t="s">
        <v>3869</v>
      </c>
      <c r="C6" t="s">
        <v>3866</v>
      </c>
      <c r="D6" s="25" t="s">
        <v>1524</v>
      </c>
      <c r="E6">
        <v>298</v>
      </c>
    </row>
    <row r="7" spans="1:83" x14ac:dyDescent="0.15">
      <c r="A7">
        <v>6</v>
      </c>
      <c r="B7" t="s">
        <v>3870</v>
      </c>
      <c r="C7" t="s">
        <v>3866</v>
      </c>
      <c r="D7" t="s">
        <v>1415</v>
      </c>
      <c r="E7">
        <v>167</v>
      </c>
      <c r="F7" s="25" t="s">
        <v>1525</v>
      </c>
      <c r="G7">
        <v>299</v>
      </c>
      <c r="H7" t="s">
        <v>1583</v>
      </c>
      <c r="I7">
        <v>363</v>
      </c>
    </row>
    <row r="8" spans="1:83" x14ac:dyDescent="0.15">
      <c r="A8">
        <v>7</v>
      </c>
      <c r="B8" t="s">
        <v>3871</v>
      </c>
      <c r="C8" t="s">
        <v>3866</v>
      </c>
      <c r="D8" s="25" t="s">
        <v>1527</v>
      </c>
      <c r="E8">
        <v>301</v>
      </c>
      <c r="F8" t="s">
        <v>1701</v>
      </c>
      <c r="G8">
        <v>493</v>
      </c>
    </row>
    <row r="9" spans="1:83" x14ac:dyDescent="0.15">
      <c r="A9">
        <v>8</v>
      </c>
      <c r="B9" t="s">
        <v>3872</v>
      </c>
      <c r="C9" t="s">
        <v>3866</v>
      </c>
      <c r="D9" s="26" t="s">
        <v>1363</v>
      </c>
      <c r="E9">
        <v>115</v>
      </c>
    </row>
    <row r="10" spans="1:83" x14ac:dyDescent="0.15">
      <c r="A10">
        <v>9</v>
      </c>
      <c r="B10" t="s">
        <v>3873</v>
      </c>
      <c r="C10" t="s">
        <v>3866</v>
      </c>
      <c r="D10" t="s">
        <v>1395</v>
      </c>
      <c r="E10">
        <v>146</v>
      </c>
      <c r="F10" t="s">
        <v>1406</v>
      </c>
      <c r="G10">
        <v>159</v>
      </c>
      <c r="H10" s="25" t="s">
        <v>1528</v>
      </c>
      <c r="I10">
        <v>302</v>
      </c>
    </row>
    <row r="11" spans="1:83" x14ac:dyDescent="0.15">
      <c r="A11">
        <v>10</v>
      </c>
      <c r="B11" t="s">
        <v>3874</v>
      </c>
      <c r="C11" t="s">
        <v>3866</v>
      </c>
      <c r="D11" s="25" t="s">
        <v>1529</v>
      </c>
      <c r="E11">
        <v>303</v>
      </c>
      <c r="F11" t="s">
        <v>1860</v>
      </c>
      <c r="G11">
        <v>664</v>
      </c>
      <c r="H11" t="s">
        <v>1872</v>
      </c>
      <c r="I11">
        <v>677</v>
      </c>
    </row>
    <row r="12" spans="1:83" x14ac:dyDescent="0.15">
      <c r="A12">
        <v>11</v>
      </c>
      <c r="B12" t="s">
        <v>3875</v>
      </c>
      <c r="C12" t="s">
        <v>3866</v>
      </c>
      <c r="D12" t="s">
        <v>1269</v>
      </c>
      <c r="E12">
        <v>19</v>
      </c>
      <c r="F12" t="s">
        <v>1273</v>
      </c>
      <c r="G12">
        <v>22</v>
      </c>
      <c r="H12" t="s">
        <v>1292</v>
      </c>
      <c r="I12">
        <v>40</v>
      </c>
      <c r="J12" t="s">
        <v>1313</v>
      </c>
      <c r="K12">
        <v>64</v>
      </c>
      <c r="L12" t="s">
        <v>1316</v>
      </c>
      <c r="M12">
        <v>69</v>
      </c>
      <c r="N12" t="s">
        <v>1319</v>
      </c>
      <c r="O12">
        <v>72</v>
      </c>
      <c r="P12" t="s">
        <v>1328</v>
      </c>
      <c r="Q12">
        <v>81</v>
      </c>
      <c r="R12" t="s">
        <v>1359</v>
      </c>
      <c r="S12">
        <v>111</v>
      </c>
      <c r="T12" t="s">
        <v>1369</v>
      </c>
      <c r="U12">
        <v>121</v>
      </c>
      <c r="V12" t="s">
        <v>1370</v>
      </c>
      <c r="W12">
        <v>122</v>
      </c>
      <c r="X12" t="s">
        <v>1378</v>
      </c>
      <c r="Y12">
        <v>130</v>
      </c>
      <c r="Z12" t="s">
        <v>1379</v>
      </c>
      <c r="AA12">
        <v>131</v>
      </c>
      <c r="AB12" t="s">
        <v>1401</v>
      </c>
      <c r="AC12">
        <v>154</v>
      </c>
      <c r="AD12" t="s">
        <v>1434</v>
      </c>
      <c r="AE12">
        <v>194</v>
      </c>
      <c r="AF12" t="s">
        <v>1517</v>
      </c>
      <c r="AG12">
        <v>291</v>
      </c>
      <c r="AH12" t="s">
        <v>1518</v>
      </c>
      <c r="AI12">
        <v>292</v>
      </c>
      <c r="AJ12" s="25" t="s">
        <v>1530</v>
      </c>
      <c r="AK12">
        <v>304</v>
      </c>
      <c r="AL12" t="s">
        <v>1554</v>
      </c>
      <c r="AM12">
        <v>332</v>
      </c>
      <c r="AN12" t="s">
        <v>1570</v>
      </c>
      <c r="AO12">
        <v>349</v>
      </c>
      <c r="AP12" t="s">
        <v>739</v>
      </c>
      <c r="AQ12">
        <v>368</v>
      </c>
      <c r="AR12" t="s">
        <v>1600</v>
      </c>
      <c r="AS12">
        <v>382</v>
      </c>
      <c r="AT12" t="s">
        <v>1638</v>
      </c>
      <c r="AU12">
        <v>427</v>
      </c>
      <c r="AV12" t="s">
        <v>1639</v>
      </c>
      <c r="AW12">
        <v>428</v>
      </c>
      <c r="AX12" t="s">
        <v>1659</v>
      </c>
      <c r="AY12">
        <v>447</v>
      </c>
      <c r="AZ12" t="s">
        <v>1666</v>
      </c>
      <c r="BA12">
        <v>454</v>
      </c>
      <c r="BB12" t="s">
        <v>1681</v>
      </c>
      <c r="BC12">
        <v>471</v>
      </c>
      <c r="BD12" t="s">
        <v>1699</v>
      </c>
      <c r="BE12">
        <v>491</v>
      </c>
      <c r="BF12" t="s">
        <v>1714</v>
      </c>
      <c r="BG12">
        <v>508</v>
      </c>
      <c r="BH12" t="s">
        <v>1736</v>
      </c>
      <c r="BI12">
        <v>530</v>
      </c>
      <c r="BJ12" t="s">
        <v>1760</v>
      </c>
      <c r="BK12">
        <v>560</v>
      </c>
      <c r="BL12" t="s">
        <v>1764</v>
      </c>
      <c r="BM12">
        <v>565</v>
      </c>
      <c r="BN12" t="s">
        <v>1771</v>
      </c>
      <c r="BO12">
        <v>573</v>
      </c>
      <c r="BP12" t="s">
        <v>1796</v>
      </c>
      <c r="BQ12">
        <v>598</v>
      </c>
      <c r="BR12" t="s">
        <v>1813</v>
      </c>
      <c r="BS12">
        <v>614</v>
      </c>
      <c r="BT12" t="s">
        <v>1814</v>
      </c>
      <c r="BU12">
        <v>615</v>
      </c>
      <c r="BV12" t="s">
        <v>1815</v>
      </c>
      <c r="BW12">
        <v>616</v>
      </c>
      <c r="BX12" t="s">
        <v>1826</v>
      </c>
      <c r="BY12">
        <v>627</v>
      </c>
      <c r="BZ12" t="s">
        <v>1845</v>
      </c>
      <c r="CA12">
        <v>649</v>
      </c>
      <c r="CB12" t="s">
        <v>1864</v>
      </c>
      <c r="CC12">
        <v>668</v>
      </c>
      <c r="CD12" t="s">
        <v>1168</v>
      </c>
      <c r="CE12">
        <v>681</v>
      </c>
    </row>
    <row r="13" spans="1:83" x14ac:dyDescent="0.15">
      <c r="A13">
        <v>12</v>
      </c>
      <c r="B13" t="s">
        <v>3876</v>
      </c>
      <c r="C13" t="s">
        <v>3866</v>
      </c>
      <c r="D13" t="s">
        <v>1474</v>
      </c>
      <c r="E13">
        <v>239</v>
      </c>
      <c r="F13" s="25" t="s">
        <v>1531</v>
      </c>
      <c r="G13">
        <v>305</v>
      </c>
    </row>
    <row r="14" spans="1:83" x14ac:dyDescent="0.15">
      <c r="A14">
        <v>13</v>
      </c>
      <c r="B14" t="s">
        <v>3877</v>
      </c>
      <c r="C14" t="s">
        <v>3866</v>
      </c>
      <c r="D14" s="25" t="s">
        <v>1532</v>
      </c>
      <c r="E14">
        <v>306</v>
      </c>
    </row>
    <row r="15" spans="1:83" x14ac:dyDescent="0.15">
      <c r="A15">
        <v>14</v>
      </c>
      <c r="B15" t="s">
        <v>3878</v>
      </c>
      <c r="C15" t="s">
        <v>3866</v>
      </c>
      <c r="D15" s="25" t="s">
        <v>1533</v>
      </c>
      <c r="E15">
        <v>307</v>
      </c>
    </row>
    <row r="16" spans="1:83" x14ac:dyDescent="0.15">
      <c r="A16">
        <v>15</v>
      </c>
      <c r="B16" t="s">
        <v>3879</v>
      </c>
      <c r="C16" t="s">
        <v>3866</v>
      </c>
      <c r="D16" s="25" t="s">
        <v>1534</v>
      </c>
      <c r="E16">
        <v>308</v>
      </c>
      <c r="F16" t="s">
        <v>1744</v>
      </c>
      <c r="G16">
        <v>540</v>
      </c>
    </row>
    <row r="17" spans="1:53" x14ac:dyDescent="0.15">
      <c r="A17">
        <v>16</v>
      </c>
      <c r="B17" t="s">
        <v>3880</v>
      </c>
      <c r="C17" t="s">
        <v>3866</v>
      </c>
      <c r="D17" t="s">
        <v>1263</v>
      </c>
      <c r="E17">
        <v>13</v>
      </c>
      <c r="F17" t="s">
        <v>1271</v>
      </c>
      <c r="G17">
        <v>20</v>
      </c>
      <c r="H17" t="s">
        <v>1287</v>
      </c>
      <c r="I17">
        <v>35</v>
      </c>
      <c r="J17" s="25" t="s">
        <v>1295</v>
      </c>
      <c r="K17">
        <v>43</v>
      </c>
      <c r="L17" t="s">
        <v>1300</v>
      </c>
      <c r="M17">
        <v>48</v>
      </c>
      <c r="N17" t="s">
        <v>1303</v>
      </c>
      <c r="O17">
        <v>51</v>
      </c>
      <c r="P17" t="s">
        <v>1309</v>
      </c>
      <c r="Q17">
        <v>59</v>
      </c>
      <c r="R17" t="s">
        <v>1443</v>
      </c>
      <c r="S17">
        <v>203</v>
      </c>
      <c r="T17" t="s">
        <v>1475</v>
      </c>
      <c r="U17">
        <v>240</v>
      </c>
      <c r="V17" t="s">
        <v>1484</v>
      </c>
      <c r="W17">
        <v>253</v>
      </c>
      <c r="X17" t="s">
        <v>1513</v>
      </c>
      <c r="Y17">
        <v>286</v>
      </c>
      <c r="Z17" t="s">
        <v>1538</v>
      </c>
      <c r="AA17">
        <v>313</v>
      </c>
      <c r="AB17" t="s">
        <v>1567</v>
      </c>
      <c r="AC17">
        <v>346</v>
      </c>
      <c r="AD17" t="s">
        <v>1568</v>
      </c>
      <c r="AE17">
        <v>347</v>
      </c>
      <c r="AF17" t="s">
        <v>1572</v>
      </c>
      <c r="AG17">
        <v>351</v>
      </c>
      <c r="AH17" t="s">
        <v>1575</v>
      </c>
      <c r="AI17">
        <v>355</v>
      </c>
      <c r="AJ17" t="s">
        <v>1586</v>
      </c>
      <c r="AK17">
        <v>366</v>
      </c>
      <c r="AL17" t="s">
        <v>1589</v>
      </c>
      <c r="AM17">
        <v>370</v>
      </c>
      <c r="AN17" t="s">
        <v>1597</v>
      </c>
      <c r="AO17">
        <v>379</v>
      </c>
      <c r="AP17" t="s">
        <v>1634</v>
      </c>
      <c r="AQ17">
        <v>421</v>
      </c>
      <c r="AR17" t="s">
        <v>1668</v>
      </c>
      <c r="AS17">
        <v>456</v>
      </c>
      <c r="AT17" t="s">
        <v>1669</v>
      </c>
      <c r="AU17">
        <v>457</v>
      </c>
      <c r="AV17" t="s">
        <v>1689</v>
      </c>
      <c r="AW17">
        <v>481</v>
      </c>
      <c r="AX17" t="s">
        <v>1751</v>
      </c>
      <c r="AY17">
        <v>549</v>
      </c>
      <c r="AZ17" t="s">
        <v>1124</v>
      </c>
      <c r="BA17">
        <v>642</v>
      </c>
    </row>
    <row r="18" spans="1:53" x14ac:dyDescent="0.15">
      <c r="A18">
        <v>17</v>
      </c>
      <c r="B18" t="s">
        <v>41</v>
      </c>
      <c r="C18" t="s">
        <v>3866</v>
      </c>
      <c r="D18" s="25" t="s">
        <v>1387</v>
      </c>
      <c r="E18">
        <v>139</v>
      </c>
      <c r="F18" t="s">
        <v>1866</v>
      </c>
      <c r="G18">
        <v>670</v>
      </c>
    </row>
    <row r="19" spans="1:53" x14ac:dyDescent="0.15">
      <c r="A19">
        <v>18</v>
      </c>
      <c r="B19" t="s">
        <v>3881</v>
      </c>
      <c r="C19" t="s">
        <v>3866</v>
      </c>
      <c r="D19" s="25" t="s">
        <v>1392</v>
      </c>
      <c r="E19">
        <v>144</v>
      </c>
    </row>
    <row r="20" spans="1:53" x14ac:dyDescent="0.15">
      <c r="A20">
        <v>19</v>
      </c>
      <c r="B20" t="s">
        <v>3882</v>
      </c>
      <c r="C20" t="s">
        <v>3866</v>
      </c>
      <c r="D20" s="25" t="s">
        <v>1388</v>
      </c>
      <c r="E20">
        <v>140</v>
      </c>
    </row>
    <row r="21" spans="1:53" x14ac:dyDescent="0.15">
      <c r="A21">
        <v>20</v>
      </c>
      <c r="B21" t="s">
        <v>3883</v>
      </c>
      <c r="C21" t="s">
        <v>3884</v>
      </c>
      <c r="D21" s="26"/>
    </row>
    <row r="22" spans="1:53" x14ac:dyDescent="0.15">
      <c r="A22">
        <v>21</v>
      </c>
      <c r="B22" t="s">
        <v>3885</v>
      </c>
      <c r="C22" t="s">
        <v>3866</v>
      </c>
      <c r="D22" s="25" t="s">
        <v>1389</v>
      </c>
      <c r="E22">
        <v>141</v>
      </c>
      <c r="F22" t="s">
        <v>1548</v>
      </c>
      <c r="G22">
        <v>326</v>
      </c>
      <c r="H22" t="s">
        <v>1691</v>
      </c>
      <c r="I22">
        <v>483</v>
      </c>
    </row>
    <row r="23" spans="1:53" x14ac:dyDescent="0.15">
      <c r="A23">
        <v>22</v>
      </c>
      <c r="B23" t="s">
        <v>3886</v>
      </c>
      <c r="C23" t="s">
        <v>3866</v>
      </c>
      <c r="D23" s="25" t="s">
        <v>1390</v>
      </c>
      <c r="E23">
        <v>142</v>
      </c>
    </row>
    <row r="24" spans="1:53" x14ac:dyDescent="0.15">
      <c r="A24">
        <v>23</v>
      </c>
      <c r="B24" t="s">
        <v>3887</v>
      </c>
      <c r="C24" t="s">
        <v>3866</v>
      </c>
      <c r="D24" s="25" t="s">
        <v>1391</v>
      </c>
      <c r="E24">
        <v>143</v>
      </c>
    </row>
    <row r="25" spans="1:53" x14ac:dyDescent="0.15">
      <c r="A25">
        <v>24</v>
      </c>
      <c r="B25" t="s">
        <v>3888</v>
      </c>
      <c r="C25" t="s">
        <v>3866</v>
      </c>
      <c r="D25" s="26" t="s">
        <v>1263</v>
      </c>
      <c r="E25">
        <v>13</v>
      </c>
      <c r="F25" t="s">
        <v>1271</v>
      </c>
      <c r="G25">
        <v>20</v>
      </c>
      <c r="H25" t="s">
        <v>1287</v>
      </c>
      <c r="I25">
        <v>35</v>
      </c>
      <c r="J25" t="s">
        <v>1295</v>
      </c>
      <c r="K25">
        <v>43</v>
      </c>
      <c r="L25" t="s">
        <v>1300</v>
      </c>
      <c r="M25">
        <v>48</v>
      </c>
      <c r="N25" t="s">
        <v>1303</v>
      </c>
      <c r="O25">
        <v>51</v>
      </c>
      <c r="P25" t="s">
        <v>1309</v>
      </c>
      <c r="Q25">
        <v>59</v>
      </c>
      <c r="R25" t="s">
        <v>1443</v>
      </c>
      <c r="S25">
        <v>203</v>
      </c>
      <c r="T25" t="s">
        <v>1475</v>
      </c>
      <c r="U25">
        <v>240</v>
      </c>
      <c r="V25" t="s">
        <v>1484</v>
      </c>
      <c r="W25">
        <v>253</v>
      </c>
      <c r="X25" t="s">
        <v>1513</v>
      </c>
      <c r="Y25">
        <v>286</v>
      </c>
      <c r="Z25" t="s">
        <v>1538</v>
      </c>
      <c r="AA25">
        <v>313</v>
      </c>
      <c r="AB25" t="s">
        <v>1567</v>
      </c>
      <c r="AC25">
        <v>346</v>
      </c>
      <c r="AD25" t="s">
        <v>1568</v>
      </c>
      <c r="AE25">
        <v>347</v>
      </c>
      <c r="AF25" t="s">
        <v>1572</v>
      </c>
      <c r="AG25">
        <v>351</v>
      </c>
      <c r="AH25" t="s">
        <v>1575</v>
      </c>
      <c r="AI25">
        <v>355</v>
      </c>
      <c r="AJ25" t="s">
        <v>1586</v>
      </c>
      <c r="AK25">
        <v>366</v>
      </c>
      <c r="AL25" t="s">
        <v>1589</v>
      </c>
      <c r="AM25">
        <v>370</v>
      </c>
      <c r="AN25" t="s">
        <v>1597</v>
      </c>
      <c r="AO25">
        <v>379</v>
      </c>
      <c r="AP25" t="s">
        <v>1634</v>
      </c>
      <c r="AQ25">
        <v>421</v>
      </c>
      <c r="AR25" t="s">
        <v>1668</v>
      </c>
      <c r="AS25">
        <v>456</v>
      </c>
      <c r="AT25" t="s">
        <v>1669</v>
      </c>
      <c r="AU25">
        <v>457</v>
      </c>
      <c r="AV25" t="s">
        <v>1689</v>
      </c>
      <c r="AW25">
        <v>481</v>
      </c>
      <c r="AX25" t="s">
        <v>1751</v>
      </c>
      <c r="AY25">
        <v>549</v>
      </c>
      <c r="AZ25" t="s">
        <v>1124</v>
      </c>
      <c r="BA25">
        <v>642</v>
      </c>
    </row>
    <row r="26" spans="1:53" x14ac:dyDescent="0.15">
      <c r="A26">
        <v>25</v>
      </c>
      <c r="B26" t="s">
        <v>1323</v>
      </c>
      <c r="C26" t="s">
        <v>3889</v>
      </c>
      <c r="D26" t="s">
        <v>1323</v>
      </c>
      <c r="E26">
        <v>76</v>
      </c>
    </row>
    <row r="27" spans="1:53" x14ac:dyDescent="0.15">
      <c r="A27">
        <v>26</v>
      </c>
      <c r="B27" t="s">
        <v>3890</v>
      </c>
      <c r="C27" t="s">
        <v>3866</v>
      </c>
      <c r="D27" t="s">
        <v>492</v>
      </c>
      <c r="E27">
        <v>195</v>
      </c>
      <c r="F27" t="s">
        <v>1547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25" t="s">
        <v>1779</v>
      </c>
      <c r="M27">
        <v>581</v>
      </c>
    </row>
    <row r="28" spans="1:53" x14ac:dyDescent="0.15">
      <c r="A28">
        <v>27</v>
      </c>
      <c r="B28" t="s">
        <v>1273</v>
      </c>
      <c r="C28" t="s">
        <v>3889</v>
      </c>
      <c r="D28" t="s">
        <v>1273</v>
      </c>
      <c r="E28">
        <v>22</v>
      </c>
    </row>
    <row r="29" spans="1:53" x14ac:dyDescent="0.15">
      <c r="A29">
        <v>28</v>
      </c>
      <c r="B29" t="s">
        <v>1250</v>
      </c>
      <c r="C29" t="s">
        <v>3884</v>
      </c>
    </row>
    <row r="30" spans="1:53" x14ac:dyDescent="0.15">
      <c r="A30">
        <v>29</v>
      </c>
      <c r="B30" t="s">
        <v>3891</v>
      </c>
      <c r="C30" t="s">
        <v>3884</v>
      </c>
    </row>
    <row r="31" spans="1:53" x14ac:dyDescent="0.15">
      <c r="A31">
        <v>30</v>
      </c>
      <c r="B31" t="s">
        <v>1252</v>
      </c>
      <c r="C31" t="s">
        <v>3884</v>
      </c>
    </row>
    <row r="32" spans="1:53" x14ac:dyDescent="0.15">
      <c r="A32">
        <v>31</v>
      </c>
      <c r="B32" t="s">
        <v>86</v>
      </c>
      <c r="C32" t="s">
        <v>3866</v>
      </c>
      <c r="D32" t="s">
        <v>1253</v>
      </c>
      <c r="E32">
        <v>2</v>
      </c>
      <c r="F32" t="s">
        <v>276</v>
      </c>
      <c r="G32">
        <v>63</v>
      </c>
      <c r="H32" t="s">
        <v>1340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1603</v>
      </c>
      <c r="O32">
        <v>386</v>
      </c>
      <c r="P32" t="s">
        <v>1631</v>
      </c>
      <c r="Q32">
        <v>416</v>
      </c>
      <c r="R32" t="s">
        <v>1673</v>
      </c>
      <c r="S32">
        <v>462</v>
      </c>
      <c r="T32" t="s">
        <v>1685</v>
      </c>
      <c r="U32">
        <v>475</v>
      </c>
    </row>
    <row r="33" spans="1:33" x14ac:dyDescent="0.15">
      <c r="A33">
        <v>32</v>
      </c>
      <c r="B33" t="s">
        <v>1254</v>
      </c>
      <c r="C33" t="s">
        <v>3889</v>
      </c>
      <c r="D33" t="s">
        <v>1254</v>
      </c>
      <c r="E33">
        <v>3</v>
      </c>
    </row>
    <row r="34" spans="1:33" x14ac:dyDescent="0.15">
      <c r="A34">
        <v>33</v>
      </c>
      <c r="B34" t="s">
        <v>94</v>
      </c>
      <c r="C34" t="s">
        <v>3866</v>
      </c>
      <c r="D34" t="s">
        <v>1255</v>
      </c>
      <c r="E34">
        <v>4</v>
      </c>
    </row>
    <row r="35" spans="1:33" x14ac:dyDescent="0.15">
      <c r="A35">
        <v>34</v>
      </c>
      <c r="B35" t="s">
        <v>99</v>
      </c>
      <c r="C35" t="s">
        <v>3889</v>
      </c>
      <c r="D35" t="s">
        <v>99</v>
      </c>
      <c r="E35">
        <v>5</v>
      </c>
    </row>
    <row r="36" spans="1:33" x14ac:dyDescent="0.15">
      <c r="A36">
        <v>35</v>
      </c>
      <c r="B36" t="s">
        <v>1256</v>
      </c>
      <c r="C36" t="s">
        <v>3889</v>
      </c>
      <c r="D36" t="s">
        <v>1256</v>
      </c>
      <c r="E36">
        <v>6</v>
      </c>
    </row>
    <row r="37" spans="1:33" x14ac:dyDescent="0.15">
      <c r="A37">
        <v>36</v>
      </c>
      <c r="B37" t="s">
        <v>1257</v>
      </c>
      <c r="C37" t="s">
        <v>3889</v>
      </c>
      <c r="D37" t="s">
        <v>1257</v>
      </c>
      <c r="E37">
        <v>7</v>
      </c>
    </row>
    <row r="38" spans="1:33" x14ac:dyDescent="0.15">
      <c r="A38">
        <v>37</v>
      </c>
      <c r="B38" t="s">
        <v>1258</v>
      </c>
      <c r="C38" t="s">
        <v>3889</v>
      </c>
      <c r="D38" t="s">
        <v>1258</v>
      </c>
      <c r="E38">
        <v>8</v>
      </c>
    </row>
    <row r="39" spans="1:33" x14ac:dyDescent="0.15">
      <c r="A39">
        <v>38</v>
      </c>
      <c r="B39" t="s">
        <v>1259</v>
      </c>
      <c r="C39" t="s">
        <v>3889</v>
      </c>
      <c r="D39" t="s">
        <v>1259</v>
      </c>
      <c r="E39">
        <v>9</v>
      </c>
    </row>
    <row r="40" spans="1:33" x14ac:dyDescent="0.15">
      <c r="A40">
        <v>39</v>
      </c>
      <c r="B40" t="s">
        <v>1259</v>
      </c>
      <c r="C40" t="s">
        <v>3889</v>
      </c>
      <c r="D40" t="s">
        <v>1259</v>
      </c>
      <c r="E40">
        <v>9</v>
      </c>
    </row>
    <row r="41" spans="1:33" x14ac:dyDescent="0.15">
      <c r="A41">
        <v>40</v>
      </c>
      <c r="B41" t="s">
        <v>3892</v>
      </c>
      <c r="C41" t="s">
        <v>3866</v>
      </c>
      <c r="D41" s="25" t="s">
        <v>1260</v>
      </c>
      <c r="E41">
        <v>10</v>
      </c>
      <c r="F41" t="s">
        <v>1282</v>
      </c>
      <c r="G41">
        <v>31</v>
      </c>
      <c r="H41" t="s">
        <v>1344</v>
      </c>
      <c r="I41">
        <v>98</v>
      </c>
      <c r="J41" t="s">
        <v>1461</v>
      </c>
      <c r="K41">
        <v>223</v>
      </c>
      <c r="L41" t="s">
        <v>1462</v>
      </c>
      <c r="M41">
        <v>225</v>
      </c>
      <c r="N41" t="s">
        <v>578</v>
      </c>
      <c r="O41">
        <v>243</v>
      </c>
      <c r="P41" t="s">
        <v>1515</v>
      </c>
      <c r="Q41">
        <v>289</v>
      </c>
      <c r="R41" t="s">
        <v>1571</v>
      </c>
      <c r="S41">
        <v>350</v>
      </c>
      <c r="T41" t="s">
        <v>1602</v>
      </c>
      <c r="U41">
        <v>385</v>
      </c>
      <c r="V41" t="s">
        <v>1608</v>
      </c>
      <c r="W41">
        <v>391</v>
      </c>
      <c r="X41" t="s">
        <v>1660</v>
      </c>
      <c r="Y41">
        <v>448</v>
      </c>
      <c r="Z41" t="s">
        <v>1675</v>
      </c>
      <c r="AA41">
        <v>464</v>
      </c>
      <c r="AB41" t="s">
        <v>1676</v>
      </c>
      <c r="AC41">
        <v>465</v>
      </c>
      <c r="AD41" t="s">
        <v>1761</v>
      </c>
      <c r="AE41">
        <v>561</v>
      </c>
      <c r="AF41" t="s">
        <v>1873</v>
      </c>
      <c r="AG41">
        <v>678</v>
      </c>
    </row>
    <row r="42" spans="1:33" x14ac:dyDescent="0.15">
      <c r="A42">
        <v>41</v>
      </c>
      <c r="B42" t="s">
        <v>3893</v>
      </c>
      <c r="C42" t="s">
        <v>3866</v>
      </c>
      <c r="D42" t="s">
        <v>1260</v>
      </c>
      <c r="E42">
        <v>10</v>
      </c>
      <c r="F42" t="s">
        <v>1282</v>
      </c>
      <c r="G42">
        <v>31</v>
      </c>
      <c r="H42" t="s">
        <v>1344</v>
      </c>
      <c r="I42">
        <v>98</v>
      </c>
      <c r="J42" t="s">
        <v>1461</v>
      </c>
      <c r="K42">
        <v>223</v>
      </c>
      <c r="L42" t="s">
        <v>1462</v>
      </c>
      <c r="M42">
        <v>225</v>
      </c>
      <c r="N42" t="s">
        <v>578</v>
      </c>
      <c r="O42">
        <v>243</v>
      </c>
      <c r="P42" t="s">
        <v>1515</v>
      </c>
      <c r="Q42">
        <v>289</v>
      </c>
      <c r="R42" t="s">
        <v>1571</v>
      </c>
      <c r="S42">
        <v>350</v>
      </c>
      <c r="T42" t="s">
        <v>1602</v>
      </c>
      <c r="U42">
        <v>385</v>
      </c>
      <c r="V42" t="s">
        <v>1608</v>
      </c>
      <c r="W42">
        <v>391</v>
      </c>
      <c r="X42" t="s">
        <v>1660</v>
      </c>
      <c r="Y42">
        <v>448</v>
      </c>
      <c r="Z42" t="s">
        <v>1675</v>
      </c>
      <c r="AA42">
        <v>464</v>
      </c>
      <c r="AB42" t="s">
        <v>1676</v>
      </c>
      <c r="AC42">
        <v>465</v>
      </c>
      <c r="AD42" t="s">
        <v>1761</v>
      </c>
      <c r="AE42">
        <v>561</v>
      </c>
      <c r="AF42" t="s">
        <v>1873</v>
      </c>
      <c r="AG42">
        <v>678</v>
      </c>
    </row>
    <row r="43" spans="1:33" x14ac:dyDescent="0.15">
      <c r="A43">
        <v>42</v>
      </c>
      <c r="B43" t="s">
        <v>1261</v>
      </c>
      <c r="C43" t="s">
        <v>3884</v>
      </c>
    </row>
    <row r="44" spans="1:33" x14ac:dyDescent="0.15">
      <c r="A44">
        <v>43</v>
      </c>
      <c r="B44" t="s">
        <v>1262</v>
      </c>
      <c r="C44" t="s">
        <v>3889</v>
      </c>
      <c r="D44" t="s">
        <v>1262</v>
      </c>
      <c r="E44">
        <v>12</v>
      </c>
    </row>
    <row r="45" spans="1:33" x14ac:dyDescent="0.15">
      <c r="A45">
        <v>44</v>
      </c>
      <c r="B45" t="s">
        <v>1262</v>
      </c>
      <c r="C45" t="s">
        <v>3889</v>
      </c>
      <c r="D45" t="s">
        <v>1262</v>
      </c>
      <c r="E45">
        <v>12</v>
      </c>
    </row>
    <row r="46" spans="1:33" x14ac:dyDescent="0.15">
      <c r="A46">
        <v>45</v>
      </c>
      <c r="B46" t="s">
        <v>1264</v>
      </c>
      <c r="C46" t="s">
        <v>3889</v>
      </c>
      <c r="D46" t="s">
        <v>1264</v>
      </c>
      <c r="E46">
        <v>14</v>
      </c>
    </row>
    <row r="47" spans="1:33" x14ac:dyDescent="0.15">
      <c r="A47">
        <v>46</v>
      </c>
      <c r="B47" t="s">
        <v>1263</v>
      </c>
      <c r="C47" t="s">
        <v>3889</v>
      </c>
      <c r="D47" t="s">
        <v>1263</v>
      </c>
      <c r="E47">
        <v>13</v>
      </c>
    </row>
    <row r="48" spans="1:33" x14ac:dyDescent="0.15">
      <c r="A48">
        <v>47</v>
      </c>
      <c r="B48" t="s">
        <v>1263</v>
      </c>
      <c r="C48" t="s">
        <v>3889</v>
      </c>
      <c r="D48" t="s">
        <v>1263</v>
      </c>
      <c r="E48">
        <v>13</v>
      </c>
    </row>
    <row r="49" spans="1:23" x14ac:dyDescent="0.15">
      <c r="A49">
        <v>48</v>
      </c>
      <c r="B49" t="s">
        <v>3894</v>
      </c>
      <c r="C49" t="s">
        <v>3866</v>
      </c>
      <c r="D49" s="25" t="s">
        <v>1265</v>
      </c>
      <c r="E49">
        <v>15</v>
      </c>
    </row>
    <row r="50" spans="1:23" x14ac:dyDescent="0.15">
      <c r="A50">
        <v>49</v>
      </c>
      <c r="B50" t="s">
        <v>1266</v>
      </c>
      <c r="C50" t="s">
        <v>3889</v>
      </c>
      <c r="D50" t="s">
        <v>1266</v>
      </c>
      <c r="E50">
        <v>16</v>
      </c>
    </row>
    <row r="51" spans="1:23" ht="14.25" thickBot="1" x14ac:dyDescent="0.2">
      <c r="A51">
        <v>50</v>
      </c>
      <c r="B51" t="s">
        <v>3895</v>
      </c>
      <c r="C51" t="s">
        <v>3866</v>
      </c>
      <c r="D51" s="27" t="s">
        <v>1307</v>
      </c>
      <c r="E51">
        <v>56</v>
      </c>
      <c r="F51" t="s">
        <v>1335</v>
      </c>
      <c r="G51">
        <v>88</v>
      </c>
      <c r="H51" t="s">
        <v>1360</v>
      </c>
      <c r="I51">
        <v>112</v>
      </c>
      <c r="J51" t="s">
        <v>1361</v>
      </c>
      <c r="K51">
        <v>113</v>
      </c>
      <c r="L51" t="s">
        <v>1418</v>
      </c>
      <c r="M51">
        <v>171</v>
      </c>
      <c r="N51" t="s">
        <v>1516</v>
      </c>
      <c r="O51">
        <v>290</v>
      </c>
      <c r="P51" t="s">
        <v>1543</v>
      </c>
      <c r="Q51">
        <v>318</v>
      </c>
      <c r="R51" t="s">
        <v>1679</v>
      </c>
      <c r="S51">
        <v>469</v>
      </c>
      <c r="T51" t="s">
        <v>1680</v>
      </c>
      <c r="U51">
        <v>470</v>
      </c>
      <c r="V51" t="s">
        <v>1741</v>
      </c>
      <c r="W51">
        <v>537</v>
      </c>
    </row>
    <row r="52" spans="1:23" ht="14.25" thickTop="1" x14ac:dyDescent="0.15">
      <c r="A52">
        <v>51</v>
      </c>
      <c r="B52" t="s">
        <v>1267</v>
      </c>
      <c r="C52" t="s">
        <v>3889</v>
      </c>
      <c r="D52" t="s">
        <v>1267</v>
      </c>
      <c r="E52">
        <v>17</v>
      </c>
    </row>
    <row r="53" spans="1:23" x14ac:dyDescent="0.15">
      <c r="A53">
        <v>52</v>
      </c>
      <c r="B53" t="s">
        <v>1268</v>
      </c>
      <c r="C53" t="s">
        <v>3889</v>
      </c>
      <c r="D53" t="s">
        <v>1268</v>
      </c>
      <c r="E53">
        <v>18</v>
      </c>
    </row>
    <row r="54" spans="1:23" x14ac:dyDescent="0.15">
      <c r="A54">
        <v>53</v>
      </c>
      <c r="B54" t="s">
        <v>1269</v>
      </c>
      <c r="C54" t="s">
        <v>3889</v>
      </c>
      <c r="D54" t="s">
        <v>1269</v>
      </c>
      <c r="E54">
        <v>19</v>
      </c>
    </row>
    <row r="55" spans="1:23" x14ac:dyDescent="0.15">
      <c r="A55">
        <v>54</v>
      </c>
      <c r="B55" t="s">
        <v>1270</v>
      </c>
      <c r="C55" t="s">
        <v>3866</v>
      </c>
      <c r="D55" s="26" t="s">
        <v>670</v>
      </c>
      <c r="E55">
        <v>322</v>
      </c>
      <c r="F55" t="s">
        <v>1670</v>
      </c>
      <c r="G55">
        <v>458</v>
      </c>
      <c r="H55" t="s">
        <v>1735</v>
      </c>
      <c r="I55">
        <v>529</v>
      </c>
      <c r="J55" t="s">
        <v>1794</v>
      </c>
      <c r="K55">
        <v>596</v>
      </c>
    </row>
    <row r="56" spans="1:23" x14ac:dyDescent="0.15">
      <c r="A56">
        <v>55</v>
      </c>
      <c r="B56" t="s">
        <v>1272</v>
      </c>
      <c r="C56" t="s">
        <v>3889</v>
      </c>
      <c r="D56" t="s">
        <v>1272</v>
      </c>
      <c r="E56">
        <v>21</v>
      </c>
    </row>
    <row r="57" spans="1:23" x14ac:dyDescent="0.15">
      <c r="A57">
        <v>56</v>
      </c>
      <c r="B57" t="s">
        <v>1271</v>
      </c>
      <c r="C57" t="s">
        <v>3889</v>
      </c>
      <c r="D57" t="s">
        <v>1271</v>
      </c>
      <c r="E57">
        <v>20</v>
      </c>
    </row>
    <row r="58" spans="1:23" ht="27" x14ac:dyDescent="0.15">
      <c r="A58">
        <v>57</v>
      </c>
      <c r="B58" s="17" t="s">
        <v>3896</v>
      </c>
      <c r="C58" t="s">
        <v>3866</v>
      </c>
      <c r="D58" s="25" t="s">
        <v>1274</v>
      </c>
      <c r="E58">
        <v>23</v>
      </c>
    </row>
    <row r="59" spans="1:23" x14ac:dyDescent="0.15">
      <c r="A59">
        <v>58</v>
      </c>
      <c r="B59" t="s">
        <v>1277</v>
      </c>
      <c r="C59" t="s">
        <v>3889</v>
      </c>
      <c r="D59" t="s">
        <v>1277</v>
      </c>
      <c r="E59">
        <v>26</v>
      </c>
    </row>
    <row r="60" spans="1:23" x14ac:dyDescent="0.15">
      <c r="A60">
        <v>59</v>
      </c>
      <c r="B60" t="s">
        <v>1275</v>
      </c>
      <c r="C60" t="s">
        <v>3889</v>
      </c>
      <c r="D60" t="s">
        <v>1275</v>
      </c>
      <c r="E60">
        <v>24</v>
      </c>
    </row>
    <row r="61" spans="1:23" x14ac:dyDescent="0.15">
      <c r="A61">
        <v>60</v>
      </c>
      <c r="B61" t="s">
        <v>175</v>
      </c>
      <c r="C61" t="s">
        <v>3866</v>
      </c>
      <c r="D61" s="25" t="s">
        <v>1276</v>
      </c>
      <c r="E61">
        <v>25</v>
      </c>
    </row>
    <row r="62" spans="1:23" x14ac:dyDescent="0.15">
      <c r="A62">
        <v>61</v>
      </c>
      <c r="B62" t="s">
        <v>175</v>
      </c>
      <c r="C62" t="s">
        <v>3866</v>
      </c>
      <c r="D62" s="25" t="s">
        <v>1276</v>
      </c>
      <c r="E62">
        <v>25</v>
      </c>
    </row>
    <row r="63" spans="1:23" x14ac:dyDescent="0.15">
      <c r="A63">
        <v>62</v>
      </c>
      <c r="B63" t="s">
        <v>1278</v>
      </c>
      <c r="C63" t="s">
        <v>3889</v>
      </c>
      <c r="D63" t="s">
        <v>1278</v>
      </c>
      <c r="E63">
        <v>27</v>
      </c>
    </row>
    <row r="64" spans="1:23" x14ac:dyDescent="0.15">
      <c r="A64">
        <v>63</v>
      </c>
      <c r="B64" t="s">
        <v>3897</v>
      </c>
      <c r="C64" t="s">
        <v>3866</v>
      </c>
      <c r="D64" t="s">
        <v>1279</v>
      </c>
      <c r="E64">
        <v>28</v>
      </c>
    </row>
    <row r="65" spans="1:7" x14ac:dyDescent="0.15">
      <c r="A65">
        <v>64</v>
      </c>
      <c r="B65" t="s">
        <v>3898</v>
      </c>
      <c r="C65" t="s">
        <v>3866</v>
      </c>
      <c r="D65" s="25" t="s">
        <v>1279</v>
      </c>
      <c r="E65">
        <v>28</v>
      </c>
    </row>
    <row r="66" spans="1:7" x14ac:dyDescent="0.15">
      <c r="A66">
        <v>65</v>
      </c>
      <c r="B66" t="s">
        <v>3899</v>
      </c>
      <c r="C66" t="s">
        <v>3866</v>
      </c>
      <c r="D66" s="25" t="s">
        <v>1280</v>
      </c>
      <c r="E66">
        <v>29</v>
      </c>
    </row>
    <row r="67" spans="1:7" x14ac:dyDescent="0.15">
      <c r="A67">
        <v>66</v>
      </c>
      <c r="B67" t="s">
        <v>3900</v>
      </c>
      <c r="C67" t="s">
        <v>3866</v>
      </c>
      <c r="D67" t="s">
        <v>1280</v>
      </c>
      <c r="E67">
        <v>29</v>
      </c>
    </row>
    <row r="68" spans="1:7" x14ac:dyDescent="0.15">
      <c r="A68">
        <v>67</v>
      </c>
      <c r="B68" t="s">
        <v>1281</v>
      </c>
      <c r="C68" t="s">
        <v>3889</v>
      </c>
      <c r="D68" t="s">
        <v>1281</v>
      </c>
      <c r="E68">
        <v>30</v>
      </c>
    </row>
    <row r="69" spans="1:7" x14ac:dyDescent="0.15">
      <c r="A69">
        <v>68</v>
      </c>
      <c r="B69" t="s">
        <v>1281</v>
      </c>
      <c r="C69" t="s">
        <v>3889</v>
      </c>
      <c r="D69" t="s">
        <v>1281</v>
      </c>
      <c r="E69">
        <v>30</v>
      </c>
    </row>
    <row r="70" spans="1:7" x14ac:dyDescent="0.15">
      <c r="A70">
        <v>69</v>
      </c>
      <c r="B70" t="s">
        <v>1282</v>
      </c>
      <c r="C70" t="s">
        <v>3889</v>
      </c>
      <c r="D70" t="s">
        <v>1282</v>
      </c>
      <c r="E70">
        <v>31</v>
      </c>
    </row>
    <row r="71" spans="1:7" x14ac:dyDescent="0.15">
      <c r="A71">
        <v>70</v>
      </c>
      <c r="B71" t="s">
        <v>1283</v>
      </c>
      <c r="C71" t="s">
        <v>3889</v>
      </c>
      <c r="D71" t="s">
        <v>1283</v>
      </c>
      <c r="E71">
        <v>32</v>
      </c>
    </row>
    <row r="72" spans="1:7" x14ac:dyDescent="0.15">
      <c r="A72">
        <v>71</v>
      </c>
      <c r="B72" t="s">
        <v>198</v>
      </c>
      <c r="C72" t="s">
        <v>3866</v>
      </c>
      <c r="D72" s="26" t="s">
        <v>1828</v>
      </c>
      <c r="E72">
        <v>629</v>
      </c>
    </row>
    <row r="73" spans="1:7" x14ac:dyDescent="0.15">
      <c r="A73">
        <v>72</v>
      </c>
      <c r="B73" t="s">
        <v>3901</v>
      </c>
      <c r="C73" t="s">
        <v>3866</v>
      </c>
      <c r="D73" t="s">
        <v>1285</v>
      </c>
      <c r="E73">
        <v>34</v>
      </c>
    </row>
    <row r="74" spans="1:7" x14ac:dyDescent="0.15">
      <c r="A74">
        <v>73</v>
      </c>
      <c r="B74" t="s">
        <v>1286</v>
      </c>
      <c r="C74" t="s">
        <v>3884</v>
      </c>
    </row>
    <row r="75" spans="1:7" x14ac:dyDescent="0.15">
      <c r="A75">
        <v>74</v>
      </c>
      <c r="B75" t="s">
        <v>1287</v>
      </c>
      <c r="C75" t="s">
        <v>3889</v>
      </c>
      <c r="D75" t="s">
        <v>1287</v>
      </c>
      <c r="E75">
        <v>35</v>
      </c>
    </row>
    <row r="76" spans="1:7" x14ac:dyDescent="0.15">
      <c r="A76">
        <v>75</v>
      </c>
      <c r="B76" t="s">
        <v>1289</v>
      </c>
      <c r="C76" t="s">
        <v>3889</v>
      </c>
      <c r="D76" t="s">
        <v>1289</v>
      </c>
      <c r="E76">
        <v>37</v>
      </c>
    </row>
    <row r="77" spans="1:7" x14ac:dyDescent="0.15">
      <c r="A77">
        <v>76</v>
      </c>
      <c r="B77" t="s">
        <v>3902</v>
      </c>
      <c r="C77" t="s">
        <v>3884</v>
      </c>
    </row>
    <row r="78" spans="1:7" x14ac:dyDescent="0.15">
      <c r="A78">
        <v>77</v>
      </c>
      <c r="B78" t="s">
        <v>217</v>
      </c>
      <c r="C78" t="s">
        <v>3866</v>
      </c>
      <c r="D78" t="s">
        <v>1291</v>
      </c>
      <c r="E78">
        <v>39</v>
      </c>
      <c r="F78" t="s">
        <v>1672</v>
      </c>
      <c r="G78">
        <v>461</v>
      </c>
    </row>
    <row r="79" spans="1:7" x14ac:dyDescent="0.15">
      <c r="A79">
        <v>78</v>
      </c>
      <c r="B79" t="s">
        <v>1292</v>
      </c>
      <c r="C79" t="s">
        <v>3889</v>
      </c>
      <c r="D79" t="s">
        <v>1292</v>
      </c>
      <c r="E79">
        <v>40</v>
      </c>
    </row>
    <row r="80" spans="1:7" x14ac:dyDescent="0.15">
      <c r="A80">
        <v>79</v>
      </c>
      <c r="B80" t="s">
        <v>1292</v>
      </c>
      <c r="C80" t="s">
        <v>3889</v>
      </c>
      <c r="D80" t="s">
        <v>1292</v>
      </c>
      <c r="E80">
        <v>40</v>
      </c>
    </row>
    <row r="81" spans="1:5" x14ac:dyDescent="0.15">
      <c r="A81">
        <v>80</v>
      </c>
      <c r="B81" t="s">
        <v>1293</v>
      </c>
      <c r="C81" t="s">
        <v>3889</v>
      </c>
      <c r="D81" t="s">
        <v>1293</v>
      </c>
      <c r="E81">
        <v>41</v>
      </c>
    </row>
    <row r="82" spans="1:5" x14ac:dyDescent="0.15">
      <c r="A82">
        <v>81</v>
      </c>
      <c r="B82" t="s">
        <v>1294</v>
      </c>
      <c r="C82" t="s">
        <v>3889</v>
      </c>
      <c r="D82" t="s">
        <v>1294</v>
      </c>
      <c r="E82">
        <v>42</v>
      </c>
    </row>
    <row r="83" spans="1:5" x14ac:dyDescent="0.15">
      <c r="A83">
        <v>82</v>
      </c>
      <c r="B83" t="s">
        <v>1297</v>
      </c>
      <c r="C83" t="s">
        <v>3889</v>
      </c>
      <c r="D83" t="s">
        <v>1297</v>
      </c>
      <c r="E83">
        <v>45</v>
      </c>
    </row>
    <row r="84" spans="1:5" x14ac:dyDescent="0.15">
      <c r="A84">
        <v>83</v>
      </c>
      <c r="B84" t="s">
        <v>1297</v>
      </c>
      <c r="C84" t="s">
        <v>3889</v>
      </c>
      <c r="D84" t="s">
        <v>1297</v>
      </c>
      <c r="E84">
        <v>45</v>
      </c>
    </row>
    <row r="85" spans="1:5" x14ac:dyDescent="0.15">
      <c r="A85">
        <v>84</v>
      </c>
      <c r="B85" t="s">
        <v>1296</v>
      </c>
      <c r="C85" t="s">
        <v>3889</v>
      </c>
      <c r="D85" t="s">
        <v>1296</v>
      </c>
      <c r="E85">
        <v>44</v>
      </c>
    </row>
    <row r="86" spans="1:5" x14ac:dyDescent="0.15">
      <c r="A86">
        <v>85</v>
      </c>
      <c r="B86" t="s">
        <v>1296</v>
      </c>
      <c r="C86" t="s">
        <v>3889</v>
      </c>
      <c r="D86" t="s">
        <v>1296</v>
      </c>
      <c r="E86">
        <v>44</v>
      </c>
    </row>
    <row r="87" spans="1:5" x14ac:dyDescent="0.15">
      <c r="A87">
        <v>86</v>
      </c>
      <c r="B87" t="s">
        <v>1298</v>
      </c>
      <c r="C87" t="s">
        <v>3889</v>
      </c>
      <c r="D87" t="s">
        <v>1298</v>
      </c>
      <c r="E87">
        <v>46</v>
      </c>
    </row>
    <row r="88" spans="1:5" x14ac:dyDescent="0.15">
      <c r="A88">
        <v>87</v>
      </c>
      <c r="B88" t="s">
        <v>1298</v>
      </c>
      <c r="C88" t="s">
        <v>3889</v>
      </c>
      <c r="D88" t="s">
        <v>1298</v>
      </c>
      <c r="E88">
        <v>46</v>
      </c>
    </row>
    <row r="89" spans="1:5" x14ac:dyDescent="0.15">
      <c r="A89">
        <v>88</v>
      </c>
      <c r="B89" t="s">
        <v>1299</v>
      </c>
      <c r="C89" t="s">
        <v>3889</v>
      </c>
      <c r="D89" t="s">
        <v>1299</v>
      </c>
      <c r="E89">
        <v>47</v>
      </c>
    </row>
    <row r="90" spans="1:5" x14ac:dyDescent="0.15">
      <c r="A90">
        <v>89</v>
      </c>
      <c r="B90" t="s">
        <v>1300</v>
      </c>
      <c r="C90" t="s">
        <v>3889</v>
      </c>
      <c r="D90" t="s">
        <v>1300</v>
      </c>
      <c r="E90">
        <v>48</v>
      </c>
    </row>
    <row r="91" spans="1:5" x14ac:dyDescent="0.15">
      <c r="A91">
        <v>90</v>
      </c>
      <c r="B91" t="s">
        <v>1301</v>
      </c>
      <c r="C91" t="s">
        <v>3889</v>
      </c>
      <c r="D91" t="s">
        <v>1301</v>
      </c>
      <c r="E91">
        <v>49</v>
      </c>
    </row>
    <row r="92" spans="1:5" x14ac:dyDescent="0.15">
      <c r="A92">
        <v>91</v>
      </c>
      <c r="B92" t="s">
        <v>1303</v>
      </c>
      <c r="C92" t="s">
        <v>3889</v>
      </c>
      <c r="D92" t="s">
        <v>1303</v>
      </c>
      <c r="E92">
        <v>51</v>
      </c>
    </row>
    <row r="93" spans="1:5" x14ac:dyDescent="0.15">
      <c r="A93">
        <v>92</v>
      </c>
      <c r="B93" t="s">
        <v>3903</v>
      </c>
      <c r="C93" t="s">
        <v>3866</v>
      </c>
      <c r="D93" s="25" t="s">
        <v>1302</v>
      </c>
      <c r="E93">
        <v>50</v>
      </c>
    </row>
    <row r="94" spans="1:5" x14ac:dyDescent="0.15">
      <c r="A94">
        <v>93</v>
      </c>
      <c r="B94" t="s">
        <v>239</v>
      </c>
      <c r="C94" t="s">
        <v>3884</v>
      </c>
    </row>
    <row r="95" spans="1:5" x14ac:dyDescent="0.15">
      <c r="A95">
        <v>94</v>
      </c>
      <c r="B95" t="s">
        <v>3904</v>
      </c>
      <c r="C95" t="s">
        <v>3884</v>
      </c>
    </row>
    <row r="96" spans="1:5" x14ac:dyDescent="0.15">
      <c r="A96">
        <v>95</v>
      </c>
      <c r="B96" t="s">
        <v>245</v>
      </c>
      <c r="C96" t="s">
        <v>3889</v>
      </c>
      <c r="D96" t="s">
        <v>245</v>
      </c>
      <c r="E96">
        <v>52</v>
      </c>
    </row>
    <row r="97" spans="1:9" x14ac:dyDescent="0.15">
      <c r="A97">
        <v>96</v>
      </c>
      <c r="B97" t="s">
        <v>3905</v>
      </c>
      <c r="C97" t="s">
        <v>3884</v>
      </c>
      <c r="D97" s="26"/>
    </row>
    <row r="98" spans="1:9" x14ac:dyDescent="0.15">
      <c r="A98">
        <v>97</v>
      </c>
      <c r="B98" t="s">
        <v>248</v>
      </c>
      <c r="C98" t="s">
        <v>3889</v>
      </c>
      <c r="D98" t="s">
        <v>248</v>
      </c>
      <c r="E98">
        <v>53</v>
      </c>
    </row>
    <row r="99" spans="1:9" x14ac:dyDescent="0.15">
      <c r="A99">
        <v>98</v>
      </c>
      <c r="B99" t="s">
        <v>1304</v>
      </c>
      <c r="C99" t="s">
        <v>3889</v>
      </c>
      <c r="D99" t="s">
        <v>1304</v>
      </c>
      <c r="E99">
        <v>54</v>
      </c>
    </row>
    <row r="100" spans="1:9" x14ac:dyDescent="0.15">
      <c r="A100">
        <v>99</v>
      </c>
      <c r="B100" t="s">
        <v>1304</v>
      </c>
      <c r="C100" t="s">
        <v>3889</v>
      </c>
      <c r="D100" t="s">
        <v>1304</v>
      </c>
      <c r="E100">
        <v>54</v>
      </c>
    </row>
    <row r="101" spans="1:9" x14ac:dyDescent="0.15">
      <c r="A101">
        <v>100</v>
      </c>
      <c r="B101" t="s">
        <v>1305</v>
      </c>
      <c r="C101" t="s">
        <v>3866</v>
      </c>
      <c r="D101" s="26" t="s">
        <v>1791</v>
      </c>
      <c r="E101">
        <v>593</v>
      </c>
      <c r="F101" t="s">
        <v>1867</v>
      </c>
      <c r="G101">
        <v>671</v>
      </c>
    </row>
    <row r="102" spans="1:9" x14ac:dyDescent="0.15">
      <c r="A102">
        <v>101</v>
      </c>
      <c r="B102" t="s">
        <v>255</v>
      </c>
      <c r="C102" t="s">
        <v>3866</v>
      </c>
      <c r="D102" t="s">
        <v>1306</v>
      </c>
      <c r="E102">
        <v>55</v>
      </c>
      <c r="F102" t="s">
        <v>1394</v>
      </c>
      <c r="G102">
        <v>145</v>
      </c>
      <c r="H102" t="s">
        <v>1641</v>
      </c>
      <c r="I102">
        <v>430</v>
      </c>
    </row>
    <row r="103" spans="1:9" s="29" customFormat="1" ht="14.25" thickBot="1" x14ac:dyDescent="0.2">
      <c r="A103" s="29">
        <v>102</v>
      </c>
      <c r="B103" s="29" t="s">
        <v>3906</v>
      </c>
      <c r="C103" s="29" t="s">
        <v>3866</v>
      </c>
      <c r="D103" s="30" t="s">
        <v>1715</v>
      </c>
      <c r="E103" s="29">
        <v>509</v>
      </c>
      <c r="F103" s="29" t="s">
        <v>1774</v>
      </c>
      <c r="G103" s="29">
        <v>577</v>
      </c>
    </row>
    <row r="104" spans="1:9" ht="14.25" thickTop="1" x14ac:dyDescent="0.15">
      <c r="A104">
        <v>103</v>
      </c>
      <c r="B104" t="s">
        <v>263</v>
      </c>
      <c r="C104" t="s">
        <v>3866</v>
      </c>
      <c r="D104" s="26" t="s">
        <v>1474</v>
      </c>
      <c r="E104">
        <v>239</v>
      </c>
      <c r="F104" t="s">
        <v>1531</v>
      </c>
      <c r="G104">
        <v>305</v>
      </c>
    </row>
    <row r="105" spans="1:9" x14ac:dyDescent="0.15">
      <c r="A105">
        <v>104</v>
      </c>
      <c r="B105" t="s">
        <v>265</v>
      </c>
      <c r="C105" t="s">
        <v>3884</v>
      </c>
    </row>
    <row r="106" spans="1:9" x14ac:dyDescent="0.15">
      <c r="A106">
        <v>105</v>
      </c>
      <c r="B106" t="s">
        <v>1308</v>
      </c>
      <c r="C106" t="s">
        <v>3889</v>
      </c>
      <c r="D106" t="s">
        <v>1308</v>
      </c>
      <c r="E106">
        <v>58</v>
      </c>
    </row>
    <row r="107" spans="1:9" x14ac:dyDescent="0.15">
      <c r="A107">
        <v>106</v>
      </c>
      <c r="B107" t="s">
        <v>1308</v>
      </c>
      <c r="C107" t="s">
        <v>3889</v>
      </c>
      <c r="D107" t="s">
        <v>1308</v>
      </c>
      <c r="E107">
        <v>58</v>
      </c>
    </row>
    <row r="108" spans="1:9" x14ac:dyDescent="0.15">
      <c r="A108">
        <v>107</v>
      </c>
      <c r="B108" t="s">
        <v>1310</v>
      </c>
      <c r="C108" t="s">
        <v>3889</v>
      </c>
      <c r="D108" t="s">
        <v>1310</v>
      </c>
      <c r="E108">
        <v>60</v>
      </c>
    </row>
    <row r="109" spans="1:9" x14ac:dyDescent="0.15">
      <c r="A109">
        <v>108</v>
      </c>
      <c r="B109" t="s">
        <v>1311</v>
      </c>
      <c r="C109" t="s">
        <v>3889</v>
      </c>
      <c r="D109" t="s">
        <v>1311</v>
      </c>
      <c r="E109">
        <v>61</v>
      </c>
    </row>
    <row r="110" spans="1:9" x14ac:dyDescent="0.15">
      <c r="A110">
        <v>109</v>
      </c>
      <c r="B110" t="s">
        <v>1312</v>
      </c>
      <c r="C110" t="s">
        <v>3889</v>
      </c>
      <c r="D110" t="s">
        <v>1312</v>
      </c>
      <c r="E110">
        <v>62</v>
      </c>
    </row>
    <row r="111" spans="1:9" x14ac:dyDescent="0.15">
      <c r="A111">
        <v>110</v>
      </c>
      <c r="B111" t="s">
        <v>276</v>
      </c>
      <c r="C111" t="s">
        <v>3889</v>
      </c>
      <c r="D111" t="s">
        <v>276</v>
      </c>
      <c r="E111">
        <v>63</v>
      </c>
    </row>
    <row r="112" spans="1:9" x14ac:dyDescent="0.15">
      <c r="A112">
        <v>111</v>
      </c>
      <c r="B112" t="s">
        <v>1313</v>
      </c>
      <c r="C112" t="s">
        <v>3889</v>
      </c>
      <c r="D112" t="s">
        <v>1313</v>
      </c>
      <c r="E112">
        <v>64</v>
      </c>
    </row>
    <row r="113" spans="1:9" x14ac:dyDescent="0.15">
      <c r="A113">
        <v>112</v>
      </c>
      <c r="B113" t="s">
        <v>1313</v>
      </c>
      <c r="C113" t="s">
        <v>3889</v>
      </c>
      <c r="D113" t="s">
        <v>1313</v>
      </c>
      <c r="E113">
        <v>64</v>
      </c>
    </row>
    <row r="114" spans="1:9" x14ac:dyDescent="0.15">
      <c r="A114">
        <v>113</v>
      </c>
      <c r="B114" t="s">
        <v>278</v>
      </c>
      <c r="C114" t="s">
        <v>3889</v>
      </c>
      <c r="D114" t="s">
        <v>278</v>
      </c>
      <c r="E114">
        <v>65</v>
      </c>
    </row>
    <row r="115" spans="1:9" x14ac:dyDescent="0.15">
      <c r="A115">
        <v>114</v>
      </c>
      <c r="B115" t="s">
        <v>280</v>
      </c>
      <c r="C115" t="s">
        <v>3889</v>
      </c>
      <c r="D115" t="s">
        <v>280</v>
      </c>
      <c r="E115">
        <v>66</v>
      </c>
    </row>
    <row r="116" spans="1:9" x14ac:dyDescent="0.15">
      <c r="A116">
        <v>115</v>
      </c>
      <c r="B116" t="s">
        <v>1314</v>
      </c>
      <c r="C116" t="s">
        <v>3889</v>
      </c>
      <c r="D116" t="s">
        <v>1314</v>
      </c>
      <c r="E116">
        <v>67</v>
      </c>
    </row>
    <row r="117" spans="1:9" x14ac:dyDescent="0.15">
      <c r="A117">
        <v>116</v>
      </c>
      <c r="B117" t="s">
        <v>282</v>
      </c>
      <c r="C117" t="s">
        <v>3866</v>
      </c>
      <c r="D117" t="s">
        <v>1251</v>
      </c>
      <c r="E117">
        <v>1</v>
      </c>
      <c r="F117" t="s">
        <v>1315</v>
      </c>
      <c r="G117">
        <v>68</v>
      </c>
      <c r="H117" s="25" t="s">
        <v>1317</v>
      </c>
      <c r="I117">
        <v>70</v>
      </c>
    </row>
    <row r="118" spans="1:9" x14ac:dyDescent="0.15">
      <c r="A118">
        <v>117</v>
      </c>
      <c r="B118" t="s">
        <v>285</v>
      </c>
      <c r="C118" t="s">
        <v>3866</v>
      </c>
      <c r="D118" t="s">
        <v>1251</v>
      </c>
      <c r="E118">
        <v>1</v>
      </c>
      <c r="F118" s="25" t="s">
        <v>1315</v>
      </c>
      <c r="G118">
        <v>68</v>
      </c>
      <c r="H118" t="s">
        <v>1317</v>
      </c>
      <c r="I118">
        <v>70</v>
      </c>
    </row>
    <row r="119" spans="1:9" x14ac:dyDescent="0.15">
      <c r="A119">
        <v>118</v>
      </c>
      <c r="B119" t="s">
        <v>1316</v>
      </c>
      <c r="C119" t="s">
        <v>3889</v>
      </c>
      <c r="D119" t="s">
        <v>1316</v>
      </c>
      <c r="E119">
        <v>69</v>
      </c>
    </row>
    <row r="120" spans="1:9" x14ac:dyDescent="0.15">
      <c r="A120">
        <v>119</v>
      </c>
      <c r="B120" t="s">
        <v>3907</v>
      </c>
      <c r="C120" t="s">
        <v>3866</v>
      </c>
      <c r="D120" s="25" t="s">
        <v>1318</v>
      </c>
      <c r="E120">
        <v>71</v>
      </c>
    </row>
    <row r="121" spans="1:9" x14ac:dyDescent="0.15">
      <c r="A121">
        <v>120</v>
      </c>
      <c r="B121" t="s">
        <v>3908</v>
      </c>
      <c r="C121" t="s">
        <v>3866</v>
      </c>
      <c r="D121" s="26" t="s">
        <v>1521</v>
      </c>
      <c r="E121">
        <v>295</v>
      </c>
      <c r="F121" t="s">
        <v>1164</v>
      </c>
      <c r="G121">
        <v>675</v>
      </c>
    </row>
    <row r="122" spans="1:9" x14ac:dyDescent="0.15">
      <c r="A122">
        <v>121</v>
      </c>
      <c r="B122" t="s">
        <v>1319</v>
      </c>
      <c r="C122" t="s">
        <v>3889</v>
      </c>
      <c r="D122" t="s">
        <v>1319</v>
      </c>
      <c r="E122">
        <v>72</v>
      </c>
    </row>
    <row r="123" spans="1:9" x14ac:dyDescent="0.15">
      <c r="A123">
        <v>122</v>
      </c>
      <c r="B123" t="s">
        <v>1320</v>
      </c>
      <c r="C123" t="s">
        <v>3889</v>
      </c>
      <c r="D123" t="s">
        <v>1320</v>
      </c>
      <c r="E123">
        <v>73</v>
      </c>
    </row>
    <row r="124" spans="1:9" x14ac:dyDescent="0.15">
      <c r="A124">
        <v>123</v>
      </c>
      <c r="B124" t="s">
        <v>1321</v>
      </c>
      <c r="C124" t="s">
        <v>3889</v>
      </c>
      <c r="D124" t="s">
        <v>1321</v>
      </c>
      <c r="E124">
        <v>74</v>
      </c>
    </row>
    <row r="125" spans="1:9" x14ac:dyDescent="0.15">
      <c r="A125">
        <v>124</v>
      </c>
      <c r="B125" t="s">
        <v>1321</v>
      </c>
      <c r="C125" t="s">
        <v>3889</v>
      </c>
      <c r="D125" t="s">
        <v>1321</v>
      </c>
      <c r="E125">
        <v>74</v>
      </c>
    </row>
    <row r="126" spans="1:9" x14ac:dyDescent="0.15">
      <c r="A126">
        <v>125</v>
      </c>
      <c r="B126" t="s">
        <v>1322</v>
      </c>
      <c r="C126" t="s">
        <v>3889</v>
      </c>
      <c r="D126" t="s">
        <v>1322</v>
      </c>
      <c r="E126">
        <v>75</v>
      </c>
    </row>
    <row r="127" spans="1:9" x14ac:dyDescent="0.15">
      <c r="A127">
        <v>126</v>
      </c>
      <c r="B127" t="s">
        <v>1322</v>
      </c>
      <c r="C127" t="s">
        <v>3889</v>
      </c>
      <c r="D127" t="s">
        <v>1322</v>
      </c>
      <c r="E127">
        <v>75</v>
      </c>
    </row>
    <row r="128" spans="1:9" x14ac:dyDescent="0.15">
      <c r="A128">
        <v>127</v>
      </c>
      <c r="B128" t="s">
        <v>1324</v>
      </c>
      <c r="C128" t="s">
        <v>3889</v>
      </c>
      <c r="D128" t="s">
        <v>1324</v>
      </c>
      <c r="E128">
        <v>77</v>
      </c>
    </row>
    <row r="129" spans="1:83" x14ac:dyDescent="0.15">
      <c r="A129">
        <v>128</v>
      </c>
      <c r="B129" t="s">
        <v>1325</v>
      </c>
      <c r="C129" t="s">
        <v>3889</v>
      </c>
      <c r="D129" t="s">
        <v>1325</v>
      </c>
      <c r="E129">
        <v>78</v>
      </c>
    </row>
    <row r="130" spans="1:83" x14ac:dyDescent="0.15">
      <c r="A130">
        <v>129</v>
      </c>
      <c r="B130" t="s">
        <v>1325</v>
      </c>
      <c r="C130" t="s">
        <v>3889</v>
      </c>
      <c r="D130" t="s">
        <v>1325</v>
      </c>
      <c r="E130">
        <v>78</v>
      </c>
    </row>
    <row r="131" spans="1:83" x14ac:dyDescent="0.15">
      <c r="A131">
        <v>130</v>
      </c>
      <c r="B131" t="s">
        <v>1326</v>
      </c>
      <c r="C131" t="s">
        <v>3889</v>
      </c>
      <c r="D131" t="s">
        <v>1326</v>
      </c>
      <c r="E131">
        <v>79</v>
      </c>
    </row>
    <row r="132" spans="1:83" x14ac:dyDescent="0.15">
      <c r="A132">
        <v>131</v>
      </c>
      <c r="B132" t="s">
        <v>1326</v>
      </c>
      <c r="C132" t="s">
        <v>3889</v>
      </c>
      <c r="D132" t="s">
        <v>1326</v>
      </c>
      <c r="E132">
        <v>79</v>
      </c>
    </row>
    <row r="133" spans="1:83" x14ac:dyDescent="0.15">
      <c r="A133">
        <v>132</v>
      </c>
      <c r="B133" t="s">
        <v>1327</v>
      </c>
      <c r="C133" t="s">
        <v>3889</v>
      </c>
      <c r="D133" t="s">
        <v>1327</v>
      </c>
      <c r="E133">
        <v>80</v>
      </c>
    </row>
    <row r="134" spans="1:83" x14ac:dyDescent="0.15">
      <c r="A134">
        <v>133</v>
      </c>
      <c r="B134" t="s">
        <v>1327</v>
      </c>
      <c r="C134" t="s">
        <v>3889</v>
      </c>
      <c r="D134" t="s">
        <v>1327</v>
      </c>
      <c r="E134">
        <v>80</v>
      </c>
    </row>
    <row r="135" spans="1:83" x14ac:dyDescent="0.15">
      <c r="A135">
        <v>134</v>
      </c>
      <c r="B135" t="s">
        <v>310</v>
      </c>
      <c r="C135" t="s">
        <v>3866</v>
      </c>
      <c r="D135" t="s">
        <v>1269</v>
      </c>
      <c r="E135">
        <v>19</v>
      </c>
      <c r="F135" t="s">
        <v>1273</v>
      </c>
      <c r="G135">
        <v>22</v>
      </c>
      <c r="H135" t="s">
        <v>1292</v>
      </c>
      <c r="I135">
        <v>40</v>
      </c>
      <c r="J135" t="s">
        <v>1313</v>
      </c>
      <c r="K135">
        <v>64</v>
      </c>
      <c r="L135" t="s">
        <v>1316</v>
      </c>
      <c r="M135">
        <v>69</v>
      </c>
      <c r="N135" t="s">
        <v>1319</v>
      </c>
      <c r="O135">
        <v>72</v>
      </c>
      <c r="P135" s="25" t="s">
        <v>1328</v>
      </c>
      <c r="Q135">
        <v>81</v>
      </c>
      <c r="R135" t="s">
        <v>1359</v>
      </c>
      <c r="S135">
        <v>111</v>
      </c>
      <c r="T135" t="s">
        <v>1369</v>
      </c>
      <c r="U135">
        <v>121</v>
      </c>
      <c r="V135" t="s">
        <v>1370</v>
      </c>
      <c r="W135">
        <v>122</v>
      </c>
      <c r="X135" t="s">
        <v>1378</v>
      </c>
      <c r="Y135">
        <v>130</v>
      </c>
      <c r="Z135" t="s">
        <v>1379</v>
      </c>
      <c r="AA135">
        <v>131</v>
      </c>
      <c r="AB135" t="s">
        <v>1401</v>
      </c>
      <c r="AC135">
        <v>154</v>
      </c>
      <c r="AD135" t="s">
        <v>1434</v>
      </c>
      <c r="AE135">
        <v>194</v>
      </c>
      <c r="AF135" t="s">
        <v>1517</v>
      </c>
      <c r="AG135">
        <v>291</v>
      </c>
      <c r="AH135" t="s">
        <v>1518</v>
      </c>
      <c r="AI135">
        <v>292</v>
      </c>
      <c r="AJ135" t="s">
        <v>1530</v>
      </c>
      <c r="AK135">
        <v>304</v>
      </c>
      <c r="AL135" t="s">
        <v>1554</v>
      </c>
      <c r="AM135">
        <v>332</v>
      </c>
      <c r="AN135" t="s">
        <v>1570</v>
      </c>
      <c r="AO135">
        <v>349</v>
      </c>
      <c r="AP135" t="s">
        <v>739</v>
      </c>
      <c r="AQ135">
        <v>368</v>
      </c>
      <c r="AR135" t="s">
        <v>1600</v>
      </c>
      <c r="AS135">
        <v>382</v>
      </c>
      <c r="AT135" t="s">
        <v>1638</v>
      </c>
      <c r="AU135">
        <v>427</v>
      </c>
      <c r="AV135" t="s">
        <v>1639</v>
      </c>
      <c r="AW135">
        <v>428</v>
      </c>
      <c r="AX135" t="s">
        <v>1659</v>
      </c>
      <c r="AY135">
        <v>447</v>
      </c>
      <c r="AZ135" t="s">
        <v>1666</v>
      </c>
      <c r="BA135">
        <v>454</v>
      </c>
      <c r="BB135" t="s">
        <v>1681</v>
      </c>
      <c r="BC135">
        <v>471</v>
      </c>
      <c r="BD135" t="s">
        <v>1699</v>
      </c>
      <c r="BE135">
        <v>491</v>
      </c>
      <c r="BF135" t="s">
        <v>1714</v>
      </c>
      <c r="BG135">
        <v>508</v>
      </c>
      <c r="BH135" t="s">
        <v>1736</v>
      </c>
      <c r="BI135">
        <v>530</v>
      </c>
      <c r="BJ135" t="s">
        <v>1760</v>
      </c>
      <c r="BK135">
        <v>560</v>
      </c>
      <c r="BL135" t="s">
        <v>1764</v>
      </c>
      <c r="BM135">
        <v>565</v>
      </c>
      <c r="BN135" t="s">
        <v>1771</v>
      </c>
      <c r="BO135">
        <v>573</v>
      </c>
      <c r="BP135" t="s">
        <v>1796</v>
      </c>
      <c r="BQ135">
        <v>598</v>
      </c>
      <c r="BR135" t="s">
        <v>1813</v>
      </c>
      <c r="BS135">
        <v>614</v>
      </c>
      <c r="BT135" t="s">
        <v>1814</v>
      </c>
      <c r="BU135">
        <v>615</v>
      </c>
      <c r="BV135" t="s">
        <v>1815</v>
      </c>
      <c r="BW135">
        <v>616</v>
      </c>
      <c r="BX135" t="s">
        <v>1826</v>
      </c>
      <c r="BY135">
        <v>627</v>
      </c>
      <c r="BZ135" t="s">
        <v>1845</v>
      </c>
      <c r="CA135">
        <v>649</v>
      </c>
      <c r="CB135" t="s">
        <v>1864</v>
      </c>
      <c r="CC135">
        <v>668</v>
      </c>
      <c r="CD135" t="s">
        <v>1168</v>
      </c>
      <c r="CE135">
        <v>681</v>
      </c>
    </row>
    <row r="136" spans="1:83" x14ac:dyDescent="0.15">
      <c r="A136">
        <v>135</v>
      </c>
      <c r="B136" t="s">
        <v>1329</v>
      </c>
      <c r="C136" t="s">
        <v>3889</v>
      </c>
      <c r="D136" t="s">
        <v>1329</v>
      </c>
      <c r="E136">
        <v>82</v>
      </c>
    </row>
    <row r="137" spans="1:83" x14ac:dyDescent="0.15">
      <c r="A137">
        <v>136</v>
      </c>
      <c r="B137" t="s">
        <v>1330</v>
      </c>
      <c r="C137" t="s">
        <v>3889</v>
      </c>
      <c r="D137" s="28" t="s">
        <v>1330</v>
      </c>
      <c r="E137">
        <v>83</v>
      </c>
    </row>
    <row r="138" spans="1:83" x14ac:dyDescent="0.15">
      <c r="A138">
        <v>137</v>
      </c>
      <c r="B138" t="s">
        <v>1331</v>
      </c>
      <c r="C138" t="s">
        <v>3889</v>
      </c>
      <c r="D138" s="28" t="s">
        <v>1331</v>
      </c>
      <c r="E138">
        <v>84</v>
      </c>
    </row>
    <row r="139" spans="1:83" x14ac:dyDescent="0.15">
      <c r="A139">
        <v>138</v>
      </c>
      <c r="B139" t="s">
        <v>3909</v>
      </c>
      <c r="C139" t="s">
        <v>3884</v>
      </c>
    </row>
    <row r="140" spans="1:83" x14ac:dyDescent="0.15">
      <c r="A140">
        <v>139</v>
      </c>
      <c r="B140" t="s">
        <v>3910</v>
      </c>
      <c r="C140" t="s">
        <v>3866</v>
      </c>
      <c r="D140" t="s">
        <v>1332</v>
      </c>
      <c r="E140">
        <v>85</v>
      </c>
    </row>
    <row r="141" spans="1:83" x14ac:dyDescent="0.15">
      <c r="A141">
        <v>140</v>
      </c>
      <c r="B141" t="s">
        <v>3911</v>
      </c>
      <c r="C141" t="s">
        <v>3866</v>
      </c>
      <c r="D141" s="25" t="s">
        <v>1333</v>
      </c>
      <c r="E141">
        <v>86</v>
      </c>
    </row>
    <row r="142" spans="1:83" x14ac:dyDescent="0.15">
      <c r="A142">
        <v>141</v>
      </c>
      <c r="B142" t="s">
        <v>3912</v>
      </c>
      <c r="C142" t="s">
        <v>3866</v>
      </c>
      <c r="D142" s="25" t="s">
        <v>1334</v>
      </c>
      <c r="E142">
        <v>87</v>
      </c>
      <c r="F142" t="s">
        <v>1486</v>
      </c>
      <c r="G142">
        <v>255</v>
      </c>
    </row>
    <row r="143" spans="1:83" x14ac:dyDescent="0.15">
      <c r="A143">
        <v>142</v>
      </c>
      <c r="B143" t="s">
        <v>3913</v>
      </c>
      <c r="C143" t="s">
        <v>3866</v>
      </c>
      <c r="D143" s="25" t="s">
        <v>1334</v>
      </c>
      <c r="E143">
        <v>87</v>
      </c>
      <c r="F143" t="s">
        <v>1486</v>
      </c>
      <c r="G143">
        <v>255</v>
      </c>
    </row>
    <row r="144" spans="1:83" x14ac:dyDescent="0.15">
      <c r="A144">
        <v>143</v>
      </c>
      <c r="B144" t="s">
        <v>1336</v>
      </c>
      <c r="C144" t="s">
        <v>3889</v>
      </c>
      <c r="D144" t="s">
        <v>1336</v>
      </c>
      <c r="E144">
        <v>89</v>
      </c>
    </row>
    <row r="145" spans="1:53" x14ac:dyDescent="0.15">
      <c r="A145">
        <v>144</v>
      </c>
      <c r="B145" t="s">
        <v>3914</v>
      </c>
      <c r="C145" t="s">
        <v>3866</v>
      </c>
      <c r="D145" s="25" t="s">
        <v>1337</v>
      </c>
      <c r="E145">
        <v>90</v>
      </c>
    </row>
    <row r="146" spans="1:53" x14ac:dyDescent="0.15">
      <c r="A146">
        <v>145</v>
      </c>
      <c r="B146" t="s">
        <v>3915</v>
      </c>
      <c r="C146" t="s">
        <v>3866</v>
      </c>
      <c r="D146" s="25" t="s">
        <v>1338</v>
      </c>
      <c r="E146">
        <v>91</v>
      </c>
    </row>
    <row r="147" spans="1:53" x14ac:dyDescent="0.15">
      <c r="A147">
        <v>146</v>
      </c>
      <c r="B147" t="s">
        <v>1339</v>
      </c>
      <c r="C147" t="s">
        <v>3866</v>
      </c>
      <c r="D147" s="25" t="s">
        <v>1263</v>
      </c>
      <c r="E147">
        <v>13</v>
      </c>
      <c r="F147" t="s">
        <v>1271</v>
      </c>
      <c r="G147">
        <v>20</v>
      </c>
      <c r="H147" t="s">
        <v>1287</v>
      </c>
      <c r="I147">
        <v>35</v>
      </c>
      <c r="J147" t="s">
        <v>1295</v>
      </c>
      <c r="K147">
        <v>43</v>
      </c>
      <c r="L147" t="s">
        <v>1300</v>
      </c>
      <c r="M147">
        <v>48</v>
      </c>
      <c r="N147" t="s">
        <v>1303</v>
      </c>
      <c r="O147">
        <v>51</v>
      </c>
      <c r="P147" t="s">
        <v>1309</v>
      </c>
      <c r="Q147">
        <v>59</v>
      </c>
      <c r="R147" t="s">
        <v>1443</v>
      </c>
      <c r="S147">
        <v>203</v>
      </c>
      <c r="T147" t="s">
        <v>1475</v>
      </c>
      <c r="U147">
        <v>240</v>
      </c>
      <c r="V147" t="s">
        <v>1484</v>
      </c>
      <c r="W147">
        <v>253</v>
      </c>
      <c r="X147" t="s">
        <v>1513</v>
      </c>
      <c r="Y147">
        <v>286</v>
      </c>
      <c r="Z147" t="s">
        <v>1538</v>
      </c>
      <c r="AA147">
        <v>313</v>
      </c>
      <c r="AB147" t="s">
        <v>1567</v>
      </c>
      <c r="AC147">
        <v>346</v>
      </c>
      <c r="AD147" t="s">
        <v>1568</v>
      </c>
      <c r="AE147">
        <v>347</v>
      </c>
      <c r="AF147" t="s">
        <v>1572</v>
      </c>
      <c r="AG147">
        <v>351</v>
      </c>
      <c r="AH147" t="s">
        <v>1575</v>
      </c>
      <c r="AI147">
        <v>355</v>
      </c>
      <c r="AJ147" t="s">
        <v>1586</v>
      </c>
      <c r="AK147">
        <v>366</v>
      </c>
      <c r="AL147" t="s">
        <v>1589</v>
      </c>
      <c r="AM147">
        <v>370</v>
      </c>
      <c r="AN147" t="s">
        <v>1597</v>
      </c>
      <c r="AO147">
        <v>379</v>
      </c>
      <c r="AP147" t="s">
        <v>1634</v>
      </c>
      <c r="AQ147">
        <v>421</v>
      </c>
      <c r="AR147" t="s">
        <v>1668</v>
      </c>
      <c r="AS147">
        <v>456</v>
      </c>
      <c r="AT147" t="s">
        <v>1669</v>
      </c>
      <c r="AU147">
        <v>457</v>
      </c>
      <c r="AV147" t="s">
        <v>1689</v>
      </c>
      <c r="AW147">
        <v>481</v>
      </c>
      <c r="AX147" t="s">
        <v>1751</v>
      </c>
      <c r="AY147">
        <v>549</v>
      </c>
      <c r="AZ147" t="s">
        <v>1124</v>
      </c>
      <c r="BA147">
        <v>642</v>
      </c>
    </row>
    <row r="148" spans="1:53" x14ac:dyDescent="0.15">
      <c r="A148">
        <v>147</v>
      </c>
      <c r="B148" t="s">
        <v>1340</v>
      </c>
      <c r="C148" t="s">
        <v>3889</v>
      </c>
      <c r="D148" s="28" t="s">
        <v>1340</v>
      </c>
      <c r="E148">
        <v>92</v>
      </c>
    </row>
    <row r="149" spans="1:53" x14ac:dyDescent="0.15">
      <c r="A149">
        <v>148</v>
      </c>
      <c r="B149" t="s">
        <v>1341</v>
      </c>
      <c r="C149" t="s">
        <v>3889</v>
      </c>
      <c r="D149" t="s">
        <v>1341</v>
      </c>
      <c r="E149">
        <v>93</v>
      </c>
    </row>
    <row r="150" spans="1:53" x14ac:dyDescent="0.15">
      <c r="A150">
        <v>149</v>
      </c>
      <c r="B150" t="s">
        <v>1342</v>
      </c>
      <c r="C150" t="s">
        <v>3889</v>
      </c>
      <c r="D150" t="s">
        <v>1342</v>
      </c>
      <c r="E150">
        <v>94</v>
      </c>
    </row>
    <row r="151" spans="1:53" x14ac:dyDescent="0.15">
      <c r="A151">
        <v>150</v>
      </c>
      <c r="B151" t="s">
        <v>1346</v>
      </c>
      <c r="C151" t="s">
        <v>3884</v>
      </c>
      <c r="D151" s="26"/>
    </row>
    <row r="152" spans="1:53" x14ac:dyDescent="0.15">
      <c r="A152">
        <v>151</v>
      </c>
      <c r="B152" t="s">
        <v>1347</v>
      </c>
      <c r="C152" t="s">
        <v>3889</v>
      </c>
      <c r="D152" t="s">
        <v>1347</v>
      </c>
      <c r="E152">
        <v>99</v>
      </c>
    </row>
    <row r="153" spans="1:53" x14ac:dyDescent="0.15">
      <c r="A153">
        <v>152</v>
      </c>
      <c r="B153" t="s">
        <v>1348</v>
      </c>
      <c r="C153" t="s">
        <v>3884</v>
      </c>
      <c r="D153" s="26"/>
    </row>
    <row r="154" spans="1:53" x14ac:dyDescent="0.15">
      <c r="A154">
        <v>153</v>
      </c>
      <c r="B154" t="s">
        <v>3916</v>
      </c>
      <c r="C154" t="s">
        <v>3866</v>
      </c>
      <c r="D154" s="25" t="s">
        <v>1350</v>
      </c>
      <c r="E154">
        <v>102</v>
      </c>
    </row>
    <row r="155" spans="1:53" x14ac:dyDescent="0.15">
      <c r="A155">
        <v>154</v>
      </c>
      <c r="B155" t="s">
        <v>3917</v>
      </c>
      <c r="C155" t="s">
        <v>3866</v>
      </c>
      <c r="D155" s="25" t="s">
        <v>1349</v>
      </c>
      <c r="E155">
        <v>101</v>
      </c>
    </row>
    <row r="156" spans="1:53" x14ac:dyDescent="0.15">
      <c r="A156">
        <v>155</v>
      </c>
      <c r="B156" t="s">
        <v>1351</v>
      </c>
      <c r="C156" t="s">
        <v>3889</v>
      </c>
      <c r="D156" t="s">
        <v>1351</v>
      </c>
      <c r="E156">
        <v>103</v>
      </c>
    </row>
    <row r="157" spans="1:53" x14ac:dyDescent="0.15">
      <c r="A157">
        <v>156</v>
      </c>
      <c r="B157" t="s">
        <v>1353</v>
      </c>
      <c r="C157" t="s">
        <v>3889</v>
      </c>
      <c r="D157" t="s">
        <v>1353</v>
      </c>
      <c r="E157">
        <v>105</v>
      </c>
    </row>
    <row r="158" spans="1:53" x14ac:dyDescent="0.15">
      <c r="A158">
        <v>157</v>
      </c>
      <c r="B158" t="s">
        <v>1355</v>
      </c>
      <c r="C158" t="s">
        <v>3889</v>
      </c>
      <c r="D158" t="s">
        <v>1355</v>
      </c>
      <c r="E158">
        <v>107</v>
      </c>
    </row>
    <row r="159" spans="1:53" x14ac:dyDescent="0.15">
      <c r="A159">
        <v>158</v>
      </c>
      <c r="B159" t="s">
        <v>1355</v>
      </c>
      <c r="C159" t="s">
        <v>3889</v>
      </c>
      <c r="D159" t="s">
        <v>1355</v>
      </c>
      <c r="E159">
        <v>107</v>
      </c>
    </row>
    <row r="160" spans="1:53" x14ac:dyDescent="0.15">
      <c r="A160">
        <v>159</v>
      </c>
      <c r="B160" t="s">
        <v>1354</v>
      </c>
      <c r="C160" t="s">
        <v>3889</v>
      </c>
      <c r="D160" t="s">
        <v>1354</v>
      </c>
      <c r="E160">
        <v>106</v>
      </c>
    </row>
    <row r="161" spans="1:7" x14ac:dyDescent="0.15">
      <c r="A161">
        <v>160</v>
      </c>
      <c r="B161" t="s">
        <v>1354</v>
      </c>
      <c r="C161" t="s">
        <v>3889</v>
      </c>
      <c r="D161" t="s">
        <v>1354</v>
      </c>
      <c r="E161">
        <v>106</v>
      </c>
    </row>
    <row r="162" spans="1:7" x14ac:dyDescent="0.15">
      <c r="A162">
        <v>161</v>
      </c>
      <c r="B162" t="s">
        <v>1356</v>
      </c>
      <c r="C162" t="s">
        <v>3889</v>
      </c>
      <c r="D162" t="s">
        <v>1356</v>
      </c>
      <c r="E162">
        <v>108</v>
      </c>
    </row>
    <row r="163" spans="1:7" x14ac:dyDescent="0.15">
      <c r="A163">
        <v>162</v>
      </c>
      <c r="B163" t="s">
        <v>3918</v>
      </c>
      <c r="C163" t="s">
        <v>3866</v>
      </c>
      <c r="D163" s="25" t="s">
        <v>1357</v>
      </c>
      <c r="E163">
        <v>109</v>
      </c>
      <c r="F163" t="s">
        <v>1399</v>
      </c>
      <c r="G163">
        <v>150</v>
      </c>
    </row>
    <row r="164" spans="1:7" x14ac:dyDescent="0.15">
      <c r="A164">
        <v>163</v>
      </c>
      <c r="B164" t="s">
        <v>3918</v>
      </c>
      <c r="C164" t="s">
        <v>3866</v>
      </c>
      <c r="D164" s="25" t="s">
        <v>1357</v>
      </c>
      <c r="E164">
        <v>109</v>
      </c>
      <c r="F164" t="s">
        <v>1399</v>
      </c>
      <c r="G164">
        <v>150</v>
      </c>
    </row>
    <row r="165" spans="1:7" x14ac:dyDescent="0.15">
      <c r="A165">
        <v>164</v>
      </c>
      <c r="B165" t="s">
        <v>365</v>
      </c>
      <c r="C165" t="s">
        <v>3884</v>
      </c>
    </row>
    <row r="166" spans="1:7" x14ac:dyDescent="0.15">
      <c r="A166">
        <v>165</v>
      </c>
      <c r="B166" t="s">
        <v>1358</v>
      </c>
      <c r="C166" t="s">
        <v>3889</v>
      </c>
      <c r="D166" t="s">
        <v>1358</v>
      </c>
      <c r="E166">
        <v>110</v>
      </c>
    </row>
    <row r="167" spans="1:7" x14ac:dyDescent="0.15">
      <c r="A167">
        <v>166</v>
      </c>
      <c r="B167" t="s">
        <v>1359</v>
      </c>
      <c r="C167" t="s">
        <v>3889</v>
      </c>
      <c r="D167" t="s">
        <v>1359</v>
      </c>
      <c r="E167">
        <v>111</v>
      </c>
    </row>
    <row r="168" spans="1:7" x14ac:dyDescent="0.15">
      <c r="A168">
        <v>167</v>
      </c>
      <c r="B168" t="s">
        <v>1359</v>
      </c>
      <c r="C168" t="s">
        <v>3889</v>
      </c>
      <c r="D168" t="s">
        <v>1359</v>
      </c>
      <c r="E168">
        <v>111</v>
      </c>
    </row>
    <row r="169" spans="1:7" x14ac:dyDescent="0.15">
      <c r="A169">
        <v>168</v>
      </c>
      <c r="B169" t="s">
        <v>1362</v>
      </c>
      <c r="C169" t="s">
        <v>3889</v>
      </c>
      <c r="D169" t="s">
        <v>1362</v>
      </c>
      <c r="E169">
        <v>114</v>
      </c>
    </row>
    <row r="170" spans="1:7" x14ac:dyDescent="0.15">
      <c r="A170">
        <v>169</v>
      </c>
      <c r="B170" t="s">
        <v>1364</v>
      </c>
      <c r="C170" t="s">
        <v>3889</v>
      </c>
      <c r="D170" t="s">
        <v>1364</v>
      </c>
      <c r="E170">
        <v>116</v>
      </c>
    </row>
    <row r="171" spans="1:7" x14ac:dyDescent="0.15">
      <c r="A171">
        <v>170</v>
      </c>
      <c r="B171" t="s">
        <v>1363</v>
      </c>
      <c r="C171" t="s">
        <v>3889</v>
      </c>
      <c r="D171" t="s">
        <v>1363</v>
      </c>
      <c r="E171">
        <v>115</v>
      </c>
    </row>
    <row r="172" spans="1:7" x14ac:dyDescent="0.15">
      <c r="A172">
        <v>171</v>
      </c>
      <c r="B172" t="s">
        <v>1365</v>
      </c>
      <c r="C172" t="s">
        <v>3889</v>
      </c>
      <c r="D172" t="s">
        <v>1365</v>
      </c>
      <c r="E172">
        <v>117</v>
      </c>
    </row>
    <row r="173" spans="1:7" x14ac:dyDescent="0.15">
      <c r="A173">
        <v>172</v>
      </c>
      <c r="B173" t="s">
        <v>376</v>
      </c>
      <c r="C173" t="s">
        <v>3866</v>
      </c>
      <c r="D173" s="25" t="s">
        <v>1368</v>
      </c>
      <c r="E173">
        <v>120</v>
      </c>
    </row>
    <row r="174" spans="1:7" x14ac:dyDescent="0.15">
      <c r="A174">
        <v>173</v>
      </c>
      <c r="B174" t="s">
        <v>1366</v>
      </c>
      <c r="C174" t="s">
        <v>3889</v>
      </c>
      <c r="D174" t="s">
        <v>1366</v>
      </c>
      <c r="E174">
        <v>118</v>
      </c>
    </row>
    <row r="175" spans="1:7" x14ac:dyDescent="0.15">
      <c r="A175">
        <v>174</v>
      </c>
      <c r="B175" t="s">
        <v>1367</v>
      </c>
      <c r="C175" t="s">
        <v>3889</v>
      </c>
      <c r="D175" t="s">
        <v>1367</v>
      </c>
      <c r="E175">
        <v>119</v>
      </c>
    </row>
    <row r="176" spans="1:7" x14ac:dyDescent="0.15">
      <c r="A176">
        <v>175</v>
      </c>
      <c r="B176" t="s">
        <v>1367</v>
      </c>
      <c r="C176" t="s">
        <v>3889</v>
      </c>
      <c r="D176" t="s">
        <v>1367</v>
      </c>
      <c r="E176">
        <v>119</v>
      </c>
    </row>
    <row r="177" spans="1:21" x14ac:dyDescent="0.15">
      <c r="A177">
        <v>176</v>
      </c>
      <c r="B177" t="s">
        <v>1369</v>
      </c>
      <c r="C177" t="s">
        <v>3889</v>
      </c>
      <c r="D177" t="s">
        <v>1369</v>
      </c>
      <c r="E177">
        <v>121</v>
      </c>
    </row>
    <row r="178" spans="1:21" x14ac:dyDescent="0.15">
      <c r="A178">
        <v>177</v>
      </c>
      <c r="B178" t="s">
        <v>1370</v>
      </c>
      <c r="C178" t="s">
        <v>3889</v>
      </c>
      <c r="D178" t="s">
        <v>1370</v>
      </c>
      <c r="E178">
        <v>122</v>
      </c>
    </row>
    <row r="179" spans="1:21" x14ac:dyDescent="0.15">
      <c r="A179">
        <v>178</v>
      </c>
      <c r="B179" t="s">
        <v>1373</v>
      </c>
      <c r="C179" t="s">
        <v>3889</v>
      </c>
      <c r="D179" t="s">
        <v>1373</v>
      </c>
      <c r="E179">
        <v>125</v>
      </c>
    </row>
    <row r="180" spans="1:21" x14ac:dyDescent="0.15">
      <c r="A180">
        <v>179</v>
      </c>
      <c r="B180" t="s">
        <v>1372</v>
      </c>
      <c r="C180" t="s">
        <v>3889</v>
      </c>
      <c r="D180" t="s">
        <v>1372</v>
      </c>
      <c r="E180">
        <v>124</v>
      </c>
    </row>
    <row r="181" spans="1:21" x14ac:dyDescent="0.15">
      <c r="A181">
        <v>180</v>
      </c>
      <c r="B181" t="s">
        <v>1372</v>
      </c>
      <c r="C181" t="s">
        <v>3889</v>
      </c>
      <c r="D181" t="s">
        <v>1372</v>
      </c>
      <c r="E181">
        <v>124</v>
      </c>
    </row>
    <row r="182" spans="1:21" x14ac:dyDescent="0.15">
      <c r="A182">
        <v>181</v>
      </c>
      <c r="B182" t="s">
        <v>3919</v>
      </c>
      <c r="C182" t="s">
        <v>3866</v>
      </c>
      <c r="D182" s="25" t="s">
        <v>1374</v>
      </c>
      <c r="E182">
        <v>126</v>
      </c>
    </row>
    <row r="183" spans="1:21" x14ac:dyDescent="0.15">
      <c r="A183">
        <v>182</v>
      </c>
      <c r="B183" t="s">
        <v>3920</v>
      </c>
      <c r="C183" t="s">
        <v>3866</v>
      </c>
      <c r="D183" s="26" t="s">
        <v>1253</v>
      </c>
      <c r="E183">
        <v>2</v>
      </c>
      <c r="F183" t="s">
        <v>276</v>
      </c>
      <c r="G183">
        <v>63</v>
      </c>
      <c r="H183" t="s">
        <v>1340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1603</v>
      </c>
      <c r="O183">
        <v>386</v>
      </c>
      <c r="P183" t="s">
        <v>1631</v>
      </c>
      <c r="Q183">
        <v>416</v>
      </c>
      <c r="R183" t="s">
        <v>1673</v>
      </c>
      <c r="S183">
        <v>462</v>
      </c>
      <c r="T183" t="s">
        <v>1685</v>
      </c>
      <c r="U183">
        <v>475</v>
      </c>
    </row>
    <row r="184" spans="1:21" x14ac:dyDescent="0.15">
      <c r="A184">
        <v>183</v>
      </c>
      <c r="B184" t="s">
        <v>3921</v>
      </c>
      <c r="C184" t="s">
        <v>3866</v>
      </c>
      <c r="D184" t="s">
        <v>1376</v>
      </c>
      <c r="E184">
        <v>128</v>
      </c>
    </row>
    <row r="185" spans="1:21" x14ac:dyDescent="0.15">
      <c r="A185">
        <v>184</v>
      </c>
      <c r="B185" t="s">
        <v>1377</v>
      </c>
      <c r="C185" t="s">
        <v>3889</v>
      </c>
      <c r="D185" t="s">
        <v>1377</v>
      </c>
      <c r="E185">
        <v>129</v>
      </c>
    </row>
    <row r="186" spans="1:21" x14ac:dyDescent="0.15">
      <c r="A186">
        <v>185</v>
      </c>
      <c r="B186" t="s">
        <v>1377</v>
      </c>
      <c r="C186" t="s">
        <v>3889</v>
      </c>
      <c r="D186" t="s">
        <v>1377</v>
      </c>
      <c r="E186">
        <v>129</v>
      </c>
    </row>
    <row r="187" spans="1:21" x14ac:dyDescent="0.15">
      <c r="A187">
        <v>186</v>
      </c>
      <c r="B187" t="s">
        <v>1384</v>
      </c>
      <c r="C187" t="s">
        <v>3889</v>
      </c>
      <c r="D187" t="s">
        <v>1384</v>
      </c>
      <c r="E187">
        <v>135</v>
      </c>
    </row>
    <row r="188" spans="1:21" x14ac:dyDescent="0.15">
      <c r="A188">
        <v>187</v>
      </c>
      <c r="B188" t="s">
        <v>1383</v>
      </c>
      <c r="C188" t="s">
        <v>3866</v>
      </c>
      <c r="D188" s="26" t="s">
        <v>1727</v>
      </c>
      <c r="E188">
        <v>521</v>
      </c>
    </row>
    <row r="189" spans="1:21" x14ac:dyDescent="0.15">
      <c r="A189">
        <v>188</v>
      </c>
      <c r="B189" t="s">
        <v>1385</v>
      </c>
      <c r="C189" t="s">
        <v>3889</v>
      </c>
      <c r="D189" t="s">
        <v>1385</v>
      </c>
      <c r="E189">
        <v>136</v>
      </c>
    </row>
    <row r="190" spans="1:21" x14ac:dyDescent="0.15">
      <c r="A190">
        <v>189</v>
      </c>
      <c r="B190" t="s">
        <v>1382</v>
      </c>
      <c r="C190" t="s">
        <v>3889</v>
      </c>
      <c r="D190" t="s">
        <v>1382</v>
      </c>
      <c r="E190">
        <v>134</v>
      </c>
    </row>
    <row r="191" spans="1:21" x14ac:dyDescent="0.15">
      <c r="A191">
        <v>190</v>
      </c>
      <c r="B191" t="s">
        <v>1380</v>
      </c>
      <c r="C191" t="s">
        <v>3889</v>
      </c>
      <c r="D191" t="s">
        <v>1380</v>
      </c>
      <c r="E191">
        <v>132</v>
      </c>
    </row>
    <row r="192" spans="1:21" x14ac:dyDescent="0.15">
      <c r="A192">
        <v>191</v>
      </c>
      <c r="B192" t="s">
        <v>1380</v>
      </c>
      <c r="C192" t="s">
        <v>3889</v>
      </c>
      <c r="D192" t="s">
        <v>1380</v>
      </c>
      <c r="E192">
        <v>132</v>
      </c>
    </row>
    <row r="193" spans="1:5" x14ac:dyDescent="0.15">
      <c r="A193">
        <v>192</v>
      </c>
      <c r="B193" t="s">
        <v>1378</v>
      </c>
      <c r="C193" t="s">
        <v>3889</v>
      </c>
      <c r="D193" t="s">
        <v>1378</v>
      </c>
      <c r="E193">
        <v>130</v>
      </c>
    </row>
    <row r="194" spans="1:5" x14ac:dyDescent="0.15">
      <c r="A194">
        <v>193</v>
      </c>
      <c r="B194" t="s">
        <v>1378</v>
      </c>
      <c r="C194" t="s">
        <v>3889</v>
      </c>
      <c r="D194" t="s">
        <v>1378</v>
      </c>
      <c r="E194">
        <v>130</v>
      </c>
    </row>
    <row r="195" spans="1:5" x14ac:dyDescent="0.15">
      <c r="A195">
        <v>194</v>
      </c>
      <c r="B195" t="s">
        <v>1381</v>
      </c>
      <c r="C195" t="s">
        <v>3889</v>
      </c>
      <c r="D195" t="s">
        <v>1381</v>
      </c>
      <c r="E195">
        <v>133</v>
      </c>
    </row>
    <row r="196" spans="1:5" x14ac:dyDescent="0.15">
      <c r="A196">
        <v>195</v>
      </c>
      <c r="B196" t="s">
        <v>1381</v>
      </c>
      <c r="C196" t="s">
        <v>3889</v>
      </c>
      <c r="D196" t="s">
        <v>1381</v>
      </c>
      <c r="E196">
        <v>133</v>
      </c>
    </row>
    <row r="197" spans="1:5" x14ac:dyDescent="0.15">
      <c r="A197">
        <v>196</v>
      </c>
      <c r="B197" t="s">
        <v>1379</v>
      </c>
      <c r="C197" t="s">
        <v>3889</v>
      </c>
      <c r="D197" t="s">
        <v>1379</v>
      </c>
      <c r="E197">
        <v>131</v>
      </c>
    </row>
    <row r="198" spans="1:5" x14ac:dyDescent="0.15">
      <c r="A198">
        <v>197</v>
      </c>
      <c r="B198" t="s">
        <v>1379</v>
      </c>
      <c r="C198" t="s">
        <v>3889</v>
      </c>
      <c r="D198" t="s">
        <v>1379</v>
      </c>
      <c r="E198">
        <v>131</v>
      </c>
    </row>
    <row r="199" spans="1:5" x14ac:dyDescent="0.15">
      <c r="A199">
        <v>198</v>
      </c>
      <c r="B199" t="s">
        <v>404</v>
      </c>
      <c r="C199" t="s">
        <v>3889</v>
      </c>
      <c r="D199" t="s">
        <v>404</v>
      </c>
      <c r="E199">
        <v>137</v>
      </c>
    </row>
    <row r="200" spans="1:5" x14ac:dyDescent="0.15">
      <c r="A200">
        <v>199</v>
      </c>
      <c r="B200" t="s">
        <v>1386</v>
      </c>
      <c r="C200" t="s">
        <v>3889</v>
      </c>
      <c r="D200" t="s">
        <v>1386</v>
      </c>
      <c r="E200">
        <v>138</v>
      </c>
    </row>
    <row r="201" spans="1:5" x14ac:dyDescent="0.15">
      <c r="A201">
        <v>200</v>
      </c>
      <c r="B201" t="s">
        <v>1393</v>
      </c>
      <c r="C201" t="s">
        <v>3884</v>
      </c>
      <c r="D201" s="26"/>
    </row>
    <row r="202" spans="1:5" x14ac:dyDescent="0.15">
      <c r="A202">
        <v>201</v>
      </c>
      <c r="B202" t="s">
        <v>1396</v>
      </c>
      <c r="C202" t="s">
        <v>3889</v>
      </c>
      <c r="D202" t="s">
        <v>1396</v>
      </c>
      <c r="E202">
        <v>147</v>
      </c>
    </row>
    <row r="203" spans="1:5" x14ac:dyDescent="0.15">
      <c r="A203">
        <v>202</v>
      </c>
      <c r="B203" t="s">
        <v>1394</v>
      </c>
      <c r="C203" t="s">
        <v>3889</v>
      </c>
      <c r="D203" t="s">
        <v>1394</v>
      </c>
      <c r="E203">
        <v>145</v>
      </c>
    </row>
    <row r="204" spans="1:5" x14ac:dyDescent="0.15">
      <c r="A204">
        <v>203</v>
      </c>
      <c r="B204" t="s">
        <v>1395</v>
      </c>
      <c r="C204" t="s">
        <v>3889</v>
      </c>
      <c r="D204" t="s">
        <v>1395</v>
      </c>
      <c r="E204">
        <v>146</v>
      </c>
    </row>
    <row r="205" spans="1:5" x14ac:dyDescent="0.15">
      <c r="A205">
        <v>204</v>
      </c>
      <c r="B205" t="s">
        <v>1398</v>
      </c>
      <c r="C205" t="s">
        <v>3889</v>
      </c>
      <c r="D205" t="s">
        <v>1398</v>
      </c>
      <c r="E205">
        <v>149</v>
      </c>
    </row>
    <row r="206" spans="1:5" x14ac:dyDescent="0.15">
      <c r="A206">
        <v>205</v>
      </c>
      <c r="B206" t="s">
        <v>1397</v>
      </c>
      <c r="C206" t="s">
        <v>3889</v>
      </c>
      <c r="D206" t="s">
        <v>1397</v>
      </c>
      <c r="E206">
        <v>148</v>
      </c>
    </row>
    <row r="207" spans="1:5" x14ac:dyDescent="0.15">
      <c r="A207">
        <v>206</v>
      </c>
      <c r="B207" t="s">
        <v>1399</v>
      </c>
      <c r="C207" t="s">
        <v>3889</v>
      </c>
      <c r="D207" t="s">
        <v>1399</v>
      </c>
      <c r="E207">
        <v>150</v>
      </c>
    </row>
    <row r="208" spans="1:5" x14ac:dyDescent="0.15">
      <c r="A208">
        <v>207</v>
      </c>
      <c r="B208" t="s">
        <v>416</v>
      </c>
      <c r="C208" t="s">
        <v>3889</v>
      </c>
      <c r="D208" t="s">
        <v>416</v>
      </c>
      <c r="E208">
        <v>151</v>
      </c>
    </row>
    <row r="209" spans="1:9" x14ac:dyDescent="0.15">
      <c r="A209">
        <v>208</v>
      </c>
      <c r="B209" t="s">
        <v>3922</v>
      </c>
      <c r="C209" t="s">
        <v>3866</v>
      </c>
      <c r="D209" s="25" t="s">
        <v>1400</v>
      </c>
      <c r="E209">
        <v>152</v>
      </c>
    </row>
    <row r="210" spans="1:9" x14ac:dyDescent="0.15">
      <c r="A210">
        <v>209</v>
      </c>
      <c r="B210" t="s">
        <v>421</v>
      </c>
      <c r="C210" t="s">
        <v>3889</v>
      </c>
      <c r="D210" t="s">
        <v>421</v>
      </c>
      <c r="E210">
        <v>153</v>
      </c>
    </row>
    <row r="211" spans="1:9" x14ac:dyDescent="0.15">
      <c r="A211">
        <v>210</v>
      </c>
      <c r="B211" t="s">
        <v>1401</v>
      </c>
      <c r="C211" t="s">
        <v>3889</v>
      </c>
      <c r="D211" t="s">
        <v>1401</v>
      </c>
      <c r="E211">
        <v>154</v>
      </c>
    </row>
    <row r="212" spans="1:9" s="29" customFormat="1" x14ac:dyDescent="0.15">
      <c r="A212" s="29">
        <v>211</v>
      </c>
      <c r="B212" s="29" t="s">
        <v>3923</v>
      </c>
      <c r="C212" s="29" t="s">
        <v>3884</v>
      </c>
    </row>
    <row r="213" spans="1:9" x14ac:dyDescent="0.15">
      <c r="A213">
        <v>212</v>
      </c>
      <c r="B213" t="s">
        <v>1403</v>
      </c>
      <c r="C213" t="s">
        <v>3889</v>
      </c>
      <c r="D213" t="s">
        <v>1403</v>
      </c>
      <c r="E213">
        <v>156</v>
      </c>
    </row>
    <row r="214" spans="1:9" x14ac:dyDescent="0.15">
      <c r="A214">
        <v>213</v>
      </c>
      <c r="B214" t="s">
        <v>1404</v>
      </c>
      <c r="C214" t="s">
        <v>3889</v>
      </c>
      <c r="D214" t="s">
        <v>1404</v>
      </c>
      <c r="E214">
        <v>157</v>
      </c>
    </row>
    <row r="215" spans="1:9" x14ac:dyDescent="0.15">
      <c r="A215">
        <v>214</v>
      </c>
      <c r="B215" t="s">
        <v>1405</v>
      </c>
      <c r="C215" t="s">
        <v>3889</v>
      </c>
      <c r="D215" t="s">
        <v>1405</v>
      </c>
      <c r="E215">
        <v>158</v>
      </c>
    </row>
    <row r="216" spans="1:9" x14ac:dyDescent="0.15">
      <c r="A216">
        <v>215</v>
      </c>
      <c r="B216" t="s">
        <v>1405</v>
      </c>
      <c r="C216" t="s">
        <v>3889</v>
      </c>
      <c r="D216" t="s">
        <v>1405</v>
      </c>
      <c r="E216">
        <v>158</v>
      </c>
    </row>
    <row r="217" spans="1:9" x14ac:dyDescent="0.15">
      <c r="A217">
        <v>216</v>
      </c>
      <c r="B217" t="s">
        <v>1406</v>
      </c>
      <c r="C217" t="s">
        <v>3889</v>
      </c>
      <c r="D217" t="s">
        <v>1406</v>
      </c>
      <c r="E217">
        <v>159</v>
      </c>
    </row>
    <row r="218" spans="1:9" x14ac:dyDescent="0.15">
      <c r="A218">
        <v>217</v>
      </c>
      <c r="B218" t="s">
        <v>1407</v>
      </c>
      <c r="C218" t="s">
        <v>3889</v>
      </c>
      <c r="D218" t="s">
        <v>1407</v>
      </c>
      <c r="E218">
        <v>160</v>
      </c>
    </row>
    <row r="219" spans="1:9" x14ac:dyDescent="0.15">
      <c r="A219">
        <v>218</v>
      </c>
      <c r="B219" t="s">
        <v>1408</v>
      </c>
      <c r="C219" t="s">
        <v>3889</v>
      </c>
      <c r="D219" t="s">
        <v>1408</v>
      </c>
      <c r="E219">
        <v>161</v>
      </c>
    </row>
    <row r="220" spans="1:9" x14ac:dyDescent="0.15">
      <c r="A220">
        <v>219</v>
      </c>
      <c r="B220" t="s">
        <v>3924</v>
      </c>
      <c r="C220" t="s">
        <v>3866</v>
      </c>
      <c r="D220" s="25" t="s">
        <v>1409</v>
      </c>
      <c r="E220">
        <v>162</v>
      </c>
    </row>
    <row r="221" spans="1:9" x14ac:dyDescent="0.15">
      <c r="A221">
        <v>220</v>
      </c>
      <c r="B221" t="s">
        <v>3924</v>
      </c>
      <c r="C221" t="s">
        <v>3866</v>
      </c>
      <c r="D221" s="25" t="s">
        <v>1409</v>
      </c>
      <c r="E221">
        <v>162</v>
      </c>
    </row>
    <row r="222" spans="1:9" x14ac:dyDescent="0.15">
      <c r="A222">
        <v>221</v>
      </c>
      <c r="B222" t="s">
        <v>445</v>
      </c>
      <c r="C222" t="s">
        <v>3889</v>
      </c>
      <c r="D222" t="s">
        <v>445</v>
      </c>
      <c r="E222">
        <v>163</v>
      </c>
    </row>
    <row r="223" spans="1:9" x14ac:dyDescent="0.15">
      <c r="A223">
        <v>222</v>
      </c>
      <c r="B223" t="s">
        <v>449</v>
      </c>
      <c r="C223" t="s">
        <v>3866</v>
      </c>
      <c r="D223" s="25" t="s">
        <v>1415</v>
      </c>
      <c r="E223">
        <v>167</v>
      </c>
      <c r="F223" t="s">
        <v>1525</v>
      </c>
      <c r="G223">
        <v>299</v>
      </c>
      <c r="H223" t="s">
        <v>1583</v>
      </c>
      <c r="I223">
        <v>363</v>
      </c>
    </row>
    <row r="224" spans="1:9" x14ac:dyDescent="0.15">
      <c r="A224">
        <v>223</v>
      </c>
      <c r="B224" t="s">
        <v>1411</v>
      </c>
      <c r="C224" t="s">
        <v>3889</v>
      </c>
      <c r="D224" t="s">
        <v>1411</v>
      </c>
      <c r="E224">
        <v>164</v>
      </c>
    </row>
    <row r="225" spans="1:23" x14ac:dyDescent="0.15">
      <c r="A225">
        <v>224</v>
      </c>
      <c r="B225" t="s">
        <v>3925</v>
      </c>
      <c r="C225" t="s">
        <v>3866</v>
      </c>
      <c r="D225" s="25" t="s">
        <v>1412</v>
      </c>
      <c r="E225">
        <v>165</v>
      </c>
      <c r="F225" t="s">
        <v>1609</v>
      </c>
      <c r="G225">
        <v>392</v>
      </c>
    </row>
    <row r="226" spans="1:23" x14ac:dyDescent="0.15">
      <c r="A226">
        <v>225</v>
      </c>
      <c r="B226" t="s">
        <v>1413</v>
      </c>
      <c r="C226" t="s">
        <v>3889</v>
      </c>
      <c r="D226" t="s">
        <v>1413</v>
      </c>
      <c r="E226">
        <v>166</v>
      </c>
    </row>
    <row r="227" spans="1:23" x14ac:dyDescent="0.15">
      <c r="A227">
        <v>226</v>
      </c>
      <c r="B227" t="s">
        <v>1414</v>
      </c>
      <c r="C227" t="s">
        <v>3866</v>
      </c>
      <c r="D227" s="26" t="s">
        <v>1801</v>
      </c>
      <c r="E227">
        <v>603</v>
      </c>
      <c r="F227" t="s">
        <v>1802</v>
      </c>
      <c r="G227">
        <v>604</v>
      </c>
      <c r="H227" t="s">
        <v>1803</v>
      </c>
      <c r="I227">
        <v>605</v>
      </c>
    </row>
    <row r="228" spans="1:23" x14ac:dyDescent="0.15">
      <c r="A228">
        <v>227</v>
      </c>
      <c r="B228" t="s">
        <v>459</v>
      </c>
      <c r="C228" t="s">
        <v>3889</v>
      </c>
      <c r="D228" t="s">
        <v>459</v>
      </c>
      <c r="E228">
        <v>168</v>
      </c>
    </row>
    <row r="229" spans="1:23" x14ac:dyDescent="0.15">
      <c r="A229">
        <v>228</v>
      </c>
      <c r="B229" t="s">
        <v>1416</v>
      </c>
      <c r="C229" t="s">
        <v>3889</v>
      </c>
      <c r="D229" t="s">
        <v>1416</v>
      </c>
      <c r="E229">
        <v>169</v>
      </c>
    </row>
    <row r="230" spans="1:23" x14ac:dyDescent="0.15">
      <c r="A230">
        <v>229</v>
      </c>
      <c r="B230" t="s">
        <v>1419</v>
      </c>
      <c r="C230" t="s">
        <v>3866</v>
      </c>
      <c r="D230" s="26" t="s">
        <v>1721</v>
      </c>
      <c r="E230">
        <v>514</v>
      </c>
      <c r="F230" t="s">
        <v>1722</v>
      </c>
      <c r="G230">
        <v>515</v>
      </c>
      <c r="H230" t="s">
        <v>1875</v>
      </c>
      <c r="I230">
        <v>680</v>
      </c>
    </row>
    <row r="231" spans="1:23" x14ac:dyDescent="0.15">
      <c r="A231">
        <v>230</v>
      </c>
      <c r="B231" t="s">
        <v>464</v>
      </c>
      <c r="C231" t="s">
        <v>3889</v>
      </c>
      <c r="D231" t="s">
        <v>464</v>
      </c>
      <c r="E231">
        <v>173</v>
      </c>
    </row>
    <row r="232" spans="1:23" x14ac:dyDescent="0.15">
      <c r="A232">
        <v>231</v>
      </c>
      <c r="B232" t="s">
        <v>467</v>
      </c>
      <c r="C232" t="s">
        <v>3889</v>
      </c>
      <c r="D232" t="s">
        <v>467</v>
      </c>
      <c r="E232">
        <v>172</v>
      </c>
    </row>
    <row r="233" spans="1:23" x14ac:dyDescent="0.15">
      <c r="A233">
        <v>232</v>
      </c>
      <c r="B233" t="s">
        <v>3926</v>
      </c>
      <c r="C233" t="s">
        <v>3866</v>
      </c>
      <c r="D233" s="26" t="s">
        <v>1717</v>
      </c>
      <c r="E233">
        <v>510</v>
      </c>
    </row>
    <row r="234" spans="1:23" s="29" customFormat="1" ht="14.25" thickBot="1" x14ac:dyDescent="0.2">
      <c r="A234" s="29">
        <v>233</v>
      </c>
      <c r="B234" s="29" t="s">
        <v>470</v>
      </c>
      <c r="C234" s="29" t="s">
        <v>3866</v>
      </c>
      <c r="D234" s="30" t="s">
        <v>1307</v>
      </c>
      <c r="E234" s="29">
        <v>56</v>
      </c>
      <c r="F234" s="29" t="s">
        <v>1335</v>
      </c>
      <c r="G234" s="29">
        <v>88</v>
      </c>
      <c r="H234" s="29" t="s">
        <v>1360</v>
      </c>
      <c r="I234" s="29">
        <v>112</v>
      </c>
      <c r="J234" s="29" t="s">
        <v>1361</v>
      </c>
      <c r="K234" s="29">
        <v>113</v>
      </c>
      <c r="L234" s="29" t="s">
        <v>1418</v>
      </c>
      <c r="M234" s="29">
        <v>171</v>
      </c>
      <c r="N234" s="29" t="s">
        <v>1516</v>
      </c>
      <c r="O234" s="29">
        <v>290</v>
      </c>
      <c r="P234" s="29" t="s">
        <v>1543</v>
      </c>
      <c r="Q234" s="29">
        <v>318</v>
      </c>
      <c r="R234" s="29" t="s">
        <v>1679</v>
      </c>
      <c r="S234" s="29">
        <v>469</v>
      </c>
      <c r="T234" s="29" t="s">
        <v>1680</v>
      </c>
      <c r="U234" s="29">
        <v>470</v>
      </c>
      <c r="V234" s="29" t="s">
        <v>1741</v>
      </c>
      <c r="W234" s="29">
        <v>537</v>
      </c>
    </row>
    <row r="235" spans="1:23" ht="14.25" thickTop="1" x14ac:dyDescent="0.15">
      <c r="A235">
        <v>234</v>
      </c>
      <c r="B235" t="s">
        <v>1420</v>
      </c>
      <c r="C235" t="s">
        <v>3889</v>
      </c>
      <c r="D235" t="s">
        <v>1420</v>
      </c>
      <c r="E235">
        <v>174</v>
      </c>
    </row>
    <row r="236" spans="1:23" x14ac:dyDescent="0.15">
      <c r="A236">
        <v>235</v>
      </c>
      <c r="B236" t="s">
        <v>473</v>
      </c>
      <c r="C236" t="s">
        <v>3889</v>
      </c>
      <c r="D236" t="s">
        <v>473</v>
      </c>
      <c r="E236">
        <v>177</v>
      </c>
    </row>
    <row r="237" spans="1:23" x14ac:dyDescent="0.15">
      <c r="A237">
        <v>236</v>
      </c>
      <c r="B237" t="s">
        <v>474</v>
      </c>
      <c r="C237" t="s">
        <v>3889</v>
      </c>
      <c r="D237" t="s">
        <v>474</v>
      </c>
      <c r="E237">
        <v>175</v>
      </c>
    </row>
    <row r="238" spans="1:23" x14ac:dyDescent="0.15">
      <c r="A238">
        <v>237</v>
      </c>
      <c r="B238" t="s">
        <v>474</v>
      </c>
      <c r="C238" t="s">
        <v>3889</v>
      </c>
      <c r="D238" t="s">
        <v>474</v>
      </c>
      <c r="E238">
        <v>175</v>
      </c>
    </row>
    <row r="239" spans="1:23" x14ac:dyDescent="0.15">
      <c r="A239">
        <v>238</v>
      </c>
      <c r="B239" t="s">
        <v>474</v>
      </c>
      <c r="C239" t="s">
        <v>3889</v>
      </c>
      <c r="D239" t="s">
        <v>474</v>
      </c>
      <c r="E239">
        <v>175</v>
      </c>
    </row>
    <row r="240" spans="1:23" x14ac:dyDescent="0.15">
      <c r="A240">
        <v>239</v>
      </c>
      <c r="B240" t="s">
        <v>475</v>
      </c>
      <c r="C240" t="s">
        <v>3889</v>
      </c>
      <c r="D240" t="s">
        <v>475</v>
      </c>
      <c r="E240">
        <v>176</v>
      </c>
    </row>
    <row r="241" spans="1:5" x14ac:dyDescent="0.15">
      <c r="A241">
        <v>240</v>
      </c>
      <c r="B241" t="s">
        <v>475</v>
      </c>
      <c r="C241" t="s">
        <v>3889</v>
      </c>
      <c r="D241" t="s">
        <v>475</v>
      </c>
      <c r="E241">
        <v>176</v>
      </c>
    </row>
    <row r="242" spans="1:5" x14ac:dyDescent="0.15">
      <c r="A242">
        <v>241</v>
      </c>
      <c r="B242" t="s">
        <v>476</v>
      </c>
      <c r="C242" t="s">
        <v>3884</v>
      </c>
    </row>
    <row r="243" spans="1:5" x14ac:dyDescent="0.15">
      <c r="A243">
        <v>242</v>
      </c>
      <c r="B243" t="s">
        <v>479</v>
      </c>
      <c r="C243" t="s">
        <v>3889</v>
      </c>
      <c r="D243" t="s">
        <v>479</v>
      </c>
      <c r="E243">
        <v>179</v>
      </c>
    </row>
    <row r="244" spans="1:5" x14ac:dyDescent="0.15">
      <c r="A244">
        <v>243</v>
      </c>
      <c r="B244" t="s">
        <v>1423</v>
      </c>
      <c r="C244" t="s">
        <v>3889</v>
      </c>
      <c r="D244" t="s">
        <v>1423</v>
      </c>
      <c r="E244">
        <v>181</v>
      </c>
    </row>
    <row r="245" spans="1:5" x14ac:dyDescent="0.15">
      <c r="A245">
        <v>244</v>
      </c>
      <c r="B245" t="s">
        <v>483</v>
      </c>
      <c r="C245" t="s">
        <v>3889</v>
      </c>
      <c r="D245" t="s">
        <v>483</v>
      </c>
      <c r="E245">
        <v>182</v>
      </c>
    </row>
    <row r="246" spans="1:5" x14ac:dyDescent="0.15">
      <c r="A246">
        <v>245</v>
      </c>
      <c r="B246" t="s">
        <v>484</v>
      </c>
      <c r="C246" t="s">
        <v>3889</v>
      </c>
      <c r="D246" t="s">
        <v>484</v>
      </c>
      <c r="E246">
        <v>183</v>
      </c>
    </row>
    <row r="247" spans="1:5" x14ac:dyDescent="0.15">
      <c r="A247">
        <v>246</v>
      </c>
      <c r="B247" t="s">
        <v>1424</v>
      </c>
      <c r="C247" t="s">
        <v>3889</v>
      </c>
      <c r="D247" t="s">
        <v>1424</v>
      </c>
      <c r="E247">
        <v>184</v>
      </c>
    </row>
    <row r="248" spans="1:5" x14ac:dyDescent="0.15">
      <c r="A248">
        <v>247</v>
      </c>
      <c r="B248" t="s">
        <v>1425</v>
      </c>
      <c r="C248" t="s">
        <v>3889</v>
      </c>
      <c r="D248" t="s">
        <v>1425</v>
      </c>
      <c r="E248">
        <v>185</v>
      </c>
    </row>
    <row r="249" spans="1:5" x14ac:dyDescent="0.15">
      <c r="A249">
        <v>248</v>
      </c>
      <c r="B249" t="s">
        <v>1426</v>
      </c>
      <c r="C249" t="s">
        <v>3889</v>
      </c>
      <c r="D249" t="s">
        <v>1426</v>
      </c>
      <c r="E249">
        <v>186</v>
      </c>
    </row>
    <row r="250" spans="1:5" x14ac:dyDescent="0.15">
      <c r="A250">
        <v>249</v>
      </c>
      <c r="B250" t="s">
        <v>492</v>
      </c>
      <c r="C250" t="s">
        <v>3889</v>
      </c>
      <c r="D250" t="s">
        <v>492</v>
      </c>
      <c r="E250">
        <v>195</v>
      </c>
    </row>
    <row r="251" spans="1:5" x14ac:dyDescent="0.15">
      <c r="A251">
        <v>250</v>
      </c>
      <c r="B251" t="s">
        <v>3927</v>
      </c>
      <c r="C251" t="s">
        <v>3866</v>
      </c>
      <c r="D251" s="25" t="s">
        <v>1427</v>
      </c>
      <c r="E251">
        <v>187</v>
      </c>
    </row>
    <row r="252" spans="1:5" x14ac:dyDescent="0.15">
      <c r="A252">
        <v>251</v>
      </c>
      <c r="B252" t="s">
        <v>3928</v>
      </c>
      <c r="C252" t="s">
        <v>3866</v>
      </c>
      <c r="D252" s="25" t="s">
        <v>1428</v>
      </c>
      <c r="E252">
        <v>188</v>
      </c>
    </row>
    <row r="253" spans="1:5" x14ac:dyDescent="0.15">
      <c r="A253">
        <v>252</v>
      </c>
      <c r="B253" t="s">
        <v>1429</v>
      </c>
      <c r="C253" t="s">
        <v>3884</v>
      </c>
      <c r="D253" s="26"/>
    </row>
    <row r="254" spans="1:5" x14ac:dyDescent="0.15">
      <c r="A254">
        <v>253</v>
      </c>
      <c r="B254" t="s">
        <v>1431</v>
      </c>
      <c r="C254" t="s">
        <v>3889</v>
      </c>
      <c r="D254" t="s">
        <v>1431</v>
      </c>
      <c r="E254">
        <v>191</v>
      </c>
    </row>
    <row r="255" spans="1:5" x14ac:dyDescent="0.15">
      <c r="A255">
        <v>254</v>
      </c>
      <c r="B255" t="s">
        <v>1430</v>
      </c>
      <c r="C255" t="s">
        <v>3889</v>
      </c>
      <c r="D255" t="s">
        <v>1430</v>
      </c>
      <c r="E255">
        <v>190</v>
      </c>
    </row>
    <row r="256" spans="1:5" x14ac:dyDescent="0.15">
      <c r="A256">
        <v>255</v>
      </c>
      <c r="B256" t="s">
        <v>1433</v>
      </c>
      <c r="C256" t="s">
        <v>3889</v>
      </c>
      <c r="D256" t="s">
        <v>1433</v>
      </c>
      <c r="E256">
        <v>193</v>
      </c>
    </row>
    <row r="257" spans="1:5" x14ac:dyDescent="0.15">
      <c r="A257">
        <v>256</v>
      </c>
      <c r="B257" t="s">
        <v>1432</v>
      </c>
      <c r="C257" t="s">
        <v>3889</v>
      </c>
      <c r="D257" t="s">
        <v>1432</v>
      </c>
      <c r="E257">
        <v>192</v>
      </c>
    </row>
    <row r="258" spans="1:5" x14ac:dyDescent="0.15">
      <c r="A258">
        <v>257</v>
      </c>
      <c r="B258" t="s">
        <v>1434</v>
      </c>
      <c r="C258" t="s">
        <v>3889</v>
      </c>
      <c r="D258" t="s">
        <v>1434</v>
      </c>
      <c r="E258">
        <v>194</v>
      </c>
    </row>
    <row r="259" spans="1:5" x14ac:dyDescent="0.15">
      <c r="A259">
        <v>258</v>
      </c>
      <c r="B259" t="s">
        <v>1435</v>
      </c>
      <c r="C259" t="s">
        <v>3884</v>
      </c>
      <c r="D259" s="26"/>
    </row>
    <row r="260" spans="1:5" x14ac:dyDescent="0.15">
      <c r="A260">
        <v>259</v>
      </c>
      <c r="B260" t="s">
        <v>1436</v>
      </c>
      <c r="C260" t="s">
        <v>3889</v>
      </c>
      <c r="D260" s="25" t="s">
        <v>1436</v>
      </c>
      <c r="E260">
        <v>196</v>
      </c>
    </row>
    <row r="261" spans="1:5" x14ac:dyDescent="0.15">
      <c r="A261">
        <v>260</v>
      </c>
      <c r="B261" t="s">
        <v>3929</v>
      </c>
      <c r="C261" t="s">
        <v>3866</v>
      </c>
      <c r="D261" s="25" t="s">
        <v>1439</v>
      </c>
      <c r="E261">
        <v>199</v>
      </c>
    </row>
    <row r="262" spans="1:5" x14ac:dyDescent="0.15">
      <c r="A262">
        <v>261</v>
      </c>
      <c r="B262" t="s">
        <v>3930</v>
      </c>
      <c r="C262" t="s">
        <v>3866</v>
      </c>
      <c r="D262" s="25" t="s">
        <v>1437</v>
      </c>
      <c r="E262">
        <v>197</v>
      </c>
    </row>
    <row r="263" spans="1:5" x14ac:dyDescent="0.15">
      <c r="A263">
        <v>262</v>
      </c>
      <c r="B263" t="s">
        <v>3931</v>
      </c>
      <c r="C263" t="s">
        <v>3866</v>
      </c>
      <c r="D263" s="25" t="s">
        <v>1438</v>
      </c>
      <c r="E263">
        <v>198</v>
      </c>
    </row>
    <row r="264" spans="1:5" x14ac:dyDescent="0.15">
      <c r="A264">
        <v>263</v>
      </c>
      <c r="B264" t="s">
        <v>1441</v>
      </c>
      <c r="C264" t="s">
        <v>3889</v>
      </c>
      <c r="D264" t="s">
        <v>1441</v>
      </c>
      <c r="E264">
        <v>201</v>
      </c>
    </row>
    <row r="265" spans="1:5" x14ac:dyDescent="0.15">
      <c r="A265">
        <v>264</v>
      </c>
      <c r="B265" t="s">
        <v>1442</v>
      </c>
      <c r="C265" t="s">
        <v>3889</v>
      </c>
      <c r="D265" t="s">
        <v>1442</v>
      </c>
      <c r="E265">
        <v>202</v>
      </c>
    </row>
    <row r="266" spans="1:5" x14ac:dyDescent="0.15">
      <c r="A266">
        <v>265</v>
      </c>
      <c r="B266" t="s">
        <v>1442</v>
      </c>
      <c r="C266" t="s">
        <v>3889</v>
      </c>
      <c r="D266" t="s">
        <v>1442</v>
      </c>
      <c r="E266">
        <v>202</v>
      </c>
    </row>
    <row r="267" spans="1:5" x14ac:dyDescent="0.15">
      <c r="A267">
        <v>266</v>
      </c>
      <c r="B267" t="s">
        <v>1445</v>
      </c>
      <c r="C267" t="s">
        <v>3889</v>
      </c>
      <c r="D267" t="s">
        <v>1445</v>
      </c>
      <c r="E267">
        <v>205</v>
      </c>
    </row>
    <row r="268" spans="1:5" x14ac:dyDescent="0.15">
      <c r="A268">
        <v>267</v>
      </c>
      <c r="B268" t="s">
        <v>3932</v>
      </c>
      <c r="C268" t="s">
        <v>3866</v>
      </c>
      <c r="D268" s="25" t="s">
        <v>1445</v>
      </c>
      <c r="E268">
        <v>205</v>
      </c>
    </row>
    <row r="269" spans="1:5" x14ac:dyDescent="0.15">
      <c r="A269">
        <v>268</v>
      </c>
      <c r="B269" t="s">
        <v>1446</v>
      </c>
      <c r="C269" t="s">
        <v>3889</v>
      </c>
      <c r="D269" t="s">
        <v>1446</v>
      </c>
      <c r="E269">
        <v>206</v>
      </c>
    </row>
    <row r="270" spans="1:5" x14ac:dyDescent="0.15">
      <c r="A270">
        <v>269</v>
      </c>
      <c r="B270" t="s">
        <v>526</v>
      </c>
      <c r="C270" t="s">
        <v>3889</v>
      </c>
      <c r="D270" t="s">
        <v>526</v>
      </c>
      <c r="E270">
        <v>207</v>
      </c>
    </row>
    <row r="271" spans="1:5" x14ac:dyDescent="0.15">
      <c r="A271">
        <v>270</v>
      </c>
      <c r="B271" t="s">
        <v>528</v>
      </c>
      <c r="C271" t="s">
        <v>3889</v>
      </c>
      <c r="D271" t="s">
        <v>528</v>
      </c>
      <c r="E271">
        <v>210</v>
      </c>
    </row>
    <row r="272" spans="1:5" x14ac:dyDescent="0.15">
      <c r="A272">
        <v>271</v>
      </c>
      <c r="B272" t="s">
        <v>1449</v>
      </c>
      <c r="C272" t="s">
        <v>3889</v>
      </c>
      <c r="D272" t="s">
        <v>1449</v>
      </c>
      <c r="E272">
        <v>211</v>
      </c>
    </row>
    <row r="273" spans="1:23" x14ac:dyDescent="0.15">
      <c r="A273">
        <v>272</v>
      </c>
      <c r="B273" t="s">
        <v>1450</v>
      </c>
      <c r="C273" t="s">
        <v>3889</v>
      </c>
      <c r="D273" t="s">
        <v>1450</v>
      </c>
      <c r="E273">
        <v>212</v>
      </c>
    </row>
    <row r="274" spans="1:23" x14ac:dyDescent="0.15">
      <c r="A274">
        <v>273</v>
      </c>
      <c r="B274" t="s">
        <v>534</v>
      </c>
      <c r="C274" t="s">
        <v>3866</v>
      </c>
      <c r="D274" s="25" t="s">
        <v>1452</v>
      </c>
      <c r="E274">
        <v>213</v>
      </c>
    </row>
    <row r="275" spans="1:23" x14ac:dyDescent="0.15">
      <c r="A275">
        <v>274</v>
      </c>
      <c r="B275" t="s">
        <v>1451</v>
      </c>
      <c r="C275" t="s">
        <v>3884</v>
      </c>
      <c r="D275" s="26"/>
    </row>
    <row r="276" spans="1:23" x14ac:dyDescent="0.15">
      <c r="A276">
        <v>275</v>
      </c>
      <c r="B276" t="s">
        <v>1453</v>
      </c>
      <c r="C276" t="s">
        <v>3889</v>
      </c>
      <c r="D276" t="s">
        <v>1453</v>
      </c>
      <c r="E276">
        <v>214</v>
      </c>
    </row>
    <row r="277" spans="1:23" x14ac:dyDescent="0.15">
      <c r="A277">
        <v>276</v>
      </c>
      <c r="B277" t="s">
        <v>1454</v>
      </c>
      <c r="C277" t="s">
        <v>3866</v>
      </c>
      <c r="D277" s="26" t="s">
        <v>1452</v>
      </c>
      <c r="E277">
        <v>213</v>
      </c>
    </row>
    <row r="278" spans="1:23" x14ac:dyDescent="0.15">
      <c r="A278">
        <v>277</v>
      </c>
      <c r="B278" t="s">
        <v>1455</v>
      </c>
      <c r="C278" t="s">
        <v>3889</v>
      </c>
      <c r="D278" t="s">
        <v>1455</v>
      </c>
      <c r="E278">
        <v>216</v>
      </c>
    </row>
    <row r="279" spans="1:23" x14ac:dyDescent="0.15">
      <c r="A279">
        <v>278</v>
      </c>
      <c r="B279" t="s">
        <v>1456</v>
      </c>
      <c r="C279" t="s">
        <v>3889</v>
      </c>
      <c r="D279" t="s">
        <v>1456</v>
      </c>
      <c r="E279">
        <v>217</v>
      </c>
    </row>
    <row r="280" spans="1:23" x14ac:dyDescent="0.15">
      <c r="A280">
        <v>279</v>
      </c>
      <c r="B280" t="s">
        <v>1457</v>
      </c>
      <c r="C280" t="s">
        <v>3889</v>
      </c>
      <c r="D280" t="s">
        <v>1457</v>
      </c>
      <c r="E280">
        <v>218</v>
      </c>
    </row>
    <row r="281" spans="1:23" x14ac:dyDescent="0.15">
      <c r="A281">
        <v>280</v>
      </c>
      <c r="B281" t="s">
        <v>1458</v>
      </c>
      <c r="C281" t="s">
        <v>3889</v>
      </c>
      <c r="D281" t="s">
        <v>1458</v>
      </c>
      <c r="E281">
        <v>219</v>
      </c>
    </row>
    <row r="282" spans="1:23" x14ac:dyDescent="0.15">
      <c r="A282">
        <v>281</v>
      </c>
      <c r="B282" t="s">
        <v>1458</v>
      </c>
      <c r="C282" t="s">
        <v>3889</v>
      </c>
      <c r="D282" t="s">
        <v>1458</v>
      </c>
      <c r="E282">
        <v>219</v>
      </c>
    </row>
    <row r="283" spans="1:23" s="29" customFormat="1" ht="14.25" thickBot="1" x14ac:dyDescent="0.2">
      <c r="A283" s="29">
        <v>282</v>
      </c>
      <c r="B283" s="29" t="s">
        <v>3933</v>
      </c>
      <c r="C283" s="29" t="s">
        <v>3866</v>
      </c>
      <c r="D283" s="30" t="s">
        <v>1307</v>
      </c>
      <c r="E283" s="29">
        <v>56</v>
      </c>
      <c r="F283" s="29" t="s">
        <v>1335</v>
      </c>
      <c r="G283" s="29">
        <v>88</v>
      </c>
      <c r="H283" s="29" t="s">
        <v>1360</v>
      </c>
      <c r="I283" s="29">
        <v>112</v>
      </c>
      <c r="J283" s="29" t="s">
        <v>1361</v>
      </c>
      <c r="K283" s="29">
        <v>113</v>
      </c>
      <c r="L283" s="29" t="s">
        <v>1418</v>
      </c>
      <c r="M283" s="29">
        <v>171</v>
      </c>
      <c r="N283" s="29" t="s">
        <v>1516</v>
      </c>
      <c r="O283" s="29">
        <v>290</v>
      </c>
      <c r="P283" s="29" t="s">
        <v>1543</v>
      </c>
      <c r="Q283" s="29">
        <v>318</v>
      </c>
      <c r="R283" s="29" t="s">
        <v>1679</v>
      </c>
      <c r="S283" s="29">
        <v>469</v>
      </c>
      <c r="T283" s="29" t="s">
        <v>1680</v>
      </c>
      <c r="U283" s="29">
        <v>470</v>
      </c>
      <c r="V283" s="29" t="s">
        <v>1741</v>
      </c>
      <c r="W283" s="29">
        <v>537</v>
      </c>
    </row>
    <row r="284" spans="1:23" s="29" customFormat="1" ht="15" thickTop="1" thickBot="1" x14ac:dyDescent="0.2">
      <c r="A284" s="29">
        <v>283</v>
      </c>
      <c r="B284" s="29" t="s">
        <v>3934</v>
      </c>
      <c r="C284" s="29" t="s">
        <v>3866</v>
      </c>
      <c r="D284" s="30" t="s">
        <v>1307</v>
      </c>
      <c r="E284" s="29">
        <v>56</v>
      </c>
      <c r="F284" s="29" t="s">
        <v>1335</v>
      </c>
      <c r="G284" s="29">
        <v>88</v>
      </c>
      <c r="H284" s="29" t="s">
        <v>1360</v>
      </c>
      <c r="I284" s="29">
        <v>112</v>
      </c>
      <c r="J284" s="29" t="s">
        <v>1361</v>
      </c>
      <c r="K284" s="29">
        <v>113</v>
      </c>
      <c r="L284" s="29" t="s">
        <v>1418</v>
      </c>
      <c r="M284" s="29">
        <v>171</v>
      </c>
      <c r="N284" s="29" t="s">
        <v>1516</v>
      </c>
      <c r="O284" s="29">
        <v>290</v>
      </c>
      <c r="P284" s="29" t="s">
        <v>1543</v>
      </c>
      <c r="Q284" s="29">
        <v>318</v>
      </c>
      <c r="R284" s="29" t="s">
        <v>1679</v>
      </c>
      <c r="S284" s="29">
        <v>469</v>
      </c>
      <c r="T284" s="29" t="s">
        <v>1680</v>
      </c>
      <c r="U284" s="29">
        <v>470</v>
      </c>
      <c r="V284" s="29" t="s">
        <v>1741</v>
      </c>
      <c r="W284" s="29">
        <v>537</v>
      </c>
    </row>
    <row r="285" spans="1:23" ht="14.25" thickTop="1" x14ac:dyDescent="0.15">
      <c r="A285">
        <v>284</v>
      </c>
      <c r="B285" t="s">
        <v>555</v>
      </c>
      <c r="C285" t="s">
        <v>3866</v>
      </c>
      <c r="D285" s="25" t="s">
        <v>1463</v>
      </c>
      <c r="E285">
        <v>226</v>
      </c>
    </row>
    <row r="286" spans="1:23" x14ac:dyDescent="0.15">
      <c r="A286">
        <v>285</v>
      </c>
      <c r="B286" t="s">
        <v>555</v>
      </c>
      <c r="C286" t="s">
        <v>3866</v>
      </c>
      <c r="D286" s="25" t="s">
        <v>1463</v>
      </c>
      <c r="E286">
        <v>226</v>
      </c>
    </row>
    <row r="287" spans="1:23" x14ac:dyDescent="0.15">
      <c r="A287">
        <v>286</v>
      </c>
      <c r="B287" t="s">
        <v>557</v>
      </c>
      <c r="C287" t="s">
        <v>3889</v>
      </c>
      <c r="D287" t="s">
        <v>557</v>
      </c>
      <c r="E287">
        <v>227</v>
      </c>
    </row>
    <row r="288" spans="1:23" x14ac:dyDescent="0.15">
      <c r="A288">
        <v>287</v>
      </c>
      <c r="B288" t="s">
        <v>557</v>
      </c>
      <c r="C288" t="s">
        <v>3889</v>
      </c>
      <c r="D288" t="s">
        <v>557</v>
      </c>
      <c r="E288">
        <v>227</v>
      </c>
    </row>
    <row r="289" spans="1:5" x14ac:dyDescent="0.15">
      <c r="A289">
        <v>288</v>
      </c>
      <c r="B289" t="s">
        <v>558</v>
      </c>
      <c r="C289" t="s">
        <v>3889</v>
      </c>
      <c r="D289" t="s">
        <v>558</v>
      </c>
      <c r="E289">
        <v>228</v>
      </c>
    </row>
    <row r="290" spans="1:5" x14ac:dyDescent="0.15">
      <c r="A290">
        <v>289</v>
      </c>
      <c r="B290" t="s">
        <v>1464</v>
      </c>
      <c r="C290" t="s">
        <v>3889</v>
      </c>
      <c r="D290" t="s">
        <v>1464</v>
      </c>
      <c r="E290">
        <v>229</v>
      </c>
    </row>
    <row r="291" spans="1:5" x14ac:dyDescent="0.15">
      <c r="A291">
        <v>290</v>
      </c>
      <c r="B291" t="s">
        <v>1465</v>
      </c>
      <c r="C291" t="s">
        <v>3889</v>
      </c>
      <c r="D291" t="s">
        <v>1465</v>
      </c>
      <c r="E291">
        <v>230</v>
      </c>
    </row>
    <row r="292" spans="1:5" x14ac:dyDescent="0.15">
      <c r="A292">
        <v>291</v>
      </c>
      <c r="B292" t="s">
        <v>1466</v>
      </c>
      <c r="C292" t="s">
        <v>3889</v>
      </c>
      <c r="D292" t="s">
        <v>1466</v>
      </c>
      <c r="E292">
        <v>231</v>
      </c>
    </row>
    <row r="293" spans="1:5" x14ac:dyDescent="0.15">
      <c r="A293">
        <v>292</v>
      </c>
      <c r="B293" t="s">
        <v>3935</v>
      </c>
      <c r="C293" t="s">
        <v>3866</v>
      </c>
      <c r="D293" s="25" t="s">
        <v>1467</v>
      </c>
      <c r="E293">
        <v>232</v>
      </c>
    </row>
    <row r="294" spans="1:5" x14ac:dyDescent="0.15">
      <c r="A294">
        <v>293</v>
      </c>
      <c r="B294" t="s">
        <v>3936</v>
      </c>
      <c r="C294" t="s">
        <v>3866</v>
      </c>
      <c r="D294" s="25" t="s">
        <v>1471</v>
      </c>
      <c r="E294">
        <v>236</v>
      </c>
    </row>
    <row r="295" spans="1:5" x14ac:dyDescent="0.15">
      <c r="A295">
        <v>294</v>
      </c>
      <c r="B295" t="s">
        <v>3937</v>
      </c>
      <c r="C295" t="s">
        <v>3866</v>
      </c>
      <c r="D295" s="25" t="s">
        <v>1472</v>
      </c>
      <c r="E295">
        <v>237</v>
      </c>
    </row>
    <row r="296" spans="1:5" x14ac:dyDescent="0.15">
      <c r="A296">
        <v>295</v>
      </c>
      <c r="B296" t="s">
        <v>1469</v>
      </c>
      <c r="C296" t="s">
        <v>3889</v>
      </c>
      <c r="D296" t="s">
        <v>1469</v>
      </c>
      <c r="E296">
        <v>234</v>
      </c>
    </row>
    <row r="297" spans="1:5" x14ac:dyDescent="0.15">
      <c r="A297">
        <v>296</v>
      </c>
      <c r="B297" t="s">
        <v>1470</v>
      </c>
      <c r="C297" t="s">
        <v>3889</v>
      </c>
      <c r="D297" t="s">
        <v>1470</v>
      </c>
      <c r="E297">
        <v>235</v>
      </c>
    </row>
    <row r="298" spans="1:5" x14ac:dyDescent="0.15">
      <c r="A298">
        <v>297</v>
      </c>
      <c r="B298" t="s">
        <v>1473</v>
      </c>
      <c r="C298" t="s">
        <v>3889</v>
      </c>
      <c r="D298" t="s">
        <v>1473</v>
      </c>
      <c r="E298">
        <v>238</v>
      </c>
    </row>
    <row r="299" spans="1:5" x14ac:dyDescent="0.15">
      <c r="A299">
        <v>298</v>
      </c>
      <c r="B299" t="s">
        <v>1474</v>
      </c>
      <c r="C299" t="s">
        <v>3889</v>
      </c>
      <c r="D299" t="s">
        <v>1474</v>
      </c>
      <c r="E299">
        <v>239</v>
      </c>
    </row>
    <row r="300" spans="1:5" x14ac:dyDescent="0.15">
      <c r="A300">
        <v>299</v>
      </c>
      <c r="B300" t="s">
        <v>1474</v>
      </c>
      <c r="C300" t="s">
        <v>3889</v>
      </c>
      <c r="D300" t="s">
        <v>1474</v>
      </c>
      <c r="E300">
        <v>239</v>
      </c>
    </row>
    <row r="301" spans="1:5" x14ac:dyDescent="0.15">
      <c r="A301">
        <v>300</v>
      </c>
      <c r="B301" t="s">
        <v>1475</v>
      </c>
      <c r="C301" t="s">
        <v>3889</v>
      </c>
      <c r="D301" t="s">
        <v>1475</v>
      </c>
      <c r="E301">
        <v>240</v>
      </c>
    </row>
    <row r="302" spans="1:5" x14ac:dyDescent="0.15">
      <c r="A302">
        <v>301</v>
      </c>
      <c r="B302" t="s">
        <v>1475</v>
      </c>
      <c r="C302" t="s">
        <v>3889</v>
      </c>
      <c r="D302" t="s">
        <v>1475</v>
      </c>
      <c r="E302">
        <v>240</v>
      </c>
    </row>
    <row r="303" spans="1:5" x14ac:dyDescent="0.15">
      <c r="A303">
        <v>302</v>
      </c>
      <c r="B303" t="s">
        <v>575</v>
      </c>
      <c r="C303" t="s">
        <v>3889</v>
      </c>
      <c r="D303" t="s">
        <v>575</v>
      </c>
      <c r="E303">
        <v>241</v>
      </c>
    </row>
    <row r="304" spans="1:5" x14ac:dyDescent="0.15">
      <c r="A304">
        <v>303</v>
      </c>
      <c r="B304" t="s">
        <v>1476</v>
      </c>
      <c r="C304" t="s">
        <v>3889</v>
      </c>
      <c r="D304" t="s">
        <v>1476</v>
      </c>
      <c r="E304">
        <v>242</v>
      </c>
    </row>
    <row r="305" spans="1:9" x14ac:dyDescent="0.15">
      <c r="A305">
        <v>304</v>
      </c>
      <c r="B305" t="s">
        <v>578</v>
      </c>
      <c r="C305" t="s">
        <v>3889</v>
      </c>
      <c r="D305" t="s">
        <v>578</v>
      </c>
      <c r="E305">
        <v>243</v>
      </c>
    </row>
    <row r="306" spans="1:9" x14ac:dyDescent="0.15">
      <c r="A306">
        <v>305</v>
      </c>
      <c r="B306" t="s">
        <v>580</v>
      </c>
      <c r="C306" t="s">
        <v>3889</v>
      </c>
      <c r="D306" t="s">
        <v>580</v>
      </c>
      <c r="E306">
        <v>244</v>
      </c>
    </row>
    <row r="307" spans="1:9" x14ac:dyDescent="0.15">
      <c r="A307">
        <v>306</v>
      </c>
      <c r="B307" t="s">
        <v>1477</v>
      </c>
      <c r="C307" t="s">
        <v>3889</v>
      </c>
      <c r="D307" t="s">
        <v>1477</v>
      </c>
      <c r="E307">
        <v>245</v>
      </c>
    </row>
    <row r="308" spans="1:9" x14ac:dyDescent="0.15">
      <c r="A308">
        <v>307</v>
      </c>
      <c r="B308" t="s">
        <v>1477</v>
      </c>
      <c r="C308" t="s">
        <v>3889</v>
      </c>
      <c r="D308" t="s">
        <v>1477</v>
      </c>
      <c r="E308">
        <v>245</v>
      </c>
    </row>
    <row r="309" spans="1:9" x14ac:dyDescent="0.15">
      <c r="A309">
        <v>308</v>
      </c>
      <c r="B309" t="s">
        <v>584</v>
      </c>
      <c r="C309" t="s">
        <v>3866</v>
      </c>
      <c r="D309" s="28" t="s">
        <v>1275</v>
      </c>
      <c r="E309">
        <v>24</v>
      </c>
      <c r="F309" t="s">
        <v>1322</v>
      </c>
      <c r="G309">
        <v>75</v>
      </c>
      <c r="H309" s="25" t="s">
        <v>1478</v>
      </c>
      <c r="I309">
        <v>246</v>
      </c>
    </row>
    <row r="310" spans="1:9" x14ac:dyDescent="0.15">
      <c r="A310">
        <v>309</v>
      </c>
      <c r="B310" t="s">
        <v>1479</v>
      </c>
      <c r="C310" t="s">
        <v>3889</v>
      </c>
      <c r="D310" t="s">
        <v>1479</v>
      </c>
      <c r="E310">
        <v>247</v>
      </c>
    </row>
    <row r="311" spans="1:9" x14ac:dyDescent="0.15">
      <c r="A311">
        <v>310</v>
      </c>
      <c r="B311" t="s">
        <v>1480</v>
      </c>
      <c r="C311" t="s">
        <v>3889</v>
      </c>
      <c r="D311" t="s">
        <v>1480</v>
      </c>
      <c r="E311">
        <v>248</v>
      </c>
    </row>
    <row r="312" spans="1:9" x14ac:dyDescent="0.15">
      <c r="A312">
        <v>311</v>
      </c>
      <c r="B312" t="s">
        <v>1482</v>
      </c>
      <c r="C312" t="s">
        <v>3889</v>
      </c>
      <c r="D312" t="s">
        <v>1482</v>
      </c>
      <c r="E312">
        <v>250</v>
      </c>
    </row>
    <row r="313" spans="1:9" x14ac:dyDescent="0.15">
      <c r="A313">
        <v>312</v>
      </c>
      <c r="B313" t="s">
        <v>3938</v>
      </c>
      <c r="C313" t="s">
        <v>3866</v>
      </c>
      <c r="D313" t="s">
        <v>1407</v>
      </c>
      <c r="E313">
        <v>160</v>
      </c>
      <c r="F313" s="25" t="s">
        <v>1481</v>
      </c>
      <c r="G313">
        <v>249</v>
      </c>
      <c r="H313" t="s">
        <v>1792</v>
      </c>
      <c r="I313">
        <v>594</v>
      </c>
    </row>
    <row r="314" spans="1:9" x14ac:dyDescent="0.15">
      <c r="A314">
        <v>313</v>
      </c>
      <c r="B314" t="s">
        <v>594</v>
      </c>
      <c r="C314" t="s">
        <v>3889</v>
      </c>
      <c r="D314" t="s">
        <v>594</v>
      </c>
      <c r="E314">
        <v>251</v>
      </c>
    </row>
    <row r="315" spans="1:9" x14ac:dyDescent="0.15">
      <c r="A315">
        <v>314</v>
      </c>
      <c r="B315" t="s">
        <v>594</v>
      </c>
      <c r="C315" t="s">
        <v>3889</v>
      </c>
      <c r="D315" t="s">
        <v>594</v>
      </c>
      <c r="E315">
        <v>251</v>
      </c>
    </row>
    <row r="316" spans="1:9" x14ac:dyDescent="0.15">
      <c r="A316">
        <v>315</v>
      </c>
      <c r="B316" t="s">
        <v>1483</v>
      </c>
      <c r="C316" t="s">
        <v>3889</v>
      </c>
      <c r="D316" t="s">
        <v>1483</v>
      </c>
      <c r="E316">
        <v>252</v>
      </c>
    </row>
    <row r="317" spans="1:9" x14ac:dyDescent="0.15">
      <c r="A317">
        <v>316</v>
      </c>
      <c r="B317" t="s">
        <v>1484</v>
      </c>
      <c r="C317" t="s">
        <v>3889</v>
      </c>
      <c r="D317" t="s">
        <v>1484</v>
      </c>
      <c r="E317">
        <v>253</v>
      </c>
    </row>
    <row r="318" spans="1:9" x14ac:dyDescent="0.15">
      <c r="A318">
        <v>317</v>
      </c>
      <c r="B318" t="s">
        <v>1484</v>
      </c>
      <c r="C318" t="s">
        <v>3889</v>
      </c>
      <c r="D318" t="s">
        <v>1484</v>
      </c>
      <c r="E318">
        <v>253</v>
      </c>
    </row>
    <row r="319" spans="1:9" x14ac:dyDescent="0.15">
      <c r="A319">
        <v>318</v>
      </c>
      <c r="B319" t="s">
        <v>1485</v>
      </c>
      <c r="C319" t="s">
        <v>3889</v>
      </c>
      <c r="D319" t="s">
        <v>1485</v>
      </c>
      <c r="E319">
        <v>254</v>
      </c>
    </row>
    <row r="320" spans="1:9" x14ac:dyDescent="0.15">
      <c r="A320">
        <v>319</v>
      </c>
      <c r="B320" t="s">
        <v>1485</v>
      </c>
      <c r="C320" t="s">
        <v>3889</v>
      </c>
      <c r="D320" t="s">
        <v>1485</v>
      </c>
      <c r="E320">
        <v>254</v>
      </c>
    </row>
    <row r="321" spans="1:5" x14ac:dyDescent="0.15">
      <c r="A321">
        <v>320</v>
      </c>
      <c r="B321" t="s">
        <v>1486</v>
      </c>
      <c r="C321" t="s">
        <v>3889</v>
      </c>
      <c r="D321" t="s">
        <v>1486</v>
      </c>
      <c r="E321">
        <v>255</v>
      </c>
    </row>
    <row r="322" spans="1:5" x14ac:dyDescent="0.15">
      <c r="A322">
        <v>321</v>
      </c>
      <c r="B322" t="s">
        <v>1486</v>
      </c>
      <c r="C322" t="s">
        <v>3889</v>
      </c>
      <c r="D322" t="s">
        <v>1486</v>
      </c>
      <c r="E322">
        <v>255</v>
      </c>
    </row>
    <row r="323" spans="1:5" x14ac:dyDescent="0.15">
      <c r="A323">
        <v>322</v>
      </c>
      <c r="B323" t="s">
        <v>1487</v>
      </c>
      <c r="C323" t="s">
        <v>3889</v>
      </c>
      <c r="D323" t="s">
        <v>1487</v>
      </c>
      <c r="E323">
        <v>256</v>
      </c>
    </row>
    <row r="324" spans="1:5" ht="14.25" thickBot="1" x14ac:dyDescent="0.2">
      <c r="A324">
        <v>323</v>
      </c>
      <c r="B324" t="s">
        <v>3939</v>
      </c>
      <c r="C324" t="s">
        <v>3866</v>
      </c>
      <c r="D324" s="25" t="s">
        <v>1488</v>
      </c>
      <c r="E324">
        <v>258</v>
      </c>
    </row>
    <row r="325" spans="1:5" ht="15" thickTop="1" thickBot="1" x14ac:dyDescent="0.2">
      <c r="A325">
        <v>324</v>
      </c>
      <c r="B325" t="s">
        <v>3940</v>
      </c>
      <c r="C325" t="s">
        <v>3866</v>
      </c>
      <c r="D325" s="31" t="s">
        <v>1488</v>
      </c>
      <c r="E325">
        <v>257</v>
      </c>
    </row>
    <row r="326" spans="1:5" ht="14.25" thickTop="1" x14ac:dyDescent="0.15">
      <c r="A326">
        <v>325</v>
      </c>
      <c r="B326" t="s">
        <v>1495</v>
      </c>
      <c r="C326" t="s">
        <v>3889</v>
      </c>
      <c r="D326" t="s">
        <v>1495</v>
      </c>
      <c r="E326">
        <v>268</v>
      </c>
    </row>
    <row r="327" spans="1:5" x14ac:dyDescent="0.15">
      <c r="A327">
        <v>326</v>
      </c>
      <c r="B327" t="s">
        <v>607</v>
      </c>
      <c r="C327" t="s">
        <v>3889</v>
      </c>
      <c r="D327" t="s">
        <v>607</v>
      </c>
      <c r="E327">
        <v>259</v>
      </c>
    </row>
    <row r="328" spans="1:5" x14ac:dyDescent="0.15">
      <c r="A328">
        <v>327</v>
      </c>
      <c r="B328" t="s">
        <v>609</v>
      </c>
      <c r="C328" t="s">
        <v>3889</v>
      </c>
      <c r="D328" t="s">
        <v>609</v>
      </c>
      <c r="E328">
        <v>260</v>
      </c>
    </row>
    <row r="329" spans="1:5" x14ac:dyDescent="0.15">
      <c r="A329">
        <v>328</v>
      </c>
      <c r="B329" t="s">
        <v>612</v>
      </c>
      <c r="C329" t="s">
        <v>3889</v>
      </c>
      <c r="D329" t="s">
        <v>612</v>
      </c>
      <c r="E329">
        <v>261</v>
      </c>
    </row>
    <row r="330" spans="1:5" x14ac:dyDescent="0.15">
      <c r="A330">
        <v>329</v>
      </c>
      <c r="B330" t="s">
        <v>1489</v>
      </c>
      <c r="C330" t="s">
        <v>3889</v>
      </c>
      <c r="D330" t="s">
        <v>1489</v>
      </c>
      <c r="E330">
        <v>262</v>
      </c>
    </row>
    <row r="331" spans="1:5" x14ac:dyDescent="0.15">
      <c r="A331">
        <v>330</v>
      </c>
      <c r="B331" t="s">
        <v>1490</v>
      </c>
      <c r="C331" t="s">
        <v>3889</v>
      </c>
      <c r="D331" t="s">
        <v>1490</v>
      </c>
      <c r="E331">
        <v>263</v>
      </c>
    </row>
    <row r="332" spans="1:5" x14ac:dyDescent="0.15">
      <c r="A332">
        <v>331</v>
      </c>
      <c r="B332" t="s">
        <v>1490</v>
      </c>
      <c r="C332" t="s">
        <v>3889</v>
      </c>
      <c r="D332" t="s">
        <v>1490</v>
      </c>
      <c r="E332">
        <v>263</v>
      </c>
    </row>
    <row r="333" spans="1:5" x14ac:dyDescent="0.15">
      <c r="A333">
        <v>332</v>
      </c>
      <c r="B333" t="s">
        <v>1491</v>
      </c>
      <c r="C333" t="s">
        <v>3889</v>
      </c>
      <c r="D333" t="s">
        <v>1491</v>
      </c>
      <c r="E333">
        <v>264</v>
      </c>
    </row>
    <row r="334" spans="1:5" x14ac:dyDescent="0.15">
      <c r="A334">
        <v>333</v>
      </c>
      <c r="B334" t="s">
        <v>1492</v>
      </c>
      <c r="C334" t="s">
        <v>3889</v>
      </c>
      <c r="D334" t="s">
        <v>1492</v>
      </c>
      <c r="E334">
        <v>265</v>
      </c>
    </row>
    <row r="335" spans="1:5" x14ac:dyDescent="0.15">
      <c r="A335">
        <v>334</v>
      </c>
      <c r="B335" t="s">
        <v>1493</v>
      </c>
      <c r="C335" t="s">
        <v>3889</v>
      </c>
      <c r="D335" t="s">
        <v>1493</v>
      </c>
      <c r="E335">
        <v>266</v>
      </c>
    </row>
    <row r="336" spans="1:5" x14ac:dyDescent="0.15">
      <c r="A336">
        <v>335</v>
      </c>
      <c r="B336" t="s">
        <v>1496</v>
      </c>
      <c r="C336" t="s">
        <v>3889</v>
      </c>
      <c r="D336" t="s">
        <v>1496</v>
      </c>
      <c r="E336">
        <v>269</v>
      </c>
    </row>
    <row r="337" spans="1:53" x14ac:dyDescent="0.15">
      <c r="A337">
        <v>336</v>
      </c>
      <c r="B337" t="s">
        <v>1496</v>
      </c>
      <c r="C337" t="s">
        <v>3889</v>
      </c>
      <c r="D337" t="s">
        <v>1496</v>
      </c>
      <c r="E337">
        <v>269</v>
      </c>
    </row>
    <row r="338" spans="1:53" x14ac:dyDescent="0.15">
      <c r="A338">
        <v>337</v>
      </c>
      <c r="B338" t="s">
        <v>1497</v>
      </c>
      <c r="C338" t="s">
        <v>3889</v>
      </c>
      <c r="D338" t="s">
        <v>1497</v>
      </c>
      <c r="E338">
        <v>270</v>
      </c>
    </row>
    <row r="339" spans="1:53" x14ac:dyDescent="0.15">
      <c r="A339">
        <v>338</v>
      </c>
      <c r="B339" t="s">
        <v>1498</v>
      </c>
      <c r="C339" t="s">
        <v>3889</v>
      </c>
      <c r="D339" t="s">
        <v>1498</v>
      </c>
      <c r="E339">
        <v>271</v>
      </c>
    </row>
    <row r="340" spans="1:53" x14ac:dyDescent="0.15">
      <c r="A340">
        <v>339</v>
      </c>
      <c r="B340" t="s">
        <v>1499</v>
      </c>
      <c r="C340" t="s">
        <v>3889</v>
      </c>
      <c r="D340" t="s">
        <v>1499</v>
      </c>
      <c r="E340">
        <v>272</v>
      </c>
    </row>
    <row r="341" spans="1:53" x14ac:dyDescent="0.15">
      <c r="A341">
        <v>340</v>
      </c>
      <c r="B341" t="s">
        <v>1500</v>
      </c>
      <c r="C341" t="s">
        <v>3889</v>
      </c>
      <c r="D341" t="s">
        <v>1500</v>
      </c>
      <c r="E341">
        <v>273</v>
      </c>
    </row>
    <row r="342" spans="1:53" x14ac:dyDescent="0.15">
      <c r="A342">
        <v>341</v>
      </c>
      <c r="B342" t="s">
        <v>3941</v>
      </c>
      <c r="C342" t="s">
        <v>3866</v>
      </c>
      <c r="D342" s="25" t="s">
        <v>1501</v>
      </c>
      <c r="E342">
        <v>274</v>
      </c>
    </row>
    <row r="343" spans="1:53" x14ac:dyDescent="0.15">
      <c r="A343">
        <v>342</v>
      </c>
      <c r="B343" t="s">
        <v>3942</v>
      </c>
      <c r="C343" t="s">
        <v>3866</v>
      </c>
      <c r="D343" s="25" t="s">
        <v>1502</v>
      </c>
      <c r="E343">
        <v>275</v>
      </c>
    </row>
    <row r="344" spans="1:53" x14ac:dyDescent="0.15">
      <c r="A344">
        <v>343</v>
      </c>
      <c r="B344" t="s">
        <v>3943</v>
      </c>
      <c r="C344" t="s">
        <v>3866</v>
      </c>
      <c r="D344" s="25" t="s">
        <v>1503</v>
      </c>
      <c r="E344">
        <v>276</v>
      </c>
    </row>
    <row r="345" spans="1:53" x14ac:dyDescent="0.15">
      <c r="A345">
        <v>344</v>
      </c>
      <c r="B345" t="s">
        <v>3944</v>
      </c>
      <c r="C345" t="s">
        <v>3866</v>
      </c>
      <c r="D345" t="s">
        <v>1278</v>
      </c>
      <c r="E345">
        <v>27</v>
      </c>
      <c r="F345" s="25" t="s">
        <v>1508</v>
      </c>
      <c r="G345">
        <v>281</v>
      </c>
      <c r="H345" t="s">
        <v>1861</v>
      </c>
      <c r="I345">
        <v>665</v>
      </c>
    </row>
    <row r="346" spans="1:53" x14ac:dyDescent="0.15">
      <c r="A346">
        <v>345</v>
      </c>
      <c r="B346" t="s">
        <v>3945</v>
      </c>
      <c r="C346" t="s">
        <v>3866</v>
      </c>
      <c r="D346" t="s">
        <v>1509</v>
      </c>
      <c r="E346">
        <v>282</v>
      </c>
    </row>
    <row r="347" spans="1:53" x14ac:dyDescent="0.15">
      <c r="A347">
        <v>346</v>
      </c>
      <c r="B347" t="s">
        <v>3946</v>
      </c>
      <c r="C347" t="s">
        <v>3866</v>
      </c>
      <c r="D347" t="s">
        <v>1493</v>
      </c>
      <c r="E347">
        <v>266</v>
      </c>
      <c r="F347" s="25" t="s">
        <v>1510</v>
      </c>
      <c r="G347">
        <v>283</v>
      </c>
      <c r="H347" t="s">
        <v>690</v>
      </c>
      <c r="I347">
        <v>334</v>
      </c>
    </row>
    <row r="348" spans="1:53" x14ac:dyDescent="0.15">
      <c r="A348">
        <v>347</v>
      </c>
      <c r="B348" t="s">
        <v>1511</v>
      </c>
      <c r="C348" t="s">
        <v>3889</v>
      </c>
      <c r="D348" t="s">
        <v>1511</v>
      </c>
      <c r="E348">
        <v>284</v>
      </c>
    </row>
    <row r="349" spans="1:53" x14ac:dyDescent="0.15">
      <c r="A349">
        <v>348</v>
      </c>
      <c r="B349" t="s">
        <v>1512</v>
      </c>
      <c r="C349" t="s">
        <v>3889</v>
      </c>
      <c r="D349" t="s">
        <v>1512</v>
      </c>
      <c r="E349">
        <v>285</v>
      </c>
    </row>
    <row r="350" spans="1:53" x14ac:dyDescent="0.15">
      <c r="A350">
        <v>349</v>
      </c>
      <c r="B350" t="s">
        <v>3947</v>
      </c>
      <c r="C350" t="s">
        <v>3866</v>
      </c>
      <c r="D350" t="s">
        <v>1263</v>
      </c>
      <c r="E350">
        <v>13</v>
      </c>
      <c r="F350" t="s">
        <v>1271</v>
      </c>
      <c r="G350">
        <v>20</v>
      </c>
      <c r="H350" t="s">
        <v>1287</v>
      </c>
      <c r="I350">
        <v>35</v>
      </c>
      <c r="J350" t="s">
        <v>1295</v>
      </c>
      <c r="K350">
        <v>43</v>
      </c>
      <c r="L350" t="s">
        <v>1300</v>
      </c>
      <c r="M350">
        <v>48</v>
      </c>
      <c r="N350" t="s">
        <v>1303</v>
      </c>
      <c r="O350">
        <v>51</v>
      </c>
      <c r="P350" t="s">
        <v>1309</v>
      </c>
      <c r="Q350">
        <v>59</v>
      </c>
      <c r="R350" t="s">
        <v>1443</v>
      </c>
      <c r="S350">
        <v>203</v>
      </c>
      <c r="T350" t="s">
        <v>1475</v>
      </c>
      <c r="U350">
        <v>240</v>
      </c>
      <c r="V350" t="s">
        <v>1484</v>
      </c>
      <c r="W350">
        <v>253</v>
      </c>
      <c r="X350" s="25" t="s">
        <v>1513</v>
      </c>
      <c r="Y350">
        <v>286</v>
      </c>
      <c r="Z350" t="s">
        <v>1538</v>
      </c>
      <c r="AA350">
        <v>313</v>
      </c>
      <c r="AB350" t="s">
        <v>1567</v>
      </c>
      <c r="AC350">
        <v>346</v>
      </c>
      <c r="AD350" t="s">
        <v>1568</v>
      </c>
      <c r="AE350">
        <v>347</v>
      </c>
      <c r="AF350" t="s">
        <v>1572</v>
      </c>
      <c r="AG350">
        <v>351</v>
      </c>
      <c r="AH350" t="s">
        <v>1575</v>
      </c>
      <c r="AI350">
        <v>355</v>
      </c>
      <c r="AJ350" t="s">
        <v>1586</v>
      </c>
      <c r="AK350">
        <v>366</v>
      </c>
      <c r="AL350" t="s">
        <v>1589</v>
      </c>
      <c r="AM350">
        <v>370</v>
      </c>
      <c r="AN350" t="s">
        <v>1597</v>
      </c>
      <c r="AO350">
        <v>379</v>
      </c>
      <c r="AP350" t="s">
        <v>1634</v>
      </c>
      <c r="AQ350">
        <v>421</v>
      </c>
      <c r="AR350" t="s">
        <v>1668</v>
      </c>
      <c r="AS350">
        <v>456</v>
      </c>
      <c r="AT350" t="s">
        <v>1669</v>
      </c>
      <c r="AU350">
        <v>457</v>
      </c>
      <c r="AV350" t="s">
        <v>1689</v>
      </c>
      <c r="AW350">
        <v>481</v>
      </c>
      <c r="AX350" t="s">
        <v>1751</v>
      </c>
      <c r="AY350">
        <v>549</v>
      </c>
      <c r="AZ350" t="s">
        <v>1124</v>
      </c>
      <c r="BA350">
        <v>642</v>
      </c>
    </row>
    <row r="351" spans="1:53" x14ac:dyDescent="0.15">
      <c r="A351">
        <v>350</v>
      </c>
      <c r="B351" t="s">
        <v>3947</v>
      </c>
      <c r="C351" t="s">
        <v>3866</v>
      </c>
      <c r="D351" t="s">
        <v>1263</v>
      </c>
      <c r="E351">
        <v>13</v>
      </c>
      <c r="F351" t="s">
        <v>1271</v>
      </c>
      <c r="G351">
        <v>20</v>
      </c>
      <c r="H351" t="s">
        <v>1287</v>
      </c>
      <c r="I351">
        <v>35</v>
      </c>
      <c r="J351" t="s">
        <v>1295</v>
      </c>
      <c r="K351">
        <v>43</v>
      </c>
      <c r="L351" t="s">
        <v>1300</v>
      </c>
      <c r="M351">
        <v>48</v>
      </c>
      <c r="N351" t="s">
        <v>1303</v>
      </c>
      <c r="O351">
        <v>51</v>
      </c>
      <c r="P351" t="s">
        <v>1309</v>
      </c>
      <c r="Q351">
        <v>59</v>
      </c>
      <c r="R351" t="s">
        <v>1443</v>
      </c>
      <c r="S351">
        <v>203</v>
      </c>
      <c r="T351" t="s">
        <v>1475</v>
      </c>
      <c r="U351">
        <v>240</v>
      </c>
      <c r="V351" t="s">
        <v>1484</v>
      </c>
      <c r="W351">
        <v>253</v>
      </c>
      <c r="X351" s="25" t="s">
        <v>1513</v>
      </c>
      <c r="Y351">
        <v>286</v>
      </c>
      <c r="Z351" t="s">
        <v>1538</v>
      </c>
      <c r="AA351">
        <v>313</v>
      </c>
      <c r="AB351" t="s">
        <v>1567</v>
      </c>
      <c r="AC351">
        <v>346</v>
      </c>
      <c r="AD351" t="s">
        <v>1568</v>
      </c>
      <c r="AE351">
        <v>347</v>
      </c>
      <c r="AF351" t="s">
        <v>1572</v>
      </c>
      <c r="AG351">
        <v>351</v>
      </c>
      <c r="AH351" t="s">
        <v>1575</v>
      </c>
      <c r="AI351">
        <v>355</v>
      </c>
      <c r="AJ351" t="s">
        <v>1586</v>
      </c>
      <c r="AK351">
        <v>366</v>
      </c>
      <c r="AL351" t="s">
        <v>1589</v>
      </c>
      <c r="AM351">
        <v>370</v>
      </c>
      <c r="AN351" t="s">
        <v>1597</v>
      </c>
      <c r="AO351">
        <v>379</v>
      </c>
      <c r="AP351" t="s">
        <v>1634</v>
      </c>
      <c r="AQ351">
        <v>421</v>
      </c>
      <c r="AR351" t="s">
        <v>1668</v>
      </c>
      <c r="AS351">
        <v>456</v>
      </c>
      <c r="AT351" t="s">
        <v>1669</v>
      </c>
      <c r="AU351">
        <v>457</v>
      </c>
      <c r="AV351" t="s">
        <v>1689</v>
      </c>
      <c r="AW351">
        <v>481</v>
      </c>
      <c r="AX351" t="s">
        <v>1751</v>
      </c>
      <c r="AY351">
        <v>549</v>
      </c>
      <c r="AZ351" t="s">
        <v>1124</v>
      </c>
      <c r="BA351">
        <v>642</v>
      </c>
    </row>
    <row r="352" spans="1:53" x14ac:dyDescent="0.15">
      <c r="A352">
        <v>351</v>
      </c>
      <c r="B352" t="s">
        <v>1514</v>
      </c>
      <c r="C352" t="s">
        <v>3889</v>
      </c>
      <c r="D352" t="s">
        <v>1514</v>
      </c>
      <c r="E352">
        <v>287</v>
      </c>
    </row>
    <row r="353" spans="1:53" x14ac:dyDescent="0.15">
      <c r="A353">
        <v>352</v>
      </c>
      <c r="B353" t="s">
        <v>1517</v>
      </c>
      <c r="C353" t="s">
        <v>3889</v>
      </c>
      <c r="D353" t="s">
        <v>1517</v>
      </c>
      <c r="E353">
        <v>291</v>
      </c>
    </row>
    <row r="354" spans="1:53" x14ac:dyDescent="0.15">
      <c r="A354">
        <v>353</v>
      </c>
      <c r="B354" t="s">
        <v>1518</v>
      </c>
      <c r="C354" t="s">
        <v>3889</v>
      </c>
      <c r="D354" t="s">
        <v>1518</v>
      </c>
      <c r="E354">
        <v>292</v>
      </c>
    </row>
    <row r="355" spans="1:53" x14ac:dyDescent="0.15">
      <c r="A355">
        <v>354</v>
      </c>
      <c r="B355" t="s">
        <v>1519</v>
      </c>
      <c r="C355" t="s">
        <v>3889</v>
      </c>
      <c r="D355" t="s">
        <v>1519</v>
      </c>
      <c r="E355">
        <v>293</v>
      </c>
    </row>
    <row r="356" spans="1:53" x14ac:dyDescent="0.15">
      <c r="A356">
        <v>355</v>
      </c>
      <c r="B356" t="s">
        <v>1520</v>
      </c>
      <c r="C356" t="s">
        <v>3889</v>
      </c>
      <c r="D356" t="s">
        <v>1520</v>
      </c>
      <c r="E356">
        <v>294</v>
      </c>
    </row>
    <row r="357" spans="1:53" x14ac:dyDescent="0.15">
      <c r="A357">
        <v>356</v>
      </c>
      <c r="B357" t="s">
        <v>1535</v>
      </c>
      <c r="C357" t="s">
        <v>3889</v>
      </c>
      <c r="D357" t="s">
        <v>1535</v>
      </c>
      <c r="E357">
        <v>309</v>
      </c>
    </row>
    <row r="358" spans="1:53" x14ac:dyDescent="0.15">
      <c r="A358">
        <v>357</v>
      </c>
      <c r="B358" t="s">
        <v>1536</v>
      </c>
      <c r="C358" t="s">
        <v>3889</v>
      </c>
      <c r="D358" t="s">
        <v>1536</v>
      </c>
      <c r="E358">
        <v>311</v>
      </c>
    </row>
    <row r="359" spans="1:53" x14ac:dyDescent="0.15">
      <c r="A359">
        <v>358</v>
      </c>
      <c r="B359" t="s">
        <v>1536</v>
      </c>
      <c r="C359" t="s">
        <v>3889</v>
      </c>
      <c r="D359" t="s">
        <v>1536</v>
      </c>
      <c r="E359">
        <v>311</v>
      </c>
    </row>
    <row r="360" spans="1:53" x14ac:dyDescent="0.15">
      <c r="A360">
        <v>359</v>
      </c>
      <c r="B360" t="s">
        <v>1537</v>
      </c>
      <c r="C360" t="s">
        <v>3889</v>
      </c>
      <c r="D360" t="s">
        <v>1537</v>
      </c>
      <c r="E360">
        <v>312</v>
      </c>
    </row>
    <row r="361" spans="1:53" x14ac:dyDescent="0.15">
      <c r="A361">
        <v>360</v>
      </c>
      <c r="B361" t="s">
        <v>1537</v>
      </c>
      <c r="C361" t="s">
        <v>3889</v>
      </c>
      <c r="D361" t="s">
        <v>1537</v>
      </c>
      <c r="E361">
        <v>312</v>
      </c>
    </row>
    <row r="362" spans="1:53" x14ac:dyDescent="0.15">
      <c r="A362">
        <v>361</v>
      </c>
      <c r="B362" t="s">
        <v>1538</v>
      </c>
      <c r="C362" t="s">
        <v>3889</v>
      </c>
      <c r="D362" t="s">
        <v>1538</v>
      </c>
      <c r="E362">
        <v>313</v>
      </c>
    </row>
    <row r="363" spans="1:53" x14ac:dyDescent="0.15">
      <c r="A363">
        <v>362</v>
      </c>
      <c r="B363" t="s">
        <v>3948</v>
      </c>
      <c r="C363" t="s">
        <v>3866</v>
      </c>
      <c r="D363" s="26" t="s">
        <v>1263</v>
      </c>
      <c r="E363">
        <v>13</v>
      </c>
      <c r="F363" t="s">
        <v>1271</v>
      </c>
      <c r="G363">
        <v>20</v>
      </c>
      <c r="H363" t="s">
        <v>1287</v>
      </c>
      <c r="I363">
        <v>35</v>
      </c>
      <c r="J363" t="s">
        <v>1295</v>
      </c>
      <c r="K363">
        <v>43</v>
      </c>
      <c r="L363" t="s">
        <v>1300</v>
      </c>
      <c r="M363">
        <v>48</v>
      </c>
      <c r="N363" t="s">
        <v>1303</v>
      </c>
      <c r="O363">
        <v>51</v>
      </c>
      <c r="P363" t="s">
        <v>1309</v>
      </c>
      <c r="Q363">
        <v>59</v>
      </c>
      <c r="R363" t="s">
        <v>1443</v>
      </c>
      <c r="S363">
        <v>203</v>
      </c>
      <c r="T363" t="s">
        <v>1475</v>
      </c>
      <c r="U363">
        <v>240</v>
      </c>
      <c r="V363" t="s">
        <v>1484</v>
      </c>
      <c r="W363">
        <v>253</v>
      </c>
      <c r="X363" t="s">
        <v>1513</v>
      </c>
      <c r="Y363">
        <v>286</v>
      </c>
      <c r="Z363" t="s">
        <v>1538</v>
      </c>
      <c r="AA363">
        <v>313</v>
      </c>
      <c r="AB363" t="s">
        <v>1567</v>
      </c>
      <c r="AC363">
        <v>346</v>
      </c>
      <c r="AD363" t="s">
        <v>1568</v>
      </c>
      <c r="AE363">
        <v>347</v>
      </c>
      <c r="AF363" t="s">
        <v>1572</v>
      </c>
      <c r="AG363">
        <v>351</v>
      </c>
      <c r="AH363" t="s">
        <v>1575</v>
      </c>
      <c r="AI363">
        <v>355</v>
      </c>
      <c r="AJ363" t="s">
        <v>1586</v>
      </c>
      <c r="AK363">
        <v>366</v>
      </c>
      <c r="AL363" t="s">
        <v>1589</v>
      </c>
      <c r="AM363">
        <v>370</v>
      </c>
      <c r="AN363" t="s">
        <v>1597</v>
      </c>
      <c r="AO363">
        <v>379</v>
      </c>
      <c r="AP363" t="s">
        <v>1634</v>
      </c>
      <c r="AQ363">
        <v>421</v>
      </c>
      <c r="AR363" t="s">
        <v>1668</v>
      </c>
      <c r="AS363">
        <v>456</v>
      </c>
      <c r="AT363" t="s">
        <v>1669</v>
      </c>
      <c r="AU363">
        <v>457</v>
      </c>
      <c r="AV363" t="s">
        <v>1689</v>
      </c>
      <c r="AW363">
        <v>481</v>
      </c>
      <c r="AX363" t="s">
        <v>1751</v>
      </c>
      <c r="AY363">
        <v>549</v>
      </c>
      <c r="AZ363" t="s">
        <v>1124</v>
      </c>
      <c r="BA363">
        <v>642</v>
      </c>
    </row>
    <row r="364" spans="1:53" x14ac:dyDescent="0.15">
      <c r="A364">
        <v>363</v>
      </c>
      <c r="B364" t="s">
        <v>1539</v>
      </c>
      <c r="C364" t="s">
        <v>3889</v>
      </c>
      <c r="D364" t="s">
        <v>1539</v>
      </c>
      <c r="E364">
        <v>314</v>
      </c>
    </row>
    <row r="365" spans="1:53" x14ac:dyDescent="0.15">
      <c r="A365">
        <v>364</v>
      </c>
      <c r="B365" t="s">
        <v>3949</v>
      </c>
      <c r="C365" t="s">
        <v>3884</v>
      </c>
    </row>
    <row r="366" spans="1:53" x14ac:dyDescent="0.15">
      <c r="A366">
        <v>365</v>
      </c>
      <c r="B366" t="s">
        <v>1540</v>
      </c>
      <c r="C366" t="s">
        <v>3889</v>
      </c>
      <c r="D366" t="s">
        <v>1540</v>
      </c>
      <c r="E366">
        <v>315</v>
      </c>
    </row>
    <row r="367" spans="1:53" x14ac:dyDescent="0.15">
      <c r="A367">
        <v>366</v>
      </c>
      <c r="B367" t="s">
        <v>1541</v>
      </c>
      <c r="C367" t="s">
        <v>3889</v>
      </c>
      <c r="D367" t="s">
        <v>1541</v>
      </c>
      <c r="E367">
        <v>316</v>
      </c>
    </row>
    <row r="368" spans="1:53" x14ac:dyDescent="0.15">
      <c r="A368">
        <v>367</v>
      </c>
      <c r="B368" t="s">
        <v>3950</v>
      </c>
      <c r="C368" t="s">
        <v>3866</v>
      </c>
      <c r="D368" s="25" t="s">
        <v>1542</v>
      </c>
      <c r="E368">
        <v>317</v>
      </c>
    </row>
    <row r="369" spans="1:11" x14ac:dyDescent="0.15">
      <c r="A369">
        <v>368</v>
      </c>
      <c r="B369" t="s">
        <v>665</v>
      </c>
      <c r="C369" t="s">
        <v>3889</v>
      </c>
      <c r="D369" t="s">
        <v>665</v>
      </c>
      <c r="E369">
        <v>320</v>
      </c>
    </row>
    <row r="370" spans="1:11" x14ac:dyDescent="0.15">
      <c r="A370">
        <v>369</v>
      </c>
      <c r="B370" t="s">
        <v>1544</v>
      </c>
      <c r="C370" t="s">
        <v>3889</v>
      </c>
      <c r="D370" t="s">
        <v>1544</v>
      </c>
      <c r="E370">
        <v>321</v>
      </c>
    </row>
    <row r="371" spans="1:11" x14ac:dyDescent="0.15">
      <c r="A371">
        <v>370</v>
      </c>
      <c r="B371" t="s">
        <v>668</v>
      </c>
      <c r="C371" t="s">
        <v>3866</v>
      </c>
      <c r="D371" s="26" t="s">
        <v>670</v>
      </c>
      <c r="E371">
        <v>322</v>
      </c>
      <c r="F371" t="s">
        <v>1670</v>
      </c>
      <c r="G371">
        <v>458</v>
      </c>
      <c r="H371" t="s">
        <v>1735</v>
      </c>
      <c r="I371">
        <v>529</v>
      </c>
      <c r="J371" t="s">
        <v>1794</v>
      </c>
      <c r="K371">
        <v>596</v>
      </c>
    </row>
    <row r="372" spans="1:11" x14ac:dyDescent="0.15">
      <c r="A372">
        <v>371</v>
      </c>
      <c r="B372" t="s">
        <v>670</v>
      </c>
      <c r="C372" t="s">
        <v>3889</v>
      </c>
      <c r="D372" t="s">
        <v>670</v>
      </c>
      <c r="E372">
        <v>322</v>
      </c>
    </row>
    <row r="373" spans="1:11" x14ac:dyDescent="0.15">
      <c r="A373">
        <v>372</v>
      </c>
      <c r="B373" t="s">
        <v>670</v>
      </c>
      <c r="C373" t="s">
        <v>3889</v>
      </c>
      <c r="D373" t="s">
        <v>670</v>
      </c>
      <c r="E373">
        <v>322</v>
      </c>
    </row>
    <row r="374" spans="1:11" x14ac:dyDescent="0.15">
      <c r="A374">
        <v>373</v>
      </c>
      <c r="B374" t="s">
        <v>1545</v>
      </c>
      <c r="C374" t="s">
        <v>3889</v>
      </c>
      <c r="D374" t="s">
        <v>1545</v>
      </c>
      <c r="E374">
        <v>323</v>
      </c>
    </row>
    <row r="375" spans="1:11" x14ac:dyDescent="0.15">
      <c r="A375">
        <v>374</v>
      </c>
      <c r="B375" t="s">
        <v>1547</v>
      </c>
      <c r="C375" t="s">
        <v>3889</v>
      </c>
      <c r="D375" t="s">
        <v>1547</v>
      </c>
      <c r="E375">
        <v>325</v>
      </c>
    </row>
    <row r="376" spans="1:11" x14ac:dyDescent="0.15">
      <c r="A376">
        <v>375</v>
      </c>
      <c r="B376" t="s">
        <v>1546</v>
      </c>
      <c r="C376" t="s">
        <v>3889</v>
      </c>
      <c r="D376" t="s">
        <v>1546</v>
      </c>
      <c r="E376">
        <v>324</v>
      </c>
    </row>
    <row r="377" spans="1:11" x14ac:dyDescent="0.15">
      <c r="A377">
        <v>376</v>
      </c>
      <c r="B377" t="s">
        <v>1548</v>
      </c>
      <c r="C377" t="s">
        <v>3889</v>
      </c>
      <c r="D377" t="s">
        <v>1548</v>
      </c>
      <c r="E377">
        <v>326</v>
      </c>
    </row>
    <row r="378" spans="1:11" x14ac:dyDescent="0.15">
      <c r="A378">
        <v>377</v>
      </c>
      <c r="B378" t="s">
        <v>1548</v>
      </c>
      <c r="C378" t="s">
        <v>3889</v>
      </c>
      <c r="D378" t="s">
        <v>1548</v>
      </c>
      <c r="E378">
        <v>326</v>
      </c>
    </row>
    <row r="379" spans="1:11" x14ac:dyDescent="0.15">
      <c r="A379">
        <v>378</v>
      </c>
      <c r="B379" t="s">
        <v>1549</v>
      </c>
      <c r="C379" t="s">
        <v>3889</v>
      </c>
      <c r="D379" t="s">
        <v>1549</v>
      </c>
      <c r="E379">
        <v>327</v>
      </c>
    </row>
    <row r="380" spans="1:11" x14ac:dyDescent="0.15">
      <c r="A380">
        <v>379</v>
      </c>
      <c r="B380" t="s">
        <v>1550</v>
      </c>
      <c r="C380" t="s">
        <v>3889</v>
      </c>
      <c r="D380" t="s">
        <v>1550</v>
      </c>
      <c r="E380">
        <v>328</v>
      </c>
    </row>
    <row r="381" spans="1:11" x14ac:dyDescent="0.15">
      <c r="A381">
        <v>380</v>
      </c>
      <c r="B381" t="s">
        <v>1550</v>
      </c>
      <c r="C381" t="s">
        <v>3889</v>
      </c>
      <c r="D381" t="s">
        <v>1550</v>
      </c>
      <c r="E381">
        <v>328</v>
      </c>
    </row>
    <row r="382" spans="1:11" x14ac:dyDescent="0.15">
      <c r="A382">
        <v>381</v>
      </c>
      <c r="B382" t="s">
        <v>3951</v>
      </c>
      <c r="C382" t="s">
        <v>3866</v>
      </c>
      <c r="D382" s="25" t="s">
        <v>1551</v>
      </c>
      <c r="E382">
        <v>329</v>
      </c>
    </row>
    <row r="383" spans="1:11" x14ac:dyDescent="0.15">
      <c r="A383">
        <v>382</v>
      </c>
      <c r="B383" t="s">
        <v>3952</v>
      </c>
      <c r="C383" t="s">
        <v>3866</v>
      </c>
      <c r="D383" s="25" t="s">
        <v>1552</v>
      </c>
      <c r="E383">
        <v>330</v>
      </c>
      <c r="F383" t="s">
        <v>1553</v>
      </c>
      <c r="G383">
        <v>331</v>
      </c>
    </row>
    <row r="384" spans="1:11" x14ac:dyDescent="0.15">
      <c r="A384">
        <v>383</v>
      </c>
      <c r="B384" t="s">
        <v>1553</v>
      </c>
      <c r="C384" t="s">
        <v>3889</v>
      </c>
      <c r="D384" t="s">
        <v>1553</v>
      </c>
      <c r="E384">
        <v>331</v>
      </c>
    </row>
    <row r="385" spans="1:7" x14ac:dyDescent="0.15">
      <c r="A385">
        <v>384</v>
      </c>
      <c r="B385" t="s">
        <v>1554</v>
      </c>
      <c r="C385" t="s">
        <v>3889</v>
      </c>
      <c r="D385" t="s">
        <v>1554</v>
      </c>
      <c r="E385">
        <v>332</v>
      </c>
    </row>
    <row r="386" spans="1:7" x14ac:dyDescent="0.15">
      <c r="A386">
        <v>385</v>
      </c>
      <c r="B386" t="s">
        <v>1554</v>
      </c>
      <c r="C386" t="s">
        <v>3889</v>
      </c>
      <c r="D386" t="s">
        <v>1554</v>
      </c>
      <c r="E386">
        <v>332</v>
      </c>
    </row>
    <row r="387" spans="1:7" x14ac:dyDescent="0.15">
      <c r="A387">
        <v>386</v>
      </c>
      <c r="B387" t="s">
        <v>1556</v>
      </c>
      <c r="C387" t="s">
        <v>3889</v>
      </c>
      <c r="D387" t="s">
        <v>1556</v>
      </c>
      <c r="E387">
        <v>333</v>
      </c>
    </row>
    <row r="388" spans="1:7" x14ac:dyDescent="0.15">
      <c r="A388">
        <v>387</v>
      </c>
      <c r="B388" t="s">
        <v>1556</v>
      </c>
      <c r="C388" t="s">
        <v>3889</v>
      </c>
      <c r="D388" t="s">
        <v>1556</v>
      </c>
      <c r="E388">
        <v>333</v>
      </c>
    </row>
    <row r="389" spans="1:7" x14ac:dyDescent="0.15">
      <c r="A389">
        <v>388</v>
      </c>
      <c r="B389" t="s">
        <v>1555</v>
      </c>
      <c r="C389" t="s">
        <v>3866</v>
      </c>
      <c r="D389" s="26" t="s">
        <v>1523</v>
      </c>
      <c r="E389">
        <v>297</v>
      </c>
      <c r="F389" t="s">
        <v>1620</v>
      </c>
      <c r="G389">
        <v>405</v>
      </c>
    </row>
    <row r="390" spans="1:7" x14ac:dyDescent="0.15">
      <c r="A390">
        <v>389</v>
      </c>
      <c r="B390" t="s">
        <v>690</v>
      </c>
      <c r="C390" t="s">
        <v>3889</v>
      </c>
      <c r="D390" s="28" t="s">
        <v>690</v>
      </c>
      <c r="E390">
        <v>334</v>
      </c>
    </row>
    <row r="391" spans="1:7" x14ac:dyDescent="0.15">
      <c r="A391">
        <v>390</v>
      </c>
      <c r="B391" t="s">
        <v>692</v>
      </c>
      <c r="C391" t="s">
        <v>3889</v>
      </c>
      <c r="D391" t="s">
        <v>692</v>
      </c>
      <c r="E391">
        <v>365</v>
      </c>
    </row>
    <row r="392" spans="1:7" x14ac:dyDescent="0.15">
      <c r="A392">
        <v>391</v>
      </c>
      <c r="B392" t="s">
        <v>1561</v>
      </c>
      <c r="C392" t="s">
        <v>3889</v>
      </c>
      <c r="D392" t="s">
        <v>1561</v>
      </c>
      <c r="E392">
        <v>339</v>
      </c>
    </row>
    <row r="393" spans="1:7" x14ac:dyDescent="0.15">
      <c r="A393">
        <v>392</v>
      </c>
      <c r="B393" t="s">
        <v>1561</v>
      </c>
      <c r="C393" t="s">
        <v>3889</v>
      </c>
      <c r="D393" t="s">
        <v>1561</v>
      </c>
      <c r="E393">
        <v>339</v>
      </c>
    </row>
    <row r="394" spans="1:7" x14ac:dyDescent="0.15">
      <c r="A394">
        <v>393</v>
      </c>
      <c r="B394" t="s">
        <v>1559</v>
      </c>
      <c r="C394" t="s">
        <v>3889</v>
      </c>
      <c r="D394" t="s">
        <v>1559</v>
      </c>
      <c r="E394">
        <v>337</v>
      </c>
    </row>
    <row r="395" spans="1:7" x14ac:dyDescent="0.15">
      <c r="A395">
        <v>394</v>
      </c>
      <c r="B395" t="s">
        <v>1559</v>
      </c>
      <c r="C395" t="s">
        <v>3889</v>
      </c>
      <c r="D395" t="s">
        <v>1559</v>
      </c>
      <c r="E395">
        <v>337</v>
      </c>
    </row>
    <row r="396" spans="1:7" x14ac:dyDescent="0.15">
      <c r="A396">
        <v>395</v>
      </c>
      <c r="B396" t="s">
        <v>1560</v>
      </c>
      <c r="C396" t="s">
        <v>3889</v>
      </c>
      <c r="D396" t="s">
        <v>1560</v>
      </c>
      <c r="E396">
        <v>338</v>
      </c>
    </row>
    <row r="397" spans="1:7" x14ac:dyDescent="0.15">
      <c r="A397">
        <v>396</v>
      </c>
      <c r="B397" t="s">
        <v>1560</v>
      </c>
      <c r="C397" t="s">
        <v>3889</v>
      </c>
      <c r="D397" t="s">
        <v>1560</v>
      </c>
      <c r="E397">
        <v>338</v>
      </c>
    </row>
    <row r="398" spans="1:7" x14ac:dyDescent="0.15">
      <c r="A398">
        <v>397</v>
      </c>
      <c r="B398" t="s">
        <v>1562</v>
      </c>
      <c r="C398" t="s">
        <v>3889</v>
      </c>
      <c r="D398" t="s">
        <v>1562</v>
      </c>
      <c r="E398">
        <v>340</v>
      </c>
    </row>
    <row r="399" spans="1:7" x14ac:dyDescent="0.15">
      <c r="A399">
        <v>398</v>
      </c>
      <c r="B399" t="s">
        <v>1563</v>
      </c>
      <c r="C399" t="s">
        <v>3889</v>
      </c>
      <c r="D399" t="s">
        <v>1563</v>
      </c>
      <c r="E399">
        <v>341</v>
      </c>
    </row>
    <row r="400" spans="1:7" x14ac:dyDescent="0.15">
      <c r="A400">
        <v>399</v>
      </c>
      <c r="B400" t="s">
        <v>1564</v>
      </c>
      <c r="C400" t="s">
        <v>3889</v>
      </c>
      <c r="D400" t="s">
        <v>1564</v>
      </c>
      <c r="E400">
        <v>342</v>
      </c>
    </row>
    <row r="401" spans="1:83" x14ac:dyDescent="0.15">
      <c r="A401">
        <v>400</v>
      </c>
      <c r="B401" t="s">
        <v>1565</v>
      </c>
      <c r="C401" t="s">
        <v>3889</v>
      </c>
      <c r="D401" t="s">
        <v>1565</v>
      </c>
      <c r="E401">
        <v>343</v>
      </c>
    </row>
    <row r="402" spans="1:83" x14ac:dyDescent="0.15">
      <c r="A402">
        <v>401</v>
      </c>
      <c r="B402" t="s">
        <v>707</v>
      </c>
      <c r="C402" t="s">
        <v>3889</v>
      </c>
      <c r="D402" t="s">
        <v>707</v>
      </c>
      <c r="E402">
        <v>344</v>
      </c>
    </row>
    <row r="403" spans="1:83" x14ac:dyDescent="0.15">
      <c r="A403">
        <v>402</v>
      </c>
      <c r="B403" t="s">
        <v>1567</v>
      </c>
      <c r="C403" t="s">
        <v>3889</v>
      </c>
      <c r="D403" t="s">
        <v>1567</v>
      </c>
      <c r="E403">
        <v>346</v>
      </c>
    </row>
    <row r="404" spans="1:83" x14ac:dyDescent="0.15">
      <c r="A404">
        <v>403</v>
      </c>
      <c r="B404" t="s">
        <v>1566</v>
      </c>
      <c r="C404" t="s">
        <v>3889</v>
      </c>
      <c r="D404" t="s">
        <v>1566</v>
      </c>
      <c r="E404">
        <v>345</v>
      </c>
    </row>
    <row r="405" spans="1:83" x14ac:dyDescent="0.15">
      <c r="A405">
        <v>404</v>
      </c>
      <c r="B405" t="s">
        <v>1568</v>
      </c>
      <c r="C405" t="s">
        <v>3889</v>
      </c>
      <c r="D405" t="s">
        <v>1568</v>
      </c>
      <c r="E405">
        <v>347</v>
      </c>
    </row>
    <row r="406" spans="1:83" x14ac:dyDescent="0.15">
      <c r="A406">
        <v>405</v>
      </c>
      <c r="B406" t="s">
        <v>1568</v>
      </c>
      <c r="C406" t="s">
        <v>3889</v>
      </c>
      <c r="D406" t="s">
        <v>1568</v>
      </c>
      <c r="E406">
        <v>347</v>
      </c>
    </row>
    <row r="407" spans="1:83" x14ac:dyDescent="0.15">
      <c r="A407">
        <v>406</v>
      </c>
      <c r="B407" t="s">
        <v>1569</v>
      </c>
      <c r="C407" t="s">
        <v>3889</v>
      </c>
      <c r="D407" t="s">
        <v>1569</v>
      </c>
      <c r="E407">
        <v>348</v>
      </c>
    </row>
    <row r="408" spans="1:83" x14ac:dyDescent="0.15">
      <c r="A408">
        <v>407</v>
      </c>
      <c r="B408" t="s">
        <v>3953</v>
      </c>
      <c r="C408" t="s">
        <v>3866</v>
      </c>
      <c r="D408" t="s">
        <v>1269</v>
      </c>
      <c r="E408">
        <v>19</v>
      </c>
      <c r="F408" t="s">
        <v>1273</v>
      </c>
      <c r="G408">
        <v>22</v>
      </c>
      <c r="H408" t="s">
        <v>1292</v>
      </c>
      <c r="I408">
        <v>40</v>
      </c>
      <c r="J408" t="s">
        <v>1313</v>
      </c>
      <c r="K408">
        <v>64</v>
      </c>
      <c r="L408" t="s">
        <v>1316</v>
      </c>
      <c r="M408">
        <v>69</v>
      </c>
      <c r="N408" t="s">
        <v>1319</v>
      </c>
      <c r="O408">
        <v>72</v>
      </c>
      <c r="P408" t="s">
        <v>1328</v>
      </c>
      <c r="Q408">
        <v>81</v>
      </c>
      <c r="R408" t="s">
        <v>1359</v>
      </c>
      <c r="S408">
        <v>111</v>
      </c>
      <c r="T408" t="s">
        <v>1369</v>
      </c>
      <c r="U408">
        <v>121</v>
      </c>
      <c r="V408" t="s">
        <v>1370</v>
      </c>
      <c r="W408">
        <v>122</v>
      </c>
      <c r="X408" t="s">
        <v>1378</v>
      </c>
      <c r="Y408">
        <v>130</v>
      </c>
      <c r="Z408" t="s">
        <v>1379</v>
      </c>
      <c r="AA408">
        <v>131</v>
      </c>
      <c r="AB408" t="s">
        <v>1401</v>
      </c>
      <c r="AC408">
        <v>154</v>
      </c>
      <c r="AD408" t="s">
        <v>1434</v>
      </c>
      <c r="AE408">
        <v>194</v>
      </c>
      <c r="AF408" t="s">
        <v>1517</v>
      </c>
      <c r="AG408">
        <v>291</v>
      </c>
      <c r="AH408" t="s">
        <v>1518</v>
      </c>
      <c r="AI408">
        <v>292</v>
      </c>
      <c r="AJ408" t="s">
        <v>1530</v>
      </c>
      <c r="AK408">
        <v>304</v>
      </c>
      <c r="AL408" t="s">
        <v>1554</v>
      </c>
      <c r="AM408">
        <v>332</v>
      </c>
      <c r="AN408" s="25" t="s">
        <v>1570</v>
      </c>
      <c r="AO408">
        <v>349</v>
      </c>
      <c r="AP408" t="s">
        <v>739</v>
      </c>
      <c r="AQ408">
        <v>368</v>
      </c>
      <c r="AR408" t="s">
        <v>1600</v>
      </c>
      <c r="AS408">
        <v>382</v>
      </c>
      <c r="AT408" t="s">
        <v>1638</v>
      </c>
      <c r="AU408">
        <v>427</v>
      </c>
      <c r="AV408" t="s">
        <v>1639</v>
      </c>
      <c r="AW408">
        <v>428</v>
      </c>
      <c r="AX408" t="s">
        <v>1659</v>
      </c>
      <c r="AY408">
        <v>447</v>
      </c>
      <c r="AZ408" t="s">
        <v>1666</v>
      </c>
      <c r="BA408">
        <v>454</v>
      </c>
      <c r="BB408" t="s">
        <v>1681</v>
      </c>
      <c r="BC408">
        <v>471</v>
      </c>
      <c r="BD408" t="s">
        <v>1699</v>
      </c>
      <c r="BE408">
        <v>491</v>
      </c>
      <c r="BF408" t="s">
        <v>1714</v>
      </c>
      <c r="BG408">
        <v>508</v>
      </c>
      <c r="BH408" t="s">
        <v>1736</v>
      </c>
      <c r="BI408">
        <v>530</v>
      </c>
      <c r="BJ408" t="s">
        <v>1760</v>
      </c>
      <c r="BK408">
        <v>560</v>
      </c>
      <c r="BL408" t="s">
        <v>1764</v>
      </c>
      <c r="BM408">
        <v>565</v>
      </c>
      <c r="BN408" t="s">
        <v>1771</v>
      </c>
      <c r="BO408">
        <v>573</v>
      </c>
      <c r="BP408" t="s">
        <v>1796</v>
      </c>
      <c r="BQ408">
        <v>598</v>
      </c>
      <c r="BR408" t="s">
        <v>1813</v>
      </c>
      <c r="BS408">
        <v>614</v>
      </c>
      <c r="BT408" t="s">
        <v>1814</v>
      </c>
      <c r="BU408">
        <v>615</v>
      </c>
      <c r="BV408" t="s">
        <v>1815</v>
      </c>
      <c r="BW408">
        <v>616</v>
      </c>
      <c r="BX408" t="s">
        <v>1826</v>
      </c>
      <c r="BY408">
        <v>627</v>
      </c>
      <c r="BZ408" t="s">
        <v>1845</v>
      </c>
      <c r="CA408">
        <v>649</v>
      </c>
      <c r="CB408" t="s">
        <v>1864</v>
      </c>
      <c r="CC408">
        <v>668</v>
      </c>
      <c r="CD408" t="s">
        <v>1168</v>
      </c>
      <c r="CE408">
        <v>681</v>
      </c>
    </row>
    <row r="409" spans="1:83" x14ac:dyDescent="0.15">
      <c r="A409">
        <v>408</v>
      </c>
      <c r="B409" t="s">
        <v>715</v>
      </c>
      <c r="C409" t="s">
        <v>3866</v>
      </c>
      <c r="D409" t="s">
        <v>1260</v>
      </c>
      <c r="E409">
        <v>10</v>
      </c>
      <c r="F409" t="s">
        <v>1282</v>
      </c>
      <c r="G409">
        <v>31</v>
      </c>
      <c r="H409" t="s">
        <v>1344</v>
      </c>
      <c r="I409">
        <v>98</v>
      </c>
      <c r="J409" t="s">
        <v>1461</v>
      </c>
      <c r="K409">
        <v>223</v>
      </c>
      <c r="L409" t="s">
        <v>1462</v>
      </c>
      <c r="M409">
        <v>225</v>
      </c>
      <c r="N409" t="s">
        <v>578</v>
      </c>
      <c r="O409">
        <v>243</v>
      </c>
      <c r="P409" t="s">
        <v>1515</v>
      </c>
      <c r="Q409">
        <v>289</v>
      </c>
      <c r="R409" s="25" t="s">
        <v>1571</v>
      </c>
      <c r="S409">
        <v>350</v>
      </c>
      <c r="T409" t="s">
        <v>1602</v>
      </c>
      <c r="U409">
        <v>385</v>
      </c>
      <c r="V409" t="s">
        <v>1608</v>
      </c>
      <c r="W409">
        <v>391</v>
      </c>
      <c r="X409" t="s">
        <v>1660</v>
      </c>
      <c r="Y409">
        <v>448</v>
      </c>
      <c r="Z409" t="s">
        <v>1675</v>
      </c>
      <c r="AA409">
        <v>464</v>
      </c>
      <c r="AB409" t="s">
        <v>1676</v>
      </c>
      <c r="AC409">
        <v>465</v>
      </c>
      <c r="AD409" t="s">
        <v>1761</v>
      </c>
      <c r="AE409">
        <v>561</v>
      </c>
      <c r="AF409" t="s">
        <v>1873</v>
      </c>
      <c r="AG409">
        <v>678</v>
      </c>
    </row>
    <row r="410" spans="1:83" s="29" customFormat="1" ht="14.25" thickBot="1" x14ac:dyDescent="0.2">
      <c r="A410" s="29">
        <v>409</v>
      </c>
      <c r="B410" s="29" t="s">
        <v>3954</v>
      </c>
      <c r="C410" s="29" t="s">
        <v>3866</v>
      </c>
      <c r="D410" s="30" t="s">
        <v>1262</v>
      </c>
      <c r="E410" s="29">
        <v>12</v>
      </c>
      <c r="F410" s="29" t="s">
        <v>1323</v>
      </c>
      <c r="G410" s="29">
        <v>76</v>
      </c>
      <c r="H410" s="29" t="s">
        <v>1366</v>
      </c>
      <c r="I410" s="29">
        <v>118</v>
      </c>
      <c r="J410" s="29" t="s">
        <v>421</v>
      </c>
      <c r="K410" s="29">
        <v>153</v>
      </c>
      <c r="L410" s="29" t="s">
        <v>483</v>
      </c>
      <c r="M410" s="29">
        <v>182</v>
      </c>
      <c r="N410" s="29" t="s">
        <v>1436</v>
      </c>
      <c r="O410" s="29">
        <v>196</v>
      </c>
      <c r="P410" s="29" t="s">
        <v>1442</v>
      </c>
      <c r="Q410" s="29">
        <v>202</v>
      </c>
      <c r="R410" s="29" t="s">
        <v>557</v>
      </c>
      <c r="S410" s="29">
        <v>227</v>
      </c>
      <c r="T410" s="29" t="s">
        <v>1541</v>
      </c>
      <c r="U410" s="29">
        <v>316</v>
      </c>
      <c r="V410" s="29" t="s">
        <v>1614</v>
      </c>
      <c r="W410" s="29">
        <v>397</v>
      </c>
      <c r="X410" s="29" t="s">
        <v>806</v>
      </c>
      <c r="Y410" s="29">
        <v>419</v>
      </c>
      <c r="Z410" s="29" t="s">
        <v>1644</v>
      </c>
      <c r="AA410" s="29">
        <v>433</v>
      </c>
      <c r="AB410" s="29" t="s">
        <v>831</v>
      </c>
      <c r="AC410" s="29">
        <v>435</v>
      </c>
      <c r="AD410" s="29" t="s">
        <v>1654</v>
      </c>
      <c r="AE410" s="29">
        <v>442</v>
      </c>
      <c r="AF410" s="29" t="s">
        <v>1655</v>
      </c>
      <c r="AG410" s="29">
        <v>443</v>
      </c>
      <c r="AH410" s="29" t="s">
        <v>1688</v>
      </c>
      <c r="AI410" s="29">
        <v>480</v>
      </c>
      <c r="AJ410" s="29" t="s">
        <v>1748</v>
      </c>
      <c r="AK410" s="29">
        <v>546</v>
      </c>
      <c r="AL410" s="29" t="s">
        <v>1749</v>
      </c>
      <c r="AM410" s="29">
        <v>547</v>
      </c>
      <c r="AN410" s="29" t="s">
        <v>1014</v>
      </c>
      <c r="AO410" s="29">
        <v>563</v>
      </c>
      <c r="AP410" s="29" t="s">
        <v>1778</v>
      </c>
      <c r="AQ410" s="29">
        <v>580</v>
      </c>
    </row>
    <row r="411" spans="1:83" s="29" customFormat="1" ht="15" thickTop="1" thickBot="1" x14ac:dyDescent="0.2">
      <c r="A411" s="29">
        <v>410</v>
      </c>
      <c r="B411" s="29" t="s">
        <v>3955</v>
      </c>
      <c r="C411" s="29" t="s">
        <v>3866</v>
      </c>
      <c r="D411" s="30" t="s">
        <v>1263</v>
      </c>
      <c r="E411" s="29">
        <v>13</v>
      </c>
      <c r="F411" s="29" t="s">
        <v>1271</v>
      </c>
      <c r="G411" s="29">
        <v>20</v>
      </c>
      <c r="H411" s="29" t="s">
        <v>1287</v>
      </c>
      <c r="I411" s="29">
        <v>35</v>
      </c>
      <c r="J411" s="29" t="s">
        <v>1295</v>
      </c>
      <c r="K411" s="29">
        <v>43</v>
      </c>
      <c r="L411" s="29" t="s">
        <v>1300</v>
      </c>
      <c r="M411" s="29">
        <v>48</v>
      </c>
      <c r="N411" s="29" t="s">
        <v>1303</v>
      </c>
      <c r="O411" s="29">
        <v>51</v>
      </c>
      <c r="P411" s="29" t="s">
        <v>1309</v>
      </c>
      <c r="Q411" s="29">
        <v>59</v>
      </c>
      <c r="R411" s="29" t="s">
        <v>1443</v>
      </c>
      <c r="S411" s="29">
        <v>203</v>
      </c>
      <c r="T411" s="29" t="s">
        <v>1475</v>
      </c>
      <c r="U411" s="29">
        <v>240</v>
      </c>
      <c r="V411" s="29" t="s">
        <v>1484</v>
      </c>
      <c r="W411" s="29">
        <v>253</v>
      </c>
      <c r="X411" s="29" t="s">
        <v>1513</v>
      </c>
      <c r="Y411" s="29">
        <v>286</v>
      </c>
      <c r="Z411" s="29" t="s">
        <v>1538</v>
      </c>
      <c r="AA411" s="29">
        <v>313</v>
      </c>
      <c r="AB411" s="29" t="s">
        <v>1567</v>
      </c>
      <c r="AC411" s="29">
        <v>346</v>
      </c>
      <c r="AD411" s="29" t="s">
        <v>1568</v>
      </c>
      <c r="AE411" s="29">
        <v>347</v>
      </c>
      <c r="AF411" s="29" t="s">
        <v>1572</v>
      </c>
      <c r="AG411" s="29">
        <v>351</v>
      </c>
      <c r="AH411" s="29" t="s">
        <v>1575</v>
      </c>
      <c r="AI411" s="29">
        <v>355</v>
      </c>
      <c r="AJ411" s="29" t="s">
        <v>1586</v>
      </c>
      <c r="AK411" s="29">
        <v>366</v>
      </c>
      <c r="AL411" s="29" t="s">
        <v>1589</v>
      </c>
      <c r="AM411" s="29">
        <v>370</v>
      </c>
      <c r="AN411" s="29" t="s">
        <v>1597</v>
      </c>
      <c r="AO411" s="29">
        <v>379</v>
      </c>
      <c r="AP411" s="29" t="s">
        <v>1634</v>
      </c>
      <c r="AQ411" s="29">
        <v>421</v>
      </c>
      <c r="AR411" s="29" t="s">
        <v>1668</v>
      </c>
      <c r="AS411" s="29">
        <v>456</v>
      </c>
      <c r="AT411" s="29" t="s">
        <v>1669</v>
      </c>
      <c r="AU411" s="29">
        <v>457</v>
      </c>
      <c r="AV411" s="29" t="s">
        <v>1689</v>
      </c>
      <c r="AW411" s="29">
        <v>481</v>
      </c>
      <c r="AX411" s="29" t="s">
        <v>1751</v>
      </c>
      <c r="AY411" s="29">
        <v>549</v>
      </c>
      <c r="AZ411" s="29" t="s">
        <v>1124</v>
      </c>
      <c r="BA411" s="29">
        <v>642</v>
      </c>
    </row>
    <row r="412" spans="1:83" ht="14.25" thickTop="1" x14ac:dyDescent="0.15">
      <c r="A412">
        <v>411</v>
      </c>
      <c r="B412" t="s">
        <v>3956</v>
      </c>
      <c r="C412" t="s">
        <v>3866</v>
      </c>
      <c r="D412" s="28" t="s">
        <v>1263</v>
      </c>
      <c r="E412">
        <v>13</v>
      </c>
      <c r="F412" t="s">
        <v>1271</v>
      </c>
      <c r="G412">
        <v>20</v>
      </c>
      <c r="H412" t="s">
        <v>1287</v>
      </c>
      <c r="I412">
        <v>35</v>
      </c>
      <c r="J412" t="s">
        <v>1295</v>
      </c>
      <c r="K412">
        <v>43</v>
      </c>
      <c r="L412" t="s">
        <v>1300</v>
      </c>
      <c r="M412">
        <v>48</v>
      </c>
      <c r="N412" t="s">
        <v>1303</v>
      </c>
      <c r="O412">
        <v>51</v>
      </c>
      <c r="P412" t="s">
        <v>1309</v>
      </c>
      <c r="Q412">
        <v>59</v>
      </c>
      <c r="R412" t="s">
        <v>1443</v>
      </c>
      <c r="S412">
        <v>203</v>
      </c>
      <c r="T412" t="s">
        <v>1475</v>
      </c>
      <c r="U412">
        <v>240</v>
      </c>
      <c r="V412" t="s">
        <v>1484</v>
      </c>
      <c r="W412">
        <v>253</v>
      </c>
      <c r="X412" t="s">
        <v>1513</v>
      </c>
      <c r="Y412">
        <v>286</v>
      </c>
      <c r="Z412" t="s">
        <v>1538</v>
      </c>
      <c r="AA412">
        <v>313</v>
      </c>
      <c r="AB412" t="s">
        <v>1567</v>
      </c>
      <c r="AC412">
        <v>346</v>
      </c>
      <c r="AD412" t="s">
        <v>1568</v>
      </c>
      <c r="AE412">
        <v>347</v>
      </c>
      <c r="AF412" s="25" t="s">
        <v>1572</v>
      </c>
      <c r="AG412">
        <v>351</v>
      </c>
      <c r="AH412" t="s">
        <v>1575</v>
      </c>
      <c r="AI412">
        <v>355</v>
      </c>
      <c r="AJ412" t="s">
        <v>1586</v>
      </c>
      <c r="AK412">
        <v>366</v>
      </c>
      <c r="AL412" t="s">
        <v>1589</v>
      </c>
      <c r="AM412">
        <v>370</v>
      </c>
      <c r="AN412" t="s">
        <v>1597</v>
      </c>
      <c r="AO412">
        <v>379</v>
      </c>
      <c r="AP412" t="s">
        <v>1634</v>
      </c>
      <c r="AQ412">
        <v>421</v>
      </c>
      <c r="AR412" t="s">
        <v>1668</v>
      </c>
      <c r="AS412">
        <v>456</v>
      </c>
      <c r="AT412" t="s">
        <v>1669</v>
      </c>
      <c r="AU412">
        <v>457</v>
      </c>
      <c r="AV412" t="s">
        <v>1689</v>
      </c>
      <c r="AW412">
        <v>481</v>
      </c>
      <c r="AX412" t="s">
        <v>1751</v>
      </c>
      <c r="AY412">
        <v>549</v>
      </c>
      <c r="AZ412" t="s">
        <v>1124</v>
      </c>
      <c r="BA412">
        <v>642</v>
      </c>
    </row>
    <row r="413" spans="1:83" x14ac:dyDescent="0.15">
      <c r="A413">
        <v>412</v>
      </c>
      <c r="B413" t="s">
        <v>719</v>
      </c>
      <c r="C413" t="s">
        <v>3889</v>
      </c>
      <c r="D413" t="s">
        <v>719</v>
      </c>
      <c r="E413">
        <v>352</v>
      </c>
    </row>
    <row r="414" spans="1:83" x14ac:dyDescent="0.15">
      <c r="A414">
        <v>413</v>
      </c>
      <c r="B414" t="s">
        <v>1239</v>
      </c>
      <c r="C414" t="s">
        <v>3866</v>
      </c>
      <c r="D414" s="25" t="s">
        <v>1573</v>
      </c>
      <c r="E414">
        <v>353</v>
      </c>
    </row>
    <row r="415" spans="1:83" x14ac:dyDescent="0.15">
      <c r="A415">
        <v>414</v>
      </c>
      <c r="B415" t="s">
        <v>3957</v>
      </c>
      <c r="C415" t="s">
        <v>3866</v>
      </c>
      <c r="D415" s="25" t="s">
        <v>1574</v>
      </c>
      <c r="E415">
        <v>354</v>
      </c>
      <c r="F415" t="s">
        <v>1768</v>
      </c>
      <c r="G415">
        <v>569</v>
      </c>
    </row>
    <row r="416" spans="1:83" x14ac:dyDescent="0.15">
      <c r="A416">
        <v>415</v>
      </c>
      <c r="B416" t="s">
        <v>3957</v>
      </c>
      <c r="C416" t="s">
        <v>3866</v>
      </c>
      <c r="D416" s="25" t="s">
        <v>1574</v>
      </c>
      <c r="E416">
        <v>354</v>
      </c>
      <c r="F416" t="s">
        <v>1768</v>
      </c>
      <c r="G416">
        <v>569</v>
      </c>
    </row>
    <row r="417" spans="1:53" x14ac:dyDescent="0.15">
      <c r="A417">
        <v>416</v>
      </c>
      <c r="B417" t="s">
        <v>1575</v>
      </c>
      <c r="C417" t="s">
        <v>3889</v>
      </c>
      <c r="D417" t="s">
        <v>1575</v>
      </c>
      <c r="E417">
        <v>355</v>
      </c>
    </row>
    <row r="418" spans="1:53" x14ac:dyDescent="0.15">
      <c r="A418">
        <v>417</v>
      </c>
      <c r="B418" t="s">
        <v>1576</v>
      </c>
      <c r="C418" t="s">
        <v>3889</v>
      </c>
      <c r="D418" t="s">
        <v>1576</v>
      </c>
      <c r="E418">
        <v>356</v>
      </c>
    </row>
    <row r="419" spans="1:53" x14ac:dyDescent="0.15">
      <c r="A419">
        <v>418</v>
      </c>
      <c r="B419" t="s">
        <v>1578</v>
      </c>
      <c r="C419" t="s">
        <v>3889</v>
      </c>
      <c r="D419" t="s">
        <v>1578</v>
      </c>
      <c r="E419">
        <v>358</v>
      </c>
    </row>
    <row r="420" spans="1:53" x14ac:dyDescent="0.15">
      <c r="A420">
        <v>419</v>
      </c>
      <c r="B420" t="s">
        <v>1579</v>
      </c>
      <c r="C420" t="s">
        <v>3889</v>
      </c>
      <c r="D420" t="s">
        <v>1579</v>
      </c>
      <c r="E420">
        <v>359</v>
      </c>
    </row>
    <row r="421" spans="1:53" x14ac:dyDescent="0.15">
      <c r="A421">
        <v>420</v>
      </c>
      <c r="B421" t="s">
        <v>1580</v>
      </c>
      <c r="C421" t="s">
        <v>3889</v>
      </c>
      <c r="D421" t="s">
        <v>1580</v>
      </c>
      <c r="E421">
        <v>360</v>
      </c>
    </row>
    <row r="422" spans="1:53" x14ac:dyDescent="0.15">
      <c r="A422">
        <v>421</v>
      </c>
      <c r="B422" t="s">
        <v>731</v>
      </c>
      <c r="C422" t="s">
        <v>3866</v>
      </c>
      <c r="D422" s="25" t="s">
        <v>1581</v>
      </c>
      <c r="E422">
        <v>361</v>
      </c>
    </row>
    <row r="423" spans="1:53" x14ac:dyDescent="0.15">
      <c r="A423">
        <v>422</v>
      </c>
      <c r="B423" t="s">
        <v>3958</v>
      </c>
      <c r="C423" t="s">
        <v>3866</v>
      </c>
      <c r="D423" s="25" t="s">
        <v>1582</v>
      </c>
      <c r="E423">
        <v>362</v>
      </c>
    </row>
    <row r="424" spans="1:53" x14ac:dyDescent="0.15">
      <c r="A424">
        <v>423</v>
      </c>
      <c r="B424" t="s">
        <v>3959</v>
      </c>
      <c r="C424" t="s">
        <v>3866</v>
      </c>
      <c r="D424" t="s">
        <v>1415</v>
      </c>
      <c r="E424">
        <v>167</v>
      </c>
      <c r="F424" t="s">
        <v>1525</v>
      </c>
      <c r="G424">
        <v>299</v>
      </c>
      <c r="H424" s="25" t="s">
        <v>1583</v>
      </c>
      <c r="I424">
        <v>363</v>
      </c>
    </row>
    <row r="425" spans="1:53" ht="14.25" thickBot="1" x14ac:dyDescent="0.2">
      <c r="A425">
        <v>424</v>
      </c>
      <c r="B425" t="s">
        <v>1584</v>
      </c>
      <c r="C425" t="s">
        <v>3884</v>
      </c>
      <c r="D425" s="27"/>
    </row>
    <row r="426" spans="1:53" ht="14.25" thickTop="1" x14ac:dyDescent="0.15">
      <c r="A426">
        <v>425</v>
      </c>
      <c r="B426" t="s">
        <v>1586</v>
      </c>
      <c r="C426" t="s">
        <v>3889</v>
      </c>
      <c r="D426" t="s">
        <v>1586</v>
      </c>
      <c r="E426">
        <v>366</v>
      </c>
    </row>
    <row r="427" spans="1:53" x14ac:dyDescent="0.15">
      <c r="A427">
        <v>426</v>
      </c>
      <c r="B427" t="s">
        <v>1587</v>
      </c>
      <c r="C427" t="s">
        <v>3889</v>
      </c>
      <c r="D427" t="s">
        <v>1587</v>
      </c>
      <c r="E427">
        <v>367</v>
      </c>
    </row>
    <row r="428" spans="1:53" x14ac:dyDescent="0.15">
      <c r="A428">
        <v>427</v>
      </c>
      <c r="B428" t="s">
        <v>739</v>
      </c>
      <c r="C428" t="s">
        <v>3889</v>
      </c>
      <c r="D428" t="s">
        <v>739</v>
      </c>
      <c r="E428">
        <v>368</v>
      </c>
    </row>
    <row r="429" spans="1:53" x14ac:dyDescent="0.15">
      <c r="A429">
        <v>428</v>
      </c>
      <c r="B429" t="s">
        <v>3960</v>
      </c>
      <c r="C429" t="s">
        <v>3866</v>
      </c>
      <c r="D429" t="s">
        <v>1263</v>
      </c>
      <c r="E429">
        <v>13</v>
      </c>
      <c r="F429" t="s">
        <v>1271</v>
      </c>
      <c r="G429">
        <v>20</v>
      </c>
      <c r="H429" t="s">
        <v>1287</v>
      </c>
      <c r="I429">
        <v>35</v>
      </c>
      <c r="J429" t="s">
        <v>1295</v>
      </c>
      <c r="K429">
        <v>43</v>
      </c>
      <c r="L429" t="s">
        <v>1300</v>
      </c>
      <c r="M429">
        <v>48</v>
      </c>
      <c r="N429" t="s">
        <v>1303</v>
      </c>
      <c r="O429">
        <v>51</v>
      </c>
      <c r="P429" t="s">
        <v>1309</v>
      </c>
      <c r="Q429">
        <v>59</v>
      </c>
      <c r="R429" t="s">
        <v>1443</v>
      </c>
      <c r="S429">
        <v>203</v>
      </c>
      <c r="T429" t="s">
        <v>1475</v>
      </c>
      <c r="U429">
        <v>240</v>
      </c>
      <c r="V429" t="s">
        <v>1484</v>
      </c>
      <c r="W429">
        <v>253</v>
      </c>
      <c r="X429" t="s">
        <v>1513</v>
      </c>
      <c r="Y429">
        <v>286</v>
      </c>
      <c r="Z429" t="s">
        <v>1538</v>
      </c>
      <c r="AA429">
        <v>313</v>
      </c>
      <c r="AB429" t="s">
        <v>1567</v>
      </c>
      <c r="AC429">
        <v>346</v>
      </c>
      <c r="AD429" t="s">
        <v>1568</v>
      </c>
      <c r="AE429">
        <v>347</v>
      </c>
      <c r="AF429" t="s">
        <v>1572</v>
      </c>
      <c r="AG429">
        <v>351</v>
      </c>
      <c r="AH429" t="s">
        <v>1575</v>
      </c>
      <c r="AI429">
        <v>355</v>
      </c>
      <c r="AJ429" t="s">
        <v>1586</v>
      </c>
      <c r="AK429">
        <v>366</v>
      </c>
      <c r="AL429" s="25" t="s">
        <v>1589</v>
      </c>
      <c r="AM429">
        <v>370</v>
      </c>
      <c r="AN429" t="s">
        <v>1597</v>
      </c>
      <c r="AO429">
        <v>379</v>
      </c>
      <c r="AP429" t="s">
        <v>1634</v>
      </c>
      <c r="AQ429">
        <v>421</v>
      </c>
      <c r="AR429" t="s">
        <v>1668</v>
      </c>
      <c r="AS429">
        <v>456</v>
      </c>
      <c r="AT429" t="s">
        <v>1669</v>
      </c>
      <c r="AU429">
        <v>457</v>
      </c>
      <c r="AV429" t="s">
        <v>1689</v>
      </c>
      <c r="AW429">
        <v>481</v>
      </c>
      <c r="AX429" t="s">
        <v>1751</v>
      </c>
      <c r="AY429">
        <v>549</v>
      </c>
      <c r="AZ429" t="s">
        <v>1124</v>
      </c>
      <c r="BA429">
        <v>642</v>
      </c>
    </row>
    <row r="430" spans="1:53" x14ac:dyDescent="0.15">
      <c r="A430">
        <v>429</v>
      </c>
      <c r="B430" t="s">
        <v>1590</v>
      </c>
      <c r="C430" t="s">
        <v>3889</v>
      </c>
      <c r="D430" t="s">
        <v>1590</v>
      </c>
      <c r="E430">
        <v>371</v>
      </c>
    </row>
    <row r="431" spans="1:53" x14ac:dyDescent="0.15">
      <c r="A431">
        <v>430</v>
      </c>
      <c r="B431" t="s">
        <v>742</v>
      </c>
      <c r="C431" t="s">
        <v>3866</v>
      </c>
      <c r="D431" s="25" t="s">
        <v>1591</v>
      </c>
      <c r="E431">
        <v>372</v>
      </c>
    </row>
    <row r="432" spans="1:53" x14ac:dyDescent="0.15">
      <c r="A432">
        <v>431</v>
      </c>
      <c r="B432" t="s">
        <v>744</v>
      </c>
      <c r="C432" t="s">
        <v>3889</v>
      </c>
      <c r="D432" t="s">
        <v>744</v>
      </c>
      <c r="E432">
        <v>373</v>
      </c>
    </row>
    <row r="433" spans="1:29" x14ac:dyDescent="0.15">
      <c r="A433">
        <v>432</v>
      </c>
      <c r="B433" t="s">
        <v>1592</v>
      </c>
      <c r="C433" t="s">
        <v>3889</v>
      </c>
      <c r="D433" t="s">
        <v>1592</v>
      </c>
      <c r="E433">
        <v>374</v>
      </c>
    </row>
    <row r="434" spans="1:29" x14ac:dyDescent="0.15">
      <c r="A434">
        <v>433</v>
      </c>
      <c r="B434" t="s">
        <v>1593</v>
      </c>
      <c r="C434" t="s">
        <v>3889</v>
      </c>
      <c r="D434" t="s">
        <v>1593</v>
      </c>
      <c r="E434">
        <v>375</v>
      </c>
    </row>
    <row r="435" spans="1:29" x14ac:dyDescent="0.15">
      <c r="A435">
        <v>434</v>
      </c>
      <c r="B435" t="s">
        <v>1595</v>
      </c>
      <c r="C435" t="s">
        <v>3889</v>
      </c>
      <c r="D435" t="s">
        <v>1595</v>
      </c>
      <c r="E435">
        <v>377</v>
      </c>
    </row>
    <row r="436" spans="1:29" x14ac:dyDescent="0.15">
      <c r="A436">
        <v>435</v>
      </c>
      <c r="B436" t="s">
        <v>3961</v>
      </c>
      <c r="C436" t="s">
        <v>3866</v>
      </c>
      <c r="D436" t="s">
        <v>1596</v>
      </c>
      <c r="E436">
        <v>378</v>
      </c>
    </row>
    <row r="437" spans="1:29" x14ac:dyDescent="0.15">
      <c r="A437">
        <v>436</v>
      </c>
      <c r="B437" t="s">
        <v>1598</v>
      </c>
      <c r="C437" t="s">
        <v>3889</v>
      </c>
      <c r="D437" t="s">
        <v>1598</v>
      </c>
      <c r="E437">
        <v>380</v>
      </c>
    </row>
    <row r="438" spans="1:29" x14ac:dyDescent="0.15">
      <c r="A438">
        <v>437</v>
      </c>
      <c r="B438" t="s">
        <v>1597</v>
      </c>
      <c r="C438" t="s">
        <v>3889</v>
      </c>
      <c r="D438" t="s">
        <v>1597</v>
      </c>
      <c r="E438">
        <v>379</v>
      </c>
    </row>
    <row r="439" spans="1:29" x14ac:dyDescent="0.15">
      <c r="A439">
        <v>438</v>
      </c>
      <c r="B439" t="s">
        <v>753</v>
      </c>
      <c r="C439" t="s">
        <v>3866</v>
      </c>
      <c r="D439" s="26" t="s">
        <v>1327</v>
      </c>
      <c r="E439">
        <v>80</v>
      </c>
      <c r="F439" t="s">
        <v>1417</v>
      </c>
      <c r="G439">
        <v>170</v>
      </c>
      <c r="H439" t="s">
        <v>1417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1590</v>
      </c>
      <c r="O439">
        <v>371</v>
      </c>
      <c r="P439" t="s">
        <v>1616</v>
      </c>
      <c r="Q439">
        <v>399</v>
      </c>
      <c r="R439" t="s">
        <v>1625</v>
      </c>
      <c r="S439">
        <v>410</v>
      </c>
      <c r="T439" t="s">
        <v>1671</v>
      </c>
      <c r="U439">
        <v>460</v>
      </c>
      <c r="V439" t="s">
        <v>890</v>
      </c>
      <c r="W439">
        <v>476</v>
      </c>
      <c r="X439" t="s">
        <v>1693</v>
      </c>
      <c r="Y439">
        <v>485</v>
      </c>
      <c r="Z439" t="s">
        <v>1022</v>
      </c>
      <c r="AA439">
        <v>570</v>
      </c>
      <c r="AB439" t="s">
        <v>1859</v>
      </c>
      <c r="AC439">
        <v>663</v>
      </c>
    </row>
    <row r="440" spans="1:29" x14ac:dyDescent="0.15">
      <c r="A440">
        <v>439</v>
      </c>
      <c r="B440" t="s">
        <v>1600</v>
      </c>
      <c r="C440" t="s">
        <v>3889</v>
      </c>
      <c r="D440" t="s">
        <v>1600</v>
      </c>
      <c r="E440">
        <v>382</v>
      </c>
    </row>
    <row r="441" spans="1:29" x14ac:dyDescent="0.15">
      <c r="A441">
        <v>440</v>
      </c>
      <c r="B441" t="s">
        <v>3962</v>
      </c>
      <c r="C441" t="s">
        <v>3866</v>
      </c>
      <c r="D441" t="s">
        <v>1601</v>
      </c>
      <c r="E441">
        <v>383</v>
      </c>
    </row>
    <row r="442" spans="1:29" x14ac:dyDescent="0.15">
      <c r="A442">
        <v>441</v>
      </c>
      <c r="B442" t="s">
        <v>757</v>
      </c>
      <c r="C442" t="s">
        <v>3889</v>
      </c>
      <c r="D442" t="s">
        <v>757</v>
      </c>
      <c r="E442">
        <v>384</v>
      </c>
    </row>
    <row r="443" spans="1:29" x14ac:dyDescent="0.15">
      <c r="A443">
        <v>442</v>
      </c>
      <c r="B443" t="s">
        <v>3963</v>
      </c>
      <c r="C443" t="s">
        <v>3866</v>
      </c>
      <c r="D443" t="s">
        <v>1253</v>
      </c>
      <c r="E443">
        <v>2</v>
      </c>
      <c r="F443" t="s">
        <v>276</v>
      </c>
      <c r="G443">
        <v>63</v>
      </c>
      <c r="H443" t="s">
        <v>1340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25" t="s">
        <v>1603</v>
      </c>
      <c r="O443">
        <v>386</v>
      </c>
      <c r="P443" t="s">
        <v>1631</v>
      </c>
      <c r="Q443">
        <v>416</v>
      </c>
      <c r="R443" t="s">
        <v>1673</v>
      </c>
      <c r="S443">
        <v>462</v>
      </c>
      <c r="T443" t="s">
        <v>1685</v>
      </c>
      <c r="U443">
        <v>475</v>
      </c>
    </row>
    <row r="444" spans="1:29" x14ac:dyDescent="0.15">
      <c r="A444">
        <v>443</v>
      </c>
      <c r="B444" t="s">
        <v>1602</v>
      </c>
      <c r="C444" t="s">
        <v>3889</v>
      </c>
      <c r="D444" t="s">
        <v>1602</v>
      </c>
      <c r="E444">
        <v>385</v>
      </c>
    </row>
    <row r="445" spans="1:29" x14ac:dyDescent="0.15">
      <c r="A445">
        <v>444</v>
      </c>
      <c r="B445" t="s">
        <v>1604</v>
      </c>
      <c r="C445" t="s">
        <v>3884</v>
      </c>
      <c r="D445" s="26"/>
    </row>
    <row r="446" spans="1:29" x14ac:dyDescent="0.15">
      <c r="A446">
        <v>445</v>
      </c>
      <c r="B446" t="s">
        <v>1605</v>
      </c>
      <c r="C446" t="s">
        <v>3889</v>
      </c>
      <c r="D446" t="s">
        <v>1605</v>
      </c>
      <c r="E446">
        <v>388</v>
      </c>
    </row>
    <row r="447" spans="1:29" x14ac:dyDescent="0.15">
      <c r="A447">
        <v>446</v>
      </c>
      <c r="B447" t="s">
        <v>765</v>
      </c>
      <c r="C447" t="s">
        <v>3889</v>
      </c>
      <c r="D447" t="s">
        <v>765</v>
      </c>
      <c r="E447">
        <v>389</v>
      </c>
    </row>
    <row r="448" spans="1:29" x14ac:dyDescent="0.15">
      <c r="A448">
        <v>447</v>
      </c>
      <c r="B448" t="s">
        <v>765</v>
      </c>
      <c r="C448" t="s">
        <v>3889</v>
      </c>
      <c r="D448" t="s">
        <v>765</v>
      </c>
      <c r="E448">
        <v>389</v>
      </c>
    </row>
    <row r="449" spans="1:33" x14ac:dyDescent="0.15">
      <c r="A449">
        <v>448</v>
      </c>
      <c r="B449" t="s">
        <v>1606</v>
      </c>
      <c r="C449" t="s">
        <v>3884</v>
      </c>
      <c r="D449" s="26"/>
    </row>
    <row r="450" spans="1:33" x14ac:dyDescent="0.15">
      <c r="A450">
        <v>449</v>
      </c>
      <c r="B450" t="s">
        <v>1607</v>
      </c>
      <c r="C450" t="s">
        <v>3889</v>
      </c>
      <c r="D450" t="s">
        <v>1607</v>
      </c>
      <c r="E450">
        <v>390</v>
      </c>
    </row>
    <row r="451" spans="1:33" x14ac:dyDescent="0.15">
      <c r="A451">
        <v>450</v>
      </c>
      <c r="B451" t="s">
        <v>3964</v>
      </c>
      <c r="C451" t="s">
        <v>3866</v>
      </c>
      <c r="D451" t="s">
        <v>1260</v>
      </c>
      <c r="E451">
        <v>10</v>
      </c>
      <c r="F451" t="s">
        <v>1282</v>
      </c>
      <c r="G451">
        <v>31</v>
      </c>
      <c r="H451" t="s">
        <v>1344</v>
      </c>
      <c r="I451">
        <v>98</v>
      </c>
      <c r="J451" t="s">
        <v>1461</v>
      </c>
      <c r="K451">
        <v>223</v>
      </c>
      <c r="L451" t="s">
        <v>1462</v>
      </c>
      <c r="M451">
        <v>225</v>
      </c>
      <c r="N451" t="s">
        <v>578</v>
      </c>
      <c r="O451">
        <v>243</v>
      </c>
      <c r="P451" t="s">
        <v>1515</v>
      </c>
      <c r="Q451">
        <v>289</v>
      </c>
      <c r="R451" t="s">
        <v>1571</v>
      </c>
      <c r="S451">
        <v>350</v>
      </c>
      <c r="T451" t="s">
        <v>1602</v>
      </c>
      <c r="U451">
        <v>385</v>
      </c>
      <c r="V451" s="25" t="s">
        <v>1608</v>
      </c>
      <c r="W451">
        <v>391</v>
      </c>
      <c r="X451" t="s">
        <v>1660</v>
      </c>
      <c r="Y451">
        <v>448</v>
      </c>
      <c r="Z451" t="s">
        <v>1675</v>
      </c>
      <c r="AA451">
        <v>464</v>
      </c>
      <c r="AB451" t="s">
        <v>1676</v>
      </c>
      <c r="AC451">
        <v>465</v>
      </c>
      <c r="AD451" t="s">
        <v>1761</v>
      </c>
      <c r="AE451">
        <v>561</v>
      </c>
      <c r="AF451" t="s">
        <v>1873</v>
      </c>
      <c r="AG451">
        <v>678</v>
      </c>
    </row>
    <row r="452" spans="1:33" x14ac:dyDescent="0.15">
      <c r="A452">
        <v>451</v>
      </c>
      <c r="B452" t="s">
        <v>1616</v>
      </c>
      <c r="C452" t="s">
        <v>3889</v>
      </c>
      <c r="D452" t="s">
        <v>1616</v>
      </c>
      <c r="E452">
        <v>399</v>
      </c>
    </row>
    <row r="453" spans="1:33" x14ac:dyDescent="0.15">
      <c r="A453">
        <v>452</v>
      </c>
      <c r="B453" t="s">
        <v>1609</v>
      </c>
      <c r="C453" t="s">
        <v>3889</v>
      </c>
      <c r="D453" t="s">
        <v>1609</v>
      </c>
      <c r="E453">
        <v>392</v>
      </c>
    </row>
    <row r="454" spans="1:33" x14ac:dyDescent="0.15">
      <c r="A454">
        <v>453</v>
      </c>
      <c r="B454" t="s">
        <v>1610</v>
      </c>
      <c r="C454" t="s">
        <v>3889</v>
      </c>
      <c r="D454" t="s">
        <v>1610</v>
      </c>
      <c r="E454">
        <v>393</v>
      </c>
    </row>
    <row r="455" spans="1:33" x14ac:dyDescent="0.15">
      <c r="A455">
        <v>454</v>
      </c>
      <c r="B455" t="s">
        <v>1610</v>
      </c>
      <c r="C455" t="s">
        <v>3889</v>
      </c>
      <c r="D455" t="s">
        <v>1610</v>
      </c>
      <c r="E455">
        <v>393</v>
      </c>
    </row>
    <row r="456" spans="1:33" x14ac:dyDescent="0.15">
      <c r="A456">
        <v>455</v>
      </c>
      <c r="B456" t="s">
        <v>1614</v>
      </c>
      <c r="C456" t="s">
        <v>3889</v>
      </c>
      <c r="D456" t="s">
        <v>1614</v>
      </c>
      <c r="E456">
        <v>397</v>
      </c>
    </row>
    <row r="457" spans="1:33" x14ac:dyDescent="0.15">
      <c r="A457">
        <v>456</v>
      </c>
      <c r="B457" t="s">
        <v>3965</v>
      </c>
      <c r="C457" t="s">
        <v>3866</v>
      </c>
      <c r="D457" t="s">
        <v>1615</v>
      </c>
      <c r="E457">
        <v>398</v>
      </c>
    </row>
    <row r="458" spans="1:33" x14ac:dyDescent="0.15">
      <c r="A458">
        <v>457</v>
      </c>
      <c r="B458" t="s">
        <v>1617</v>
      </c>
      <c r="C458" t="s">
        <v>3889</v>
      </c>
      <c r="D458" t="s">
        <v>1617</v>
      </c>
      <c r="E458">
        <v>400</v>
      </c>
    </row>
    <row r="459" spans="1:33" x14ac:dyDescent="0.15">
      <c r="A459">
        <v>458</v>
      </c>
      <c r="B459" t="s">
        <v>1618</v>
      </c>
      <c r="C459" t="s">
        <v>3889</v>
      </c>
      <c r="D459" t="s">
        <v>1618</v>
      </c>
      <c r="E459">
        <v>401</v>
      </c>
    </row>
    <row r="460" spans="1:33" x14ac:dyDescent="0.15">
      <c r="A460">
        <v>459</v>
      </c>
      <c r="B460" t="s">
        <v>3966</v>
      </c>
      <c r="C460" t="s">
        <v>3866</v>
      </c>
      <c r="D460" t="s">
        <v>1770</v>
      </c>
      <c r="E460">
        <v>572</v>
      </c>
    </row>
    <row r="461" spans="1:33" x14ac:dyDescent="0.15">
      <c r="A461">
        <v>460</v>
      </c>
      <c r="B461" t="s">
        <v>782</v>
      </c>
      <c r="C461" t="s">
        <v>3889</v>
      </c>
      <c r="D461" t="s">
        <v>782</v>
      </c>
      <c r="E461">
        <v>403</v>
      </c>
    </row>
    <row r="462" spans="1:33" x14ac:dyDescent="0.15">
      <c r="A462">
        <v>461</v>
      </c>
      <c r="B462" t="s">
        <v>1619</v>
      </c>
      <c r="C462" t="s">
        <v>3889</v>
      </c>
      <c r="D462" t="s">
        <v>1619</v>
      </c>
      <c r="E462">
        <v>402</v>
      </c>
    </row>
    <row r="463" spans="1:33" x14ac:dyDescent="0.15">
      <c r="A463">
        <v>462</v>
      </c>
      <c r="B463" t="s">
        <v>785</v>
      </c>
      <c r="C463" t="s">
        <v>3889</v>
      </c>
      <c r="D463" t="s">
        <v>785</v>
      </c>
      <c r="E463">
        <v>404</v>
      </c>
    </row>
    <row r="464" spans="1:33" x14ac:dyDescent="0.15">
      <c r="A464">
        <v>463</v>
      </c>
      <c r="B464" t="s">
        <v>1620</v>
      </c>
      <c r="C464" t="s">
        <v>3889</v>
      </c>
      <c r="D464" t="s">
        <v>1620</v>
      </c>
      <c r="E464">
        <v>405</v>
      </c>
    </row>
    <row r="465" spans="1:29" x14ac:dyDescent="0.15">
      <c r="A465">
        <v>464</v>
      </c>
      <c r="B465" t="s">
        <v>1620</v>
      </c>
      <c r="C465" t="s">
        <v>3889</v>
      </c>
      <c r="D465" t="s">
        <v>1620</v>
      </c>
      <c r="E465">
        <v>405</v>
      </c>
    </row>
    <row r="466" spans="1:29" x14ac:dyDescent="0.15">
      <c r="A466">
        <v>465</v>
      </c>
      <c r="B466" t="s">
        <v>3967</v>
      </c>
      <c r="C466" t="s">
        <v>3866</v>
      </c>
      <c r="D466" t="s">
        <v>1327</v>
      </c>
      <c r="E466">
        <v>80</v>
      </c>
      <c r="F466" t="s">
        <v>1417</v>
      </c>
      <c r="G466">
        <v>170</v>
      </c>
      <c r="H466" t="s">
        <v>1417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1590</v>
      </c>
      <c r="O466">
        <v>371</v>
      </c>
      <c r="P466" t="s">
        <v>1616</v>
      </c>
      <c r="Q466">
        <v>399</v>
      </c>
      <c r="R466" s="25" t="s">
        <v>1625</v>
      </c>
      <c r="S466">
        <v>410</v>
      </c>
      <c r="T466" t="s">
        <v>1671</v>
      </c>
      <c r="U466">
        <v>460</v>
      </c>
      <c r="V466" t="s">
        <v>890</v>
      </c>
      <c r="W466">
        <v>476</v>
      </c>
      <c r="X466" t="s">
        <v>1693</v>
      </c>
      <c r="Y466">
        <v>485</v>
      </c>
      <c r="Z466" t="s">
        <v>1022</v>
      </c>
      <c r="AA466">
        <v>570</v>
      </c>
      <c r="AB466" t="s">
        <v>1859</v>
      </c>
      <c r="AC466">
        <v>663</v>
      </c>
    </row>
    <row r="467" spans="1:29" x14ac:dyDescent="0.15">
      <c r="A467">
        <v>466</v>
      </c>
      <c r="B467" t="s">
        <v>3968</v>
      </c>
      <c r="C467" t="s">
        <v>3866</v>
      </c>
      <c r="D467" s="25" t="s">
        <v>1621</v>
      </c>
      <c r="E467">
        <v>406</v>
      </c>
    </row>
    <row r="468" spans="1:29" x14ac:dyDescent="0.15">
      <c r="A468">
        <v>467</v>
      </c>
      <c r="B468" t="s">
        <v>3969</v>
      </c>
      <c r="C468" t="s">
        <v>3866</v>
      </c>
      <c r="D468" t="s">
        <v>1622</v>
      </c>
      <c r="E468">
        <v>407</v>
      </c>
      <c r="F468" s="25" t="s">
        <v>1623</v>
      </c>
      <c r="G468">
        <v>408</v>
      </c>
      <c r="H468" t="s">
        <v>1696</v>
      </c>
      <c r="I468">
        <v>488</v>
      </c>
    </row>
    <row r="469" spans="1:29" x14ac:dyDescent="0.15">
      <c r="A469">
        <v>468</v>
      </c>
      <c r="B469" t="s">
        <v>1622</v>
      </c>
      <c r="C469" t="s">
        <v>3889</v>
      </c>
      <c r="D469" t="s">
        <v>1622</v>
      </c>
      <c r="E469">
        <v>407</v>
      </c>
    </row>
    <row r="470" spans="1:29" x14ac:dyDescent="0.15">
      <c r="A470">
        <v>469</v>
      </c>
      <c r="B470" t="s">
        <v>1622</v>
      </c>
      <c r="C470" t="s">
        <v>3889</v>
      </c>
      <c r="D470" t="s">
        <v>1622</v>
      </c>
      <c r="E470">
        <v>407</v>
      </c>
    </row>
    <row r="471" spans="1:29" x14ac:dyDescent="0.15">
      <c r="A471">
        <v>470</v>
      </c>
      <c r="B471" t="s">
        <v>1624</v>
      </c>
      <c r="C471" t="s">
        <v>3889</v>
      </c>
      <c r="D471" t="s">
        <v>1624</v>
      </c>
      <c r="E471">
        <v>409</v>
      </c>
    </row>
    <row r="472" spans="1:29" x14ac:dyDescent="0.15">
      <c r="A472">
        <v>471</v>
      </c>
      <c r="B472" t="s">
        <v>1627</v>
      </c>
      <c r="C472" t="s">
        <v>3889</v>
      </c>
      <c r="D472" t="s">
        <v>1627</v>
      </c>
      <c r="E472">
        <v>412</v>
      </c>
    </row>
    <row r="473" spans="1:29" x14ac:dyDescent="0.15">
      <c r="A473">
        <v>472</v>
      </c>
      <c r="B473" t="s">
        <v>1626</v>
      </c>
      <c r="C473" t="s">
        <v>3889</v>
      </c>
      <c r="D473" t="s">
        <v>1626</v>
      </c>
      <c r="E473">
        <v>411</v>
      </c>
    </row>
    <row r="474" spans="1:29" x14ac:dyDescent="0.15">
      <c r="A474">
        <v>473</v>
      </c>
      <c r="B474" t="s">
        <v>1628</v>
      </c>
      <c r="C474" t="s">
        <v>3889</v>
      </c>
      <c r="D474" t="s">
        <v>1628</v>
      </c>
      <c r="E474">
        <v>413</v>
      </c>
    </row>
    <row r="475" spans="1:29" x14ac:dyDescent="0.15">
      <c r="A475">
        <v>474</v>
      </c>
      <c r="B475" t="s">
        <v>3970</v>
      </c>
      <c r="C475" t="s">
        <v>3866</v>
      </c>
      <c r="D475" t="s">
        <v>1253</v>
      </c>
      <c r="E475">
        <v>2</v>
      </c>
      <c r="F475" t="s">
        <v>276</v>
      </c>
      <c r="G475">
        <v>63</v>
      </c>
      <c r="H475" t="s">
        <v>1340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1603</v>
      </c>
      <c r="O475">
        <v>386</v>
      </c>
      <c r="P475" s="25" t="s">
        <v>1631</v>
      </c>
      <c r="Q475">
        <v>416</v>
      </c>
      <c r="R475" t="s">
        <v>1673</v>
      </c>
      <c r="S475">
        <v>462</v>
      </c>
      <c r="T475" t="s">
        <v>1685</v>
      </c>
      <c r="U475">
        <v>475</v>
      </c>
    </row>
    <row r="476" spans="1:29" x14ac:dyDescent="0.15">
      <c r="A476">
        <v>475</v>
      </c>
      <c r="B476" t="s">
        <v>1629</v>
      </c>
      <c r="C476" t="s">
        <v>3889</v>
      </c>
      <c r="D476" t="s">
        <v>1629</v>
      </c>
      <c r="E476">
        <v>414</v>
      </c>
    </row>
    <row r="477" spans="1:29" x14ac:dyDescent="0.15">
      <c r="A477">
        <v>476</v>
      </c>
      <c r="B477" t="s">
        <v>1630</v>
      </c>
      <c r="C477" t="s">
        <v>3889</v>
      </c>
      <c r="D477" t="s">
        <v>1630</v>
      </c>
      <c r="E477">
        <v>415</v>
      </c>
    </row>
    <row r="478" spans="1:29" x14ac:dyDescent="0.15">
      <c r="A478">
        <v>477</v>
      </c>
      <c r="B478" t="s">
        <v>1630</v>
      </c>
      <c r="C478" t="s">
        <v>3889</v>
      </c>
      <c r="D478" t="s">
        <v>1630</v>
      </c>
      <c r="E478">
        <v>415</v>
      </c>
    </row>
    <row r="479" spans="1:29" x14ac:dyDescent="0.15">
      <c r="A479">
        <v>478</v>
      </c>
      <c r="B479" t="s">
        <v>1636</v>
      </c>
      <c r="C479" t="s">
        <v>3889</v>
      </c>
      <c r="D479" t="s">
        <v>1636</v>
      </c>
      <c r="E479">
        <v>423</v>
      </c>
    </row>
    <row r="480" spans="1:29" x14ac:dyDescent="0.15">
      <c r="A480">
        <v>479</v>
      </c>
      <c r="B480" t="s">
        <v>1632</v>
      </c>
      <c r="C480" t="s">
        <v>3884</v>
      </c>
      <c r="D480" s="26"/>
    </row>
    <row r="481" spans="1:9" x14ac:dyDescent="0.15">
      <c r="A481">
        <v>480</v>
      </c>
      <c r="B481" t="s">
        <v>804</v>
      </c>
      <c r="C481" t="s">
        <v>3889</v>
      </c>
      <c r="D481" t="s">
        <v>804</v>
      </c>
      <c r="E481">
        <v>424</v>
      </c>
    </row>
    <row r="482" spans="1:9" x14ac:dyDescent="0.15">
      <c r="A482">
        <v>481</v>
      </c>
      <c r="B482" t="s">
        <v>3971</v>
      </c>
      <c r="C482" t="s">
        <v>3866</v>
      </c>
      <c r="D482" s="26" t="s">
        <v>1407</v>
      </c>
      <c r="E482">
        <v>160</v>
      </c>
      <c r="F482" t="s">
        <v>1481</v>
      </c>
      <c r="G482">
        <v>249</v>
      </c>
      <c r="H482" t="s">
        <v>1792</v>
      </c>
      <c r="I482">
        <v>594</v>
      </c>
    </row>
    <row r="483" spans="1:9" x14ac:dyDescent="0.15">
      <c r="A483">
        <v>482</v>
      </c>
      <c r="B483" t="s">
        <v>806</v>
      </c>
      <c r="C483" t="s">
        <v>3889</v>
      </c>
      <c r="D483" t="s">
        <v>806</v>
      </c>
      <c r="E483">
        <v>419</v>
      </c>
    </row>
    <row r="484" spans="1:9" x14ac:dyDescent="0.15">
      <c r="A484">
        <v>483</v>
      </c>
      <c r="B484" t="s">
        <v>806</v>
      </c>
      <c r="C484" t="s">
        <v>3889</v>
      </c>
      <c r="D484" t="s">
        <v>806</v>
      </c>
      <c r="E484">
        <v>419</v>
      </c>
    </row>
    <row r="485" spans="1:9" x14ac:dyDescent="0.15">
      <c r="A485">
        <v>484</v>
      </c>
      <c r="B485" t="s">
        <v>809</v>
      </c>
      <c r="C485" t="s">
        <v>3889</v>
      </c>
      <c r="D485" t="s">
        <v>809</v>
      </c>
      <c r="E485">
        <v>418</v>
      </c>
    </row>
    <row r="486" spans="1:9" x14ac:dyDescent="0.15">
      <c r="A486">
        <v>485</v>
      </c>
      <c r="B486" t="s">
        <v>809</v>
      </c>
      <c r="C486" t="s">
        <v>3889</v>
      </c>
      <c r="D486" t="s">
        <v>809</v>
      </c>
      <c r="E486">
        <v>418</v>
      </c>
    </row>
    <row r="487" spans="1:9" x14ac:dyDescent="0.15">
      <c r="A487">
        <v>486</v>
      </c>
      <c r="B487" t="s">
        <v>809</v>
      </c>
      <c r="C487" t="s">
        <v>3889</v>
      </c>
      <c r="D487" t="s">
        <v>809</v>
      </c>
      <c r="E487">
        <v>418</v>
      </c>
    </row>
    <row r="488" spans="1:9" x14ac:dyDescent="0.15">
      <c r="A488">
        <v>487</v>
      </c>
      <c r="B488" t="s">
        <v>1633</v>
      </c>
      <c r="C488" t="s">
        <v>3889</v>
      </c>
      <c r="D488" t="s">
        <v>1633</v>
      </c>
      <c r="E488">
        <v>420</v>
      </c>
    </row>
    <row r="489" spans="1:9" x14ac:dyDescent="0.15">
      <c r="A489">
        <v>488</v>
      </c>
      <c r="B489" t="s">
        <v>1634</v>
      </c>
      <c r="C489" t="s">
        <v>3889</v>
      </c>
      <c r="D489" t="s">
        <v>1634</v>
      </c>
      <c r="E489">
        <v>421</v>
      </c>
    </row>
    <row r="490" spans="1:9" x14ac:dyDescent="0.15">
      <c r="A490">
        <v>489</v>
      </c>
      <c r="B490" t="s">
        <v>1634</v>
      </c>
      <c r="C490" t="s">
        <v>3889</v>
      </c>
      <c r="D490" t="s">
        <v>1634</v>
      </c>
      <c r="E490">
        <v>421</v>
      </c>
    </row>
    <row r="491" spans="1:9" x14ac:dyDescent="0.15">
      <c r="A491">
        <v>490</v>
      </c>
      <c r="B491" t="s">
        <v>1635</v>
      </c>
      <c r="C491" t="s">
        <v>3889</v>
      </c>
      <c r="D491" t="s">
        <v>1635</v>
      </c>
      <c r="E491">
        <v>422</v>
      </c>
    </row>
    <row r="492" spans="1:9" x14ac:dyDescent="0.15">
      <c r="A492">
        <v>491</v>
      </c>
      <c r="B492" t="s">
        <v>817</v>
      </c>
      <c r="C492" t="s">
        <v>3889</v>
      </c>
      <c r="D492" t="s">
        <v>817</v>
      </c>
      <c r="E492">
        <v>426</v>
      </c>
    </row>
    <row r="493" spans="1:9" x14ac:dyDescent="0.15">
      <c r="A493">
        <v>492</v>
      </c>
      <c r="B493" t="s">
        <v>1637</v>
      </c>
      <c r="C493" t="s">
        <v>3889</v>
      </c>
      <c r="D493" t="s">
        <v>1637</v>
      </c>
      <c r="E493">
        <v>425</v>
      </c>
    </row>
    <row r="494" spans="1:9" x14ac:dyDescent="0.15">
      <c r="A494">
        <v>493</v>
      </c>
      <c r="B494" t="s">
        <v>1639</v>
      </c>
      <c r="C494" t="s">
        <v>3889</v>
      </c>
      <c r="D494" t="s">
        <v>1639</v>
      </c>
      <c r="E494">
        <v>428</v>
      </c>
    </row>
    <row r="495" spans="1:9" x14ac:dyDescent="0.15">
      <c r="A495">
        <v>494</v>
      </c>
      <c r="B495" t="s">
        <v>1638</v>
      </c>
      <c r="C495" t="s">
        <v>3889</v>
      </c>
      <c r="D495" t="s">
        <v>1638</v>
      </c>
      <c r="E495">
        <v>427</v>
      </c>
    </row>
    <row r="496" spans="1:9" x14ac:dyDescent="0.15">
      <c r="A496">
        <v>495</v>
      </c>
      <c r="B496" t="s">
        <v>1640</v>
      </c>
      <c r="C496" t="s">
        <v>3889</v>
      </c>
      <c r="D496" t="s">
        <v>1640</v>
      </c>
      <c r="E496">
        <v>429</v>
      </c>
    </row>
    <row r="497" spans="1:21" x14ac:dyDescent="0.15">
      <c r="A497">
        <v>496</v>
      </c>
      <c r="B497" t="s">
        <v>1641</v>
      </c>
      <c r="C497" t="s">
        <v>3889</v>
      </c>
      <c r="D497" t="s">
        <v>1641</v>
      </c>
      <c r="E497">
        <v>430</v>
      </c>
    </row>
    <row r="498" spans="1:21" x14ac:dyDescent="0.15">
      <c r="A498">
        <v>497</v>
      </c>
      <c r="B498" t="s">
        <v>1643</v>
      </c>
      <c r="C498" t="s">
        <v>3889</v>
      </c>
      <c r="D498" t="s">
        <v>1643</v>
      </c>
      <c r="E498">
        <v>432</v>
      </c>
    </row>
    <row r="499" spans="1:21" x14ac:dyDescent="0.15">
      <c r="A499">
        <v>498</v>
      </c>
      <c r="B499" t="s">
        <v>1643</v>
      </c>
      <c r="C499" t="s">
        <v>3889</v>
      </c>
      <c r="D499" t="s">
        <v>1643</v>
      </c>
      <c r="E499">
        <v>432</v>
      </c>
    </row>
    <row r="500" spans="1:21" x14ac:dyDescent="0.15">
      <c r="A500">
        <v>499</v>
      </c>
      <c r="B500" t="s">
        <v>1642</v>
      </c>
      <c r="C500" t="s">
        <v>3889</v>
      </c>
      <c r="D500" t="s">
        <v>1642</v>
      </c>
      <c r="E500">
        <v>431</v>
      </c>
    </row>
    <row r="501" spans="1:21" x14ac:dyDescent="0.15">
      <c r="A501">
        <v>500</v>
      </c>
      <c r="B501" t="s">
        <v>1642</v>
      </c>
      <c r="C501" t="s">
        <v>3889</v>
      </c>
      <c r="D501" t="s">
        <v>1642</v>
      </c>
      <c r="E501">
        <v>431</v>
      </c>
    </row>
    <row r="502" spans="1:21" x14ac:dyDescent="0.15">
      <c r="A502">
        <v>501</v>
      </c>
      <c r="B502" t="s">
        <v>1644</v>
      </c>
      <c r="C502" t="s">
        <v>3889</v>
      </c>
      <c r="D502" t="s">
        <v>1644</v>
      </c>
      <c r="E502">
        <v>433</v>
      </c>
    </row>
    <row r="503" spans="1:21" x14ac:dyDescent="0.15">
      <c r="A503">
        <v>502</v>
      </c>
      <c r="B503" t="s">
        <v>1644</v>
      </c>
      <c r="C503" t="s">
        <v>3889</v>
      </c>
      <c r="D503" t="s">
        <v>1644</v>
      </c>
      <c r="E503">
        <v>433</v>
      </c>
    </row>
    <row r="504" spans="1:21" x14ac:dyDescent="0.15">
      <c r="A504">
        <v>503</v>
      </c>
      <c r="B504" t="s">
        <v>1646</v>
      </c>
      <c r="C504" t="s">
        <v>3866</v>
      </c>
      <c r="D504" s="26" t="s">
        <v>1253</v>
      </c>
      <c r="E504">
        <v>2</v>
      </c>
      <c r="F504" t="s">
        <v>276</v>
      </c>
      <c r="G504">
        <v>63</v>
      </c>
      <c r="H504" t="s">
        <v>1340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1603</v>
      </c>
      <c r="O504">
        <v>386</v>
      </c>
      <c r="P504" t="s">
        <v>1631</v>
      </c>
      <c r="Q504">
        <v>416</v>
      </c>
      <c r="R504" t="s">
        <v>1673</v>
      </c>
      <c r="S504">
        <v>462</v>
      </c>
      <c r="T504" t="s">
        <v>1685</v>
      </c>
      <c r="U504">
        <v>475</v>
      </c>
    </row>
    <row r="505" spans="1:21" x14ac:dyDescent="0.15">
      <c r="A505">
        <v>504</v>
      </c>
      <c r="B505" t="s">
        <v>831</v>
      </c>
      <c r="C505" t="s">
        <v>3889</v>
      </c>
      <c r="D505" t="s">
        <v>831</v>
      </c>
      <c r="E505">
        <v>435</v>
      </c>
    </row>
    <row r="506" spans="1:21" x14ac:dyDescent="0.15">
      <c r="A506">
        <v>505</v>
      </c>
      <c r="B506" t="s">
        <v>831</v>
      </c>
      <c r="C506" t="s">
        <v>3889</v>
      </c>
      <c r="D506" t="s">
        <v>831</v>
      </c>
      <c r="E506">
        <v>435</v>
      </c>
    </row>
    <row r="507" spans="1:21" s="29" customFormat="1" ht="14.25" thickBot="1" x14ac:dyDescent="0.2">
      <c r="A507" s="29">
        <v>506</v>
      </c>
      <c r="B507" s="29" t="s">
        <v>1647</v>
      </c>
      <c r="C507" s="29" t="s">
        <v>3884</v>
      </c>
      <c r="D507" s="30"/>
    </row>
    <row r="508" spans="1:21" s="29" customFormat="1" ht="15" thickTop="1" thickBot="1" x14ac:dyDescent="0.2">
      <c r="A508" s="29">
        <v>507</v>
      </c>
      <c r="B508" s="29" t="s">
        <v>3972</v>
      </c>
      <c r="C508" s="29" t="s">
        <v>3884</v>
      </c>
      <c r="D508" s="30"/>
    </row>
    <row r="509" spans="1:21" ht="14.25" thickTop="1" x14ac:dyDescent="0.15">
      <c r="A509">
        <v>508</v>
      </c>
      <c r="B509" t="s">
        <v>1648</v>
      </c>
      <c r="C509" t="s">
        <v>3889</v>
      </c>
      <c r="D509" t="s">
        <v>1648</v>
      </c>
      <c r="E509">
        <v>436</v>
      </c>
    </row>
    <row r="510" spans="1:21" x14ac:dyDescent="0.15">
      <c r="A510">
        <v>509</v>
      </c>
      <c r="B510" t="s">
        <v>1649</v>
      </c>
      <c r="C510" t="s">
        <v>3889</v>
      </c>
      <c r="D510" t="s">
        <v>1649</v>
      </c>
      <c r="E510">
        <v>437</v>
      </c>
    </row>
    <row r="511" spans="1:21" x14ac:dyDescent="0.15">
      <c r="A511">
        <v>510</v>
      </c>
      <c r="B511" t="s">
        <v>3973</v>
      </c>
      <c r="C511" t="s">
        <v>3866</v>
      </c>
      <c r="D511" s="25" t="s">
        <v>1650</v>
      </c>
      <c r="E511">
        <v>438</v>
      </c>
    </row>
    <row r="512" spans="1:21" s="29" customFormat="1" x14ac:dyDescent="0.15">
      <c r="A512" s="29">
        <v>511</v>
      </c>
      <c r="B512" s="29" t="s">
        <v>3974</v>
      </c>
      <c r="C512" s="29" t="s">
        <v>3884</v>
      </c>
    </row>
    <row r="513" spans="1:23" x14ac:dyDescent="0.15">
      <c r="A513">
        <v>512</v>
      </c>
      <c r="B513" t="s">
        <v>3975</v>
      </c>
      <c r="C513" t="s">
        <v>3866</v>
      </c>
      <c r="D513" t="s">
        <v>1651</v>
      </c>
      <c r="E513">
        <v>439</v>
      </c>
    </row>
    <row r="514" spans="1:23" s="29" customFormat="1" x14ac:dyDescent="0.15">
      <c r="A514" s="29">
        <v>513</v>
      </c>
      <c r="B514" s="29" t="s">
        <v>3976</v>
      </c>
      <c r="C514" s="29" t="s">
        <v>3866</v>
      </c>
      <c r="D514" s="29" t="s">
        <v>1307</v>
      </c>
      <c r="E514" s="29">
        <v>56</v>
      </c>
      <c r="F514" s="29" t="s">
        <v>1335</v>
      </c>
      <c r="G514" s="29">
        <v>88</v>
      </c>
      <c r="H514" s="29" t="s">
        <v>1360</v>
      </c>
      <c r="I514" s="29">
        <v>112</v>
      </c>
      <c r="J514" s="29" t="s">
        <v>1361</v>
      </c>
      <c r="K514" s="29">
        <v>113</v>
      </c>
      <c r="L514" s="29" t="s">
        <v>1418</v>
      </c>
      <c r="M514" s="29">
        <v>171</v>
      </c>
      <c r="N514" s="29" t="s">
        <v>1516</v>
      </c>
      <c r="O514" s="29">
        <v>290</v>
      </c>
      <c r="P514" s="29" t="s">
        <v>1543</v>
      </c>
      <c r="Q514" s="29">
        <v>318</v>
      </c>
      <c r="R514" s="29" t="s">
        <v>1679</v>
      </c>
      <c r="S514" s="29">
        <v>469</v>
      </c>
      <c r="T514" s="29" t="s">
        <v>1680</v>
      </c>
      <c r="U514" s="29">
        <v>470</v>
      </c>
      <c r="V514" s="29" t="s">
        <v>1741</v>
      </c>
      <c r="W514" s="29">
        <v>537</v>
      </c>
    </row>
    <row r="515" spans="1:23" x14ac:dyDescent="0.15">
      <c r="A515">
        <v>514</v>
      </c>
      <c r="B515" t="s">
        <v>1652</v>
      </c>
      <c r="C515" t="s">
        <v>3889</v>
      </c>
      <c r="D515" t="s">
        <v>1652</v>
      </c>
      <c r="E515">
        <v>440</v>
      </c>
    </row>
    <row r="516" spans="1:23" x14ac:dyDescent="0.15">
      <c r="A516">
        <v>515</v>
      </c>
      <c r="B516" t="s">
        <v>1652</v>
      </c>
      <c r="C516" t="s">
        <v>3889</v>
      </c>
      <c r="D516" t="s">
        <v>1652</v>
      </c>
      <c r="E516">
        <v>440</v>
      </c>
    </row>
    <row r="517" spans="1:23" x14ac:dyDescent="0.15">
      <c r="A517">
        <v>516</v>
      </c>
      <c r="B517" t="s">
        <v>3977</v>
      </c>
      <c r="C517" t="s">
        <v>3866</v>
      </c>
      <c r="D517" t="s">
        <v>1331</v>
      </c>
      <c r="E517">
        <v>84</v>
      </c>
      <c r="F517" s="25" t="s">
        <v>1653</v>
      </c>
      <c r="G517">
        <v>441</v>
      </c>
    </row>
    <row r="518" spans="1:23" x14ac:dyDescent="0.15">
      <c r="A518">
        <v>517</v>
      </c>
      <c r="B518" t="s">
        <v>1657</v>
      </c>
      <c r="C518" t="s">
        <v>3889</v>
      </c>
      <c r="D518" t="s">
        <v>1657</v>
      </c>
      <c r="E518">
        <v>445</v>
      </c>
    </row>
    <row r="519" spans="1:23" x14ac:dyDescent="0.15">
      <c r="A519">
        <v>518</v>
      </c>
      <c r="B519" t="s">
        <v>1655</v>
      </c>
      <c r="C519" t="s">
        <v>3889</v>
      </c>
      <c r="D519" t="s">
        <v>1655</v>
      </c>
      <c r="E519">
        <v>443</v>
      </c>
    </row>
    <row r="520" spans="1:23" x14ac:dyDescent="0.15">
      <c r="A520">
        <v>519</v>
      </c>
      <c r="B520" t="s">
        <v>1655</v>
      </c>
      <c r="C520" t="s">
        <v>3889</v>
      </c>
      <c r="D520" t="s">
        <v>1655</v>
      </c>
      <c r="E520">
        <v>443</v>
      </c>
    </row>
    <row r="521" spans="1:23" x14ac:dyDescent="0.15">
      <c r="A521">
        <v>520</v>
      </c>
      <c r="B521" t="s">
        <v>1656</v>
      </c>
      <c r="C521" t="s">
        <v>3889</v>
      </c>
      <c r="D521" t="s">
        <v>1656</v>
      </c>
      <c r="E521">
        <v>444</v>
      </c>
    </row>
    <row r="522" spans="1:23" x14ac:dyDescent="0.15">
      <c r="A522">
        <v>521</v>
      </c>
      <c r="B522" t="s">
        <v>1654</v>
      </c>
      <c r="C522" t="s">
        <v>3889</v>
      </c>
      <c r="D522" t="s">
        <v>1654</v>
      </c>
      <c r="E522">
        <v>442</v>
      </c>
    </row>
    <row r="523" spans="1:23" x14ac:dyDescent="0.15">
      <c r="A523">
        <v>522</v>
      </c>
      <c r="B523" t="s">
        <v>1654</v>
      </c>
      <c r="C523" t="s">
        <v>3889</v>
      </c>
      <c r="D523" t="s">
        <v>1654</v>
      </c>
      <c r="E523">
        <v>442</v>
      </c>
    </row>
    <row r="524" spans="1:23" x14ac:dyDescent="0.15">
      <c r="A524">
        <v>523</v>
      </c>
      <c r="B524" t="s">
        <v>1658</v>
      </c>
      <c r="C524" t="s">
        <v>3889</v>
      </c>
      <c r="D524" t="s">
        <v>1658</v>
      </c>
      <c r="E524">
        <v>446</v>
      </c>
    </row>
    <row r="525" spans="1:23" x14ac:dyDescent="0.15">
      <c r="A525">
        <v>524</v>
      </c>
      <c r="B525" t="s">
        <v>1659</v>
      </c>
      <c r="C525" t="s">
        <v>3889</v>
      </c>
      <c r="D525" t="s">
        <v>1659</v>
      </c>
      <c r="E525">
        <v>447</v>
      </c>
    </row>
    <row r="526" spans="1:23" x14ac:dyDescent="0.15">
      <c r="A526">
        <v>525</v>
      </c>
      <c r="B526" t="s">
        <v>1659</v>
      </c>
      <c r="C526" t="s">
        <v>3889</v>
      </c>
      <c r="D526" t="s">
        <v>1659</v>
      </c>
      <c r="E526">
        <v>447</v>
      </c>
    </row>
    <row r="527" spans="1:23" x14ac:dyDescent="0.15">
      <c r="A527">
        <v>526</v>
      </c>
      <c r="B527" t="s">
        <v>1660</v>
      </c>
      <c r="C527" t="s">
        <v>3889</v>
      </c>
      <c r="D527" t="s">
        <v>1660</v>
      </c>
      <c r="E527">
        <v>448</v>
      </c>
    </row>
    <row r="528" spans="1:23" x14ac:dyDescent="0.15">
      <c r="A528">
        <v>527</v>
      </c>
      <c r="B528" t="s">
        <v>1661</v>
      </c>
      <c r="C528" t="s">
        <v>3889</v>
      </c>
      <c r="D528" t="s">
        <v>1661</v>
      </c>
      <c r="E528">
        <v>449</v>
      </c>
    </row>
    <row r="529" spans="1:53" x14ac:dyDescent="0.15">
      <c r="A529">
        <v>528</v>
      </c>
      <c r="B529" t="s">
        <v>1663</v>
      </c>
      <c r="C529" t="s">
        <v>3889</v>
      </c>
      <c r="D529" t="s">
        <v>1663</v>
      </c>
      <c r="E529">
        <v>451</v>
      </c>
    </row>
    <row r="530" spans="1:53" x14ac:dyDescent="0.15">
      <c r="A530">
        <v>529</v>
      </c>
      <c r="B530" t="s">
        <v>1664</v>
      </c>
      <c r="C530" t="s">
        <v>3889</v>
      </c>
      <c r="D530" t="s">
        <v>1664</v>
      </c>
      <c r="E530">
        <v>452</v>
      </c>
    </row>
    <row r="531" spans="1:53" x14ac:dyDescent="0.15">
      <c r="A531">
        <v>530</v>
      </c>
      <c r="B531" t="s">
        <v>1666</v>
      </c>
      <c r="C531" t="s">
        <v>3889</v>
      </c>
      <c r="D531" t="s">
        <v>1666</v>
      </c>
      <c r="E531">
        <v>454</v>
      </c>
    </row>
    <row r="532" spans="1:53" x14ac:dyDescent="0.15">
      <c r="A532">
        <v>531</v>
      </c>
      <c r="B532" t="s">
        <v>1667</v>
      </c>
      <c r="C532" t="s">
        <v>3889</v>
      </c>
      <c r="D532" t="s">
        <v>1667</v>
      </c>
      <c r="E532">
        <v>455</v>
      </c>
    </row>
    <row r="533" spans="1:53" ht="27" x14ac:dyDescent="0.15">
      <c r="A533">
        <v>532</v>
      </c>
      <c r="B533" s="17" t="s">
        <v>3978</v>
      </c>
      <c r="C533" t="s">
        <v>3866</v>
      </c>
      <c r="D533" t="s">
        <v>464</v>
      </c>
      <c r="E533">
        <v>173</v>
      </c>
      <c r="F533" t="s">
        <v>1635</v>
      </c>
      <c r="G533">
        <v>422</v>
      </c>
      <c r="H533" s="25" t="s">
        <v>1665</v>
      </c>
      <c r="I533">
        <v>453</v>
      </c>
    </row>
    <row r="534" spans="1:53" x14ac:dyDescent="0.15">
      <c r="A534">
        <v>533</v>
      </c>
      <c r="B534" t="s">
        <v>863</v>
      </c>
      <c r="C534" t="s">
        <v>3866</v>
      </c>
      <c r="D534" t="s">
        <v>1263</v>
      </c>
      <c r="E534">
        <v>13</v>
      </c>
      <c r="F534" t="s">
        <v>1271</v>
      </c>
      <c r="G534">
        <v>20</v>
      </c>
      <c r="H534" t="s">
        <v>1287</v>
      </c>
      <c r="I534">
        <v>35</v>
      </c>
      <c r="J534" t="s">
        <v>1295</v>
      </c>
      <c r="K534">
        <v>43</v>
      </c>
      <c r="L534" t="s">
        <v>1300</v>
      </c>
      <c r="M534">
        <v>48</v>
      </c>
      <c r="N534" t="s">
        <v>1303</v>
      </c>
      <c r="O534">
        <v>51</v>
      </c>
      <c r="P534" t="s">
        <v>1309</v>
      </c>
      <c r="Q534">
        <v>59</v>
      </c>
      <c r="R534" t="s">
        <v>1443</v>
      </c>
      <c r="S534">
        <v>203</v>
      </c>
      <c r="T534" t="s">
        <v>1475</v>
      </c>
      <c r="U534">
        <v>240</v>
      </c>
      <c r="V534" t="s">
        <v>1484</v>
      </c>
      <c r="W534">
        <v>253</v>
      </c>
      <c r="X534" t="s">
        <v>1513</v>
      </c>
      <c r="Y534">
        <v>286</v>
      </c>
      <c r="Z534" t="s">
        <v>1538</v>
      </c>
      <c r="AA534">
        <v>313</v>
      </c>
      <c r="AB534" t="s">
        <v>1567</v>
      </c>
      <c r="AC534">
        <v>346</v>
      </c>
      <c r="AD534" t="s">
        <v>1568</v>
      </c>
      <c r="AE534">
        <v>347</v>
      </c>
      <c r="AF534" t="s">
        <v>1572</v>
      </c>
      <c r="AG534">
        <v>351</v>
      </c>
      <c r="AH534" t="s">
        <v>1575</v>
      </c>
      <c r="AI534">
        <v>355</v>
      </c>
      <c r="AJ534" t="s">
        <v>1586</v>
      </c>
      <c r="AK534">
        <v>366</v>
      </c>
      <c r="AL534" t="s">
        <v>1589</v>
      </c>
      <c r="AM534">
        <v>370</v>
      </c>
      <c r="AN534" t="s">
        <v>1597</v>
      </c>
      <c r="AO534">
        <v>379</v>
      </c>
      <c r="AP534" t="s">
        <v>1634</v>
      </c>
      <c r="AQ534">
        <v>421</v>
      </c>
      <c r="AR534" s="25" t="s">
        <v>1668</v>
      </c>
      <c r="AS534">
        <v>456</v>
      </c>
      <c r="AT534" t="s">
        <v>1669</v>
      </c>
      <c r="AU534">
        <v>457</v>
      </c>
      <c r="AV534" t="s">
        <v>1689</v>
      </c>
      <c r="AW534">
        <v>481</v>
      </c>
      <c r="AX534" t="s">
        <v>1751</v>
      </c>
      <c r="AY534">
        <v>549</v>
      </c>
      <c r="AZ534" t="s">
        <v>1124</v>
      </c>
      <c r="BA534">
        <v>642</v>
      </c>
    </row>
    <row r="535" spans="1:53" x14ac:dyDescent="0.15">
      <c r="A535">
        <v>534</v>
      </c>
      <c r="B535" t="s">
        <v>1670</v>
      </c>
      <c r="C535" t="s">
        <v>3889</v>
      </c>
      <c r="D535" t="s">
        <v>1670</v>
      </c>
      <c r="E535">
        <v>458</v>
      </c>
    </row>
    <row r="536" spans="1:53" x14ac:dyDescent="0.15">
      <c r="A536">
        <v>535</v>
      </c>
      <c r="B536" t="s">
        <v>1669</v>
      </c>
      <c r="C536" t="s">
        <v>3889</v>
      </c>
      <c r="D536" t="s">
        <v>1669</v>
      </c>
      <c r="E536">
        <v>457</v>
      </c>
    </row>
    <row r="537" spans="1:53" x14ac:dyDescent="0.15">
      <c r="A537">
        <v>536</v>
      </c>
      <c r="B537" t="s">
        <v>1669</v>
      </c>
      <c r="C537" t="s">
        <v>3889</v>
      </c>
      <c r="D537" t="s">
        <v>1669</v>
      </c>
      <c r="E537">
        <v>457</v>
      </c>
    </row>
    <row r="538" spans="1:53" x14ac:dyDescent="0.15">
      <c r="A538">
        <v>537</v>
      </c>
      <c r="B538" t="s">
        <v>866</v>
      </c>
      <c r="C538" t="s">
        <v>3866</v>
      </c>
      <c r="D538" s="26" t="s">
        <v>1546</v>
      </c>
      <c r="E538">
        <v>324</v>
      </c>
    </row>
    <row r="539" spans="1:53" x14ac:dyDescent="0.15">
      <c r="A539">
        <v>538</v>
      </c>
      <c r="B539" t="s">
        <v>867</v>
      </c>
      <c r="C539" t="s">
        <v>3889</v>
      </c>
      <c r="D539" t="s">
        <v>867</v>
      </c>
      <c r="E539">
        <v>459</v>
      </c>
    </row>
    <row r="540" spans="1:53" x14ac:dyDescent="0.15">
      <c r="A540">
        <v>539</v>
      </c>
      <c r="B540" t="s">
        <v>868</v>
      </c>
      <c r="C540" t="s">
        <v>3866</v>
      </c>
      <c r="D540" t="s">
        <v>1327</v>
      </c>
      <c r="E540">
        <v>80</v>
      </c>
      <c r="F540" t="s">
        <v>1417</v>
      </c>
      <c r="G540">
        <v>170</v>
      </c>
      <c r="H540" t="s">
        <v>1417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1590</v>
      </c>
      <c r="O540">
        <v>371</v>
      </c>
      <c r="P540" t="s">
        <v>1616</v>
      </c>
      <c r="Q540">
        <v>399</v>
      </c>
      <c r="R540" t="s">
        <v>1625</v>
      </c>
      <c r="S540">
        <v>410</v>
      </c>
      <c r="T540" s="25" t="s">
        <v>1671</v>
      </c>
      <c r="U540">
        <v>460</v>
      </c>
      <c r="V540" t="s">
        <v>890</v>
      </c>
      <c r="W540">
        <v>476</v>
      </c>
      <c r="X540" t="s">
        <v>1693</v>
      </c>
      <c r="Y540">
        <v>485</v>
      </c>
      <c r="Z540" t="s">
        <v>1022</v>
      </c>
      <c r="AA540">
        <v>570</v>
      </c>
      <c r="AB540" t="s">
        <v>1859</v>
      </c>
      <c r="AC540">
        <v>663</v>
      </c>
    </row>
    <row r="541" spans="1:53" x14ac:dyDescent="0.15">
      <c r="A541">
        <v>540</v>
      </c>
      <c r="B541" t="s">
        <v>3979</v>
      </c>
      <c r="C541" t="s">
        <v>3866</v>
      </c>
      <c r="D541" t="s">
        <v>1253</v>
      </c>
      <c r="E541">
        <v>2</v>
      </c>
      <c r="F541" t="s">
        <v>276</v>
      </c>
      <c r="G541">
        <v>63</v>
      </c>
      <c r="H541" t="s">
        <v>1340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1603</v>
      </c>
      <c r="O541">
        <v>386</v>
      </c>
      <c r="P541" t="s">
        <v>1631</v>
      </c>
      <c r="Q541">
        <v>416</v>
      </c>
      <c r="R541" s="25" t="s">
        <v>1673</v>
      </c>
      <c r="S541">
        <v>462</v>
      </c>
      <c r="T541" t="s">
        <v>1685</v>
      </c>
      <c r="U541">
        <v>475</v>
      </c>
    </row>
    <row r="542" spans="1:53" s="29" customFormat="1" x14ac:dyDescent="0.15">
      <c r="A542" s="29">
        <v>541</v>
      </c>
      <c r="B542" s="29" t="s">
        <v>870</v>
      </c>
      <c r="C542" s="29" t="s">
        <v>3866</v>
      </c>
      <c r="D542" s="29" t="s">
        <v>1275</v>
      </c>
      <c r="E542" s="29">
        <v>24</v>
      </c>
      <c r="F542" s="29" t="s">
        <v>1322</v>
      </c>
      <c r="G542" s="29">
        <v>75</v>
      </c>
      <c r="H542" s="29" t="s">
        <v>1478</v>
      </c>
      <c r="I542" s="29">
        <v>246</v>
      </c>
    </row>
    <row r="543" spans="1:53" x14ac:dyDescent="0.15">
      <c r="A543">
        <v>542</v>
      </c>
      <c r="B543" t="s">
        <v>3980</v>
      </c>
      <c r="C543" t="s">
        <v>3866</v>
      </c>
      <c r="D543" s="26" t="s">
        <v>1260</v>
      </c>
      <c r="E543">
        <v>10</v>
      </c>
      <c r="F543" t="s">
        <v>1282</v>
      </c>
      <c r="G543">
        <v>31</v>
      </c>
      <c r="H543" t="s">
        <v>1344</v>
      </c>
      <c r="I543">
        <v>98</v>
      </c>
      <c r="J543" t="s">
        <v>1461</v>
      </c>
      <c r="K543">
        <v>223</v>
      </c>
      <c r="L543" t="s">
        <v>1462</v>
      </c>
      <c r="M543">
        <v>225</v>
      </c>
      <c r="N543" t="s">
        <v>578</v>
      </c>
      <c r="O543">
        <v>243</v>
      </c>
      <c r="P543" t="s">
        <v>1515</v>
      </c>
      <c r="Q543">
        <v>289</v>
      </c>
      <c r="R543" t="s">
        <v>1571</v>
      </c>
      <c r="S543">
        <v>350</v>
      </c>
      <c r="T543" t="s">
        <v>1602</v>
      </c>
      <c r="U543">
        <v>385</v>
      </c>
      <c r="V543" t="s">
        <v>1608</v>
      </c>
      <c r="W543">
        <v>391</v>
      </c>
      <c r="X543" t="s">
        <v>1660</v>
      </c>
      <c r="Y543">
        <v>448</v>
      </c>
      <c r="Z543" t="s">
        <v>1675</v>
      </c>
      <c r="AA543">
        <v>464</v>
      </c>
      <c r="AB543" t="s">
        <v>1676</v>
      </c>
      <c r="AC543">
        <v>465</v>
      </c>
      <c r="AD543" t="s">
        <v>1761</v>
      </c>
      <c r="AE543">
        <v>561</v>
      </c>
      <c r="AF543" t="s">
        <v>1873</v>
      </c>
      <c r="AG543">
        <v>678</v>
      </c>
    </row>
    <row r="544" spans="1:53" x14ac:dyDescent="0.15">
      <c r="A544">
        <v>543</v>
      </c>
      <c r="B544" t="s">
        <v>875</v>
      </c>
      <c r="C544" t="s">
        <v>3866</v>
      </c>
      <c r="D544" s="25" t="s">
        <v>1675</v>
      </c>
      <c r="E544">
        <v>466</v>
      </c>
      <c r="F544" t="s">
        <v>1787</v>
      </c>
      <c r="G544">
        <v>589</v>
      </c>
    </row>
    <row r="545" spans="1:33" x14ac:dyDescent="0.15">
      <c r="A545">
        <v>544</v>
      </c>
      <c r="B545" t="s">
        <v>3981</v>
      </c>
      <c r="C545" t="s">
        <v>3866</v>
      </c>
      <c r="D545" t="s">
        <v>1260</v>
      </c>
      <c r="E545">
        <v>10</v>
      </c>
      <c r="F545" t="s">
        <v>1282</v>
      </c>
      <c r="G545">
        <v>31</v>
      </c>
      <c r="H545" t="s">
        <v>1344</v>
      </c>
      <c r="I545">
        <v>98</v>
      </c>
      <c r="J545" t="s">
        <v>1461</v>
      </c>
      <c r="K545">
        <v>223</v>
      </c>
      <c r="L545" t="s">
        <v>1462</v>
      </c>
      <c r="M545">
        <v>225</v>
      </c>
      <c r="N545" t="s">
        <v>578</v>
      </c>
      <c r="O545">
        <v>243</v>
      </c>
      <c r="P545" t="s">
        <v>1515</v>
      </c>
      <c r="Q545">
        <v>289</v>
      </c>
      <c r="R545" t="s">
        <v>1571</v>
      </c>
      <c r="S545">
        <v>350</v>
      </c>
      <c r="T545" t="s">
        <v>1602</v>
      </c>
      <c r="U545">
        <v>385</v>
      </c>
      <c r="V545" t="s">
        <v>1608</v>
      </c>
      <c r="W545">
        <v>391</v>
      </c>
      <c r="X545" t="s">
        <v>1660</v>
      </c>
      <c r="Y545">
        <v>448</v>
      </c>
      <c r="Z545" s="25" t="s">
        <v>1675</v>
      </c>
      <c r="AA545">
        <v>464</v>
      </c>
      <c r="AB545" t="s">
        <v>1676</v>
      </c>
      <c r="AC545">
        <v>465</v>
      </c>
      <c r="AD545" t="s">
        <v>1761</v>
      </c>
      <c r="AE545">
        <v>561</v>
      </c>
      <c r="AF545" t="s">
        <v>1873</v>
      </c>
      <c r="AG545">
        <v>678</v>
      </c>
    </row>
    <row r="546" spans="1:33" x14ac:dyDescent="0.15">
      <c r="A546">
        <v>545</v>
      </c>
      <c r="B546" t="s">
        <v>1678</v>
      </c>
      <c r="C546" t="s">
        <v>3889</v>
      </c>
      <c r="D546" t="s">
        <v>1678</v>
      </c>
      <c r="E546">
        <v>468</v>
      </c>
    </row>
    <row r="547" spans="1:33" x14ac:dyDescent="0.15">
      <c r="A547">
        <v>546</v>
      </c>
      <c r="B547" t="s">
        <v>1677</v>
      </c>
      <c r="C547" t="s">
        <v>3889</v>
      </c>
      <c r="D547" t="s">
        <v>1677</v>
      </c>
      <c r="E547">
        <v>467</v>
      </c>
    </row>
    <row r="548" spans="1:33" x14ac:dyDescent="0.15">
      <c r="A548">
        <v>547</v>
      </c>
      <c r="B548" t="s">
        <v>1681</v>
      </c>
      <c r="C548" t="s">
        <v>3889</v>
      </c>
      <c r="D548" t="s">
        <v>1681</v>
      </c>
      <c r="E548">
        <v>471</v>
      </c>
    </row>
    <row r="549" spans="1:33" x14ac:dyDescent="0.15">
      <c r="A549">
        <v>548</v>
      </c>
      <c r="B549" t="s">
        <v>1681</v>
      </c>
      <c r="C549" t="s">
        <v>3889</v>
      </c>
      <c r="D549" t="s">
        <v>1681</v>
      </c>
      <c r="E549">
        <v>471</v>
      </c>
    </row>
    <row r="550" spans="1:33" x14ac:dyDescent="0.15">
      <c r="A550">
        <v>549</v>
      </c>
      <c r="B550" t="s">
        <v>3982</v>
      </c>
      <c r="C550" t="s">
        <v>3866</v>
      </c>
      <c r="D550" s="25" t="s">
        <v>1682</v>
      </c>
      <c r="E550">
        <v>472</v>
      </c>
    </row>
    <row r="551" spans="1:33" x14ac:dyDescent="0.15">
      <c r="A551">
        <v>550</v>
      </c>
      <c r="B551" t="s">
        <v>1683</v>
      </c>
      <c r="C551" t="s">
        <v>3889</v>
      </c>
      <c r="D551" t="s">
        <v>1683</v>
      </c>
      <c r="E551">
        <v>473</v>
      </c>
    </row>
    <row r="552" spans="1:33" x14ac:dyDescent="0.15">
      <c r="A552">
        <v>551</v>
      </c>
      <c r="B552" t="s">
        <v>1685</v>
      </c>
      <c r="C552" t="s">
        <v>3889</v>
      </c>
      <c r="D552" t="s">
        <v>1685</v>
      </c>
      <c r="E552">
        <v>475</v>
      </c>
    </row>
    <row r="553" spans="1:33" x14ac:dyDescent="0.15">
      <c r="A553">
        <v>552</v>
      </c>
      <c r="B553" t="s">
        <v>890</v>
      </c>
      <c r="C553" t="s">
        <v>3889</v>
      </c>
      <c r="D553" t="s">
        <v>890</v>
      </c>
      <c r="E553">
        <v>476</v>
      </c>
    </row>
    <row r="554" spans="1:33" x14ac:dyDescent="0.15">
      <c r="A554">
        <v>553</v>
      </c>
      <c r="B554" t="s">
        <v>1686</v>
      </c>
      <c r="C554" t="s">
        <v>3866</v>
      </c>
      <c r="D554" s="26" t="s">
        <v>1496</v>
      </c>
      <c r="E554">
        <v>269</v>
      </c>
    </row>
    <row r="555" spans="1:33" x14ac:dyDescent="0.15">
      <c r="A555">
        <v>554</v>
      </c>
      <c r="B555" t="s">
        <v>892</v>
      </c>
      <c r="C555" t="s">
        <v>3889</v>
      </c>
      <c r="D555" t="s">
        <v>892</v>
      </c>
      <c r="E555">
        <v>479</v>
      </c>
    </row>
    <row r="556" spans="1:33" x14ac:dyDescent="0.15">
      <c r="A556">
        <v>555</v>
      </c>
      <c r="B556" t="s">
        <v>1688</v>
      </c>
      <c r="C556" t="s">
        <v>3889</v>
      </c>
      <c r="D556" t="s">
        <v>1688</v>
      </c>
      <c r="E556">
        <v>480</v>
      </c>
    </row>
    <row r="557" spans="1:33" x14ac:dyDescent="0.15">
      <c r="A557">
        <v>556</v>
      </c>
      <c r="B557" t="s">
        <v>1688</v>
      </c>
      <c r="C557" t="s">
        <v>3889</v>
      </c>
      <c r="D557" t="s">
        <v>1688</v>
      </c>
      <c r="E557">
        <v>480</v>
      </c>
    </row>
    <row r="558" spans="1:33" x14ac:dyDescent="0.15">
      <c r="A558">
        <v>557</v>
      </c>
      <c r="B558" t="s">
        <v>1689</v>
      </c>
      <c r="C558" t="s">
        <v>3889</v>
      </c>
      <c r="D558" t="s">
        <v>1689</v>
      </c>
      <c r="E558">
        <v>481</v>
      </c>
    </row>
    <row r="559" spans="1:33" x14ac:dyDescent="0.15">
      <c r="A559">
        <v>558</v>
      </c>
      <c r="B559" t="s">
        <v>1689</v>
      </c>
      <c r="C559" t="s">
        <v>3889</v>
      </c>
      <c r="D559" t="s">
        <v>1689</v>
      </c>
      <c r="E559">
        <v>481</v>
      </c>
    </row>
    <row r="560" spans="1:33" x14ac:dyDescent="0.15">
      <c r="A560">
        <v>559</v>
      </c>
      <c r="B560" t="s">
        <v>1690</v>
      </c>
      <c r="C560" t="s">
        <v>3889</v>
      </c>
      <c r="D560" t="s">
        <v>1690</v>
      </c>
      <c r="E560">
        <v>482</v>
      </c>
    </row>
    <row r="561" spans="1:29" x14ac:dyDescent="0.15">
      <c r="A561">
        <v>560</v>
      </c>
      <c r="B561" t="s">
        <v>1691</v>
      </c>
      <c r="C561" t="s">
        <v>3889</v>
      </c>
      <c r="D561" t="s">
        <v>1691</v>
      </c>
      <c r="E561">
        <v>483</v>
      </c>
    </row>
    <row r="562" spans="1:29" x14ac:dyDescent="0.15">
      <c r="A562">
        <v>561</v>
      </c>
      <c r="B562" t="s">
        <v>1692</v>
      </c>
      <c r="C562" t="s">
        <v>3889</v>
      </c>
      <c r="D562" t="s">
        <v>1692</v>
      </c>
      <c r="E562">
        <v>484</v>
      </c>
    </row>
    <row r="563" spans="1:29" x14ac:dyDescent="0.15">
      <c r="A563">
        <v>562</v>
      </c>
      <c r="B563" t="s">
        <v>3983</v>
      </c>
      <c r="C563" t="s">
        <v>3866</v>
      </c>
      <c r="D563" t="s">
        <v>1327</v>
      </c>
      <c r="E563">
        <v>80</v>
      </c>
      <c r="F563" t="s">
        <v>1417</v>
      </c>
      <c r="G563">
        <v>170</v>
      </c>
      <c r="H563" t="s">
        <v>1417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1590</v>
      </c>
      <c r="O563">
        <v>371</v>
      </c>
      <c r="P563" t="s">
        <v>1616</v>
      </c>
      <c r="Q563">
        <v>399</v>
      </c>
      <c r="R563" t="s">
        <v>1625</v>
      </c>
      <c r="S563">
        <v>410</v>
      </c>
      <c r="T563" t="s">
        <v>1671</v>
      </c>
      <c r="U563">
        <v>460</v>
      </c>
      <c r="V563" t="s">
        <v>890</v>
      </c>
      <c r="W563">
        <v>476</v>
      </c>
      <c r="X563" s="25" t="s">
        <v>1693</v>
      </c>
      <c r="Y563">
        <v>485</v>
      </c>
      <c r="Z563" t="s">
        <v>1022</v>
      </c>
      <c r="AA563">
        <v>570</v>
      </c>
      <c r="AB563" t="s">
        <v>1859</v>
      </c>
      <c r="AC563">
        <v>663</v>
      </c>
    </row>
    <row r="564" spans="1:29" x14ac:dyDescent="0.15">
      <c r="A564">
        <v>563</v>
      </c>
      <c r="B564" t="s">
        <v>1695</v>
      </c>
      <c r="C564" t="s">
        <v>3889</v>
      </c>
      <c r="D564" t="s">
        <v>1695</v>
      </c>
      <c r="E564">
        <v>487</v>
      </c>
    </row>
    <row r="565" spans="1:29" x14ac:dyDescent="0.15">
      <c r="A565">
        <v>564</v>
      </c>
      <c r="B565" t="s">
        <v>1697</v>
      </c>
      <c r="C565" t="s">
        <v>3889</v>
      </c>
      <c r="D565" t="s">
        <v>1697</v>
      </c>
      <c r="E565">
        <v>489</v>
      </c>
    </row>
    <row r="566" spans="1:29" x14ac:dyDescent="0.15">
      <c r="A566">
        <v>565</v>
      </c>
      <c r="B566" t="s">
        <v>1696</v>
      </c>
      <c r="C566" t="s">
        <v>3889</v>
      </c>
      <c r="D566" t="s">
        <v>1696</v>
      </c>
      <c r="E566">
        <v>488</v>
      </c>
    </row>
    <row r="567" spans="1:29" x14ac:dyDescent="0.15">
      <c r="A567">
        <v>566</v>
      </c>
      <c r="B567" t="s">
        <v>3984</v>
      </c>
      <c r="C567" t="s">
        <v>3866</v>
      </c>
      <c r="D567" t="s">
        <v>1698</v>
      </c>
      <c r="E567">
        <v>490</v>
      </c>
    </row>
    <row r="568" spans="1:29" x14ac:dyDescent="0.15">
      <c r="A568">
        <v>567</v>
      </c>
      <c r="B568" t="s">
        <v>1698</v>
      </c>
      <c r="C568" t="s">
        <v>3889</v>
      </c>
      <c r="D568" t="s">
        <v>1698</v>
      </c>
      <c r="E568">
        <v>490</v>
      </c>
    </row>
    <row r="569" spans="1:29" x14ac:dyDescent="0.15">
      <c r="A569">
        <v>568</v>
      </c>
      <c r="B569" t="s">
        <v>1699</v>
      </c>
      <c r="C569" t="s">
        <v>3889</v>
      </c>
      <c r="D569" t="s">
        <v>1699</v>
      </c>
      <c r="E569">
        <v>491</v>
      </c>
    </row>
    <row r="570" spans="1:29" x14ac:dyDescent="0.15">
      <c r="A570">
        <v>569</v>
      </c>
      <c r="B570" t="s">
        <v>1699</v>
      </c>
      <c r="C570" t="s">
        <v>3889</v>
      </c>
      <c r="D570" t="s">
        <v>1699</v>
      </c>
      <c r="E570">
        <v>491</v>
      </c>
    </row>
    <row r="571" spans="1:29" x14ac:dyDescent="0.15">
      <c r="A571">
        <v>570</v>
      </c>
      <c r="B571" t="s">
        <v>1704</v>
      </c>
      <c r="C571" t="s">
        <v>3889</v>
      </c>
      <c r="D571" t="s">
        <v>1704</v>
      </c>
      <c r="E571">
        <v>496</v>
      </c>
    </row>
    <row r="572" spans="1:29" x14ac:dyDescent="0.15">
      <c r="A572">
        <v>571</v>
      </c>
      <c r="B572" t="s">
        <v>1703</v>
      </c>
      <c r="C572" t="s">
        <v>3889</v>
      </c>
      <c r="D572" t="s">
        <v>1703</v>
      </c>
      <c r="E572">
        <v>495</v>
      </c>
    </row>
    <row r="573" spans="1:29" x14ac:dyDescent="0.15">
      <c r="A573">
        <v>572</v>
      </c>
      <c r="B573" t="s">
        <v>1700</v>
      </c>
      <c r="C573" t="s">
        <v>3889</v>
      </c>
      <c r="D573" t="s">
        <v>1700</v>
      </c>
      <c r="E573">
        <v>492</v>
      </c>
    </row>
    <row r="574" spans="1:29" x14ac:dyDescent="0.15">
      <c r="A574">
        <v>573</v>
      </c>
      <c r="B574" t="s">
        <v>1701</v>
      </c>
      <c r="C574" t="s">
        <v>3889</v>
      </c>
      <c r="D574" t="s">
        <v>1701</v>
      </c>
      <c r="E574">
        <v>493</v>
      </c>
    </row>
    <row r="575" spans="1:29" x14ac:dyDescent="0.15">
      <c r="A575">
        <v>574</v>
      </c>
      <c r="B575" t="s">
        <v>1701</v>
      </c>
      <c r="C575" t="s">
        <v>3889</v>
      </c>
      <c r="D575" t="s">
        <v>1701</v>
      </c>
      <c r="E575">
        <v>493</v>
      </c>
    </row>
    <row r="576" spans="1:29" x14ac:dyDescent="0.15">
      <c r="A576">
        <v>575</v>
      </c>
      <c r="B576" t="s">
        <v>1702</v>
      </c>
      <c r="C576" t="s">
        <v>3889</v>
      </c>
      <c r="D576" t="s">
        <v>1702</v>
      </c>
      <c r="E576">
        <v>494</v>
      </c>
    </row>
    <row r="577" spans="1:83" x14ac:dyDescent="0.15">
      <c r="A577">
        <v>576</v>
      </c>
      <c r="B577" t="s">
        <v>1702</v>
      </c>
      <c r="C577" t="s">
        <v>3889</v>
      </c>
      <c r="D577" t="s">
        <v>1702</v>
      </c>
      <c r="E577">
        <v>494</v>
      </c>
    </row>
    <row r="578" spans="1:83" x14ac:dyDescent="0.15">
      <c r="A578">
        <v>577</v>
      </c>
      <c r="B578" t="s">
        <v>3985</v>
      </c>
      <c r="C578" t="s">
        <v>3866</v>
      </c>
      <c r="D578" s="25" t="s">
        <v>1705</v>
      </c>
      <c r="E578">
        <v>497</v>
      </c>
      <c r="F578" t="s">
        <v>1747</v>
      </c>
      <c r="G578">
        <v>543</v>
      </c>
    </row>
    <row r="579" spans="1:83" x14ac:dyDescent="0.15">
      <c r="A579">
        <v>578</v>
      </c>
      <c r="B579" t="s">
        <v>3985</v>
      </c>
      <c r="C579" t="s">
        <v>3866</v>
      </c>
      <c r="D579" s="25" t="s">
        <v>1705</v>
      </c>
      <c r="E579">
        <v>497</v>
      </c>
      <c r="F579" t="s">
        <v>1747</v>
      </c>
      <c r="G579">
        <v>543</v>
      </c>
    </row>
    <row r="580" spans="1:83" x14ac:dyDescent="0.15">
      <c r="A580">
        <v>579</v>
      </c>
      <c r="B580" t="s">
        <v>1706</v>
      </c>
      <c r="C580" t="s">
        <v>3889</v>
      </c>
      <c r="D580" t="s">
        <v>1706</v>
      </c>
      <c r="E580">
        <v>498</v>
      </c>
    </row>
    <row r="581" spans="1:83" x14ac:dyDescent="0.15">
      <c r="A581">
        <v>580</v>
      </c>
      <c r="B581" t="s">
        <v>3986</v>
      </c>
      <c r="C581" t="s">
        <v>3866</v>
      </c>
      <c r="D581" t="s">
        <v>1709</v>
      </c>
      <c r="E581">
        <v>502</v>
      </c>
    </row>
    <row r="582" spans="1:83" x14ac:dyDescent="0.15">
      <c r="A582">
        <v>581</v>
      </c>
      <c r="B582" t="s">
        <v>1240</v>
      </c>
      <c r="C582" t="s">
        <v>3889</v>
      </c>
      <c r="D582" t="s">
        <v>1240</v>
      </c>
      <c r="E582">
        <v>500</v>
      </c>
    </row>
    <row r="583" spans="1:83" x14ac:dyDescent="0.15">
      <c r="A583">
        <v>582</v>
      </c>
      <c r="B583" t="s">
        <v>1710</v>
      </c>
      <c r="C583" t="s">
        <v>3889</v>
      </c>
      <c r="D583" t="s">
        <v>1710</v>
      </c>
      <c r="E583">
        <v>503</v>
      </c>
    </row>
    <row r="584" spans="1:83" x14ac:dyDescent="0.15">
      <c r="A584">
        <v>583</v>
      </c>
      <c r="B584" t="s">
        <v>1707</v>
      </c>
      <c r="C584" t="s">
        <v>3889</v>
      </c>
      <c r="D584" t="s">
        <v>1707</v>
      </c>
      <c r="E584">
        <v>499</v>
      </c>
    </row>
    <row r="585" spans="1:83" x14ac:dyDescent="0.15">
      <c r="A585">
        <v>584</v>
      </c>
      <c r="B585" t="s">
        <v>3987</v>
      </c>
      <c r="C585" t="s">
        <v>3866</v>
      </c>
      <c r="D585" t="s">
        <v>1712</v>
      </c>
      <c r="E585">
        <v>505</v>
      </c>
    </row>
    <row r="586" spans="1:83" x14ac:dyDescent="0.15">
      <c r="A586">
        <v>585</v>
      </c>
      <c r="B586" t="s">
        <v>1713</v>
      </c>
      <c r="C586" t="s">
        <v>3889</v>
      </c>
      <c r="D586" t="s">
        <v>1713</v>
      </c>
      <c r="E586">
        <v>506</v>
      </c>
    </row>
    <row r="587" spans="1:83" x14ac:dyDescent="0.15">
      <c r="A587">
        <v>586</v>
      </c>
      <c r="B587" t="s">
        <v>926</v>
      </c>
      <c r="C587" t="s">
        <v>3889</v>
      </c>
      <c r="D587" t="s">
        <v>926</v>
      </c>
      <c r="E587">
        <v>507</v>
      </c>
    </row>
    <row r="588" spans="1:83" x14ac:dyDescent="0.15">
      <c r="A588">
        <v>587</v>
      </c>
      <c r="B588" t="s">
        <v>927</v>
      </c>
      <c r="C588" t="s">
        <v>3866</v>
      </c>
      <c r="D588" t="s">
        <v>1269</v>
      </c>
      <c r="E588">
        <v>19</v>
      </c>
      <c r="F588" t="s">
        <v>1273</v>
      </c>
      <c r="G588">
        <v>22</v>
      </c>
      <c r="H588" t="s">
        <v>1292</v>
      </c>
      <c r="I588">
        <v>40</v>
      </c>
      <c r="J588" t="s">
        <v>1313</v>
      </c>
      <c r="K588">
        <v>64</v>
      </c>
      <c r="L588" t="s">
        <v>1316</v>
      </c>
      <c r="M588">
        <v>69</v>
      </c>
      <c r="N588" t="s">
        <v>1319</v>
      </c>
      <c r="O588">
        <v>72</v>
      </c>
      <c r="P588" t="s">
        <v>1328</v>
      </c>
      <c r="Q588">
        <v>81</v>
      </c>
      <c r="R588" t="s">
        <v>1359</v>
      </c>
      <c r="S588">
        <v>111</v>
      </c>
      <c r="T588" t="s">
        <v>1369</v>
      </c>
      <c r="U588">
        <v>121</v>
      </c>
      <c r="V588" t="s">
        <v>1370</v>
      </c>
      <c r="W588">
        <v>122</v>
      </c>
      <c r="X588" t="s">
        <v>1378</v>
      </c>
      <c r="Y588">
        <v>130</v>
      </c>
      <c r="Z588" t="s">
        <v>1379</v>
      </c>
      <c r="AA588">
        <v>131</v>
      </c>
      <c r="AB588" t="s">
        <v>1401</v>
      </c>
      <c r="AC588">
        <v>154</v>
      </c>
      <c r="AD588" t="s">
        <v>1434</v>
      </c>
      <c r="AE588">
        <v>194</v>
      </c>
      <c r="AF588" t="s">
        <v>1517</v>
      </c>
      <c r="AG588">
        <v>291</v>
      </c>
      <c r="AH588" t="s">
        <v>1518</v>
      </c>
      <c r="AI588">
        <v>292</v>
      </c>
      <c r="AJ588" t="s">
        <v>1530</v>
      </c>
      <c r="AK588">
        <v>304</v>
      </c>
      <c r="AL588" t="s">
        <v>1554</v>
      </c>
      <c r="AM588">
        <v>332</v>
      </c>
      <c r="AN588" t="s">
        <v>1570</v>
      </c>
      <c r="AO588">
        <v>349</v>
      </c>
      <c r="AP588" t="s">
        <v>739</v>
      </c>
      <c r="AQ588">
        <v>368</v>
      </c>
      <c r="AR588" t="s">
        <v>1600</v>
      </c>
      <c r="AS588">
        <v>382</v>
      </c>
      <c r="AT588" t="s">
        <v>1638</v>
      </c>
      <c r="AU588">
        <v>427</v>
      </c>
      <c r="AV588" t="s">
        <v>1639</v>
      </c>
      <c r="AW588">
        <v>428</v>
      </c>
      <c r="AX588" t="s">
        <v>1659</v>
      </c>
      <c r="AY588">
        <v>447</v>
      </c>
      <c r="AZ588" t="s">
        <v>1666</v>
      </c>
      <c r="BA588">
        <v>454</v>
      </c>
      <c r="BB588" t="s">
        <v>1681</v>
      </c>
      <c r="BC588">
        <v>471</v>
      </c>
      <c r="BD588" t="s">
        <v>1699</v>
      </c>
      <c r="BE588">
        <v>491</v>
      </c>
      <c r="BF588" s="25" t="s">
        <v>1714</v>
      </c>
      <c r="BG588">
        <v>508</v>
      </c>
      <c r="BH588" t="s">
        <v>1736</v>
      </c>
      <c r="BI588">
        <v>530</v>
      </c>
      <c r="BJ588" t="s">
        <v>1760</v>
      </c>
      <c r="BK588">
        <v>560</v>
      </c>
      <c r="BL588" t="s">
        <v>1764</v>
      </c>
      <c r="BM588">
        <v>565</v>
      </c>
      <c r="BN588" t="s">
        <v>1771</v>
      </c>
      <c r="BO588">
        <v>573</v>
      </c>
      <c r="BP588" t="s">
        <v>1796</v>
      </c>
      <c r="BQ588">
        <v>598</v>
      </c>
      <c r="BR588" t="s">
        <v>1813</v>
      </c>
      <c r="BS588">
        <v>614</v>
      </c>
      <c r="BT588" t="s">
        <v>1814</v>
      </c>
      <c r="BU588">
        <v>615</v>
      </c>
      <c r="BV588" t="s">
        <v>1815</v>
      </c>
      <c r="BW588">
        <v>616</v>
      </c>
      <c r="BX588" t="s">
        <v>1826</v>
      </c>
      <c r="BY588">
        <v>627</v>
      </c>
      <c r="BZ588" t="s">
        <v>1845</v>
      </c>
      <c r="CA588">
        <v>649</v>
      </c>
      <c r="CB588" t="s">
        <v>1864</v>
      </c>
      <c r="CC588">
        <v>668</v>
      </c>
      <c r="CD588" t="s">
        <v>1168</v>
      </c>
      <c r="CE588">
        <v>681</v>
      </c>
    </row>
    <row r="589" spans="1:83" x14ac:dyDescent="0.15">
      <c r="A589">
        <v>588</v>
      </c>
      <c r="B589" t="s">
        <v>1715</v>
      </c>
      <c r="C589" t="s">
        <v>3889</v>
      </c>
      <c r="D589" t="s">
        <v>1715</v>
      </c>
      <c r="E589">
        <v>509</v>
      </c>
    </row>
    <row r="590" spans="1:83" x14ac:dyDescent="0.15">
      <c r="A590">
        <v>589</v>
      </c>
      <c r="B590" t="s">
        <v>1716</v>
      </c>
      <c r="C590" t="s">
        <v>3884</v>
      </c>
      <c r="D590" s="29"/>
    </row>
    <row r="591" spans="1:83" x14ac:dyDescent="0.15">
      <c r="A591">
        <v>590</v>
      </c>
      <c r="B591" t="s">
        <v>3988</v>
      </c>
      <c r="C591" t="s">
        <v>3866</v>
      </c>
      <c r="D591" s="25" t="s">
        <v>1717</v>
      </c>
      <c r="E591">
        <v>510</v>
      </c>
    </row>
    <row r="592" spans="1:83" x14ac:dyDescent="0.15">
      <c r="A592">
        <v>591</v>
      </c>
      <c r="B592" t="s">
        <v>3989</v>
      </c>
      <c r="C592" t="s">
        <v>3866</v>
      </c>
      <c r="D592" s="25" t="s">
        <v>1720</v>
      </c>
      <c r="E592">
        <v>513</v>
      </c>
    </row>
    <row r="593" spans="1:9" x14ac:dyDescent="0.15">
      <c r="A593">
        <v>592</v>
      </c>
      <c r="B593" t="s">
        <v>3990</v>
      </c>
      <c r="C593" t="s">
        <v>3866</v>
      </c>
      <c r="D593" s="25" t="s">
        <v>1719</v>
      </c>
      <c r="E593">
        <v>512</v>
      </c>
    </row>
    <row r="594" spans="1:9" x14ac:dyDescent="0.15">
      <c r="A594">
        <v>593</v>
      </c>
      <c r="B594" t="s">
        <v>1722</v>
      </c>
      <c r="C594" t="s">
        <v>3889</v>
      </c>
      <c r="D594" t="s">
        <v>1722</v>
      </c>
      <c r="E594">
        <v>515</v>
      </c>
    </row>
    <row r="595" spans="1:9" x14ac:dyDescent="0.15">
      <c r="A595">
        <v>594</v>
      </c>
      <c r="B595" t="s">
        <v>3991</v>
      </c>
      <c r="C595" t="s">
        <v>3866</v>
      </c>
      <c r="D595" s="25" t="s">
        <v>1721</v>
      </c>
      <c r="E595">
        <v>514</v>
      </c>
      <c r="F595" t="s">
        <v>1722</v>
      </c>
      <c r="G595">
        <v>515</v>
      </c>
      <c r="H595" t="s">
        <v>1875</v>
      </c>
      <c r="I595">
        <v>680</v>
      </c>
    </row>
    <row r="596" spans="1:9" x14ac:dyDescent="0.15">
      <c r="A596">
        <v>595</v>
      </c>
      <c r="B596" t="s">
        <v>3992</v>
      </c>
      <c r="C596" t="s">
        <v>3866</v>
      </c>
      <c r="D596" s="25" t="s">
        <v>1723</v>
      </c>
      <c r="E596">
        <v>516</v>
      </c>
    </row>
    <row r="597" spans="1:9" x14ac:dyDescent="0.15">
      <c r="A597">
        <v>596</v>
      </c>
      <c r="B597" t="s">
        <v>1724</v>
      </c>
      <c r="C597" t="s">
        <v>3889</v>
      </c>
      <c r="D597" t="s">
        <v>1724</v>
      </c>
      <c r="E597">
        <v>517</v>
      </c>
    </row>
    <row r="598" spans="1:9" x14ac:dyDescent="0.15">
      <c r="A598">
        <v>597</v>
      </c>
      <c r="B598" t="s">
        <v>1725</v>
      </c>
      <c r="C598" t="s">
        <v>3889</v>
      </c>
      <c r="D598" t="s">
        <v>1725</v>
      </c>
      <c r="E598">
        <v>518</v>
      </c>
    </row>
    <row r="599" spans="1:9" x14ac:dyDescent="0.15">
      <c r="A599">
        <v>598</v>
      </c>
      <c r="B599" t="s">
        <v>1726</v>
      </c>
      <c r="C599" t="s">
        <v>3889</v>
      </c>
      <c r="D599" t="s">
        <v>1726</v>
      </c>
      <c r="E599">
        <v>519</v>
      </c>
    </row>
    <row r="600" spans="1:9" x14ac:dyDescent="0.15">
      <c r="A600">
        <v>599</v>
      </c>
      <c r="B600" t="s">
        <v>945</v>
      </c>
      <c r="C600" t="s">
        <v>3889</v>
      </c>
      <c r="D600" t="s">
        <v>945</v>
      </c>
      <c r="E600">
        <v>520</v>
      </c>
    </row>
    <row r="601" spans="1:9" x14ac:dyDescent="0.15">
      <c r="A601">
        <v>600</v>
      </c>
      <c r="B601" t="s">
        <v>1727</v>
      </c>
      <c r="C601" t="s">
        <v>3889</v>
      </c>
      <c r="D601" t="s">
        <v>1727</v>
      </c>
      <c r="E601">
        <v>521</v>
      </c>
    </row>
    <row r="602" spans="1:9" x14ac:dyDescent="0.15">
      <c r="A602">
        <v>601</v>
      </c>
      <c r="B602" t="s">
        <v>1728</v>
      </c>
      <c r="C602" t="s">
        <v>3889</v>
      </c>
      <c r="D602" t="s">
        <v>1728</v>
      </c>
      <c r="E602">
        <v>522</v>
      </c>
    </row>
    <row r="603" spans="1:9" x14ac:dyDescent="0.15">
      <c r="A603">
        <v>602</v>
      </c>
      <c r="B603" t="s">
        <v>3993</v>
      </c>
      <c r="C603" t="s">
        <v>3866</v>
      </c>
      <c r="D603" t="s">
        <v>1453</v>
      </c>
      <c r="E603">
        <v>214</v>
      </c>
      <c r="F603" s="25" t="s">
        <v>1729</v>
      </c>
      <c r="G603">
        <v>523</v>
      </c>
      <c r="H603" t="s">
        <v>1746</v>
      </c>
      <c r="I603">
        <v>542</v>
      </c>
    </row>
    <row r="604" spans="1:9" x14ac:dyDescent="0.15">
      <c r="A604">
        <v>603</v>
      </c>
      <c r="B604" t="s">
        <v>1730</v>
      </c>
      <c r="C604" t="s">
        <v>3889</v>
      </c>
      <c r="D604" t="s">
        <v>1730</v>
      </c>
      <c r="E604">
        <v>524</v>
      </c>
    </row>
    <row r="605" spans="1:9" x14ac:dyDescent="0.15">
      <c r="A605">
        <v>604</v>
      </c>
      <c r="B605" t="s">
        <v>1732</v>
      </c>
      <c r="C605" t="s">
        <v>3889</v>
      </c>
      <c r="D605" t="s">
        <v>1732</v>
      </c>
      <c r="E605">
        <v>526</v>
      </c>
    </row>
    <row r="606" spans="1:9" x14ac:dyDescent="0.15">
      <c r="A606">
        <v>605</v>
      </c>
      <c r="B606" t="s">
        <v>1731</v>
      </c>
      <c r="C606" t="s">
        <v>3889</v>
      </c>
      <c r="D606" t="s">
        <v>1731</v>
      </c>
      <c r="E606">
        <v>525</v>
      </c>
    </row>
    <row r="607" spans="1:9" x14ac:dyDescent="0.15">
      <c r="A607">
        <v>606</v>
      </c>
      <c r="B607" t="s">
        <v>1731</v>
      </c>
      <c r="C607" t="s">
        <v>3889</v>
      </c>
      <c r="D607" t="s">
        <v>1731</v>
      </c>
      <c r="E607">
        <v>525</v>
      </c>
    </row>
    <row r="608" spans="1:9" x14ac:dyDescent="0.15">
      <c r="A608">
        <v>607</v>
      </c>
      <c r="B608" t="s">
        <v>3994</v>
      </c>
      <c r="C608" t="s">
        <v>3866</v>
      </c>
      <c r="D608" s="25" t="s">
        <v>1733</v>
      </c>
      <c r="E608">
        <v>527</v>
      </c>
    </row>
    <row r="609" spans="1:83" x14ac:dyDescent="0.15">
      <c r="A609">
        <v>608</v>
      </c>
      <c r="B609" t="s">
        <v>958</v>
      </c>
      <c r="C609" t="s">
        <v>3866</v>
      </c>
      <c r="D609" s="25" t="s">
        <v>1734</v>
      </c>
      <c r="E609">
        <v>528</v>
      </c>
    </row>
    <row r="610" spans="1:83" x14ac:dyDescent="0.15">
      <c r="A610">
        <v>609</v>
      </c>
      <c r="B610" t="s">
        <v>1735</v>
      </c>
      <c r="C610" t="s">
        <v>3889</v>
      </c>
      <c r="D610" t="s">
        <v>1735</v>
      </c>
      <c r="E610">
        <v>529</v>
      </c>
    </row>
    <row r="611" spans="1:83" x14ac:dyDescent="0.15">
      <c r="A611">
        <v>610</v>
      </c>
      <c r="B611" t="s">
        <v>3995</v>
      </c>
      <c r="C611" t="s">
        <v>3866</v>
      </c>
      <c r="D611" t="s">
        <v>1534</v>
      </c>
      <c r="E611">
        <v>308</v>
      </c>
      <c r="F611" s="25" t="s">
        <v>1744</v>
      </c>
      <c r="G611">
        <v>540</v>
      </c>
    </row>
    <row r="612" spans="1:83" x14ac:dyDescent="0.15">
      <c r="A612">
        <v>611</v>
      </c>
      <c r="B612" t="s">
        <v>3996</v>
      </c>
      <c r="C612" t="s">
        <v>3866</v>
      </c>
      <c r="D612" t="s">
        <v>1269</v>
      </c>
      <c r="E612">
        <v>19</v>
      </c>
      <c r="F612" t="s">
        <v>1273</v>
      </c>
      <c r="G612">
        <v>22</v>
      </c>
      <c r="H612" t="s">
        <v>1292</v>
      </c>
      <c r="I612">
        <v>40</v>
      </c>
      <c r="J612" t="s">
        <v>1313</v>
      </c>
      <c r="K612">
        <v>64</v>
      </c>
      <c r="L612" t="s">
        <v>1316</v>
      </c>
      <c r="M612">
        <v>69</v>
      </c>
      <c r="N612" t="s">
        <v>1319</v>
      </c>
      <c r="O612">
        <v>72</v>
      </c>
      <c r="P612" t="s">
        <v>1328</v>
      </c>
      <c r="Q612">
        <v>81</v>
      </c>
      <c r="R612" t="s">
        <v>1359</v>
      </c>
      <c r="S612">
        <v>111</v>
      </c>
      <c r="T612" t="s">
        <v>1369</v>
      </c>
      <c r="U612">
        <v>121</v>
      </c>
      <c r="V612" t="s">
        <v>1370</v>
      </c>
      <c r="W612">
        <v>122</v>
      </c>
      <c r="X612" t="s">
        <v>1378</v>
      </c>
      <c r="Y612">
        <v>130</v>
      </c>
      <c r="Z612" t="s">
        <v>1379</v>
      </c>
      <c r="AA612">
        <v>131</v>
      </c>
      <c r="AB612" t="s">
        <v>1401</v>
      </c>
      <c r="AC612">
        <v>154</v>
      </c>
      <c r="AD612" t="s">
        <v>1434</v>
      </c>
      <c r="AE612">
        <v>194</v>
      </c>
      <c r="AF612" t="s">
        <v>1517</v>
      </c>
      <c r="AG612">
        <v>291</v>
      </c>
      <c r="AH612" t="s">
        <v>1518</v>
      </c>
      <c r="AI612">
        <v>292</v>
      </c>
      <c r="AJ612" t="s">
        <v>1530</v>
      </c>
      <c r="AK612">
        <v>304</v>
      </c>
      <c r="AL612" t="s">
        <v>1554</v>
      </c>
      <c r="AM612">
        <v>332</v>
      </c>
      <c r="AN612" t="s">
        <v>1570</v>
      </c>
      <c r="AO612">
        <v>349</v>
      </c>
      <c r="AP612" t="s">
        <v>739</v>
      </c>
      <c r="AQ612">
        <v>368</v>
      </c>
      <c r="AR612" t="s">
        <v>1600</v>
      </c>
      <c r="AS612">
        <v>382</v>
      </c>
      <c r="AT612" t="s">
        <v>1638</v>
      </c>
      <c r="AU612">
        <v>427</v>
      </c>
      <c r="AV612" t="s">
        <v>1639</v>
      </c>
      <c r="AW612">
        <v>428</v>
      </c>
      <c r="AX612" t="s">
        <v>1659</v>
      </c>
      <c r="AY612">
        <v>447</v>
      </c>
      <c r="AZ612" t="s">
        <v>1666</v>
      </c>
      <c r="BA612">
        <v>454</v>
      </c>
      <c r="BB612" t="s">
        <v>1681</v>
      </c>
      <c r="BC612">
        <v>471</v>
      </c>
      <c r="BD612" t="s">
        <v>1699</v>
      </c>
      <c r="BE612">
        <v>491</v>
      </c>
      <c r="BF612" t="s">
        <v>1714</v>
      </c>
      <c r="BG612">
        <v>508</v>
      </c>
      <c r="BH612" s="25" t="s">
        <v>1736</v>
      </c>
      <c r="BI612">
        <v>530</v>
      </c>
      <c r="BJ612" t="s">
        <v>1760</v>
      </c>
      <c r="BK612">
        <v>560</v>
      </c>
      <c r="BL612" t="s">
        <v>1764</v>
      </c>
      <c r="BM612">
        <v>565</v>
      </c>
      <c r="BN612" t="s">
        <v>1771</v>
      </c>
      <c r="BO612">
        <v>573</v>
      </c>
      <c r="BP612" t="s">
        <v>1796</v>
      </c>
      <c r="BQ612">
        <v>598</v>
      </c>
      <c r="BR612" t="s">
        <v>1813</v>
      </c>
      <c r="BS612">
        <v>614</v>
      </c>
      <c r="BT612" t="s">
        <v>1814</v>
      </c>
      <c r="BU612">
        <v>615</v>
      </c>
      <c r="BV612" t="s">
        <v>1815</v>
      </c>
      <c r="BW612">
        <v>616</v>
      </c>
      <c r="BX612" t="s">
        <v>1826</v>
      </c>
      <c r="BY612">
        <v>627</v>
      </c>
      <c r="BZ612" t="s">
        <v>1845</v>
      </c>
      <c r="CA612">
        <v>649</v>
      </c>
      <c r="CB612" t="s">
        <v>1864</v>
      </c>
      <c r="CC612">
        <v>668</v>
      </c>
      <c r="CD612" t="s">
        <v>1168</v>
      </c>
      <c r="CE612">
        <v>681</v>
      </c>
    </row>
    <row r="613" spans="1:83" x14ac:dyDescent="0.15">
      <c r="A613">
        <v>612</v>
      </c>
      <c r="B613" t="s">
        <v>3997</v>
      </c>
      <c r="C613" t="s">
        <v>3866</v>
      </c>
      <c r="D613" t="s">
        <v>1269</v>
      </c>
      <c r="E613">
        <v>19</v>
      </c>
      <c r="F613" t="s">
        <v>1273</v>
      </c>
      <c r="G613">
        <v>22</v>
      </c>
      <c r="H613" t="s">
        <v>1292</v>
      </c>
      <c r="I613">
        <v>40</v>
      </c>
      <c r="J613" t="s">
        <v>1313</v>
      </c>
      <c r="K613">
        <v>64</v>
      </c>
      <c r="L613" t="s">
        <v>1316</v>
      </c>
      <c r="M613">
        <v>69</v>
      </c>
      <c r="N613" t="s">
        <v>1319</v>
      </c>
      <c r="O613">
        <v>72</v>
      </c>
      <c r="P613" t="s">
        <v>1328</v>
      </c>
      <c r="Q613">
        <v>81</v>
      </c>
      <c r="R613" t="s">
        <v>1359</v>
      </c>
      <c r="S613">
        <v>111</v>
      </c>
      <c r="T613" t="s">
        <v>1369</v>
      </c>
      <c r="U613">
        <v>121</v>
      </c>
      <c r="V613" t="s">
        <v>1370</v>
      </c>
      <c r="W613">
        <v>122</v>
      </c>
      <c r="X613" t="s">
        <v>1378</v>
      </c>
      <c r="Y613">
        <v>130</v>
      </c>
      <c r="Z613" t="s">
        <v>1379</v>
      </c>
      <c r="AA613">
        <v>131</v>
      </c>
      <c r="AB613" t="s">
        <v>1401</v>
      </c>
      <c r="AC613">
        <v>154</v>
      </c>
      <c r="AD613" t="s">
        <v>1434</v>
      </c>
      <c r="AE613">
        <v>194</v>
      </c>
      <c r="AF613" t="s">
        <v>1517</v>
      </c>
      <c r="AG613">
        <v>291</v>
      </c>
      <c r="AH613" t="s">
        <v>1518</v>
      </c>
      <c r="AI613">
        <v>292</v>
      </c>
      <c r="AJ613" t="s">
        <v>1530</v>
      </c>
      <c r="AK613">
        <v>304</v>
      </c>
      <c r="AL613" t="s">
        <v>1554</v>
      </c>
      <c r="AM613">
        <v>332</v>
      </c>
      <c r="AN613" t="s">
        <v>1570</v>
      </c>
      <c r="AO613">
        <v>349</v>
      </c>
      <c r="AP613" t="s">
        <v>739</v>
      </c>
      <c r="AQ613">
        <v>368</v>
      </c>
      <c r="AR613" t="s">
        <v>1600</v>
      </c>
      <c r="AS613">
        <v>382</v>
      </c>
      <c r="AT613" t="s">
        <v>1638</v>
      </c>
      <c r="AU613">
        <v>427</v>
      </c>
      <c r="AV613" t="s">
        <v>1639</v>
      </c>
      <c r="AW613">
        <v>428</v>
      </c>
      <c r="AX613" t="s">
        <v>1659</v>
      </c>
      <c r="AY613">
        <v>447</v>
      </c>
      <c r="AZ613" t="s">
        <v>1666</v>
      </c>
      <c r="BA613">
        <v>454</v>
      </c>
      <c r="BB613" t="s">
        <v>1681</v>
      </c>
      <c r="BC613">
        <v>471</v>
      </c>
      <c r="BD613" t="s">
        <v>1699</v>
      </c>
      <c r="BE613">
        <v>491</v>
      </c>
      <c r="BF613" t="s">
        <v>1714</v>
      </c>
      <c r="BG613">
        <v>508</v>
      </c>
      <c r="BH613" s="25" t="s">
        <v>1736</v>
      </c>
      <c r="BI613">
        <v>530</v>
      </c>
      <c r="BJ613" t="s">
        <v>1760</v>
      </c>
      <c r="BK613">
        <v>560</v>
      </c>
      <c r="BL613" t="s">
        <v>1764</v>
      </c>
      <c r="BM613">
        <v>565</v>
      </c>
      <c r="BN613" t="s">
        <v>1771</v>
      </c>
      <c r="BO613">
        <v>573</v>
      </c>
      <c r="BP613" t="s">
        <v>1796</v>
      </c>
      <c r="BQ613">
        <v>598</v>
      </c>
      <c r="BR613" t="s">
        <v>1813</v>
      </c>
      <c r="BS613">
        <v>614</v>
      </c>
      <c r="BT613" t="s">
        <v>1814</v>
      </c>
      <c r="BU613">
        <v>615</v>
      </c>
      <c r="BV613" t="s">
        <v>1815</v>
      </c>
      <c r="BW613">
        <v>616</v>
      </c>
      <c r="BX613" t="s">
        <v>1826</v>
      </c>
      <c r="BY613">
        <v>627</v>
      </c>
      <c r="BZ613" t="s">
        <v>1845</v>
      </c>
      <c r="CA613">
        <v>649</v>
      </c>
      <c r="CB613" t="s">
        <v>1864</v>
      </c>
      <c r="CC613">
        <v>668</v>
      </c>
      <c r="CD613" t="s">
        <v>1168</v>
      </c>
      <c r="CE613">
        <v>681</v>
      </c>
    </row>
    <row r="614" spans="1:83" x14ac:dyDescent="0.15">
      <c r="A614">
        <v>613</v>
      </c>
      <c r="B614" t="s">
        <v>966</v>
      </c>
      <c r="C614" t="s">
        <v>3889</v>
      </c>
      <c r="D614" t="s">
        <v>966</v>
      </c>
      <c r="E614">
        <v>531</v>
      </c>
    </row>
    <row r="615" spans="1:83" x14ac:dyDescent="0.15">
      <c r="A615">
        <v>614</v>
      </c>
      <c r="B615" t="s">
        <v>3998</v>
      </c>
      <c r="C615" t="s">
        <v>3866</v>
      </c>
      <c r="D615" s="25" t="s">
        <v>1737</v>
      </c>
      <c r="E615">
        <v>532</v>
      </c>
    </row>
    <row r="616" spans="1:83" x14ac:dyDescent="0.15">
      <c r="A616">
        <v>615</v>
      </c>
      <c r="B616" t="s">
        <v>970</v>
      </c>
      <c r="C616" t="s">
        <v>3889</v>
      </c>
      <c r="D616" t="s">
        <v>970</v>
      </c>
      <c r="E616">
        <v>533</v>
      </c>
    </row>
    <row r="617" spans="1:83" x14ac:dyDescent="0.15">
      <c r="A617">
        <v>616</v>
      </c>
      <c r="B617" t="s">
        <v>3999</v>
      </c>
      <c r="C617" t="s">
        <v>3866</v>
      </c>
      <c r="D617" s="25" t="s">
        <v>1738</v>
      </c>
      <c r="E617">
        <v>534</v>
      </c>
    </row>
    <row r="618" spans="1:83" x14ac:dyDescent="0.15">
      <c r="A618">
        <v>617</v>
      </c>
      <c r="B618" t="s">
        <v>4000</v>
      </c>
      <c r="C618" t="s">
        <v>3866</v>
      </c>
      <c r="D618" s="25" t="s">
        <v>1739</v>
      </c>
      <c r="E618">
        <v>535</v>
      </c>
    </row>
    <row r="619" spans="1:83" x14ac:dyDescent="0.15">
      <c r="A619">
        <v>618</v>
      </c>
      <c r="B619" t="s">
        <v>1241</v>
      </c>
      <c r="C619" t="s">
        <v>3866</v>
      </c>
      <c r="D619" s="25" t="s">
        <v>1740</v>
      </c>
      <c r="E619">
        <v>536</v>
      </c>
    </row>
    <row r="620" spans="1:83" s="29" customFormat="1" x14ac:dyDescent="0.15">
      <c r="A620" s="29">
        <v>619</v>
      </c>
      <c r="B620" s="29" t="s">
        <v>4001</v>
      </c>
      <c r="C620" s="29" t="s">
        <v>3866</v>
      </c>
      <c r="D620" s="29" t="s">
        <v>1307</v>
      </c>
      <c r="E620" s="29">
        <v>56</v>
      </c>
      <c r="F620" s="29" t="s">
        <v>1335</v>
      </c>
      <c r="G620" s="29">
        <v>88</v>
      </c>
      <c r="H620" s="29" t="s">
        <v>1360</v>
      </c>
      <c r="I620" s="29">
        <v>112</v>
      </c>
      <c r="J620" s="29" t="s">
        <v>1361</v>
      </c>
      <c r="K620" s="29">
        <v>113</v>
      </c>
      <c r="L620" s="29" t="s">
        <v>1418</v>
      </c>
      <c r="M620" s="29">
        <v>171</v>
      </c>
      <c r="N620" s="29" t="s">
        <v>1516</v>
      </c>
      <c r="O620" s="29">
        <v>290</v>
      </c>
      <c r="P620" s="29" t="s">
        <v>1543</v>
      </c>
      <c r="Q620" s="29">
        <v>318</v>
      </c>
      <c r="R620" s="29" t="s">
        <v>1679</v>
      </c>
      <c r="S620" s="29">
        <v>469</v>
      </c>
      <c r="T620" s="29" t="s">
        <v>1680</v>
      </c>
      <c r="U620" s="29">
        <v>470</v>
      </c>
      <c r="V620" s="29" t="s">
        <v>1741</v>
      </c>
      <c r="W620" s="29">
        <v>537</v>
      </c>
    </row>
    <row r="621" spans="1:83" x14ac:dyDescent="0.15">
      <c r="A621">
        <v>620</v>
      </c>
      <c r="B621" t="s">
        <v>1742</v>
      </c>
      <c r="C621" t="s">
        <v>3889</v>
      </c>
      <c r="D621" t="s">
        <v>1742</v>
      </c>
      <c r="E621">
        <v>538</v>
      </c>
    </row>
    <row r="622" spans="1:83" x14ac:dyDescent="0.15">
      <c r="A622">
        <v>621</v>
      </c>
      <c r="B622" t="s">
        <v>1743</v>
      </c>
      <c r="C622" t="s">
        <v>3889</v>
      </c>
      <c r="D622" t="s">
        <v>1743</v>
      </c>
      <c r="E622">
        <v>539</v>
      </c>
    </row>
    <row r="623" spans="1:83" x14ac:dyDescent="0.15">
      <c r="A623">
        <v>622</v>
      </c>
      <c r="B623" t="s">
        <v>4002</v>
      </c>
      <c r="C623" t="s">
        <v>3866</v>
      </c>
      <c r="D623" t="s">
        <v>1537</v>
      </c>
      <c r="E623">
        <v>312</v>
      </c>
      <c r="F623" s="25" t="s">
        <v>1745</v>
      </c>
      <c r="G623">
        <v>541</v>
      </c>
    </row>
    <row r="624" spans="1:83" x14ac:dyDescent="0.15">
      <c r="A624">
        <v>623</v>
      </c>
      <c r="B624" t="s">
        <v>1746</v>
      </c>
      <c r="C624" t="s">
        <v>3889</v>
      </c>
      <c r="D624" t="s">
        <v>1746</v>
      </c>
      <c r="E624">
        <v>542</v>
      </c>
    </row>
    <row r="625" spans="1:7" x14ac:dyDescent="0.15">
      <c r="A625">
        <v>624</v>
      </c>
      <c r="B625" t="s">
        <v>987</v>
      </c>
      <c r="C625" t="s">
        <v>3889</v>
      </c>
      <c r="D625" t="s">
        <v>987</v>
      </c>
      <c r="E625">
        <v>548</v>
      </c>
    </row>
    <row r="626" spans="1:7" x14ac:dyDescent="0.15">
      <c r="A626">
        <v>625</v>
      </c>
      <c r="B626" t="s">
        <v>987</v>
      </c>
      <c r="C626" t="s">
        <v>3889</v>
      </c>
      <c r="D626" t="s">
        <v>987</v>
      </c>
      <c r="E626">
        <v>548</v>
      </c>
    </row>
    <row r="627" spans="1:7" x14ac:dyDescent="0.15">
      <c r="A627">
        <v>626</v>
      </c>
      <c r="B627" t="s">
        <v>1747</v>
      </c>
      <c r="C627" t="s">
        <v>3866</v>
      </c>
      <c r="D627" s="26" t="s">
        <v>1449</v>
      </c>
      <c r="E627">
        <v>211</v>
      </c>
      <c r="F627" t="s">
        <v>1629</v>
      </c>
      <c r="G627">
        <v>414</v>
      </c>
    </row>
    <row r="628" spans="1:7" x14ac:dyDescent="0.15">
      <c r="A628">
        <v>627</v>
      </c>
      <c r="B628" t="s">
        <v>991</v>
      </c>
      <c r="C628" t="s">
        <v>3889</v>
      </c>
      <c r="D628" t="s">
        <v>991</v>
      </c>
      <c r="E628">
        <v>545</v>
      </c>
    </row>
    <row r="629" spans="1:7" x14ac:dyDescent="0.15">
      <c r="A629">
        <v>628</v>
      </c>
      <c r="B629" t="s">
        <v>992</v>
      </c>
      <c r="C629" t="s">
        <v>3889</v>
      </c>
      <c r="D629" t="s">
        <v>992</v>
      </c>
      <c r="E629">
        <v>544</v>
      </c>
    </row>
    <row r="630" spans="1:7" x14ac:dyDescent="0.15">
      <c r="A630">
        <v>629</v>
      </c>
      <c r="B630" t="s">
        <v>992</v>
      </c>
      <c r="C630" t="s">
        <v>3889</v>
      </c>
      <c r="D630" t="s">
        <v>992</v>
      </c>
      <c r="E630">
        <v>544</v>
      </c>
    </row>
    <row r="631" spans="1:7" x14ac:dyDescent="0.15">
      <c r="A631">
        <v>630</v>
      </c>
      <c r="B631" t="s">
        <v>1748</v>
      </c>
      <c r="C631" t="s">
        <v>3889</v>
      </c>
      <c r="D631" t="s">
        <v>1748</v>
      </c>
      <c r="E631">
        <v>546</v>
      </c>
    </row>
    <row r="632" spans="1:7" x14ac:dyDescent="0.15">
      <c r="A632">
        <v>631</v>
      </c>
      <c r="B632" t="s">
        <v>1748</v>
      </c>
      <c r="C632" t="s">
        <v>3889</v>
      </c>
      <c r="D632" t="s">
        <v>1748</v>
      </c>
      <c r="E632">
        <v>546</v>
      </c>
    </row>
    <row r="633" spans="1:7" x14ac:dyDescent="0.15">
      <c r="A633">
        <v>632</v>
      </c>
      <c r="B633" t="s">
        <v>1749</v>
      </c>
      <c r="C633" t="s">
        <v>3889</v>
      </c>
      <c r="D633" t="s">
        <v>1749</v>
      </c>
      <c r="E633">
        <v>547</v>
      </c>
    </row>
    <row r="634" spans="1:7" x14ac:dyDescent="0.15">
      <c r="A634">
        <v>633</v>
      </c>
      <c r="B634" t="s">
        <v>1749</v>
      </c>
      <c r="C634" t="s">
        <v>3889</v>
      </c>
      <c r="D634" t="s">
        <v>1749</v>
      </c>
      <c r="E634">
        <v>547</v>
      </c>
    </row>
    <row r="635" spans="1:7" x14ac:dyDescent="0.15">
      <c r="A635">
        <v>634</v>
      </c>
      <c r="B635" t="s">
        <v>1750</v>
      </c>
      <c r="C635" t="s">
        <v>3866</v>
      </c>
      <c r="D635" s="26" t="s">
        <v>1354</v>
      </c>
      <c r="E635">
        <v>106</v>
      </c>
      <c r="F635" t="s">
        <v>1569</v>
      </c>
      <c r="G635">
        <v>348</v>
      </c>
    </row>
    <row r="636" spans="1:7" x14ac:dyDescent="0.15">
      <c r="A636">
        <v>635</v>
      </c>
      <c r="B636" t="s">
        <v>1751</v>
      </c>
      <c r="C636" t="s">
        <v>3889</v>
      </c>
      <c r="D636" t="s">
        <v>1751</v>
      </c>
      <c r="E636">
        <v>549</v>
      </c>
    </row>
    <row r="637" spans="1:7" x14ac:dyDescent="0.15">
      <c r="A637">
        <v>636</v>
      </c>
      <c r="B637" t="s">
        <v>1752</v>
      </c>
      <c r="C637" t="s">
        <v>3889</v>
      </c>
      <c r="D637" t="s">
        <v>1752</v>
      </c>
      <c r="E637">
        <v>550</v>
      </c>
    </row>
    <row r="638" spans="1:7" x14ac:dyDescent="0.15">
      <c r="A638">
        <v>637</v>
      </c>
      <c r="B638" t="s">
        <v>999</v>
      </c>
      <c r="C638" t="s">
        <v>3889</v>
      </c>
      <c r="D638" t="s">
        <v>999</v>
      </c>
      <c r="E638">
        <v>552</v>
      </c>
    </row>
    <row r="639" spans="1:7" x14ac:dyDescent="0.15">
      <c r="A639">
        <v>638</v>
      </c>
      <c r="B639" t="s">
        <v>1754</v>
      </c>
      <c r="C639" t="s">
        <v>3889</v>
      </c>
      <c r="D639" t="s">
        <v>1754</v>
      </c>
      <c r="E639">
        <v>553</v>
      </c>
    </row>
    <row r="640" spans="1:7" x14ac:dyDescent="0.15">
      <c r="A640">
        <v>639</v>
      </c>
      <c r="B640" t="s">
        <v>1002</v>
      </c>
      <c r="C640" t="s">
        <v>3889</v>
      </c>
      <c r="D640" t="s">
        <v>1002</v>
      </c>
      <c r="E640">
        <v>554</v>
      </c>
    </row>
    <row r="641" spans="1:33" x14ac:dyDescent="0.15">
      <c r="A641">
        <v>640</v>
      </c>
      <c r="B641" t="s">
        <v>1756</v>
      </c>
      <c r="C641" t="s">
        <v>3889</v>
      </c>
      <c r="D641" t="s">
        <v>1756</v>
      </c>
      <c r="E641">
        <v>556</v>
      </c>
    </row>
    <row r="642" spans="1:33" x14ac:dyDescent="0.15">
      <c r="A642">
        <v>641</v>
      </c>
      <c r="B642" t="s">
        <v>1757</v>
      </c>
      <c r="C642" t="s">
        <v>3889</v>
      </c>
      <c r="D642" t="s">
        <v>1757</v>
      </c>
      <c r="E642">
        <v>557</v>
      </c>
    </row>
    <row r="643" spans="1:33" x14ac:dyDescent="0.15">
      <c r="A643">
        <v>642</v>
      </c>
      <c r="B643" t="s">
        <v>1758</v>
      </c>
      <c r="C643" t="s">
        <v>3889</v>
      </c>
      <c r="D643" t="s">
        <v>1758</v>
      </c>
      <c r="E643">
        <v>558</v>
      </c>
    </row>
    <row r="644" spans="1:33" x14ac:dyDescent="0.15">
      <c r="A644">
        <v>643</v>
      </c>
      <c r="B644" t="s">
        <v>1758</v>
      </c>
      <c r="C644" t="s">
        <v>3889</v>
      </c>
      <c r="D644" t="s">
        <v>1758</v>
      </c>
      <c r="E644">
        <v>558</v>
      </c>
    </row>
    <row r="645" spans="1:33" x14ac:dyDescent="0.15">
      <c r="A645">
        <v>644</v>
      </c>
      <c r="B645" t="s">
        <v>1759</v>
      </c>
      <c r="C645" t="s">
        <v>3889</v>
      </c>
      <c r="D645" t="s">
        <v>1759</v>
      </c>
      <c r="E645">
        <v>559</v>
      </c>
    </row>
    <row r="646" spans="1:33" x14ac:dyDescent="0.15">
      <c r="A646">
        <v>645</v>
      </c>
      <c r="B646" t="s">
        <v>1760</v>
      </c>
      <c r="C646" t="s">
        <v>3889</v>
      </c>
      <c r="D646" t="s">
        <v>1760</v>
      </c>
      <c r="E646">
        <v>560</v>
      </c>
    </row>
    <row r="647" spans="1:33" x14ac:dyDescent="0.15">
      <c r="A647">
        <v>646</v>
      </c>
      <c r="B647" t="s">
        <v>4003</v>
      </c>
      <c r="C647" t="s">
        <v>3866</v>
      </c>
      <c r="D647" t="s">
        <v>1260</v>
      </c>
      <c r="E647">
        <v>10</v>
      </c>
      <c r="F647" t="s">
        <v>1282</v>
      </c>
      <c r="G647">
        <v>31</v>
      </c>
      <c r="H647" t="s">
        <v>1344</v>
      </c>
      <c r="I647">
        <v>98</v>
      </c>
      <c r="J647" t="s">
        <v>1461</v>
      </c>
      <c r="K647">
        <v>223</v>
      </c>
      <c r="L647" t="s">
        <v>1462</v>
      </c>
      <c r="M647">
        <v>225</v>
      </c>
      <c r="N647" t="s">
        <v>578</v>
      </c>
      <c r="O647">
        <v>243</v>
      </c>
      <c r="P647" t="s">
        <v>1515</v>
      </c>
      <c r="Q647">
        <v>289</v>
      </c>
      <c r="R647" t="s">
        <v>1571</v>
      </c>
      <c r="S647">
        <v>350</v>
      </c>
      <c r="T647" t="s">
        <v>1602</v>
      </c>
      <c r="U647">
        <v>385</v>
      </c>
      <c r="V647" t="s">
        <v>1608</v>
      </c>
      <c r="W647">
        <v>391</v>
      </c>
      <c r="X647" t="s">
        <v>1660</v>
      </c>
      <c r="Y647">
        <v>448</v>
      </c>
      <c r="Z647" t="s">
        <v>1675</v>
      </c>
      <c r="AA647">
        <v>464</v>
      </c>
      <c r="AB647" t="s">
        <v>1676</v>
      </c>
      <c r="AC647">
        <v>465</v>
      </c>
      <c r="AD647" s="25" t="s">
        <v>1761</v>
      </c>
      <c r="AE647">
        <v>561</v>
      </c>
      <c r="AF647" t="s">
        <v>1873</v>
      </c>
      <c r="AG647">
        <v>678</v>
      </c>
    </row>
    <row r="648" spans="1:33" x14ac:dyDescent="0.15">
      <c r="A648">
        <v>647</v>
      </c>
      <c r="B648" t="s">
        <v>1762</v>
      </c>
      <c r="C648" t="s">
        <v>3889</v>
      </c>
      <c r="D648" t="s">
        <v>1762</v>
      </c>
      <c r="E648">
        <v>562</v>
      </c>
    </row>
    <row r="649" spans="1:33" x14ac:dyDescent="0.15">
      <c r="A649">
        <v>648</v>
      </c>
      <c r="B649" t="s">
        <v>1014</v>
      </c>
      <c r="C649" t="s">
        <v>3889</v>
      </c>
      <c r="D649" t="s">
        <v>1014</v>
      </c>
      <c r="E649">
        <v>563</v>
      </c>
    </row>
    <row r="650" spans="1:33" x14ac:dyDescent="0.15">
      <c r="A650">
        <v>649</v>
      </c>
      <c r="B650" t="s">
        <v>1014</v>
      </c>
      <c r="C650" t="s">
        <v>3889</v>
      </c>
      <c r="D650" t="s">
        <v>1014</v>
      </c>
      <c r="E650">
        <v>563</v>
      </c>
    </row>
    <row r="651" spans="1:33" x14ac:dyDescent="0.15">
      <c r="A651">
        <v>650</v>
      </c>
      <c r="B651" t="s">
        <v>1763</v>
      </c>
      <c r="C651" t="s">
        <v>3889</v>
      </c>
      <c r="D651" t="s">
        <v>1763</v>
      </c>
      <c r="E651">
        <v>564</v>
      </c>
    </row>
    <row r="652" spans="1:33" x14ac:dyDescent="0.15">
      <c r="A652">
        <v>651</v>
      </c>
      <c r="B652" t="s">
        <v>1764</v>
      </c>
      <c r="C652" t="s">
        <v>3889</v>
      </c>
      <c r="D652" t="s">
        <v>1764</v>
      </c>
      <c r="E652">
        <v>565</v>
      </c>
    </row>
    <row r="653" spans="1:33" x14ac:dyDescent="0.15">
      <c r="A653">
        <v>652</v>
      </c>
      <c r="B653" t="s">
        <v>4004</v>
      </c>
      <c r="C653" t="s">
        <v>3866</v>
      </c>
      <c r="D653" s="25" t="s">
        <v>1765</v>
      </c>
      <c r="E653">
        <v>566</v>
      </c>
    </row>
    <row r="654" spans="1:33" x14ac:dyDescent="0.15">
      <c r="A654">
        <v>653</v>
      </c>
      <c r="B654" t="s">
        <v>1767</v>
      </c>
      <c r="C654" t="s">
        <v>3889</v>
      </c>
      <c r="D654" t="s">
        <v>1767</v>
      </c>
      <c r="E654">
        <v>568</v>
      </c>
    </row>
    <row r="655" spans="1:33" x14ac:dyDescent="0.15">
      <c r="A655">
        <v>654</v>
      </c>
      <c r="B655" t="s">
        <v>1767</v>
      </c>
      <c r="C655" t="s">
        <v>3889</v>
      </c>
      <c r="D655" t="s">
        <v>1767</v>
      </c>
      <c r="E655">
        <v>568</v>
      </c>
    </row>
    <row r="656" spans="1:33" x14ac:dyDescent="0.15">
      <c r="A656">
        <v>655</v>
      </c>
      <c r="B656" t="s">
        <v>1766</v>
      </c>
      <c r="C656" t="s">
        <v>3889</v>
      </c>
      <c r="D656" t="s">
        <v>1766</v>
      </c>
      <c r="E656">
        <v>567</v>
      </c>
    </row>
    <row r="657" spans="1:5" x14ac:dyDescent="0.15">
      <c r="A657">
        <v>656</v>
      </c>
      <c r="B657" t="s">
        <v>1766</v>
      </c>
      <c r="C657" t="s">
        <v>3889</v>
      </c>
      <c r="D657" t="s">
        <v>1766</v>
      </c>
      <c r="E657">
        <v>567</v>
      </c>
    </row>
    <row r="658" spans="1:5" x14ac:dyDescent="0.15">
      <c r="A658">
        <v>657</v>
      </c>
      <c r="B658" t="s">
        <v>1768</v>
      </c>
      <c r="C658" t="s">
        <v>3889</v>
      </c>
      <c r="D658" t="s">
        <v>1768</v>
      </c>
      <c r="E658">
        <v>569</v>
      </c>
    </row>
    <row r="659" spans="1:5" x14ac:dyDescent="0.15">
      <c r="A659">
        <v>658</v>
      </c>
      <c r="B659" t="s">
        <v>1022</v>
      </c>
      <c r="C659" t="s">
        <v>3889</v>
      </c>
      <c r="D659" t="s">
        <v>1022</v>
      </c>
      <c r="E659">
        <v>570</v>
      </c>
    </row>
    <row r="660" spans="1:5" x14ac:dyDescent="0.15">
      <c r="A660">
        <v>659</v>
      </c>
      <c r="B660" t="s">
        <v>1769</v>
      </c>
      <c r="C660" t="s">
        <v>3889</v>
      </c>
      <c r="D660" t="s">
        <v>1769</v>
      </c>
      <c r="E660">
        <v>571</v>
      </c>
    </row>
    <row r="661" spans="1:5" x14ac:dyDescent="0.15">
      <c r="A661">
        <v>660</v>
      </c>
      <c r="B661" t="s">
        <v>1025</v>
      </c>
      <c r="C661" t="s">
        <v>3889</v>
      </c>
      <c r="D661" t="s">
        <v>1025</v>
      </c>
      <c r="E661">
        <v>574</v>
      </c>
    </row>
    <row r="662" spans="1:5" x14ac:dyDescent="0.15">
      <c r="A662">
        <v>661</v>
      </c>
      <c r="B662" t="s">
        <v>1771</v>
      </c>
      <c r="C662" t="s">
        <v>3889</v>
      </c>
      <c r="D662" t="s">
        <v>1771</v>
      </c>
      <c r="E662">
        <v>573</v>
      </c>
    </row>
    <row r="663" spans="1:5" x14ac:dyDescent="0.15">
      <c r="A663">
        <v>662</v>
      </c>
      <c r="B663" t="s">
        <v>1771</v>
      </c>
      <c r="C663" t="s">
        <v>3889</v>
      </c>
      <c r="D663" t="s">
        <v>1771</v>
      </c>
      <c r="E663">
        <v>573</v>
      </c>
    </row>
    <row r="664" spans="1:5" x14ac:dyDescent="0.15">
      <c r="A664">
        <v>663</v>
      </c>
      <c r="B664" t="s">
        <v>1772</v>
      </c>
      <c r="C664" t="s">
        <v>3889</v>
      </c>
      <c r="D664" t="s">
        <v>1772</v>
      </c>
      <c r="E664">
        <v>575</v>
      </c>
    </row>
    <row r="665" spans="1:5" x14ac:dyDescent="0.15">
      <c r="A665">
        <v>664</v>
      </c>
      <c r="B665" t="s">
        <v>4005</v>
      </c>
      <c r="C665" t="s">
        <v>3866</v>
      </c>
      <c r="D665" s="25" t="s">
        <v>1773</v>
      </c>
      <c r="E665">
        <v>576</v>
      </c>
    </row>
    <row r="666" spans="1:5" x14ac:dyDescent="0.15">
      <c r="A666">
        <v>665</v>
      </c>
      <c r="B666" t="s">
        <v>1777</v>
      </c>
      <c r="C666" t="s">
        <v>3889</v>
      </c>
      <c r="D666" t="s">
        <v>1777</v>
      </c>
      <c r="E666">
        <v>579</v>
      </c>
    </row>
    <row r="667" spans="1:5" x14ac:dyDescent="0.15">
      <c r="A667">
        <v>666</v>
      </c>
      <c r="B667" t="s">
        <v>1774</v>
      </c>
      <c r="C667" t="s">
        <v>3889</v>
      </c>
      <c r="D667" t="s">
        <v>1774</v>
      </c>
      <c r="E667">
        <v>577</v>
      </c>
    </row>
    <row r="668" spans="1:5" s="29" customFormat="1" x14ac:dyDescent="0.15">
      <c r="A668" s="29">
        <v>667</v>
      </c>
      <c r="B668" s="29" t="s">
        <v>1775</v>
      </c>
      <c r="C668" s="29" t="s">
        <v>3884</v>
      </c>
    </row>
    <row r="669" spans="1:5" x14ac:dyDescent="0.15">
      <c r="A669">
        <v>668</v>
      </c>
      <c r="B669" t="s">
        <v>1776</v>
      </c>
      <c r="C669" t="s">
        <v>3889</v>
      </c>
      <c r="D669" t="s">
        <v>1776</v>
      </c>
      <c r="E669">
        <v>578</v>
      </c>
    </row>
    <row r="670" spans="1:5" x14ac:dyDescent="0.15">
      <c r="A670">
        <v>669</v>
      </c>
      <c r="B670" t="s">
        <v>1778</v>
      </c>
      <c r="C670" t="s">
        <v>3889</v>
      </c>
      <c r="D670" t="s">
        <v>1778</v>
      </c>
      <c r="E670">
        <v>580</v>
      </c>
    </row>
    <row r="671" spans="1:5" x14ac:dyDescent="0.15">
      <c r="A671">
        <v>670</v>
      </c>
      <c r="B671" t="s">
        <v>1780</v>
      </c>
      <c r="C671" t="s">
        <v>3889</v>
      </c>
      <c r="D671" t="s">
        <v>1780</v>
      </c>
      <c r="E671">
        <v>582</v>
      </c>
    </row>
    <row r="672" spans="1:5" x14ac:dyDescent="0.15">
      <c r="A672">
        <v>671</v>
      </c>
      <c r="B672" t="s">
        <v>1781</v>
      </c>
      <c r="C672" t="s">
        <v>3889</v>
      </c>
      <c r="D672" t="s">
        <v>1781</v>
      </c>
      <c r="E672">
        <v>583</v>
      </c>
    </row>
    <row r="673" spans="1:5" x14ac:dyDescent="0.15">
      <c r="A673">
        <v>672</v>
      </c>
      <c r="B673" t="s">
        <v>4006</v>
      </c>
      <c r="C673" t="s">
        <v>3866</v>
      </c>
      <c r="D673" s="26" t="s">
        <v>1588</v>
      </c>
      <c r="E673">
        <v>369</v>
      </c>
    </row>
    <row r="674" spans="1:5" x14ac:dyDescent="0.15">
      <c r="A674">
        <v>673</v>
      </c>
      <c r="B674" t="s">
        <v>4007</v>
      </c>
      <c r="C674" t="s">
        <v>3866</v>
      </c>
      <c r="D674" s="26" t="s">
        <v>1588</v>
      </c>
      <c r="E674">
        <v>369</v>
      </c>
    </row>
    <row r="675" spans="1:5" x14ac:dyDescent="0.15">
      <c r="A675">
        <v>674</v>
      </c>
      <c r="B675" t="s">
        <v>1782</v>
      </c>
      <c r="C675" t="s">
        <v>3889</v>
      </c>
      <c r="D675" t="s">
        <v>1782</v>
      </c>
      <c r="E675">
        <v>584</v>
      </c>
    </row>
    <row r="676" spans="1:5" s="29" customFormat="1" x14ac:dyDescent="0.15">
      <c r="A676" s="29">
        <v>675</v>
      </c>
      <c r="B676" s="29" t="s">
        <v>4008</v>
      </c>
      <c r="C676" s="29" t="s">
        <v>3866</v>
      </c>
      <c r="D676" s="29" t="s">
        <v>1785</v>
      </c>
      <c r="E676" s="29">
        <v>587</v>
      </c>
    </row>
    <row r="677" spans="1:5" s="29" customFormat="1" x14ac:dyDescent="0.15">
      <c r="A677" s="29">
        <v>676</v>
      </c>
      <c r="B677" s="29" t="s">
        <v>4009</v>
      </c>
      <c r="C677" s="29" t="s">
        <v>3866</v>
      </c>
      <c r="D677" s="29" t="s">
        <v>1785</v>
      </c>
      <c r="E677" s="29">
        <v>587</v>
      </c>
    </row>
    <row r="678" spans="1:5" x14ac:dyDescent="0.15">
      <c r="A678">
        <v>677</v>
      </c>
      <c r="B678" t="s">
        <v>1786</v>
      </c>
      <c r="C678" t="s">
        <v>3889</v>
      </c>
      <c r="D678" t="s">
        <v>1786</v>
      </c>
      <c r="E678">
        <v>588</v>
      </c>
    </row>
    <row r="679" spans="1:5" x14ac:dyDescent="0.15">
      <c r="A679">
        <v>678</v>
      </c>
      <c r="B679" t="s">
        <v>1787</v>
      </c>
      <c r="C679" t="s">
        <v>3889</v>
      </c>
      <c r="D679" t="s">
        <v>1787</v>
      </c>
      <c r="E679">
        <v>589</v>
      </c>
    </row>
    <row r="680" spans="1:5" x14ac:dyDescent="0.15">
      <c r="A680">
        <v>679</v>
      </c>
      <c r="B680" t="s">
        <v>1788</v>
      </c>
      <c r="C680" t="s">
        <v>3889</v>
      </c>
      <c r="D680" t="s">
        <v>1788</v>
      </c>
      <c r="E680">
        <v>590</v>
      </c>
    </row>
    <row r="681" spans="1:5" x14ac:dyDescent="0.15">
      <c r="A681">
        <v>680</v>
      </c>
      <c r="B681" t="s">
        <v>1788</v>
      </c>
      <c r="C681" t="s">
        <v>3889</v>
      </c>
      <c r="D681" t="s">
        <v>1788</v>
      </c>
      <c r="E681">
        <v>590</v>
      </c>
    </row>
    <row r="682" spans="1:5" x14ac:dyDescent="0.15">
      <c r="A682">
        <v>681</v>
      </c>
      <c r="B682" t="s">
        <v>1789</v>
      </c>
      <c r="C682" t="s">
        <v>3889</v>
      </c>
      <c r="D682" t="s">
        <v>1789</v>
      </c>
      <c r="E682">
        <v>591</v>
      </c>
    </row>
    <row r="683" spans="1:5" x14ac:dyDescent="0.15">
      <c r="A683">
        <v>682</v>
      </c>
      <c r="B683" t="s">
        <v>1789</v>
      </c>
      <c r="C683" t="s">
        <v>3889</v>
      </c>
      <c r="D683" t="s">
        <v>1789</v>
      </c>
      <c r="E683">
        <v>591</v>
      </c>
    </row>
    <row r="684" spans="1:5" x14ac:dyDescent="0.15">
      <c r="A684">
        <v>683</v>
      </c>
      <c r="B684" t="s">
        <v>4010</v>
      </c>
      <c r="C684" t="s">
        <v>3866</v>
      </c>
      <c r="D684" s="25" t="s">
        <v>1790</v>
      </c>
      <c r="E684">
        <v>592</v>
      </c>
    </row>
    <row r="685" spans="1:5" x14ac:dyDescent="0.15">
      <c r="A685">
        <v>684</v>
      </c>
      <c r="B685" t="s">
        <v>1791</v>
      </c>
      <c r="C685" t="s">
        <v>3889</v>
      </c>
      <c r="D685" t="s">
        <v>1791</v>
      </c>
      <c r="E685">
        <v>593</v>
      </c>
    </row>
    <row r="686" spans="1:5" x14ac:dyDescent="0.15">
      <c r="A686">
        <v>685</v>
      </c>
      <c r="B686" t="s">
        <v>1791</v>
      </c>
      <c r="C686" t="s">
        <v>3889</v>
      </c>
      <c r="D686" t="s">
        <v>1791</v>
      </c>
      <c r="E686">
        <v>593</v>
      </c>
    </row>
    <row r="687" spans="1:5" x14ac:dyDescent="0.15">
      <c r="A687">
        <v>686</v>
      </c>
      <c r="B687" t="s">
        <v>1793</v>
      </c>
      <c r="C687" t="s">
        <v>3889</v>
      </c>
      <c r="D687" t="s">
        <v>1793</v>
      </c>
      <c r="E687">
        <v>595</v>
      </c>
    </row>
    <row r="688" spans="1:5" x14ac:dyDescent="0.15">
      <c r="A688">
        <v>687</v>
      </c>
      <c r="B688" t="s">
        <v>1793</v>
      </c>
      <c r="C688" t="s">
        <v>3889</v>
      </c>
      <c r="D688" t="s">
        <v>1793</v>
      </c>
      <c r="E688">
        <v>595</v>
      </c>
    </row>
    <row r="689" spans="1:5" x14ac:dyDescent="0.15">
      <c r="A689">
        <v>688</v>
      </c>
      <c r="B689" t="s">
        <v>1792</v>
      </c>
      <c r="C689" t="s">
        <v>3889</v>
      </c>
      <c r="D689" t="s">
        <v>1792</v>
      </c>
      <c r="E689">
        <v>594</v>
      </c>
    </row>
    <row r="690" spans="1:5" x14ac:dyDescent="0.15">
      <c r="A690">
        <v>689</v>
      </c>
      <c r="B690" t="s">
        <v>1792</v>
      </c>
      <c r="C690" t="s">
        <v>3889</v>
      </c>
      <c r="D690" t="s">
        <v>1792</v>
      </c>
      <c r="E690">
        <v>594</v>
      </c>
    </row>
    <row r="691" spans="1:5" x14ac:dyDescent="0.15">
      <c r="A691">
        <v>690</v>
      </c>
      <c r="B691" t="s">
        <v>1794</v>
      </c>
      <c r="C691" t="s">
        <v>3889</v>
      </c>
      <c r="D691" t="s">
        <v>1794</v>
      </c>
      <c r="E691">
        <v>596</v>
      </c>
    </row>
    <row r="692" spans="1:5" x14ac:dyDescent="0.15">
      <c r="A692">
        <v>691</v>
      </c>
      <c r="B692" t="s">
        <v>1794</v>
      </c>
      <c r="C692" t="s">
        <v>3889</v>
      </c>
      <c r="D692" t="s">
        <v>1794</v>
      </c>
      <c r="E692">
        <v>596</v>
      </c>
    </row>
    <row r="693" spans="1:5" s="29" customFormat="1" x14ac:dyDescent="0.15">
      <c r="A693" s="29">
        <v>692</v>
      </c>
      <c r="B693" s="29" t="s">
        <v>4011</v>
      </c>
      <c r="C693" s="29" t="s">
        <v>3884</v>
      </c>
    </row>
    <row r="694" spans="1:5" x14ac:dyDescent="0.15">
      <c r="A694">
        <v>693</v>
      </c>
      <c r="B694" t="s">
        <v>4012</v>
      </c>
      <c r="C694" t="s">
        <v>3866</v>
      </c>
      <c r="D694" s="25" t="s">
        <v>1795</v>
      </c>
      <c r="E694">
        <v>597</v>
      </c>
    </row>
    <row r="695" spans="1:5" x14ac:dyDescent="0.15">
      <c r="A695">
        <v>694</v>
      </c>
      <c r="B695" t="s">
        <v>1065</v>
      </c>
      <c r="C695" t="s">
        <v>3889</v>
      </c>
      <c r="D695" t="s">
        <v>1065</v>
      </c>
      <c r="E695">
        <v>619</v>
      </c>
    </row>
    <row r="696" spans="1:5" x14ac:dyDescent="0.15">
      <c r="A696">
        <v>695</v>
      </c>
      <c r="B696" t="s">
        <v>1796</v>
      </c>
      <c r="C696" t="s">
        <v>3889</v>
      </c>
      <c r="D696" t="s">
        <v>1796</v>
      </c>
      <c r="E696">
        <v>598</v>
      </c>
    </row>
    <row r="697" spans="1:5" x14ac:dyDescent="0.15">
      <c r="A697">
        <v>696</v>
      </c>
      <c r="B697" t="s">
        <v>1797</v>
      </c>
      <c r="C697" t="s">
        <v>3889</v>
      </c>
      <c r="D697" t="s">
        <v>1797</v>
      </c>
      <c r="E697">
        <v>599</v>
      </c>
    </row>
    <row r="698" spans="1:5" x14ac:dyDescent="0.15">
      <c r="A698">
        <v>697</v>
      </c>
      <c r="B698" t="s">
        <v>4013</v>
      </c>
      <c r="C698" t="s">
        <v>3866</v>
      </c>
      <c r="D698" s="25" t="s">
        <v>1798</v>
      </c>
      <c r="E698">
        <v>600</v>
      </c>
    </row>
    <row r="699" spans="1:5" x14ac:dyDescent="0.15">
      <c r="A699">
        <v>698</v>
      </c>
      <c r="B699" t="s">
        <v>4014</v>
      </c>
      <c r="C699" t="s">
        <v>3866</v>
      </c>
      <c r="D699" s="25" t="s">
        <v>1805</v>
      </c>
      <c r="E699">
        <v>609</v>
      </c>
    </row>
    <row r="700" spans="1:5" x14ac:dyDescent="0.15">
      <c r="A700">
        <v>699</v>
      </c>
      <c r="B700" t="s">
        <v>4015</v>
      </c>
      <c r="C700" t="s">
        <v>3866</v>
      </c>
      <c r="D700" s="25" t="s">
        <v>1807</v>
      </c>
      <c r="E700">
        <v>611</v>
      </c>
    </row>
    <row r="701" spans="1:5" x14ac:dyDescent="0.15">
      <c r="A701">
        <v>700</v>
      </c>
      <c r="B701" t="s">
        <v>1073</v>
      </c>
      <c r="C701" t="s">
        <v>3889</v>
      </c>
      <c r="D701" t="s">
        <v>1073</v>
      </c>
      <c r="E701">
        <v>608</v>
      </c>
    </row>
    <row r="702" spans="1:5" x14ac:dyDescent="0.15">
      <c r="A702">
        <v>701</v>
      </c>
      <c r="B702" t="s">
        <v>1074</v>
      </c>
      <c r="C702" t="s">
        <v>3866</v>
      </c>
      <c r="D702" s="25" t="s">
        <v>1800</v>
      </c>
      <c r="E702">
        <v>602</v>
      </c>
    </row>
    <row r="703" spans="1:5" x14ac:dyDescent="0.15">
      <c r="A703">
        <v>702</v>
      </c>
      <c r="B703" t="s">
        <v>1074</v>
      </c>
      <c r="C703" t="s">
        <v>3866</v>
      </c>
      <c r="D703" s="25" t="s">
        <v>1800</v>
      </c>
      <c r="E703">
        <v>602</v>
      </c>
    </row>
    <row r="704" spans="1:5" x14ac:dyDescent="0.15">
      <c r="A704">
        <v>703</v>
      </c>
      <c r="B704" t="s">
        <v>1075</v>
      </c>
      <c r="C704" t="s">
        <v>3866</v>
      </c>
      <c r="D704" s="25" t="s">
        <v>1804</v>
      </c>
      <c r="E704">
        <v>606</v>
      </c>
    </row>
    <row r="705" spans="1:83" x14ac:dyDescent="0.15">
      <c r="A705">
        <v>704</v>
      </c>
      <c r="B705" t="s">
        <v>1075</v>
      </c>
      <c r="C705" t="s">
        <v>3866</v>
      </c>
      <c r="D705" s="25" t="s">
        <v>1804</v>
      </c>
      <c r="E705">
        <v>606</v>
      </c>
    </row>
    <row r="706" spans="1:83" x14ac:dyDescent="0.15">
      <c r="A706">
        <v>705</v>
      </c>
      <c r="B706" t="s">
        <v>1076</v>
      </c>
      <c r="C706" t="s">
        <v>3889</v>
      </c>
      <c r="D706" s="28" t="s">
        <v>1076</v>
      </c>
      <c r="E706">
        <v>607</v>
      </c>
    </row>
    <row r="707" spans="1:83" x14ac:dyDescent="0.15">
      <c r="A707">
        <v>706</v>
      </c>
      <c r="B707" t="s">
        <v>1076</v>
      </c>
      <c r="C707" t="s">
        <v>3889</v>
      </c>
      <c r="D707" t="s">
        <v>1076</v>
      </c>
      <c r="E707">
        <v>607</v>
      </c>
    </row>
    <row r="708" spans="1:83" x14ac:dyDescent="0.15">
      <c r="A708">
        <v>707</v>
      </c>
      <c r="B708" t="s">
        <v>4016</v>
      </c>
      <c r="C708" t="s">
        <v>3866</v>
      </c>
      <c r="D708" t="s">
        <v>1801</v>
      </c>
      <c r="E708">
        <v>603</v>
      </c>
      <c r="F708" s="25" t="s">
        <v>1802</v>
      </c>
      <c r="G708">
        <v>604</v>
      </c>
      <c r="H708" t="s">
        <v>1803</v>
      </c>
      <c r="I708">
        <v>605</v>
      </c>
    </row>
    <row r="709" spans="1:83" x14ac:dyDescent="0.15">
      <c r="A709">
        <v>708</v>
      </c>
      <c r="B709" t="s">
        <v>4017</v>
      </c>
      <c r="C709" t="s">
        <v>3866</v>
      </c>
      <c r="D709" t="s">
        <v>1801</v>
      </c>
      <c r="E709">
        <v>603</v>
      </c>
      <c r="F709" t="s">
        <v>1802</v>
      </c>
      <c r="G709">
        <v>604</v>
      </c>
      <c r="H709" s="25" t="s">
        <v>1803</v>
      </c>
      <c r="I709">
        <v>605</v>
      </c>
    </row>
    <row r="710" spans="1:83" x14ac:dyDescent="0.15">
      <c r="A710">
        <v>709</v>
      </c>
      <c r="B710" t="s">
        <v>4018</v>
      </c>
      <c r="C710" t="s">
        <v>3866</v>
      </c>
      <c r="D710" s="25" t="s">
        <v>1801</v>
      </c>
      <c r="E710">
        <v>603</v>
      </c>
      <c r="F710" t="s">
        <v>1802</v>
      </c>
      <c r="G710">
        <v>604</v>
      </c>
      <c r="H710" t="s">
        <v>1803</v>
      </c>
      <c r="I710">
        <v>605</v>
      </c>
    </row>
    <row r="711" spans="1:83" x14ac:dyDescent="0.15">
      <c r="A711">
        <v>710</v>
      </c>
      <c r="B711" t="s">
        <v>1813</v>
      </c>
      <c r="C711" t="s">
        <v>3889</v>
      </c>
      <c r="D711" t="s">
        <v>1813</v>
      </c>
      <c r="E711">
        <v>614</v>
      </c>
    </row>
    <row r="712" spans="1:83" x14ac:dyDescent="0.15">
      <c r="A712">
        <v>711</v>
      </c>
      <c r="B712" t="s">
        <v>1813</v>
      </c>
      <c r="C712" t="s">
        <v>3889</v>
      </c>
      <c r="D712" t="s">
        <v>1813</v>
      </c>
      <c r="E712">
        <v>614</v>
      </c>
    </row>
    <row r="713" spans="1:83" x14ac:dyDescent="0.15">
      <c r="A713">
        <v>712</v>
      </c>
      <c r="B713" t="s">
        <v>1814</v>
      </c>
      <c r="C713" t="s">
        <v>3889</v>
      </c>
      <c r="D713" t="s">
        <v>1814</v>
      </c>
      <c r="E713">
        <v>615</v>
      </c>
    </row>
    <row r="714" spans="1:83" x14ac:dyDescent="0.15">
      <c r="A714">
        <v>713</v>
      </c>
      <c r="B714" t="s">
        <v>1814</v>
      </c>
      <c r="C714" t="s">
        <v>3889</v>
      </c>
      <c r="D714" t="s">
        <v>1814</v>
      </c>
      <c r="E714">
        <v>615</v>
      </c>
    </row>
    <row r="715" spans="1:83" x14ac:dyDescent="0.15">
      <c r="A715">
        <v>714</v>
      </c>
      <c r="B715" t="s">
        <v>1815</v>
      </c>
      <c r="C715" t="s">
        <v>3889</v>
      </c>
      <c r="D715" t="s">
        <v>1815</v>
      </c>
      <c r="E715">
        <v>616</v>
      </c>
    </row>
    <row r="716" spans="1:83" x14ac:dyDescent="0.15">
      <c r="A716">
        <v>715</v>
      </c>
      <c r="B716" t="s">
        <v>1815</v>
      </c>
      <c r="C716" t="s">
        <v>3889</v>
      </c>
      <c r="D716" t="s">
        <v>1815</v>
      </c>
      <c r="E716">
        <v>616</v>
      </c>
    </row>
    <row r="717" spans="1:83" x14ac:dyDescent="0.15">
      <c r="A717">
        <v>716</v>
      </c>
      <c r="B717" t="s">
        <v>1816</v>
      </c>
      <c r="C717" t="s">
        <v>3889</v>
      </c>
      <c r="D717" t="s">
        <v>1816</v>
      </c>
      <c r="E717">
        <v>617</v>
      </c>
    </row>
    <row r="718" spans="1:83" x14ac:dyDescent="0.15">
      <c r="A718">
        <v>717</v>
      </c>
      <c r="B718" t="s">
        <v>1816</v>
      </c>
      <c r="C718" t="s">
        <v>3889</v>
      </c>
      <c r="D718" t="s">
        <v>1816</v>
      </c>
      <c r="E718">
        <v>617</v>
      </c>
    </row>
    <row r="719" spans="1:83" s="26" customFormat="1" x14ac:dyDescent="0.15">
      <c r="A719" s="26">
        <v>718</v>
      </c>
      <c r="B719" s="26" t="s">
        <v>1812</v>
      </c>
      <c r="C719" s="26" t="s">
        <v>3884</v>
      </c>
    </row>
    <row r="720" spans="1:83" s="29" customFormat="1" x14ac:dyDescent="0.15">
      <c r="A720" s="29">
        <v>719</v>
      </c>
      <c r="B720" s="29" t="s">
        <v>1808</v>
      </c>
      <c r="C720" s="29" t="s">
        <v>3866</v>
      </c>
      <c r="D720" s="29" t="s">
        <v>1269</v>
      </c>
      <c r="E720" s="29">
        <v>19</v>
      </c>
      <c r="F720" s="29" t="s">
        <v>1273</v>
      </c>
      <c r="G720" s="29">
        <v>22</v>
      </c>
      <c r="H720" s="29" t="s">
        <v>1292</v>
      </c>
      <c r="I720" s="29">
        <v>40</v>
      </c>
      <c r="J720" s="29" t="s">
        <v>1313</v>
      </c>
      <c r="K720" s="29">
        <v>64</v>
      </c>
      <c r="L720" s="29" t="s">
        <v>1316</v>
      </c>
      <c r="M720" s="29">
        <v>69</v>
      </c>
      <c r="N720" s="29" t="s">
        <v>1319</v>
      </c>
      <c r="O720" s="29">
        <v>72</v>
      </c>
      <c r="P720" s="29" t="s">
        <v>1328</v>
      </c>
      <c r="Q720" s="29">
        <v>81</v>
      </c>
      <c r="R720" s="29" t="s">
        <v>1359</v>
      </c>
      <c r="S720" s="29">
        <v>111</v>
      </c>
      <c r="T720" s="29" t="s">
        <v>1369</v>
      </c>
      <c r="U720" s="29">
        <v>121</v>
      </c>
      <c r="V720" s="29" t="s">
        <v>1370</v>
      </c>
      <c r="W720" s="29">
        <v>122</v>
      </c>
      <c r="X720" s="29" t="s">
        <v>1378</v>
      </c>
      <c r="Y720" s="29">
        <v>130</v>
      </c>
      <c r="Z720" s="29" t="s">
        <v>1379</v>
      </c>
      <c r="AA720" s="29">
        <v>131</v>
      </c>
      <c r="AB720" s="29" t="s">
        <v>1401</v>
      </c>
      <c r="AC720" s="29">
        <v>154</v>
      </c>
      <c r="AD720" s="29" t="s">
        <v>1434</v>
      </c>
      <c r="AE720" s="29">
        <v>194</v>
      </c>
      <c r="AF720" s="29" t="s">
        <v>1517</v>
      </c>
      <c r="AG720" s="29">
        <v>291</v>
      </c>
      <c r="AH720" s="29" t="s">
        <v>1518</v>
      </c>
      <c r="AI720" s="29">
        <v>292</v>
      </c>
      <c r="AJ720" s="29" t="s">
        <v>1530</v>
      </c>
      <c r="AK720" s="29">
        <v>304</v>
      </c>
      <c r="AL720" s="29" t="s">
        <v>1554</v>
      </c>
      <c r="AM720" s="29">
        <v>332</v>
      </c>
      <c r="AN720" s="29" t="s">
        <v>1570</v>
      </c>
      <c r="AO720" s="29">
        <v>349</v>
      </c>
      <c r="AP720" s="29" t="s">
        <v>739</v>
      </c>
      <c r="AQ720" s="29">
        <v>368</v>
      </c>
      <c r="AR720" s="29" t="s">
        <v>1600</v>
      </c>
      <c r="AS720" s="29">
        <v>382</v>
      </c>
      <c r="AT720" s="29" t="s">
        <v>1638</v>
      </c>
      <c r="AU720" s="29">
        <v>427</v>
      </c>
      <c r="AV720" s="29" t="s">
        <v>1639</v>
      </c>
      <c r="AW720" s="29">
        <v>428</v>
      </c>
      <c r="AX720" s="29" t="s">
        <v>1659</v>
      </c>
      <c r="AY720" s="29">
        <v>447</v>
      </c>
      <c r="AZ720" s="29" t="s">
        <v>1666</v>
      </c>
      <c r="BA720" s="29">
        <v>454</v>
      </c>
      <c r="BB720" s="29" t="s">
        <v>1681</v>
      </c>
      <c r="BC720" s="29">
        <v>471</v>
      </c>
      <c r="BD720" s="29" t="s">
        <v>1699</v>
      </c>
      <c r="BE720" s="29">
        <v>491</v>
      </c>
      <c r="BF720" s="29" t="s">
        <v>1714</v>
      </c>
      <c r="BG720" s="29">
        <v>508</v>
      </c>
      <c r="BH720" s="29" t="s">
        <v>1736</v>
      </c>
      <c r="BI720" s="29">
        <v>530</v>
      </c>
      <c r="BJ720" s="29" t="s">
        <v>1760</v>
      </c>
      <c r="BK720" s="29">
        <v>560</v>
      </c>
      <c r="BL720" s="29" t="s">
        <v>1764</v>
      </c>
      <c r="BM720" s="29">
        <v>565</v>
      </c>
      <c r="BN720" s="29" t="s">
        <v>1771</v>
      </c>
      <c r="BO720" s="29">
        <v>573</v>
      </c>
      <c r="BP720" s="29" t="s">
        <v>1796</v>
      </c>
      <c r="BQ720" s="29">
        <v>598</v>
      </c>
      <c r="BR720" s="32" t="s">
        <v>1813</v>
      </c>
      <c r="BS720" s="29">
        <v>614</v>
      </c>
      <c r="BT720" s="29" t="s">
        <v>1814</v>
      </c>
      <c r="BU720" s="29">
        <v>615</v>
      </c>
      <c r="BV720" s="29" t="s">
        <v>1815</v>
      </c>
      <c r="BW720" s="29">
        <v>616</v>
      </c>
      <c r="BX720" s="29" t="s">
        <v>1826</v>
      </c>
      <c r="BY720" s="29">
        <v>627</v>
      </c>
      <c r="BZ720" s="29" t="s">
        <v>1845</v>
      </c>
      <c r="CA720" s="29">
        <v>649</v>
      </c>
      <c r="CB720" s="29" t="s">
        <v>1864</v>
      </c>
      <c r="CC720" s="29">
        <v>668</v>
      </c>
      <c r="CD720" s="29" t="s">
        <v>1168</v>
      </c>
      <c r="CE720" s="29">
        <v>681</v>
      </c>
    </row>
    <row r="721" spans="1:83" s="29" customFormat="1" x14ac:dyDescent="0.15">
      <c r="A721" s="29">
        <v>720</v>
      </c>
      <c r="B721" s="29" t="s">
        <v>1810</v>
      </c>
      <c r="C721" s="29" t="s">
        <v>3866</v>
      </c>
      <c r="D721" s="29" t="s">
        <v>1269</v>
      </c>
      <c r="E721" s="29">
        <v>19</v>
      </c>
      <c r="F721" s="29" t="s">
        <v>1273</v>
      </c>
      <c r="G721" s="29">
        <v>22</v>
      </c>
      <c r="H721" s="29" t="s">
        <v>1292</v>
      </c>
      <c r="I721" s="29">
        <v>40</v>
      </c>
      <c r="J721" s="29" t="s">
        <v>1313</v>
      </c>
      <c r="K721" s="29">
        <v>64</v>
      </c>
      <c r="L721" s="29" t="s">
        <v>1316</v>
      </c>
      <c r="M721" s="29">
        <v>69</v>
      </c>
      <c r="N721" s="29" t="s">
        <v>1319</v>
      </c>
      <c r="O721" s="29">
        <v>72</v>
      </c>
      <c r="P721" s="29" t="s">
        <v>1328</v>
      </c>
      <c r="Q721" s="29">
        <v>81</v>
      </c>
      <c r="R721" s="29" t="s">
        <v>1359</v>
      </c>
      <c r="S721" s="29">
        <v>111</v>
      </c>
      <c r="T721" s="29" t="s">
        <v>1369</v>
      </c>
      <c r="U721" s="29">
        <v>121</v>
      </c>
      <c r="V721" s="29" t="s">
        <v>1370</v>
      </c>
      <c r="W721" s="29">
        <v>122</v>
      </c>
      <c r="X721" s="29" t="s">
        <v>1378</v>
      </c>
      <c r="Y721" s="29">
        <v>130</v>
      </c>
      <c r="Z721" s="29" t="s">
        <v>1379</v>
      </c>
      <c r="AA721" s="29">
        <v>131</v>
      </c>
      <c r="AB721" s="29" t="s">
        <v>1401</v>
      </c>
      <c r="AC721" s="29">
        <v>154</v>
      </c>
      <c r="AD721" s="29" t="s">
        <v>1434</v>
      </c>
      <c r="AE721" s="29">
        <v>194</v>
      </c>
      <c r="AF721" s="29" t="s">
        <v>1517</v>
      </c>
      <c r="AG721" s="29">
        <v>291</v>
      </c>
      <c r="AH721" s="29" t="s">
        <v>1518</v>
      </c>
      <c r="AI721" s="29">
        <v>292</v>
      </c>
      <c r="AJ721" s="29" t="s">
        <v>1530</v>
      </c>
      <c r="AK721" s="29">
        <v>304</v>
      </c>
      <c r="AL721" s="29" t="s">
        <v>1554</v>
      </c>
      <c r="AM721" s="29">
        <v>332</v>
      </c>
      <c r="AN721" s="29" t="s">
        <v>1570</v>
      </c>
      <c r="AO721" s="29">
        <v>349</v>
      </c>
      <c r="AP721" s="29" t="s">
        <v>739</v>
      </c>
      <c r="AQ721" s="29">
        <v>368</v>
      </c>
      <c r="AR721" s="29" t="s">
        <v>1600</v>
      </c>
      <c r="AS721" s="29">
        <v>382</v>
      </c>
      <c r="AT721" s="29" t="s">
        <v>1638</v>
      </c>
      <c r="AU721" s="29">
        <v>427</v>
      </c>
      <c r="AV721" s="29" t="s">
        <v>1639</v>
      </c>
      <c r="AW721" s="29">
        <v>428</v>
      </c>
      <c r="AX721" s="29" t="s">
        <v>1659</v>
      </c>
      <c r="AY721" s="29">
        <v>447</v>
      </c>
      <c r="AZ721" s="29" t="s">
        <v>1666</v>
      </c>
      <c r="BA721" s="29">
        <v>454</v>
      </c>
      <c r="BB721" s="29" t="s">
        <v>1681</v>
      </c>
      <c r="BC721" s="29">
        <v>471</v>
      </c>
      <c r="BD721" s="29" t="s">
        <v>1699</v>
      </c>
      <c r="BE721" s="29">
        <v>491</v>
      </c>
      <c r="BF721" s="29" t="s">
        <v>1714</v>
      </c>
      <c r="BG721" s="29">
        <v>508</v>
      </c>
      <c r="BH721" s="29" t="s">
        <v>1736</v>
      </c>
      <c r="BI721" s="29">
        <v>530</v>
      </c>
      <c r="BJ721" s="29" t="s">
        <v>1760</v>
      </c>
      <c r="BK721" s="29">
        <v>560</v>
      </c>
      <c r="BL721" s="29" t="s">
        <v>1764</v>
      </c>
      <c r="BM721" s="29">
        <v>565</v>
      </c>
      <c r="BN721" s="29" t="s">
        <v>1771</v>
      </c>
      <c r="BO721" s="29">
        <v>573</v>
      </c>
      <c r="BP721" s="29" t="s">
        <v>1796</v>
      </c>
      <c r="BQ721" s="29">
        <v>598</v>
      </c>
      <c r="BR721" s="29" t="s">
        <v>1813</v>
      </c>
      <c r="BS721" s="29">
        <v>614</v>
      </c>
      <c r="BT721" s="32" t="s">
        <v>1814</v>
      </c>
      <c r="BU721" s="29">
        <v>615</v>
      </c>
      <c r="BV721" s="29" t="s">
        <v>1815</v>
      </c>
      <c r="BW721" s="29">
        <v>616</v>
      </c>
      <c r="BX721" s="29" t="s">
        <v>1826</v>
      </c>
      <c r="BY721" s="29">
        <v>627</v>
      </c>
      <c r="BZ721" s="29" t="s">
        <v>1845</v>
      </c>
      <c r="CA721" s="29">
        <v>649</v>
      </c>
      <c r="CB721" s="29" t="s">
        <v>1864</v>
      </c>
      <c r="CC721" s="29">
        <v>668</v>
      </c>
      <c r="CD721" s="29" t="s">
        <v>1168</v>
      </c>
      <c r="CE721" s="29">
        <v>681</v>
      </c>
    </row>
    <row r="722" spans="1:83" x14ac:dyDescent="0.15">
      <c r="A722">
        <v>721</v>
      </c>
      <c r="B722" t="s">
        <v>4019</v>
      </c>
      <c r="C722" t="s">
        <v>3866</v>
      </c>
      <c r="D722" s="25" t="s">
        <v>1809</v>
      </c>
      <c r="E722">
        <v>612</v>
      </c>
    </row>
    <row r="723" spans="1:83" x14ac:dyDescent="0.15">
      <c r="A723">
        <v>722</v>
      </c>
      <c r="B723" t="s">
        <v>4020</v>
      </c>
      <c r="C723" t="s">
        <v>3866</v>
      </c>
      <c r="D723" t="s">
        <v>1564</v>
      </c>
      <c r="E723">
        <v>342</v>
      </c>
      <c r="F723" s="25" t="s">
        <v>1811</v>
      </c>
      <c r="G723">
        <v>613</v>
      </c>
    </row>
    <row r="724" spans="1:83" x14ac:dyDescent="0.15">
      <c r="A724">
        <v>723</v>
      </c>
      <c r="B724" t="s">
        <v>1817</v>
      </c>
      <c r="C724" t="s">
        <v>3889</v>
      </c>
      <c r="D724" t="s">
        <v>1817</v>
      </c>
      <c r="E724">
        <v>618</v>
      </c>
    </row>
    <row r="725" spans="1:83" x14ac:dyDescent="0.15">
      <c r="A725">
        <v>724</v>
      </c>
      <c r="B725" t="s">
        <v>1818</v>
      </c>
      <c r="C725" t="s">
        <v>3889</v>
      </c>
      <c r="D725" t="s">
        <v>1818</v>
      </c>
      <c r="E725">
        <v>620</v>
      </c>
    </row>
    <row r="726" spans="1:83" x14ac:dyDescent="0.15">
      <c r="A726">
        <v>725</v>
      </c>
      <c r="B726" t="s">
        <v>1823</v>
      </c>
      <c r="C726" t="s">
        <v>3889</v>
      </c>
      <c r="D726" t="s">
        <v>1823</v>
      </c>
      <c r="E726">
        <v>625</v>
      </c>
    </row>
    <row r="727" spans="1:83" x14ac:dyDescent="0.15">
      <c r="A727">
        <v>726</v>
      </c>
      <c r="B727" t="s">
        <v>4021</v>
      </c>
      <c r="C727" t="s">
        <v>3866</v>
      </c>
      <c r="D727" s="25" t="s">
        <v>1821</v>
      </c>
      <c r="E727">
        <v>623</v>
      </c>
    </row>
    <row r="728" spans="1:83" x14ac:dyDescent="0.15">
      <c r="A728">
        <v>727</v>
      </c>
      <c r="B728" t="s">
        <v>4022</v>
      </c>
      <c r="C728" t="s">
        <v>3866</v>
      </c>
      <c r="D728" s="25" t="s">
        <v>1822</v>
      </c>
      <c r="E728">
        <v>624</v>
      </c>
    </row>
    <row r="729" spans="1:83" x14ac:dyDescent="0.15">
      <c r="A729">
        <v>728</v>
      </c>
      <c r="B729" t="s">
        <v>1819</v>
      </c>
      <c r="C729" t="s">
        <v>3889</v>
      </c>
      <c r="D729" s="25" t="s">
        <v>1819</v>
      </c>
      <c r="E729">
        <v>621</v>
      </c>
    </row>
    <row r="730" spans="1:83" x14ac:dyDescent="0.15">
      <c r="A730">
        <v>729</v>
      </c>
      <c r="B730" t="s">
        <v>4023</v>
      </c>
      <c r="C730" t="s">
        <v>3866</v>
      </c>
      <c r="D730" s="25" t="s">
        <v>1820</v>
      </c>
      <c r="E730">
        <v>622</v>
      </c>
    </row>
    <row r="731" spans="1:83" s="26" customFormat="1" x14ac:dyDescent="0.15">
      <c r="A731" s="26">
        <v>730</v>
      </c>
      <c r="B731" s="26" t="s">
        <v>1824</v>
      </c>
      <c r="C731" s="26" t="s">
        <v>3884</v>
      </c>
    </row>
    <row r="732" spans="1:83" x14ac:dyDescent="0.15">
      <c r="A732">
        <v>731</v>
      </c>
      <c r="B732" t="s">
        <v>1825</v>
      </c>
      <c r="C732" t="s">
        <v>3889</v>
      </c>
      <c r="D732" t="s">
        <v>1825</v>
      </c>
      <c r="E732">
        <v>626</v>
      </c>
    </row>
    <row r="733" spans="1:83" x14ac:dyDescent="0.15">
      <c r="A733">
        <v>732</v>
      </c>
      <c r="B733" t="s">
        <v>1825</v>
      </c>
      <c r="C733" t="s">
        <v>3889</v>
      </c>
      <c r="D733" t="s">
        <v>1825</v>
      </c>
      <c r="E733">
        <v>626</v>
      </c>
    </row>
    <row r="734" spans="1:83" x14ac:dyDescent="0.15">
      <c r="A734">
        <v>733</v>
      </c>
      <c r="B734" t="s">
        <v>1826</v>
      </c>
      <c r="C734" t="s">
        <v>3889</v>
      </c>
      <c r="D734" t="s">
        <v>1826</v>
      </c>
      <c r="E734">
        <v>627</v>
      </c>
    </row>
    <row r="735" spans="1:83" x14ac:dyDescent="0.15">
      <c r="A735">
        <v>734</v>
      </c>
      <c r="B735" t="s">
        <v>1826</v>
      </c>
      <c r="C735" t="s">
        <v>3889</v>
      </c>
      <c r="D735" t="s">
        <v>1826</v>
      </c>
      <c r="E735">
        <v>627</v>
      </c>
    </row>
    <row r="736" spans="1:83" x14ac:dyDescent="0.15">
      <c r="A736">
        <v>735</v>
      </c>
      <c r="B736" t="s">
        <v>1827</v>
      </c>
      <c r="C736" t="s">
        <v>3889</v>
      </c>
      <c r="D736" t="s">
        <v>1827</v>
      </c>
      <c r="E736">
        <v>628</v>
      </c>
    </row>
    <row r="737" spans="1:13" x14ac:dyDescent="0.15">
      <c r="A737">
        <v>736</v>
      </c>
      <c r="B737" t="s">
        <v>4024</v>
      </c>
      <c r="C737" t="s">
        <v>3866</v>
      </c>
      <c r="D737" s="25" t="s">
        <v>1828</v>
      </c>
      <c r="E737">
        <v>629</v>
      </c>
    </row>
    <row r="738" spans="1:13" x14ac:dyDescent="0.15">
      <c r="A738">
        <v>737</v>
      </c>
      <c r="B738" t="s">
        <v>1829</v>
      </c>
      <c r="C738" t="s">
        <v>3889</v>
      </c>
      <c r="D738" t="s">
        <v>1829</v>
      </c>
      <c r="E738">
        <v>630</v>
      </c>
    </row>
    <row r="739" spans="1:13" x14ac:dyDescent="0.15">
      <c r="A739">
        <v>738</v>
      </c>
      <c r="B739" t="s">
        <v>1830</v>
      </c>
      <c r="C739" t="s">
        <v>3889</v>
      </c>
      <c r="D739" t="s">
        <v>1830</v>
      </c>
      <c r="E739">
        <v>631</v>
      </c>
    </row>
    <row r="740" spans="1:13" x14ac:dyDescent="0.15">
      <c r="A740">
        <v>739</v>
      </c>
      <c r="B740" t="s">
        <v>1831</v>
      </c>
      <c r="C740" t="s">
        <v>3889</v>
      </c>
      <c r="D740" t="s">
        <v>1831</v>
      </c>
      <c r="E740">
        <v>632</v>
      </c>
    </row>
    <row r="741" spans="1:13" x14ac:dyDescent="0.15">
      <c r="A741">
        <v>740</v>
      </c>
      <c r="B741" t="s">
        <v>4025</v>
      </c>
      <c r="C741" t="s">
        <v>3866</v>
      </c>
      <c r="D741" s="25" t="s">
        <v>1833</v>
      </c>
      <c r="E741">
        <v>634</v>
      </c>
      <c r="F741" t="s">
        <v>1834</v>
      </c>
      <c r="G741">
        <v>635</v>
      </c>
    </row>
    <row r="742" spans="1:13" x14ac:dyDescent="0.15">
      <c r="A742">
        <v>741</v>
      </c>
      <c r="B742" t="s">
        <v>4026</v>
      </c>
      <c r="C742" t="s">
        <v>3866</v>
      </c>
      <c r="D742" s="25" t="s">
        <v>1835</v>
      </c>
      <c r="E742">
        <v>636</v>
      </c>
    </row>
    <row r="743" spans="1:13" x14ac:dyDescent="0.15">
      <c r="A743">
        <v>742</v>
      </c>
      <c r="B743" t="s">
        <v>4027</v>
      </c>
      <c r="C743" t="s">
        <v>3866</v>
      </c>
      <c r="D743" t="s">
        <v>1652</v>
      </c>
      <c r="E743">
        <v>440</v>
      </c>
      <c r="F743" s="25" t="s">
        <v>1832</v>
      </c>
      <c r="G743">
        <v>633</v>
      </c>
    </row>
    <row r="744" spans="1:13" x14ac:dyDescent="0.15">
      <c r="A744">
        <v>743</v>
      </c>
      <c r="B744" t="s">
        <v>1116</v>
      </c>
      <c r="C744" t="s">
        <v>3866</v>
      </c>
      <c r="D744" t="s">
        <v>1365</v>
      </c>
      <c r="E744">
        <v>117</v>
      </c>
      <c r="F744" t="s">
        <v>987</v>
      </c>
      <c r="G744">
        <v>548</v>
      </c>
      <c r="H744" t="s">
        <v>1025</v>
      </c>
      <c r="I744">
        <v>574</v>
      </c>
      <c r="J744" t="s">
        <v>1825</v>
      </c>
      <c r="K744">
        <v>626</v>
      </c>
      <c r="L744" s="25" t="s">
        <v>1836</v>
      </c>
      <c r="M744">
        <v>637</v>
      </c>
    </row>
    <row r="745" spans="1:13" x14ac:dyDescent="0.15">
      <c r="A745">
        <v>744</v>
      </c>
      <c r="B745" t="s">
        <v>1116</v>
      </c>
      <c r="C745" t="s">
        <v>3866</v>
      </c>
      <c r="D745" t="s">
        <v>1365</v>
      </c>
      <c r="E745">
        <v>117</v>
      </c>
      <c r="F745" t="s">
        <v>987</v>
      </c>
      <c r="G745">
        <v>548</v>
      </c>
      <c r="H745" t="s">
        <v>1025</v>
      </c>
      <c r="I745">
        <v>574</v>
      </c>
      <c r="J745" t="s">
        <v>1825</v>
      </c>
      <c r="K745">
        <v>626</v>
      </c>
      <c r="L745" s="25" t="s">
        <v>1836</v>
      </c>
      <c r="M745">
        <v>637</v>
      </c>
    </row>
    <row r="746" spans="1:13" x14ac:dyDescent="0.15">
      <c r="A746">
        <v>745</v>
      </c>
      <c r="B746" t="s">
        <v>1118</v>
      </c>
      <c r="C746" t="s">
        <v>3889</v>
      </c>
      <c r="D746" t="s">
        <v>1118</v>
      </c>
      <c r="E746">
        <v>638</v>
      </c>
    </row>
    <row r="747" spans="1:13" x14ac:dyDescent="0.15">
      <c r="A747">
        <v>746</v>
      </c>
      <c r="B747" t="s">
        <v>1119</v>
      </c>
      <c r="C747" t="s">
        <v>3866</v>
      </c>
      <c r="D747" t="s">
        <v>1118</v>
      </c>
      <c r="E747">
        <v>638</v>
      </c>
    </row>
    <row r="748" spans="1:13" x14ac:dyDescent="0.15">
      <c r="A748">
        <v>747</v>
      </c>
      <c r="B748" t="s">
        <v>1839</v>
      </c>
      <c r="C748" t="s">
        <v>3889</v>
      </c>
      <c r="D748" t="s">
        <v>1839</v>
      </c>
      <c r="E748">
        <v>641</v>
      </c>
    </row>
    <row r="749" spans="1:13" x14ac:dyDescent="0.15">
      <c r="A749">
        <v>748</v>
      </c>
      <c r="B749" t="s">
        <v>1839</v>
      </c>
      <c r="C749" t="s">
        <v>3889</v>
      </c>
      <c r="D749" t="s">
        <v>1839</v>
      </c>
      <c r="E749">
        <v>641</v>
      </c>
    </row>
    <row r="750" spans="1:13" x14ac:dyDescent="0.15">
      <c r="A750">
        <v>749</v>
      </c>
      <c r="B750" t="s">
        <v>1837</v>
      </c>
      <c r="C750" t="s">
        <v>3889</v>
      </c>
      <c r="D750" t="s">
        <v>1837</v>
      </c>
      <c r="E750">
        <v>639</v>
      </c>
    </row>
    <row r="751" spans="1:13" x14ac:dyDescent="0.15">
      <c r="A751">
        <v>750</v>
      </c>
      <c r="B751" t="s">
        <v>1837</v>
      </c>
      <c r="C751" t="s">
        <v>3889</v>
      </c>
      <c r="D751" t="s">
        <v>1837</v>
      </c>
      <c r="E751">
        <v>639</v>
      </c>
    </row>
    <row r="752" spans="1:13" x14ac:dyDescent="0.15">
      <c r="A752">
        <v>751</v>
      </c>
      <c r="B752" t="s">
        <v>1838</v>
      </c>
      <c r="C752" t="s">
        <v>3889</v>
      </c>
      <c r="D752" t="s">
        <v>1838</v>
      </c>
      <c r="E752">
        <v>640</v>
      </c>
    </row>
    <row r="753" spans="1:5" x14ac:dyDescent="0.15">
      <c r="A753">
        <v>752</v>
      </c>
      <c r="B753" t="s">
        <v>1838</v>
      </c>
      <c r="C753" t="s">
        <v>3889</v>
      </c>
      <c r="D753" t="s">
        <v>1838</v>
      </c>
      <c r="E753">
        <v>640</v>
      </c>
    </row>
    <row r="754" spans="1:5" x14ac:dyDescent="0.15">
      <c r="A754">
        <v>753</v>
      </c>
      <c r="B754" t="s">
        <v>1124</v>
      </c>
      <c r="C754" t="s">
        <v>3889</v>
      </c>
      <c r="D754" t="s">
        <v>1124</v>
      </c>
      <c r="E754">
        <v>642</v>
      </c>
    </row>
    <row r="755" spans="1:5" x14ac:dyDescent="0.15">
      <c r="A755">
        <v>754</v>
      </c>
      <c r="B755" t="s">
        <v>1124</v>
      </c>
      <c r="C755" t="s">
        <v>3889</v>
      </c>
      <c r="D755" t="s">
        <v>1124</v>
      </c>
      <c r="E755">
        <v>642</v>
      </c>
    </row>
    <row r="756" spans="1:5" x14ac:dyDescent="0.15">
      <c r="A756">
        <v>755</v>
      </c>
      <c r="B756" t="s">
        <v>1126</v>
      </c>
      <c r="C756" t="s">
        <v>3889</v>
      </c>
      <c r="D756" t="s">
        <v>1126</v>
      </c>
      <c r="E756">
        <v>643</v>
      </c>
    </row>
    <row r="757" spans="1:5" x14ac:dyDescent="0.15">
      <c r="A757">
        <v>756</v>
      </c>
      <c r="B757" t="s">
        <v>1126</v>
      </c>
      <c r="C757" t="s">
        <v>3889</v>
      </c>
      <c r="D757" t="s">
        <v>1126</v>
      </c>
      <c r="E757">
        <v>643</v>
      </c>
    </row>
    <row r="758" spans="1:5" x14ac:dyDescent="0.15">
      <c r="A758">
        <v>757</v>
      </c>
      <c r="B758" t="s">
        <v>1841</v>
      </c>
      <c r="C758" t="s">
        <v>3889</v>
      </c>
      <c r="D758" t="s">
        <v>1841</v>
      </c>
      <c r="E758">
        <v>645</v>
      </c>
    </row>
    <row r="759" spans="1:5" x14ac:dyDescent="0.15">
      <c r="A759">
        <v>758</v>
      </c>
      <c r="B759" t="s">
        <v>1841</v>
      </c>
      <c r="C759" t="s">
        <v>3889</v>
      </c>
      <c r="D759" t="s">
        <v>1841</v>
      </c>
      <c r="E759">
        <v>645</v>
      </c>
    </row>
    <row r="760" spans="1:5" s="29" customFormat="1" x14ac:dyDescent="0.15">
      <c r="A760" s="29">
        <v>759</v>
      </c>
      <c r="B760" s="29" t="s">
        <v>1842</v>
      </c>
      <c r="C760" s="29" t="s">
        <v>3866</v>
      </c>
      <c r="D760" s="29" t="s">
        <v>945</v>
      </c>
      <c r="E760" s="29">
        <v>520</v>
      </c>
    </row>
    <row r="761" spans="1:5" x14ac:dyDescent="0.15">
      <c r="A761">
        <v>760</v>
      </c>
      <c r="B761" t="s">
        <v>1843</v>
      </c>
      <c r="C761" t="s">
        <v>3889</v>
      </c>
      <c r="D761" t="s">
        <v>1843</v>
      </c>
      <c r="E761">
        <v>647</v>
      </c>
    </row>
    <row r="762" spans="1:5" x14ac:dyDescent="0.15">
      <c r="A762">
        <v>761</v>
      </c>
      <c r="B762" t="s">
        <v>1844</v>
      </c>
      <c r="C762" t="s">
        <v>3889</v>
      </c>
      <c r="D762" t="s">
        <v>1844</v>
      </c>
      <c r="E762">
        <v>648</v>
      </c>
    </row>
    <row r="763" spans="1:5" x14ac:dyDescent="0.15">
      <c r="A763">
        <v>762</v>
      </c>
      <c r="B763" t="s">
        <v>1845</v>
      </c>
      <c r="C763" t="s">
        <v>3889</v>
      </c>
      <c r="D763" t="s">
        <v>1845</v>
      </c>
      <c r="E763">
        <v>649</v>
      </c>
    </row>
    <row r="764" spans="1:5" x14ac:dyDescent="0.15">
      <c r="A764">
        <v>763</v>
      </c>
      <c r="B764" t="s">
        <v>1845</v>
      </c>
      <c r="C764" t="s">
        <v>3889</v>
      </c>
      <c r="D764" t="s">
        <v>1845</v>
      </c>
      <c r="E764">
        <v>649</v>
      </c>
    </row>
    <row r="765" spans="1:5" x14ac:dyDescent="0.15">
      <c r="A765">
        <v>764</v>
      </c>
      <c r="B765" t="s">
        <v>1849</v>
      </c>
      <c r="C765" t="s">
        <v>3889</v>
      </c>
      <c r="D765" t="s">
        <v>1849</v>
      </c>
      <c r="E765">
        <v>653</v>
      </c>
    </row>
    <row r="766" spans="1:5" x14ac:dyDescent="0.15">
      <c r="A766">
        <v>765</v>
      </c>
      <c r="B766" t="s">
        <v>1848</v>
      </c>
      <c r="C766" t="s">
        <v>3889</v>
      </c>
      <c r="D766" t="s">
        <v>1848</v>
      </c>
      <c r="E766">
        <v>652</v>
      </c>
    </row>
    <row r="767" spans="1:5" x14ac:dyDescent="0.15">
      <c r="A767">
        <v>766</v>
      </c>
      <c r="B767" t="s">
        <v>1848</v>
      </c>
      <c r="C767" t="s">
        <v>3889</v>
      </c>
      <c r="D767" t="s">
        <v>1848</v>
      </c>
      <c r="E767">
        <v>652</v>
      </c>
    </row>
    <row r="768" spans="1:5" x14ac:dyDescent="0.15">
      <c r="A768">
        <v>767</v>
      </c>
      <c r="B768" t="s">
        <v>1847</v>
      </c>
      <c r="C768" t="s">
        <v>3889</v>
      </c>
      <c r="D768" t="s">
        <v>1847</v>
      </c>
      <c r="E768">
        <v>651</v>
      </c>
    </row>
    <row r="769" spans="1:5" x14ac:dyDescent="0.15">
      <c r="A769">
        <v>768</v>
      </c>
      <c r="B769" t="s">
        <v>1850</v>
      </c>
      <c r="C769" t="s">
        <v>3889</v>
      </c>
      <c r="D769" t="s">
        <v>1850</v>
      </c>
      <c r="E769">
        <v>654</v>
      </c>
    </row>
    <row r="770" spans="1:5" x14ac:dyDescent="0.15">
      <c r="A770">
        <v>769</v>
      </c>
      <c r="B770" t="s">
        <v>1851</v>
      </c>
      <c r="C770" t="s">
        <v>3889</v>
      </c>
      <c r="D770" t="s">
        <v>1851</v>
      </c>
      <c r="E770">
        <v>655</v>
      </c>
    </row>
    <row r="771" spans="1:5" x14ac:dyDescent="0.15">
      <c r="A771">
        <v>770</v>
      </c>
      <c r="B771" t="s">
        <v>1852</v>
      </c>
      <c r="C771" t="s">
        <v>3889</v>
      </c>
      <c r="D771" t="s">
        <v>1852</v>
      </c>
      <c r="E771">
        <v>656</v>
      </c>
    </row>
    <row r="772" spans="1:5" x14ac:dyDescent="0.15">
      <c r="A772">
        <v>771</v>
      </c>
      <c r="B772" t="s">
        <v>1854</v>
      </c>
      <c r="C772" t="s">
        <v>3889</v>
      </c>
      <c r="D772" t="s">
        <v>1854</v>
      </c>
      <c r="E772">
        <v>658</v>
      </c>
    </row>
    <row r="773" spans="1:5" x14ac:dyDescent="0.15">
      <c r="A773">
        <v>772</v>
      </c>
      <c r="B773" t="s">
        <v>4028</v>
      </c>
      <c r="C773" t="s">
        <v>3866</v>
      </c>
      <c r="D773" s="25" t="s">
        <v>1853</v>
      </c>
      <c r="E773">
        <v>657</v>
      </c>
    </row>
    <row r="774" spans="1:5" x14ac:dyDescent="0.15">
      <c r="A774">
        <v>773</v>
      </c>
      <c r="B774" t="s">
        <v>1855</v>
      </c>
      <c r="C774" t="s">
        <v>3889</v>
      </c>
      <c r="D774" t="s">
        <v>1855</v>
      </c>
      <c r="E774">
        <v>659</v>
      </c>
    </row>
    <row r="775" spans="1:5" x14ac:dyDescent="0.15">
      <c r="A775">
        <v>774</v>
      </c>
      <c r="B775" t="s">
        <v>1856</v>
      </c>
      <c r="C775" t="s">
        <v>3889</v>
      </c>
      <c r="D775" t="s">
        <v>1856</v>
      </c>
      <c r="E775">
        <v>660</v>
      </c>
    </row>
    <row r="776" spans="1:5" x14ac:dyDescent="0.15">
      <c r="A776">
        <v>775</v>
      </c>
      <c r="B776" t="s">
        <v>1858</v>
      </c>
      <c r="C776" t="s">
        <v>3889</v>
      </c>
      <c r="D776" t="s">
        <v>1858</v>
      </c>
      <c r="E776">
        <v>662</v>
      </c>
    </row>
    <row r="777" spans="1:5" x14ac:dyDescent="0.15">
      <c r="A777">
        <v>776</v>
      </c>
      <c r="B777" t="s">
        <v>1857</v>
      </c>
      <c r="C777" t="s">
        <v>3889</v>
      </c>
      <c r="D777" t="s">
        <v>1857</v>
      </c>
      <c r="E777">
        <v>661</v>
      </c>
    </row>
    <row r="778" spans="1:5" s="29" customFormat="1" x14ac:dyDescent="0.15">
      <c r="A778" s="29">
        <v>777</v>
      </c>
      <c r="B778" s="29" t="s">
        <v>4029</v>
      </c>
      <c r="C778" s="29" t="s">
        <v>3884</v>
      </c>
    </row>
    <row r="779" spans="1:5" x14ac:dyDescent="0.15">
      <c r="A779">
        <v>778</v>
      </c>
      <c r="B779" t="s">
        <v>1860</v>
      </c>
      <c r="C779" t="s">
        <v>3889</v>
      </c>
      <c r="D779" t="s">
        <v>1860</v>
      </c>
      <c r="E779">
        <v>664</v>
      </c>
    </row>
    <row r="780" spans="1:5" x14ac:dyDescent="0.15">
      <c r="A780">
        <v>779</v>
      </c>
      <c r="B780" t="s">
        <v>1861</v>
      </c>
      <c r="C780" t="s">
        <v>3889</v>
      </c>
      <c r="D780" t="s">
        <v>1861</v>
      </c>
      <c r="E780">
        <v>665</v>
      </c>
    </row>
    <row r="781" spans="1:5" x14ac:dyDescent="0.15">
      <c r="A781">
        <v>780</v>
      </c>
      <c r="B781" t="s">
        <v>1859</v>
      </c>
      <c r="C781" t="s">
        <v>3889</v>
      </c>
      <c r="D781" t="s">
        <v>1859</v>
      </c>
      <c r="E781">
        <v>663</v>
      </c>
    </row>
    <row r="782" spans="1:5" x14ac:dyDescent="0.15">
      <c r="A782">
        <v>781</v>
      </c>
      <c r="B782" t="s">
        <v>1859</v>
      </c>
      <c r="C782" t="s">
        <v>3889</v>
      </c>
      <c r="D782" t="s">
        <v>1859</v>
      </c>
      <c r="E782">
        <v>663</v>
      </c>
    </row>
    <row r="783" spans="1:5" x14ac:dyDescent="0.15">
      <c r="A783">
        <v>782</v>
      </c>
      <c r="B783" t="s">
        <v>1862</v>
      </c>
      <c r="C783" t="s">
        <v>3889</v>
      </c>
      <c r="D783" t="s">
        <v>1862</v>
      </c>
      <c r="E783">
        <v>666</v>
      </c>
    </row>
    <row r="784" spans="1:5" x14ac:dyDescent="0.15">
      <c r="A784">
        <v>783</v>
      </c>
      <c r="B784" t="s">
        <v>1863</v>
      </c>
      <c r="C784" t="s">
        <v>3889</v>
      </c>
      <c r="D784" t="s">
        <v>1863</v>
      </c>
      <c r="E784">
        <v>667</v>
      </c>
    </row>
    <row r="785" spans="1:33" x14ac:dyDescent="0.15">
      <c r="A785">
        <v>784</v>
      </c>
      <c r="B785" t="s">
        <v>1864</v>
      </c>
      <c r="C785" t="s">
        <v>3889</v>
      </c>
      <c r="D785" t="s">
        <v>1864</v>
      </c>
      <c r="E785">
        <v>668</v>
      </c>
    </row>
    <row r="786" spans="1:33" x14ac:dyDescent="0.15">
      <c r="A786">
        <v>785</v>
      </c>
      <c r="B786" t="s">
        <v>1864</v>
      </c>
      <c r="C786" t="s">
        <v>3889</v>
      </c>
      <c r="D786" t="s">
        <v>1864</v>
      </c>
      <c r="E786">
        <v>668</v>
      </c>
    </row>
    <row r="787" spans="1:33" x14ac:dyDescent="0.15">
      <c r="A787">
        <v>786</v>
      </c>
      <c r="B787" t="s">
        <v>1865</v>
      </c>
      <c r="C787" t="s">
        <v>3889</v>
      </c>
      <c r="D787" t="s">
        <v>1865</v>
      </c>
      <c r="E787">
        <v>669</v>
      </c>
    </row>
    <row r="788" spans="1:33" x14ac:dyDescent="0.15">
      <c r="A788">
        <v>787</v>
      </c>
      <c r="B788" t="s">
        <v>1868</v>
      </c>
      <c r="C788" t="s">
        <v>3889</v>
      </c>
      <c r="D788" t="s">
        <v>1868</v>
      </c>
      <c r="E788">
        <v>672</v>
      </c>
    </row>
    <row r="789" spans="1:33" x14ac:dyDescent="0.15">
      <c r="A789">
        <v>788</v>
      </c>
      <c r="B789" t="s">
        <v>1866</v>
      </c>
      <c r="C789" t="s">
        <v>3889</v>
      </c>
      <c r="D789" t="s">
        <v>1866</v>
      </c>
      <c r="E789">
        <v>670</v>
      </c>
    </row>
    <row r="790" spans="1:33" x14ac:dyDescent="0.15">
      <c r="A790">
        <v>789</v>
      </c>
      <c r="B790" t="s">
        <v>1866</v>
      </c>
      <c r="C790" t="s">
        <v>3889</v>
      </c>
      <c r="D790" t="s">
        <v>1866</v>
      </c>
      <c r="E790">
        <v>670</v>
      </c>
    </row>
    <row r="791" spans="1:33" x14ac:dyDescent="0.15">
      <c r="A791">
        <v>790</v>
      </c>
      <c r="B791" t="s">
        <v>1867</v>
      </c>
      <c r="C791" t="s">
        <v>3889</v>
      </c>
      <c r="D791" t="s">
        <v>1867</v>
      </c>
      <c r="E791">
        <v>671</v>
      </c>
    </row>
    <row r="792" spans="1:33" x14ac:dyDescent="0.15">
      <c r="A792">
        <v>791</v>
      </c>
      <c r="B792" t="s">
        <v>1867</v>
      </c>
      <c r="C792" t="s">
        <v>3889</v>
      </c>
      <c r="D792" t="s">
        <v>1867</v>
      </c>
      <c r="E792">
        <v>671</v>
      </c>
    </row>
    <row r="793" spans="1:33" x14ac:dyDescent="0.15">
      <c r="A793">
        <v>792</v>
      </c>
      <c r="B793" t="s">
        <v>1869</v>
      </c>
      <c r="C793" t="s">
        <v>3889</v>
      </c>
      <c r="D793" t="s">
        <v>1869</v>
      </c>
      <c r="E793">
        <v>673</v>
      </c>
    </row>
    <row r="794" spans="1:33" x14ac:dyDescent="0.15">
      <c r="A794">
        <v>793</v>
      </c>
      <c r="B794" t="s">
        <v>1870</v>
      </c>
      <c r="C794" t="s">
        <v>3889</v>
      </c>
      <c r="D794" t="s">
        <v>1870</v>
      </c>
      <c r="E794">
        <v>674</v>
      </c>
    </row>
    <row r="795" spans="1:33" x14ac:dyDescent="0.15">
      <c r="A795">
        <v>794</v>
      </c>
      <c r="B795" t="s">
        <v>1164</v>
      </c>
      <c r="C795" t="s">
        <v>3889</v>
      </c>
      <c r="D795" t="s">
        <v>1164</v>
      </c>
      <c r="E795">
        <v>675</v>
      </c>
    </row>
    <row r="796" spans="1:33" x14ac:dyDescent="0.15">
      <c r="A796">
        <v>795</v>
      </c>
      <c r="B796" t="s">
        <v>1871</v>
      </c>
      <c r="C796" t="s">
        <v>3889</v>
      </c>
      <c r="D796" t="s">
        <v>1871</v>
      </c>
      <c r="E796">
        <v>676</v>
      </c>
    </row>
    <row r="797" spans="1:33" x14ac:dyDescent="0.15">
      <c r="A797">
        <v>796</v>
      </c>
      <c r="B797" t="s">
        <v>4030</v>
      </c>
      <c r="C797" t="s">
        <v>3866</v>
      </c>
      <c r="D797" t="s">
        <v>1529</v>
      </c>
      <c r="E797">
        <v>303</v>
      </c>
      <c r="F797" t="s">
        <v>1860</v>
      </c>
      <c r="G797">
        <v>664</v>
      </c>
      <c r="H797" s="25" t="s">
        <v>1872</v>
      </c>
      <c r="I797">
        <v>677</v>
      </c>
    </row>
    <row r="798" spans="1:33" x14ac:dyDescent="0.15">
      <c r="A798">
        <v>797</v>
      </c>
      <c r="B798" t="s">
        <v>4030</v>
      </c>
      <c r="C798" t="s">
        <v>3866</v>
      </c>
      <c r="D798" t="s">
        <v>1529</v>
      </c>
      <c r="E798">
        <v>303</v>
      </c>
      <c r="F798" t="s">
        <v>1860</v>
      </c>
      <c r="G798">
        <v>664</v>
      </c>
      <c r="H798" s="25" t="s">
        <v>1872</v>
      </c>
      <c r="I798">
        <v>677</v>
      </c>
    </row>
    <row r="799" spans="1:33" x14ac:dyDescent="0.15">
      <c r="A799">
        <v>798</v>
      </c>
      <c r="B799" t="s">
        <v>1168</v>
      </c>
      <c r="C799" t="s">
        <v>3889</v>
      </c>
      <c r="D799" t="s">
        <v>1168</v>
      </c>
      <c r="E799">
        <v>681</v>
      </c>
    </row>
    <row r="800" spans="1:33" x14ac:dyDescent="0.15">
      <c r="A800">
        <v>799</v>
      </c>
      <c r="B800" t="s">
        <v>4031</v>
      </c>
      <c r="C800" t="s">
        <v>3866</v>
      </c>
      <c r="D800" t="s">
        <v>1260</v>
      </c>
      <c r="E800">
        <v>10</v>
      </c>
      <c r="F800" t="s">
        <v>1282</v>
      </c>
      <c r="G800">
        <v>31</v>
      </c>
      <c r="H800" t="s">
        <v>1344</v>
      </c>
      <c r="I800">
        <v>98</v>
      </c>
      <c r="J800" t="s">
        <v>1461</v>
      </c>
      <c r="K800">
        <v>223</v>
      </c>
      <c r="L800" t="s">
        <v>1462</v>
      </c>
      <c r="M800">
        <v>225</v>
      </c>
      <c r="N800" t="s">
        <v>578</v>
      </c>
      <c r="O800">
        <v>243</v>
      </c>
      <c r="P800" t="s">
        <v>1515</v>
      </c>
      <c r="Q800">
        <v>289</v>
      </c>
      <c r="R800" t="s">
        <v>1571</v>
      </c>
      <c r="S800">
        <v>350</v>
      </c>
      <c r="T800" t="s">
        <v>1602</v>
      </c>
      <c r="U800">
        <v>385</v>
      </c>
      <c r="V800" t="s">
        <v>1608</v>
      </c>
      <c r="W800">
        <v>391</v>
      </c>
      <c r="X800" t="s">
        <v>1660</v>
      </c>
      <c r="Y800">
        <v>448</v>
      </c>
      <c r="Z800" t="s">
        <v>1675</v>
      </c>
      <c r="AA800">
        <v>464</v>
      </c>
      <c r="AB800" t="s">
        <v>1676</v>
      </c>
      <c r="AC800">
        <v>465</v>
      </c>
      <c r="AD800" t="s">
        <v>1761</v>
      </c>
      <c r="AE800">
        <v>561</v>
      </c>
      <c r="AF800" s="25" t="s">
        <v>1873</v>
      </c>
      <c r="AG800">
        <v>678</v>
      </c>
    </row>
    <row r="801" spans="1:33" x14ac:dyDescent="0.15">
      <c r="A801">
        <v>800</v>
      </c>
      <c r="B801" t="s">
        <v>1875</v>
      </c>
      <c r="C801" t="s">
        <v>3889</v>
      </c>
      <c r="D801" t="s">
        <v>1875</v>
      </c>
      <c r="E801">
        <v>680</v>
      </c>
    </row>
    <row r="802" spans="1:33" x14ac:dyDescent="0.15">
      <c r="A802">
        <v>801</v>
      </c>
      <c r="B802" t="s">
        <v>1874</v>
      </c>
      <c r="C802" t="s">
        <v>3889</v>
      </c>
      <c r="D802" t="s">
        <v>1874</v>
      </c>
      <c r="E802">
        <v>679</v>
      </c>
    </row>
    <row r="803" spans="1:33" x14ac:dyDescent="0.15">
      <c r="A803">
        <v>802</v>
      </c>
      <c r="B803" t="s">
        <v>4032</v>
      </c>
      <c r="C803" t="s">
        <v>3866</v>
      </c>
      <c r="D803" s="25" t="s">
        <v>1877</v>
      </c>
      <c r="E803">
        <v>683</v>
      </c>
    </row>
    <row r="804" spans="1:33" x14ac:dyDescent="0.15">
      <c r="A804">
        <v>803</v>
      </c>
      <c r="B804" t="s">
        <v>4033</v>
      </c>
      <c r="C804" t="s">
        <v>3866</v>
      </c>
      <c r="D804" s="25" t="s">
        <v>1876</v>
      </c>
      <c r="E804">
        <v>682</v>
      </c>
    </row>
    <row r="805" spans="1:33" s="26" customFormat="1" x14ac:dyDescent="0.15">
      <c r="A805" s="26">
        <v>804</v>
      </c>
      <c r="B805" s="26" t="s">
        <v>1244</v>
      </c>
      <c r="C805" s="26" t="s">
        <v>3866</v>
      </c>
      <c r="D805" s="26" t="s">
        <v>1334</v>
      </c>
      <c r="E805" s="26">
        <v>87</v>
      </c>
      <c r="F805" s="26" t="s">
        <v>1486</v>
      </c>
      <c r="G805" s="26">
        <v>255</v>
      </c>
    </row>
    <row r="806" spans="1:33" x14ac:dyDescent="0.15">
      <c r="A806">
        <v>805</v>
      </c>
      <c r="B806" t="s">
        <v>1178</v>
      </c>
      <c r="C806" t="s">
        <v>3866</v>
      </c>
      <c r="D806" s="26" t="s">
        <v>1731</v>
      </c>
      <c r="E806">
        <v>525</v>
      </c>
    </row>
    <row r="807" spans="1:33" x14ac:dyDescent="0.15">
      <c r="A807">
        <v>806</v>
      </c>
      <c r="B807" t="s">
        <v>1179</v>
      </c>
      <c r="C807" t="s">
        <v>3866</v>
      </c>
      <c r="D807" s="26" t="s">
        <v>665</v>
      </c>
      <c r="E807">
        <v>320</v>
      </c>
    </row>
    <row r="808" spans="1:33" x14ac:dyDescent="0.15">
      <c r="A808">
        <v>807</v>
      </c>
      <c r="B808" t="s">
        <v>1345</v>
      </c>
      <c r="C808" t="s">
        <v>3866</v>
      </c>
      <c r="D808" s="26" t="s">
        <v>1253</v>
      </c>
      <c r="E808">
        <v>2</v>
      </c>
      <c r="F808" t="s">
        <v>276</v>
      </c>
      <c r="G808">
        <v>63</v>
      </c>
      <c r="H808" t="s">
        <v>1340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1603</v>
      </c>
      <c r="O808">
        <v>386</v>
      </c>
      <c r="P808" t="s">
        <v>1631</v>
      </c>
      <c r="Q808">
        <v>416</v>
      </c>
      <c r="R808" t="s">
        <v>1673</v>
      </c>
      <c r="S808">
        <v>462</v>
      </c>
      <c r="T808" t="s">
        <v>1685</v>
      </c>
      <c r="U808">
        <v>475</v>
      </c>
    </row>
    <row r="809" spans="1:33" s="29" customFormat="1" x14ac:dyDescent="0.15">
      <c r="A809" s="29">
        <v>808</v>
      </c>
      <c r="B809" s="29" t="s">
        <v>4034</v>
      </c>
      <c r="C809" s="29" t="s">
        <v>3866</v>
      </c>
      <c r="D809" s="29" t="s">
        <v>1264</v>
      </c>
      <c r="E809" s="29">
        <v>14</v>
      </c>
      <c r="F809" s="29" t="s">
        <v>1372</v>
      </c>
      <c r="G809" s="29">
        <v>124</v>
      </c>
      <c r="H809" s="29" t="s">
        <v>594</v>
      </c>
      <c r="I809" s="29">
        <v>251</v>
      </c>
      <c r="J809" s="29" t="s">
        <v>1598</v>
      </c>
      <c r="K809" s="29">
        <v>380</v>
      </c>
      <c r="L809" s="29" t="s">
        <v>1707</v>
      </c>
      <c r="M809" s="29">
        <v>499</v>
      </c>
    </row>
    <row r="810" spans="1:33" x14ac:dyDescent="0.15">
      <c r="A810">
        <v>809</v>
      </c>
      <c r="B810" t="s">
        <v>1183</v>
      </c>
      <c r="C810" t="s">
        <v>3884</v>
      </c>
      <c r="D810" s="26"/>
    </row>
    <row r="811" spans="1:33" x14ac:dyDescent="0.15">
      <c r="A811">
        <v>810</v>
      </c>
      <c r="B811" t="s">
        <v>1443</v>
      </c>
      <c r="C811" t="s">
        <v>3889</v>
      </c>
      <c r="D811" t="s">
        <v>1443</v>
      </c>
      <c r="E811">
        <v>203</v>
      </c>
    </row>
    <row r="812" spans="1:33" x14ac:dyDescent="0.15">
      <c r="A812">
        <v>811</v>
      </c>
      <c r="B812" t="s">
        <v>1186</v>
      </c>
      <c r="C812" t="s">
        <v>3866</v>
      </c>
      <c r="D812" s="25" t="s">
        <v>1447</v>
      </c>
      <c r="E812">
        <v>208</v>
      </c>
    </row>
    <row r="813" spans="1:33" x14ac:dyDescent="0.15">
      <c r="A813">
        <v>812</v>
      </c>
      <c r="B813" t="s">
        <v>1188</v>
      </c>
      <c r="C813" t="s">
        <v>3866</v>
      </c>
      <c r="D813" s="25" t="s">
        <v>1448</v>
      </c>
      <c r="E813">
        <v>209</v>
      </c>
    </row>
    <row r="814" spans="1:33" x14ac:dyDescent="0.15">
      <c r="A814">
        <v>813</v>
      </c>
      <c r="B814" t="s">
        <v>1694</v>
      </c>
      <c r="C814" t="s">
        <v>3889</v>
      </c>
      <c r="D814" t="s">
        <v>1694</v>
      </c>
      <c r="E814">
        <v>486</v>
      </c>
    </row>
    <row r="815" spans="1:33" x14ac:dyDescent="0.15">
      <c r="A815">
        <v>814</v>
      </c>
      <c r="B815" t="s">
        <v>4035</v>
      </c>
      <c r="C815" t="s">
        <v>3866</v>
      </c>
      <c r="D815" t="s">
        <v>1260</v>
      </c>
      <c r="E815">
        <v>10</v>
      </c>
      <c r="F815" t="s">
        <v>1282</v>
      </c>
      <c r="G815">
        <v>31</v>
      </c>
      <c r="H815" t="s">
        <v>1344</v>
      </c>
      <c r="I815">
        <v>98</v>
      </c>
      <c r="J815" s="25" t="s">
        <v>1461</v>
      </c>
      <c r="K815">
        <v>223</v>
      </c>
      <c r="L815" t="s">
        <v>1462</v>
      </c>
      <c r="M815">
        <v>225</v>
      </c>
      <c r="N815" t="s">
        <v>578</v>
      </c>
      <c r="O815">
        <v>243</v>
      </c>
      <c r="P815" t="s">
        <v>1515</v>
      </c>
      <c r="Q815">
        <v>289</v>
      </c>
      <c r="R815" t="s">
        <v>1571</v>
      </c>
      <c r="S815">
        <v>350</v>
      </c>
      <c r="T815" t="s">
        <v>1602</v>
      </c>
      <c r="U815">
        <v>385</v>
      </c>
      <c r="V815" t="s">
        <v>1608</v>
      </c>
      <c r="W815">
        <v>391</v>
      </c>
      <c r="X815" t="s">
        <v>1660</v>
      </c>
      <c r="Y815">
        <v>448</v>
      </c>
      <c r="Z815" t="s">
        <v>1675</v>
      </c>
      <c r="AA815">
        <v>464</v>
      </c>
      <c r="AB815" t="s">
        <v>1676</v>
      </c>
      <c r="AC815">
        <v>465</v>
      </c>
      <c r="AD815" t="s">
        <v>1761</v>
      </c>
      <c r="AE815">
        <v>561</v>
      </c>
      <c r="AF815" t="s">
        <v>1873</v>
      </c>
      <c r="AG815">
        <v>678</v>
      </c>
    </row>
    <row r="816" spans="1:33" x14ac:dyDescent="0.15">
      <c r="A816">
        <v>815</v>
      </c>
      <c r="B816" t="s">
        <v>4036</v>
      </c>
      <c r="C816" t="s">
        <v>3866</v>
      </c>
      <c r="D816" s="25" t="s">
        <v>1460</v>
      </c>
      <c r="E816">
        <v>222</v>
      </c>
    </row>
    <row r="817" spans="1:33" x14ac:dyDescent="0.15">
      <c r="A817">
        <v>816</v>
      </c>
      <c r="B817" t="s">
        <v>4037</v>
      </c>
      <c r="C817" t="s">
        <v>3866</v>
      </c>
      <c r="D817" s="25" t="s">
        <v>1462</v>
      </c>
      <c r="E817">
        <v>224</v>
      </c>
      <c r="F817" t="s">
        <v>1515</v>
      </c>
      <c r="G817">
        <v>288</v>
      </c>
    </row>
    <row r="818" spans="1:33" x14ac:dyDescent="0.15">
      <c r="A818">
        <v>817</v>
      </c>
      <c r="B818" t="s">
        <v>4038</v>
      </c>
      <c r="C818" t="s">
        <v>3866</v>
      </c>
      <c r="D818" t="s">
        <v>1260</v>
      </c>
      <c r="E818">
        <v>10</v>
      </c>
      <c r="F818" t="s">
        <v>1282</v>
      </c>
      <c r="G818">
        <v>31</v>
      </c>
      <c r="H818" t="s">
        <v>1344</v>
      </c>
      <c r="I818">
        <v>98</v>
      </c>
      <c r="J818" t="s">
        <v>1461</v>
      </c>
      <c r="K818">
        <v>223</v>
      </c>
      <c r="L818" s="25" t="s">
        <v>1462</v>
      </c>
      <c r="M818">
        <v>225</v>
      </c>
      <c r="N818" t="s">
        <v>578</v>
      </c>
      <c r="O818">
        <v>243</v>
      </c>
      <c r="P818" t="s">
        <v>1515</v>
      </c>
      <c r="Q818">
        <v>289</v>
      </c>
      <c r="R818" t="s">
        <v>1571</v>
      </c>
      <c r="S818">
        <v>350</v>
      </c>
      <c r="T818" t="s">
        <v>1602</v>
      </c>
      <c r="U818">
        <v>385</v>
      </c>
      <c r="V818" t="s">
        <v>1608</v>
      </c>
      <c r="W818">
        <v>391</v>
      </c>
      <c r="X818" t="s">
        <v>1660</v>
      </c>
      <c r="Y818">
        <v>448</v>
      </c>
      <c r="Z818" t="s">
        <v>1675</v>
      </c>
      <c r="AA818">
        <v>464</v>
      </c>
      <c r="AB818" t="s">
        <v>1676</v>
      </c>
      <c r="AC818">
        <v>465</v>
      </c>
      <c r="AD818" t="s">
        <v>1761</v>
      </c>
      <c r="AE818">
        <v>561</v>
      </c>
      <c r="AF818" t="s">
        <v>1873</v>
      </c>
      <c r="AG818">
        <v>678</v>
      </c>
    </row>
    <row r="819" spans="1:33" s="29" customFormat="1" x14ac:dyDescent="0.15">
      <c r="A819" s="29">
        <v>818</v>
      </c>
      <c r="B819" s="29" t="s">
        <v>1198</v>
      </c>
      <c r="C819" s="29" t="s">
        <v>3884</v>
      </c>
    </row>
    <row r="820" spans="1:33" s="29" customFormat="1" x14ac:dyDescent="0.15">
      <c r="A820" s="29">
        <v>819</v>
      </c>
      <c r="B820" s="29" t="s">
        <v>1200</v>
      </c>
      <c r="C820" s="29" t="s">
        <v>3884</v>
      </c>
    </row>
    <row r="821" spans="1:33" x14ac:dyDescent="0.15">
      <c r="A821">
        <v>820</v>
      </c>
      <c r="B821" t="s">
        <v>1246</v>
      </c>
      <c r="C821" t="s">
        <v>3866</v>
      </c>
      <c r="D821" t="s">
        <v>1459</v>
      </c>
      <c r="E821">
        <v>220</v>
      </c>
      <c r="F821" t="s">
        <v>1459</v>
      </c>
      <c r="G821">
        <v>221</v>
      </c>
    </row>
    <row r="822" spans="1:33" x14ac:dyDescent="0.15">
      <c r="A822">
        <v>821</v>
      </c>
      <c r="B822" t="s">
        <v>1247</v>
      </c>
      <c r="C822" t="s">
        <v>3866</v>
      </c>
      <c r="D822" t="s">
        <v>1459</v>
      </c>
      <c r="E822">
        <v>220</v>
      </c>
      <c r="F822" t="s">
        <v>1459</v>
      </c>
      <c r="G822">
        <v>221</v>
      </c>
    </row>
    <row r="823" spans="1:33" x14ac:dyDescent="0.15">
      <c r="A823">
        <v>822</v>
      </c>
      <c r="B823" t="s">
        <v>1204</v>
      </c>
      <c r="C823" t="s">
        <v>3866</v>
      </c>
      <c r="D823" t="s">
        <v>1557</v>
      </c>
      <c r="E823">
        <v>335</v>
      </c>
    </row>
    <row r="824" spans="1:33" x14ac:dyDescent="0.15">
      <c r="A824">
        <v>823</v>
      </c>
      <c r="B824" t="s">
        <v>1204</v>
      </c>
      <c r="C824" t="s">
        <v>3866</v>
      </c>
      <c r="D824" t="s">
        <v>1675</v>
      </c>
      <c r="E824">
        <v>466</v>
      </c>
      <c r="F824" t="s">
        <v>1787</v>
      </c>
      <c r="G824">
        <v>589</v>
      </c>
    </row>
    <row r="825" spans="1:33" x14ac:dyDescent="0.15">
      <c r="A825">
        <v>824</v>
      </c>
      <c r="B825" t="s">
        <v>1507</v>
      </c>
      <c r="C825" t="s">
        <v>3889</v>
      </c>
      <c r="D825" s="25" t="s">
        <v>1507</v>
      </c>
      <c r="E825">
        <v>280</v>
      </c>
    </row>
    <row r="826" spans="1:33" x14ac:dyDescent="0.15">
      <c r="A826">
        <v>825</v>
      </c>
      <c r="B826" t="s">
        <v>1507</v>
      </c>
      <c r="C826" t="s">
        <v>3889</v>
      </c>
      <c r="D826" s="25" t="s">
        <v>1507</v>
      </c>
      <c r="E826">
        <v>280</v>
      </c>
    </row>
    <row r="827" spans="1:33" x14ac:dyDescent="0.15">
      <c r="A827">
        <v>826</v>
      </c>
      <c r="B827" t="s">
        <v>1506</v>
      </c>
      <c r="C827" t="s">
        <v>3889</v>
      </c>
      <c r="D827" s="25" t="s">
        <v>1506</v>
      </c>
      <c r="E827">
        <v>279</v>
      </c>
    </row>
    <row r="828" spans="1:33" x14ac:dyDescent="0.15">
      <c r="A828">
        <v>827</v>
      </c>
      <c r="B828" t="s">
        <v>1506</v>
      </c>
      <c r="C828" t="s">
        <v>3889</v>
      </c>
      <c r="D828" s="25" t="s">
        <v>1506</v>
      </c>
      <c r="E828">
        <v>279</v>
      </c>
    </row>
    <row r="829" spans="1:33" x14ac:dyDescent="0.15">
      <c r="A829">
        <v>828</v>
      </c>
      <c r="B829" t="s">
        <v>1505</v>
      </c>
      <c r="C829" t="s">
        <v>3866</v>
      </c>
      <c r="D829" s="26" t="s">
        <v>1275</v>
      </c>
      <c r="E829">
        <v>24</v>
      </c>
      <c r="F829" t="s">
        <v>1322</v>
      </c>
      <c r="G829">
        <v>75</v>
      </c>
      <c r="H829" t="s">
        <v>1478</v>
      </c>
      <c r="I829">
        <v>246</v>
      </c>
    </row>
    <row r="830" spans="1:33" x14ac:dyDescent="0.15">
      <c r="A830">
        <v>829</v>
      </c>
      <c r="B830" t="s">
        <v>4039</v>
      </c>
      <c r="C830" t="s">
        <v>3866</v>
      </c>
      <c r="D830" t="s">
        <v>1462</v>
      </c>
      <c r="E830">
        <v>224</v>
      </c>
      <c r="F830" s="25" t="s">
        <v>1515</v>
      </c>
      <c r="G830">
        <v>288</v>
      </c>
    </row>
    <row r="831" spans="1:33" x14ac:dyDescent="0.15">
      <c r="A831">
        <v>830</v>
      </c>
      <c r="B831" t="s">
        <v>4040</v>
      </c>
      <c r="C831" t="s">
        <v>3866</v>
      </c>
      <c r="D831" t="s">
        <v>1260</v>
      </c>
      <c r="E831">
        <v>10</v>
      </c>
      <c r="F831" t="s">
        <v>1282</v>
      </c>
      <c r="G831">
        <v>31</v>
      </c>
      <c r="H831" t="s">
        <v>1344</v>
      </c>
      <c r="I831">
        <v>98</v>
      </c>
      <c r="J831" t="s">
        <v>1461</v>
      </c>
      <c r="K831">
        <v>223</v>
      </c>
      <c r="L831" t="s">
        <v>1462</v>
      </c>
      <c r="M831">
        <v>225</v>
      </c>
      <c r="N831" t="s">
        <v>578</v>
      </c>
      <c r="O831">
        <v>243</v>
      </c>
      <c r="P831" s="25" t="s">
        <v>1515</v>
      </c>
      <c r="Q831">
        <v>289</v>
      </c>
      <c r="R831" t="s">
        <v>1571</v>
      </c>
      <c r="S831">
        <v>350</v>
      </c>
      <c r="T831" t="s">
        <v>1602</v>
      </c>
      <c r="U831">
        <v>385</v>
      </c>
      <c r="V831" t="s">
        <v>1608</v>
      </c>
      <c r="W831">
        <v>391</v>
      </c>
      <c r="X831" t="s">
        <v>1660</v>
      </c>
      <c r="Y831">
        <v>448</v>
      </c>
      <c r="Z831" t="s">
        <v>1675</v>
      </c>
      <c r="AA831">
        <v>464</v>
      </c>
      <c r="AB831" t="s">
        <v>1676</v>
      </c>
      <c r="AC831">
        <v>465</v>
      </c>
      <c r="AD831" t="s">
        <v>1761</v>
      </c>
      <c r="AE831">
        <v>561</v>
      </c>
      <c r="AF831" t="s">
        <v>1873</v>
      </c>
      <c r="AG831">
        <v>678</v>
      </c>
    </row>
    <row r="832" spans="1:33" x14ac:dyDescent="0.15">
      <c r="A832">
        <v>831</v>
      </c>
      <c r="B832" t="s">
        <v>1214</v>
      </c>
      <c r="C832" t="s">
        <v>3866</v>
      </c>
      <c r="D832" s="26" t="s">
        <v>1526</v>
      </c>
      <c r="E832">
        <v>300</v>
      </c>
      <c r="F832" t="s">
        <v>1863</v>
      </c>
      <c r="G832">
        <v>667</v>
      </c>
    </row>
    <row r="833" spans="1:5" x14ac:dyDescent="0.15">
      <c r="A833">
        <v>832</v>
      </c>
      <c r="B833" t="s">
        <v>1599</v>
      </c>
      <c r="C833" t="s">
        <v>3889</v>
      </c>
      <c r="D833" s="25" t="s">
        <v>1599</v>
      </c>
      <c r="E833">
        <v>381</v>
      </c>
    </row>
    <row r="834" spans="1:5" x14ac:dyDescent="0.15">
      <c r="A834">
        <v>833</v>
      </c>
      <c r="B834" t="s">
        <v>1219</v>
      </c>
      <c r="C834" t="s">
        <v>3884</v>
      </c>
      <c r="D834" s="26"/>
    </row>
  </sheetData>
  <autoFilter ref="A1:CE834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" sqref="A1:K1048576"/>
    </sheetView>
  </sheetViews>
  <sheetFormatPr defaultRowHeight="13.5" x14ac:dyDescent="0.15"/>
  <sheetData>
    <row r="1" ht="25.5" customHeight="1" x14ac:dyDescent="0.1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3"/>
  <sheetViews>
    <sheetView zoomScale="120" zoomScaleNormal="120" workbookViewId="0">
      <selection activeCell="F16" sqref="F16"/>
    </sheetView>
  </sheetViews>
  <sheetFormatPr defaultRowHeight="13.5" x14ac:dyDescent="0.15"/>
  <cols>
    <col min="1" max="1" width="60" bestFit="1" customWidth="1"/>
    <col min="3" max="3" width="61.75" bestFit="1" customWidth="1"/>
  </cols>
  <sheetData>
    <row r="1" spans="1:4" x14ac:dyDescent="0.15">
      <c r="A1" t="s">
        <v>8</v>
      </c>
      <c r="B1">
        <v>9.8000000000000007</v>
      </c>
      <c r="C1" t="str">
        <f>DBCS(A1)</f>
        <v>００７　ツムラ　ハチミジオウガン</v>
      </c>
      <c r="D1">
        <f>B1</f>
        <v>9.8000000000000007</v>
      </c>
    </row>
    <row r="2" spans="1:4" x14ac:dyDescent="0.15">
      <c r="A2" t="s">
        <v>8</v>
      </c>
      <c r="B2">
        <v>9.8000000000000007</v>
      </c>
      <c r="C2" t="str">
        <f t="shared" ref="C2:C65" si="0">DBCS(A2)</f>
        <v>００７　ツムラ　ハチミジオウガン</v>
      </c>
      <c r="D2">
        <f t="shared" ref="D2:D65" si="1">B2</f>
        <v>9.8000000000000007</v>
      </c>
    </row>
    <row r="3" spans="1:4" x14ac:dyDescent="0.15">
      <c r="A3" t="s">
        <v>17</v>
      </c>
      <c r="B3">
        <v>20.3</v>
      </c>
      <c r="C3" t="str">
        <f t="shared" si="0"/>
        <v>０１２　ツムラ　サイコカリュウコツボレイトウ</v>
      </c>
      <c r="D3">
        <f t="shared" si="1"/>
        <v>20.3</v>
      </c>
    </row>
    <row r="4" spans="1:4" x14ac:dyDescent="0.15">
      <c r="A4" t="s">
        <v>19</v>
      </c>
      <c r="B4">
        <v>14.6</v>
      </c>
      <c r="C4" t="str">
        <f t="shared" si="0"/>
        <v>０１６　ツムラ　ハンゲコウボクトウ</v>
      </c>
      <c r="D4">
        <f t="shared" si="1"/>
        <v>14.6</v>
      </c>
    </row>
    <row r="5" spans="1:4" x14ac:dyDescent="0.15">
      <c r="A5" t="s">
        <v>20</v>
      </c>
      <c r="B5">
        <v>13.6</v>
      </c>
      <c r="C5" t="str">
        <f t="shared" si="0"/>
        <v>０１７　ツムラ　ゴレイサン</v>
      </c>
      <c r="D5">
        <f t="shared" si="1"/>
        <v>13.6</v>
      </c>
    </row>
    <row r="6" spans="1:4" x14ac:dyDescent="0.15">
      <c r="A6" t="s">
        <v>21</v>
      </c>
      <c r="B6">
        <v>12.8</v>
      </c>
      <c r="C6" t="str">
        <f t="shared" si="0"/>
        <v>０１９　ツムラ　ショウセイリュウトウ</v>
      </c>
      <c r="D6">
        <f t="shared" si="1"/>
        <v>12.8</v>
      </c>
    </row>
    <row r="7" spans="1:4" x14ac:dyDescent="0.15">
      <c r="A7" t="s">
        <v>23</v>
      </c>
      <c r="B7">
        <v>18</v>
      </c>
      <c r="C7" t="str">
        <f t="shared" si="0"/>
        <v>０４３　ツムラ　リツクンシトウ</v>
      </c>
      <c r="D7">
        <f t="shared" si="1"/>
        <v>18</v>
      </c>
    </row>
    <row r="8" spans="1:4" x14ac:dyDescent="0.15">
      <c r="A8" t="s">
        <v>24</v>
      </c>
      <c r="B8">
        <v>18.399999999999999</v>
      </c>
      <c r="C8" t="str">
        <f t="shared" si="0"/>
        <v>０４８　ツムラ　ジュウゼンタイホトウ</v>
      </c>
      <c r="D8">
        <f t="shared" si="1"/>
        <v>18.399999999999999</v>
      </c>
    </row>
    <row r="9" spans="1:4" x14ac:dyDescent="0.15">
      <c r="A9" t="s">
        <v>26</v>
      </c>
      <c r="B9">
        <v>16.100000000000001</v>
      </c>
      <c r="C9" t="str">
        <f t="shared" si="0"/>
        <v>０５４　ツムラ　ヨクカンサン</v>
      </c>
      <c r="D9">
        <f t="shared" si="1"/>
        <v>16.100000000000001</v>
      </c>
    </row>
    <row r="10" spans="1:4" x14ac:dyDescent="0.15">
      <c r="A10" t="s">
        <v>28</v>
      </c>
      <c r="B10">
        <v>13.8</v>
      </c>
      <c r="C10" t="str">
        <f t="shared" si="0"/>
        <v>０６２　ツムラ　　ボウフウツウシヨウサン</v>
      </c>
      <c r="D10">
        <f t="shared" si="1"/>
        <v>13.8</v>
      </c>
    </row>
    <row r="11" spans="1:4" x14ac:dyDescent="0.15">
      <c r="A11" t="s">
        <v>29</v>
      </c>
      <c r="B11">
        <v>10.4</v>
      </c>
      <c r="C11" t="str">
        <f t="shared" si="0"/>
        <v>０６８　ツムラ　シャクヤクカンゾウトウ</v>
      </c>
      <c r="D11">
        <f t="shared" si="1"/>
        <v>10.4</v>
      </c>
    </row>
    <row r="12" spans="1:4" x14ac:dyDescent="0.15">
      <c r="A12" t="s">
        <v>30</v>
      </c>
      <c r="B12">
        <v>14.4</v>
      </c>
      <c r="C12" t="str">
        <f t="shared" si="0"/>
        <v>０８３　ツムラ　ヨクカンサンカチンピハンゲ</v>
      </c>
      <c r="D12">
        <f t="shared" si="1"/>
        <v>14.4</v>
      </c>
    </row>
    <row r="13" spans="1:4" x14ac:dyDescent="0.15">
      <c r="A13" t="s">
        <v>31</v>
      </c>
      <c r="B13">
        <v>13.7</v>
      </c>
      <c r="C13" t="str">
        <f t="shared" si="0"/>
        <v>１００　ツムラ　ダイケンチユウトウ</v>
      </c>
      <c r="D13">
        <f t="shared" si="1"/>
        <v>13.7</v>
      </c>
    </row>
    <row r="14" spans="1:4" x14ac:dyDescent="0.15">
      <c r="A14" t="s">
        <v>32</v>
      </c>
      <c r="B14">
        <v>20.100000000000001</v>
      </c>
      <c r="C14" t="str">
        <f t="shared" si="0"/>
        <v>１０８　ツムラ　ニンジンヨウエイトウ</v>
      </c>
      <c r="D14">
        <f t="shared" si="1"/>
        <v>20.100000000000001</v>
      </c>
    </row>
    <row r="15" spans="1:4" x14ac:dyDescent="0.15">
      <c r="A15" t="s">
        <v>34</v>
      </c>
      <c r="B15">
        <v>22.9</v>
      </c>
      <c r="C15" t="str">
        <f t="shared" si="0"/>
        <v>１１２　ツムラ　チョレイトウゴウシモットウ</v>
      </c>
      <c r="D15">
        <f t="shared" si="1"/>
        <v>22.9</v>
      </c>
    </row>
    <row r="16" spans="1:4" x14ac:dyDescent="0.15">
      <c r="A16" t="s">
        <v>35</v>
      </c>
      <c r="B16">
        <v>6.1</v>
      </c>
      <c r="C16" t="str">
        <f t="shared" si="0"/>
        <v>２５ｍｇアリナミン　Ｆ糖衣錠</v>
      </c>
      <c r="D16">
        <f t="shared" si="1"/>
        <v>6.1</v>
      </c>
    </row>
    <row r="17" spans="1:4" x14ac:dyDescent="0.15">
      <c r="A17" t="s">
        <v>41</v>
      </c>
      <c r="B17">
        <v>10.199999999999999</v>
      </c>
      <c r="C17" t="str">
        <f t="shared" si="0"/>
        <v>ＥＫ１　葛根湯エキス細粒</v>
      </c>
      <c r="D17">
        <f t="shared" si="1"/>
        <v>10.199999999999999</v>
      </c>
    </row>
    <row r="18" spans="1:4" x14ac:dyDescent="0.15">
      <c r="A18" t="s">
        <v>45</v>
      </c>
      <c r="B18">
        <v>46.8</v>
      </c>
      <c r="C18" t="str">
        <f t="shared" si="0"/>
        <v>ＥＫ１１４　柴苓湯　　　　　　　　　　　</v>
      </c>
      <c r="D18">
        <f t="shared" si="1"/>
        <v>46.8</v>
      </c>
    </row>
    <row r="19" spans="1:4" x14ac:dyDescent="0.15">
      <c r="A19" t="s">
        <v>47</v>
      </c>
      <c r="B19">
        <v>13.3</v>
      </c>
      <c r="C19" t="str">
        <f t="shared" si="0"/>
        <v>ＥＫ１５　黄連解毒湯エキス細粒</v>
      </c>
      <c r="D19">
        <f t="shared" si="1"/>
        <v>13.3</v>
      </c>
    </row>
    <row r="20" spans="1:4" x14ac:dyDescent="0.15">
      <c r="A20" t="s">
        <v>49</v>
      </c>
      <c r="B20">
        <v>24.1</v>
      </c>
      <c r="C20" t="str">
        <f t="shared" si="0"/>
        <v>ＥＫ１９　小青竜湯エキス細粒</v>
      </c>
      <c r="D20">
        <f t="shared" si="1"/>
        <v>24.1</v>
      </c>
    </row>
    <row r="21" spans="1:4" x14ac:dyDescent="0.15">
      <c r="A21" t="s">
        <v>50</v>
      </c>
      <c r="B21">
        <v>18.3</v>
      </c>
      <c r="C21" t="str">
        <f t="shared" si="0"/>
        <v>ＥＫ２４　加味逍遥散料エキス細粒</v>
      </c>
      <c r="D21">
        <f t="shared" si="1"/>
        <v>18.3</v>
      </c>
    </row>
    <row r="22" spans="1:4" x14ac:dyDescent="0.15">
      <c r="A22" t="s">
        <v>51</v>
      </c>
      <c r="B22">
        <v>14.8</v>
      </c>
      <c r="C22" t="str">
        <f t="shared" si="0"/>
        <v>ＥＫ４０　猪苓湯エキス細粒</v>
      </c>
      <c r="D22">
        <f t="shared" si="1"/>
        <v>14.8</v>
      </c>
    </row>
    <row r="23" spans="1:4" x14ac:dyDescent="0.15">
      <c r="A23" t="s">
        <v>52</v>
      </c>
      <c r="B23">
        <v>20.399999999999999</v>
      </c>
      <c r="C23" t="str">
        <f t="shared" si="0"/>
        <v>ＥＫ４１　補中益気湯エキス細粒</v>
      </c>
      <c r="D23">
        <f t="shared" si="1"/>
        <v>20.399999999999999</v>
      </c>
    </row>
    <row r="24" spans="1:4" x14ac:dyDescent="0.15">
      <c r="A24" t="s">
        <v>54</v>
      </c>
      <c r="B24">
        <v>6.1</v>
      </c>
      <c r="C24" t="str">
        <f t="shared" si="0"/>
        <v>ＥＰＬカプセル２５０ｍｇ　販売中止</v>
      </c>
      <c r="D24">
        <f t="shared" si="1"/>
        <v>6.1</v>
      </c>
    </row>
    <row r="25" spans="1:4" x14ac:dyDescent="0.15">
      <c r="A25" t="s">
        <v>60</v>
      </c>
      <c r="B25">
        <v>5.9</v>
      </c>
      <c r="C25" t="str">
        <f t="shared" si="0"/>
        <v>ＳＰトローチ０．２５ｍｇ「明治」</v>
      </c>
      <c r="D25">
        <f t="shared" si="1"/>
        <v>5.9</v>
      </c>
    </row>
    <row r="26" spans="1:4" x14ac:dyDescent="0.15">
      <c r="A26" t="s">
        <v>64</v>
      </c>
      <c r="B26">
        <v>6.5</v>
      </c>
      <c r="C26" t="str">
        <f t="shared" si="0"/>
        <v>Ｔ７２　ヨクイニンエキス錠「コタロー」</v>
      </c>
      <c r="D26">
        <f t="shared" si="1"/>
        <v>6.5</v>
      </c>
    </row>
    <row r="27" spans="1:4" x14ac:dyDescent="0.15">
      <c r="A27" t="s">
        <v>68</v>
      </c>
      <c r="B27">
        <v>10.4</v>
      </c>
      <c r="C27" t="str">
        <f t="shared" si="0"/>
        <v>アーチスト錠１．２５ｍｇ</v>
      </c>
      <c r="D27">
        <f t="shared" si="1"/>
        <v>10.4</v>
      </c>
    </row>
    <row r="28" spans="1:4" x14ac:dyDescent="0.15">
      <c r="A28" t="s">
        <v>73</v>
      </c>
      <c r="B28">
        <v>268.89999999999998</v>
      </c>
      <c r="C28" t="str">
        <f t="shared" si="0"/>
        <v>アイファガン点眼液０．１％</v>
      </c>
      <c r="D28">
        <f t="shared" si="1"/>
        <v>268.89999999999998</v>
      </c>
    </row>
    <row r="29" spans="1:4" x14ac:dyDescent="0.15">
      <c r="A29" t="s">
        <v>77</v>
      </c>
      <c r="B29">
        <v>2081</v>
      </c>
      <c r="C29" t="str">
        <f t="shared" si="0"/>
        <v>アウィクリ注　フレックスタッチ　総量３００単位</v>
      </c>
      <c r="D29">
        <f t="shared" si="1"/>
        <v>2081</v>
      </c>
    </row>
    <row r="30" spans="1:4" x14ac:dyDescent="0.15">
      <c r="A30" t="s">
        <v>82</v>
      </c>
      <c r="B30">
        <v>21.4</v>
      </c>
      <c r="C30" t="str">
        <f t="shared" si="0"/>
        <v>アキネトン細粒１％</v>
      </c>
      <c r="D30">
        <f t="shared" si="1"/>
        <v>21.4</v>
      </c>
    </row>
    <row r="31" spans="1:4" x14ac:dyDescent="0.15">
      <c r="A31" t="s">
        <v>86</v>
      </c>
      <c r="B31">
        <v>61</v>
      </c>
      <c r="C31" t="str">
        <f t="shared" si="0"/>
        <v>アキネトン注射液５ｍｇ　　　　　　　　　</v>
      </c>
      <c r="D31">
        <f t="shared" si="1"/>
        <v>61</v>
      </c>
    </row>
    <row r="32" spans="1:4" x14ac:dyDescent="0.15">
      <c r="A32" t="s">
        <v>89</v>
      </c>
      <c r="B32">
        <v>20.7</v>
      </c>
      <c r="C32" t="str">
        <f t="shared" si="0"/>
        <v>アクアチムクリーム１％</v>
      </c>
      <c r="D32">
        <f t="shared" si="1"/>
        <v>20.7</v>
      </c>
    </row>
    <row r="33" spans="1:4" x14ac:dyDescent="0.15">
      <c r="A33" t="s">
        <v>94</v>
      </c>
      <c r="B33">
        <v>341</v>
      </c>
      <c r="C33" t="str">
        <f t="shared" si="0"/>
        <v>アクチット輸液　　　　　　　　　　　　　　</v>
      </c>
      <c r="D33">
        <f t="shared" si="1"/>
        <v>341</v>
      </c>
    </row>
    <row r="34" spans="1:4" x14ac:dyDescent="0.15">
      <c r="A34" t="s">
        <v>99</v>
      </c>
      <c r="B34">
        <v>50</v>
      </c>
      <c r="C34" t="str">
        <f t="shared" si="0"/>
        <v>アクトシン軟膏３％</v>
      </c>
      <c r="D34">
        <f t="shared" si="1"/>
        <v>50</v>
      </c>
    </row>
    <row r="35" spans="1:4" x14ac:dyDescent="0.15">
      <c r="A35" t="s">
        <v>103</v>
      </c>
      <c r="B35">
        <v>25.9</v>
      </c>
      <c r="C35" t="str">
        <f t="shared" si="0"/>
        <v>アザルフィジンＥＮ錠５００ｍｇ</v>
      </c>
      <c r="D35">
        <f t="shared" si="1"/>
        <v>25.9</v>
      </c>
    </row>
    <row r="36" spans="1:4" x14ac:dyDescent="0.15">
      <c r="A36" t="s">
        <v>106</v>
      </c>
      <c r="B36">
        <v>368</v>
      </c>
      <c r="C36" t="str">
        <f t="shared" si="0"/>
        <v>アシクロビル点滴静注用２５０ｍｇ「サワイ」</v>
      </c>
      <c r="D36">
        <f t="shared" si="1"/>
        <v>368</v>
      </c>
    </row>
    <row r="37" spans="1:4" x14ac:dyDescent="0.15">
      <c r="A37" t="s">
        <v>112</v>
      </c>
      <c r="B37">
        <v>60.7</v>
      </c>
      <c r="C37" t="str">
        <f t="shared" si="0"/>
        <v>アジスロマイシン錠２５０ｍｇ「トーワ」</v>
      </c>
      <c r="D37">
        <f t="shared" si="1"/>
        <v>60.7</v>
      </c>
    </row>
    <row r="38" spans="1:4" x14ac:dyDescent="0.15">
      <c r="A38" t="s">
        <v>116</v>
      </c>
      <c r="B38">
        <v>27.4</v>
      </c>
      <c r="C38" t="str">
        <f t="shared" si="0"/>
        <v>アジルサルタンＯＤ錠２０ｍｇ「サワイ」</v>
      </c>
      <c r="D38">
        <f t="shared" si="1"/>
        <v>27.4</v>
      </c>
    </row>
    <row r="39" spans="1:4" x14ac:dyDescent="0.15">
      <c r="A39" t="s">
        <v>116</v>
      </c>
      <c r="B39">
        <v>27.4</v>
      </c>
      <c r="C39" t="str">
        <f t="shared" si="0"/>
        <v>アジルサルタンＯＤ錠２０ｍｇ「サワイ」</v>
      </c>
      <c r="D39">
        <f t="shared" si="1"/>
        <v>27.4</v>
      </c>
    </row>
    <row r="40" spans="1:4" x14ac:dyDescent="0.15">
      <c r="A40" t="s">
        <v>118</v>
      </c>
      <c r="B40">
        <v>100</v>
      </c>
      <c r="C40" t="str">
        <f t="shared" si="0"/>
        <v>アスコルビン酸注５００ｍｇ「イセイ」　</v>
      </c>
      <c r="D40">
        <f t="shared" si="1"/>
        <v>100</v>
      </c>
    </row>
    <row r="41" spans="1:4" x14ac:dyDescent="0.15">
      <c r="A41" t="s">
        <v>122</v>
      </c>
      <c r="B41">
        <v>100</v>
      </c>
      <c r="C41" t="str">
        <f t="shared" si="0"/>
        <v>アスコルビン酸注射液５００ｍｇ「トーワ」　　</v>
      </c>
      <c r="D41">
        <f t="shared" si="1"/>
        <v>100</v>
      </c>
    </row>
    <row r="42" spans="1:4" x14ac:dyDescent="0.15">
      <c r="A42" t="s">
        <v>124</v>
      </c>
      <c r="B42">
        <v>80.3</v>
      </c>
      <c r="C42" t="str">
        <f t="shared" si="0"/>
        <v>アズノール軟膏０．０３３％</v>
      </c>
      <c r="D42">
        <f t="shared" si="1"/>
        <v>80.3</v>
      </c>
    </row>
    <row r="43" spans="1:4" x14ac:dyDescent="0.15">
      <c r="A43" t="s">
        <v>129</v>
      </c>
      <c r="B43">
        <v>5.9</v>
      </c>
      <c r="C43" t="str">
        <f t="shared" si="0"/>
        <v>アスパラ－ＣＡ錠２００</v>
      </c>
      <c r="D43">
        <f t="shared" si="1"/>
        <v>5.9</v>
      </c>
    </row>
    <row r="44" spans="1:4" x14ac:dyDescent="0.15">
      <c r="A44" t="s">
        <v>129</v>
      </c>
      <c r="B44">
        <v>5.9</v>
      </c>
      <c r="C44" t="str">
        <f t="shared" si="0"/>
        <v>アスパラ－ＣＡ錠２００</v>
      </c>
      <c r="D44">
        <f t="shared" si="1"/>
        <v>5.9</v>
      </c>
    </row>
    <row r="45" spans="1:4" x14ac:dyDescent="0.15">
      <c r="A45" t="s">
        <v>134</v>
      </c>
      <c r="B45">
        <v>6.7</v>
      </c>
      <c r="C45" t="str">
        <f t="shared" si="0"/>
        <v>アスパラカリウム散５０％</v>
      </c>
      <c r="D45">
        <f t="shared" si="1"/>
        <v>6.7</v>
      </c>
    </row>
    <row r="46" spans="1:4" x14ac:dyDescent="0.15">
      <c r="A46" t="s">
        <v>137</v>
      </c>
      <c r="B46">
        <v>6.1</v>
      </c>
      <c r="C46" t="str">
        <f t="shared" si="0"/>
        <v>アスパラカリウム錠３００ｍｇ</v>
      </c>
      <c r="D46">
        <f t="shared" si="1"/>
        <v>6.1</v>
      </c>
    </row>
    <row r="47" spans="1:4" x14ac:dyDescent="0.15">
      <c r="A47" t="s">
        <v>137</v>
      </c>
      <c r="B47">
        <v>6.1</v>
      </c>
      <c r="C47" t="str">
        <f t="shared" si="0"/>
        <v>アスパラカリウム錠３００ｍｇ</v>
      </c>
      <c r="D47">
        <f t="shared" si="1"/>
        <v>6.1</v>
      </c>
    </row>
    <row r="48" spans="1:4" x14ac:dyDescent="0.15">
      <c r="A48" t="s">
        <v>140</v>
      </c>
      <c r="B48">
        <v>181</v>
      </c>
      <c r="C48" t="str">
        <f t="shared" si="0"/>
        <v>アスパラギン酸カリウム注　１０ＭＥＱキット「テルモ」</v>
      </c>
      <c r="D48">
        <f t="shared" si="1"/>
        <v>181</v>
      </c>
    </row>
    <row r="49" spans="1:4" x14ac:dyDescent="0.15">
      <c r="A49" t="s">
        <v>144</v>
      </c>
      <c r="B49">
        <v>91.6</v>
      </c>
      <c r="C49" t="str">
        <f t="shared" si="0"/>
        <v>アズレン点眼液０．０２％「ニットー」</v>
      </c>
      <c r="D49">
        <f t="shared" si="1"/>
        <v>91.6</v>
      </c>
    </row>
    <row r="50" spans="1:4" x14ac:dyDescent="0.15">
      <c r="A50" t="s">
        <v>148</v>
      </c>
      <c r="C50" t="str">
        <f t="shared" si="0"/>
        <v>アセサイド消毒液６％　８００ｍｌｘ２</v>
      </c>
      <c r="D50">
        <f t="shared" si="1"/>
        <v>0</v>
      </c>
    </row>
    <row r="51" spans="1:4" x14ac:dyDescent="0.15">
      <c r="A51" t="s">
        <v>152</v>
      </c>
      <c r="B51">
        <v>298</v>
      </c>
      <c r="C51" t="str">
        <f t="shared" si="0"/>
        <v>アセリオ静注液１０００ｍｇバッグ</v>
      </c>
      <c r="D51">
        <f t="shared" si="1"/>
        <v>298</v>
      </c>
    </row>
    <row r="52" spans="1:4" x14ac:dyDescent="0.15">
      <c r="A52" t="s">
        <v>155</v>
      </c>
      <c r="B52">
        <v>1646</v>
      </c>
      <c r="C52" t="str">
        <f t="shared" si="0"/>
        <v>アセレンド注１００μｇ</v>
      </c>
      <c r="D52">
        <f t="shared" si="1"/>
        <v>1646</v>
      </c>
    </row>
    <row r="53" spans="1:4" x14ac:dyDescent="0.15">
      <c r="A53" t="s">
        <v>158</v>
      </c>
      <c r="B53">
        <v>10.4</v>
      </c>
      <c r="C53" t="str">
        <f t="shared" si="0"/>
        <v>アゾセミド錠３０ｍｇ「ＤＳＥＰ」</v>
      </c>
      <c r="D53">
        <f t="shared" si="1"/>
        <v>10.4</v>
      </c>
    </row>
    <row r="54" spans="1:4" x14ac:dyDescent="0.15">
      <c r="A54" t="s">
        <v>160</v>
      </c>
      <c r="B54">
        <v>11.3</v>
      </c>
      <c r="C54" t="str">
        <f t="shared" si="0"/>
        <v>アゾセミド錠６０ｍｇ「ＤＳＥＰ」</v>
      </c>
      <c r="D54">
        <f t="shared" si="1"/>
        <v>11.3</v>
      </c>
    </row>
    <row r="55" spans="1:4" x14ac:dyDescent="0.15">
      <c r="A55" t="s">
        <v>161</v>
      </c>
      <c r="B55">
        <v>13.2</v>
      </c>
      <c r="C55" t="str">
        <f t="shared" si="0"/>
        <v>アダラートＣＲ錠２０ｍｇ</v>
      </c>
      <c r="D55">
        <f t="shared" si="1"/>
        <v>13.2</v>
      </c>
    </row>
    <row r="56" spans="1:4" x14ac:dyDescent="0.15">
      <c r="A56" t="s">
        <v>164</v>
      </c>
      <c r="B56">
        <v>6.1</v>
      </c>
      <c r="C56" t="str">
        <f t="shared" si="0"/>
        <v>アタラックス錠２５ｍｇ</v>
      </c>
      <c r="D56">
        <f t="shared" si="1"/>
        <v>6.1</v>
      </c>
    </row>
    <row r="57" spans="1:4" x14ac:dyDescent="0.15">
      <c r="A57" t="s">
        <v>166</v>
      </c>
      <c r="B57">
        <v>3952.1</v>
      </c>
      <c r="C57" t="str">
        <f t="shared" si="0"/>
        <v>アドエア５００ディスカス
６０吸入用</v>
      </c>
      <c r="D57">
        <f t="shared" si="1"/>
        <v>3952.1</v>
      </c>
    </row>
    <row r="58" spans="1:4" x14ac:dyDescent="0.15">
      <c r="A58" t="s">
        <v>171</v>
      </c>
      <c r="B58">
        <v>32.5</v>
      </c>
      <c r="C58" t="str">
        <f t="shared" si="0"/>
        <v>アドナ散１０％</v>
      </c>
      <c r="D58">
        <f t="shared" si="1"/>
        <v>32.5</v>
      </c>
    </row>
    <row r="59" spans="1:4" x14ac:dyDescent="0.15">
      <c r="A59" t="s">
        <v>173</v>
      </c>
      <c r="B59">
        <v>7.7</v>
      </c>
      <c r="C59" t="str">
        <f t="shared" si="0"/>
        <v>アドナ錠３０ｍｇ</v>
      </c>
      <c r="D59">
        <f t="shared" si="1"/>
        <v>7.7</v>
      </c>
    </row>
    <row r="60" spans="1:4" x14ac:dyDescent="0.15">
      <c r="A60" t="s">
        <v>175</v>
      </c>
      <c r="B60">
        <v>89</v>
      </c>
      <c r="C60" t="str">
        <f t="shared" si="0"/>
        <v>アドナ注（静脈用）５０ｍｇ　　　　　　　</v>
      </c>
      <c r="D60">
        <f t="shared" si="1"/>
        <v>89</v>
      </c>
    </row>
    <row r="61" spans="1:4" x14ac:dyDescent="0.15">
      <c r="A61" t="s">
        <v>175</v>
      </c>
      <c r="B61">
        <v>89</v>
      </c>
      <c r="C61" t="str">
        <f t="shared" si="0"/>
        <v>アドナ注（静脈用）５０ｍｇ　　　　　　　</v>
      </c>
      <c r="D61">
        <f t="shared" si="1"/>
        <v>89</v>
      </c>
    </row>
    <row r="62" spans="1:4" x14ac:dyDescent="0.15">
      <c r="A62" t="s">
        <v>178</v>
      </c>
      <c r="B62">
        <v>17.600000000000001</v>
      </c>
      <c r="C62" t="str">
        <f t="shared" si="0"/>
        <v>アドフィードパップ４０ｍｇ</v>
      </c>
      <c r="D62">
        <f t="shared" si="1"/>
        <v>17.600000000000001</v>
      </c>
    </row>
    <row r="63" spans="1:4" x14ac:dyDescent="0.15">
      <c r="A63" t="s">
        <v>182</v>
      </c>
      <c r="B63">
        <v>50.3</v>
      </c>
      <c r="C63" t="str">
        <f t="shared" si="0"/>
        <v>アトモキセチンカプセル１０ｍｇ　「ＶＴＲＳ」</v>
      </c>
      <c r="D63">
        <f t="shared" si="1"/>
        <v>50.3</v>
      </c>
    </row>
    <row r="64" spans="1:4" x14ac:dyDescent="0.15">
      <c r="A64" t="s">
        <v>186</v>
      </c>
      <c r="B64">
        <v>50.3</v>
      </c>
      <c r="C64" t="str">
        <f t="shared" si="0"/>
        <v>アトモキセチンカプセル１０ｍｇ　「サワイ」</v>
      </c>
      <c r="D64">
        <f t="shared" si="1"/>
        <v>50.3</v>
      </c>
    </row>
    <row r="65" spans="1:4" x14ac:dyDescent="0.15">
      <c r="A65" t="s">
        <v>187</v>
      </c>
      <c r="B65">
        <v>64.7</v>
      </c>
      <c r="C65" t="str">
        <f t="shared" si="0"/>
        <v>アトモキセチンカプセル４０ｍｇ　「ＶＴＲＳ」</v>
      </c>
      <c r="D65">
        <f t="shared" si="1"/>
        <v>64.7</v>
      </c>
    </row>
    <row r="66" spans="1:4" x14ac:dyDescent="0.15">
      <c r="A66" t="s">
        <v>188</v>
      </c>
      <c r="B66">
        <v>64.7</v>
      </c>
      <c r="C66" t="str">
        <f t="shared" ref="C66:C129" si="2">DBCS(A66)</f>
        <v>アトモキセチンカプセル４０ｍｇ　「サワイ」</v>
      </c>
      <c r="D66">
        <f t="shared" ref="D66:D129" si="3">B66</f>
        <v>64.7</v>
      </c>
    </row>
    <row r="67" spans="1:4" x14ac:dyDescent="0.15">
      <c r="A67" t="s">
        <v>189</v>
      </c>
      <c r="B67">
        <v>13.9</v>
      </c>
      <c r="C67" t="str">
        <f t="shared" si="2"/>
        <v>アトルバスタチンＯＤ錠１０ｍｇ「トーワ」</v>
      </c>
      <c r="D67">
        <f t="shared" si="3"/>
        <v>13.9</v>
      </c>
    </row>
    <row r="68" spans="1:4" x14ac:dyDescent="0.15">
      <c r="A68" t="s">
        <v>189</v>
      </c>
      <c r="B68">
        <v>13.9</v>
      </c>
      <c r="C68" t="str">
        <f t="shared" si="2"/>
        <v>アトルバスタチンＯＤ錠１０ｍｇ「トーワ」</v>
      </c>
      <c r="D68">
        <f t="shared" si="3"/>
        <v>13.9</v>
      </c>
    </row>
    <row r="69" spans="1:4" x14ac:dyDescent="0.15">
      <c r="A69" t="s">
        <v>191</v>
      </c>
      <c r="B69">
        <v>100</v>
      </c>
      <c r="C69" t="str">
        <f t="shared" si="2"/>
        <v>アトロピン硫酸塩注０．５ｍｇ「ニプロ」</v>
      </c>
      <c r="D69">
        <f t="shared" si="3"/>
        <v>100</v>
      </c>
    </row>
    <row r="70" spans="1:4" x14ac:dyDescent="0.15">
      <c r="A70" t="s">
        <v>197</v>
      </c>
      <c r="B70">
        <v>58.5</v>
      </c>
      <c r="C70" t="str">
        <f t="shared" si="2"/>
        <v>アナストロゾール錠１ｍｇ「サワイ」</v>
      </c>
      <c r="D70">
        <f t="shared" si="3"/>
        <v>58.5</v>
      </c>
    </row>
    <row r="71" spans="1:4" x14ac:dyDescent="0.15">
      <c r="A71" t="s">
        <v>198</v>
      </c>
      <c r="B71">
        <v>9.9</v>
      </c>
      <c r="C71" t="str">
        <f t="shared" si="2"/>
        <v>アナフラニール錠１０ｍｇ</v>
      </c>
      <c r="D71">
        <f t="shared" si="3"/>
        <v>9.9</v>
      </c>
    </row>
    <row r="72" spans="1:4" x14ac:dyDescent="0.15">
      <c r="A72" t="s">
        <v>200</v>
      </c>
      <c r="B72">
        <v>2001</v>
      </c>
      <c r="C72" t="str">
        <f t="shared" si="2"/>
        <v>アネキセート注射液０．５ＭＧ</v>
      </c>
      <c r="D72">
        <f t="shared" si="3"/>
        <v>2001</v>
      </c>
    </row>
    <row r="73" spans="1:4" x14ac:dyDescent="0.15">
      <c r="A73" t="s">
        <v>204</v>
      </c>
      <c r="B73">
        <v>5445.1</v>
      </c>
      <c r="C73" t="str">
        <f t="shared" si="2"/>
        <v>アノーロエリプタ３０吸入用</v>
      </c>
      <c r="D73">
        <f t="shared" si="3"/>
        <v>5445.1</v>
      </c>
    </row>
    <row r="74" spans="1:4" x14ac:dyDescent="0.15">
      <c r="A74" t="s">
        <v>208</v>
      </c>
      <c r="B74">
        <v>6.1</v>
      </c>
      <c r="C74" t="str">
        <f t="shared" si="2"/>
        <v>アマンタジン塩酸塩錠５０ｍｇ「杏林」</v>
      </c>
      <c r="D74">
        <f t="shared" si="3"/>
        <v>6.1</v>
      </c>
    </row>
    <row r="75" spans="1:4" x14ac:dyDescent="0.15">
      <c r="A75" t="s">
        <v>210</v>
      </c>
      <c r="B75">
        <v>96.9</v>
      </c>
      <c r="C75" t="str">
        <f t="shared" si="2"/>
        <v>アミティーザカプセル２４μｇ</v>
      </c>
      <c r="D75">
        <f t="shared" si="3"/>
        <v>96.9</v>
      </c>
    </row>
    <row r="76" spans="1:4" x14ac:dyDescent="0.15">
      <c r="A76" t="s">
        <v>214</v>
      </c>
      <c r="B76">
        <v>88.8</v>
      </c>
      <c r="C76" t="str">
        <f t="shared" si="2"/>
        <v>アミノレバンＥＮ配合散　　　　　コーヒー味</v>
      </c>
      <c r="D76">
        <f t="shared" si="3"/>
        <v>88.8</v>
      </c>
    </row>
    <row r="77" spans="1:4" x14ac:dyDescent="0.15">
      <c r="A77" t="s">
        <v>217</v>
      </c>
      <c r="B77">
        <v>715</v>
      </c>
      <c r="C77" t="str">
        <f t="shared" si="2"/>
        <v>アミノレバン点滴静注</v>
      </c>
      <c r="D77">
        <f t="shared" si="3"/>
        <v>715</v>
      </c>
    </row>
    <row r="78" spans="1:4" x14ac:dyDescent="0.15">
      <c r="A78" t="s">
        <v>219</v>
      </c>
      <c r="B78">
        <v>10.4</v>
      </c>
      <c r="C78" t="str">
        <f t="shared" si="2"/>
        <v>アムロジピンＯＤ錠２．５ｍｇ「明治」</v>
      </c>
      <c r="D78">
        <f t="shared" si="3"/>
        <v>10.4</v>
      </c>
    </row>
    <row r="79" spans="1:4" x14ac:dyDescent="0.15">
      <c r="A79" t="s">
        <v>219</v>
      </c>
      <c r="B79">
        <v>10.4</v>
      </c>
      <c r="C79" t="str">
        <f t="shared" si="2"/>
        <v>アムロジピンＯＤ錠２．５ｍｇ「明治」</v>
      </c>
      <c r="D79">
        <f t="shared" si="3"/>
        <v>10.4</v>
      </c>
    </row>
    <row r="80" spans="1:4" x14ac:dyDescent="0.15">
      <c r="A80" t="s">
        <v>221</v>
      </c>
      <c r="B80">
        <v>286.39999999999998</v>
      </c>
      <c r="C80" t="str">
        <f t="shared" si="2"/>
        <v>アリドネパッチ２７．５ｍｇ</v>
      </c>
      <c r="D80">
        <f t="shared" si="3"/>
        <v>286.39999999999998</v>
      </c>
    </row>
    <row r="81" spans="1:4" x14ac:dyDescent="0.15">
      <c r="A81" t="s">
        <v>225</v>
      </c>
      <c r="B81">
        <v>437.6</v>
      </c>
      <c r="C81" t="str">
        <f t="shared" si="2"/>
        <v>アリドネパッチ５５ｍｇ</v>
      </c>
      <c r="D81">
        <f t="shared" si="3"/>
        <v>437.6</v>
      </c>
    </row>
    <row r="82" spans="1:4" x14ac:dyDescent="0.15">
      <c r="A82" t="s">
        <v>226</v>
      </c>
      <c r="B82">
        <v>22.7</v>
      </c>
      <c r="C82" t="str">
        <f t="shared" si="2"/>
        <v>アリピプラゾールＯＤ錠１２ｍｇ「ニプロ」</v>
      </c>
      <c r="D82">
        <f t="shared" si="3"/>
        <v>22.7</v>
      </c>
    </row>
    <row r="83" spans="1:4" x14ac:dyDescent="0.15">
      <c r="A83" t="s">
        <v>226</v>
      </c>
      <c r="B83">
        <v>22.7</v>
      </c>
      <c r="C83" t="str">
        <f t="shared" si="2"/>
        <v>アリピプラゾールＯＤ錠１２ｍｇ「ニプロ」</v>
      </c>
      <c r="D83">
        <f t="shared" si="3"/>
        <v>22.7</v>
      </c>
    </row>
    <row r="84" spans="1:4" x14ac:dyDescent="0.15">
      <c r="A84" t="s">
        <v>228</v>
      </c>
      <c r="B84">
        <v>6.4</v>
      </c>
      <c r="C84" t="str">
        <f t="shared" si="2"/>
        <v>アリピプラゾールＯＤ錠３ｍｇ「ニプロ」</v>
      </c>
      <c r="D84">
        <f t="shared" si="3"/>
        <v>6.4</v>
      </c>
    </row>
    <row r="85" spans="1:4" x14ac:dyDescent="0.15">
      <c r="A85" t="s">
        <v>228</v>
      </c>
      <c r="B85">
        <v>6.4</v>
      </c>
      <c r="C85" t="str">
        <f t="shared" si="2"/>
        <v>アリピプラゾールＯＤ錠３ｍｇ「ニプロ」</v>
      </c>
      <c r="D85">
        <f t="shared" si="3"/>
        <v>6.4</v>
      </c>
    </row>
    <row r="86" spans="1:4" x14ac:dyDescent="0.15">
      <c r="A86" t="s">
        <v>229</v>
      </c>
      <c r="B86">
        <v>11.8</v>
      </c>
      <c r="C86" t="str">
        <f t="shared" si="2"/>
        <v>アリピプラゾールＯＤ錠６ｍｇ「ニプロ」</v>
      </c>
      <c r="D86">
        <f t="shared" si="3"/>
        <v>11.8</v>
      </c>
    </row>
    <row r="87" spans="1:4" x14ac:dyDescent="0.15">
      <c r="A87" t="s">
        <v>229</v>
      </c>
      <c r="B87">
        <v>11.8</v>
      </c>
      <c r="C87" t="str">
        <f t="shared" si="2"/>
        <v>アリピプラゾールＯＤ錠６ｍｇ「ニプロ」</v>
      </c>
      <c r="D87">
        <f t="shared" si="3"/>
        <v>11.8</v>
      </c>
    </row>
    <row r="88" spans="1:4" x14ac:dyDescent="0.15">
      <c r="A88" t="s">
        <v>230</v>
      </c>
      <c r="B88">
        <v>18.600000000000001</v>
      </c>
      <c r="C88" t="str">
        <f t="shared" si="2"/>
        <v>アリピプラゾール散１％「ニプロ」</v>
      </c>
      <c r="D88">
        <f t="shared" si="3"/>
        <v>18.600000000000001</v>
      </c>
    </row>
    <row r="89" spans="1:4" x14ac:dyDescent="0.15">
      <c r="A89" t="s">
        <v>231</v>
      </c>
      <c r="B89">
        <v>6.1</v>
      </c>
      <c r="C89" t="str">
        <f t="shared" si="2"/>
        <v>アリピプラゾール錠１ｍｇ「サワイ」</v>
      </c>
      <c r="D89">
        <f t="shared" si="3"/>
        <v>6.1</v>
      </c>
    </row>
    <row r="90" spans="1:4" x14ac:dyDescent="0.15">
      <c r="A90" t="s">
        <v>232</v>
      </c>
      <c r="B90">
        <v>13.1</v>
      </c>
      <c r="C90" t="str">
        <f t="shared" si="2"/>
        <v>アルダクトンＡ錠２５ｍｇ</v>
      </c>
      <c r="D90">
        <f t="shared" si="3"/>
        <v>13.1</v>
      </c>
    </row>
    <row r="91" spans="1:4" x14ac:dyDescent="0.15">
      <c r="A91" t="s">
        <v>233</v>
      </c>
      <c r="B91">
        <v>6.1</v>
      </c>
      <c r="C91" t="str">
        <f t="shared" si="2"/>
        <v>アルファカルシドールカプセル０．５μｇ「フソー」</v>
      </c>
      <c r="D91">
        <f t="shared" si="3"/>
        <v>6.1</v>
      </c>
    </row>
    <row r="92" spans="1:4" x14ac:dyDescent="0.15">
      <c r="A92" t="s">
        <v>235</v>
      </c>
      <c r="B92">
        <v>4436</v>
      </c>
      <c r="C92" t="str">
        <f t="shared" si="2"/>
        <v>アルブミナー２５％静注１２．５ｇ／５０ｍｌ</v>
      </c>
      <c r="D92">
        <f t="shared" si="3"/>
        <v>4436</v>
      </c>
    </row>
    <row r="93" spans="1:4" x14ac:dyDescent="0.15">
      <c r="A93" t="s">
        <v>239</v>
      </c>
      <c r="B93">
        <v>20.6</v>
      </c>
      <c r="C93" t="str">
        <f t="shared" si="2"/>
        <v>アルメタ軟膏</v>
      </c>
      <c r="D93">
        <f t="shared" si="3"/>
        <v>20.6</v>
      </c>
    </row>
    <row r="94" spans="1:4" x14ac:dyDescent="0.15">
      <c r="A94" t="s">
        <v>242</v>
      </c>
      <c r="B94">
        <v>421.8</v>
      </c>
      <c r="C94" t="str">
        <f t="shared" si="2"/>
        <v>アレギサール点眼液０．１％　　　　販売中止</v>
      </c>
      <c r="D94">
        <f t="shared" si="3"/>
        <v>421.8</v>
      </c>
    </row>
    <row r="95" spans="1:4" x14ac:dyDescent="0.15">
      <c r="A95" t="s">
        <v>245</v>
      </c>
      <c r="B95">
        <v>12.1</v>
      </c>
      <c r="C95" t="str">
        <f t="shared" si="2"/>
        <v>アレビアチン散１０％</v>
      </c>
      <c r="D95">
        <f t="shared" si="3"/>
        <v>12.1</v>
      </c>
    </row>
    <row r="96" spans="1:4" x14ac:dyDescent="0.15">
      <c r="A96" t="s">
        <v>247</v>
      </c>
      <c r="B96">
        <v>12.9</v>
      </c>
      <c r="C96" t="str">
        <f t="shared" si="2"/>
        <v>アレビアチン錠１００ｍｇ</v>
      </c>
      <c r="D96">
        <f t="shared" si="3"/>
        <v>12.9</v>
      </c>
    </row>
    <row r="97" spans="1:4" x14ac:dyDescent="0.15">
      <c r="A97" t="s">
        <v>248</v>
      </c>
      <c r="B97">
        <v>123</v>
      </c>
      <c r="C97" t="str">
        <f t="shared" si="2"/>
        <v>アレビアチン注２５０ｍｇ</v>
      </c>
      <c r="D97">
        <f t="shared" si="3"/>
        <v>123</v>
      </c>
    </row>
    <row r="98" spans="1:4" x14ac:dyDescent="0.15">
      <c r="A98" t="s">
        <v>250</v>
      </c>
      <c r="B98">
        <v>8</v>
      </c>
      <c r="C98" t="str">
        <f t="shared" si="2"/>
        <v>アロプリノール錠１００ｍｇ「サワイ」</v>
      </c>
      <c r="D98">
        <f t="shared" si="3"/>
        <v>8</v>
      </c>
    </row>
    <row r="99" spans="1:4" x14ac:dyDescent="0.15">
      <c r="A99" t="s">
        <v>250</v>
      </c>
      <c r="B99">
        <v>8</v>
      </c>
      <c r="C99" t="str">
        <f t="shared" si="2"/>
        <v>アロプリノール錠１００ｍｇ「サワイ」</v>
      </c>
      <c r="D99">
        <f t="shared" si="3"/>
        <v>8</v>
      </c>
    </row>
    <row r="100" spans="1:4" x14ac:dyDescent="0.15">
      <c r="A100" t="s">
        <v>252</v>
      </c>
      <c r="B100">
        <v>18.899999999999999</v>
      </c>
      <c r="C100" t="str">
        <f t="shared" si="2"/>
        <v>アンテベート軟膏０．０５％</v>
      </c>
      <c r="D100">
        <f t="shared" si="3"/>
        <v>18.899999999999999</v>
      </c>
    </row>
    <row r="101" spans="1:4" x14ac:dyDescent="0.15">
      <c r="A101" t="s">
        <v>255</v>
      </c>
      <c r="B101">
        <v>12.5</v>
      </c>
      <c r="C101" t="str">
        <f t="shared" si="2"/>
        <v>イコサペント酸エチルカプセル　３００ｍｇ「日医工」</v>
      </c>
      <c r="D101">
        <f t="shared" si="3"/>
        <v>12.5</v>
      </c>
    </row>
    <row r="102" spans="1:4" x14ac:dyDescent="0.15">
      <c r="A102" t="s">
        <v>259</v>
      </c>
      <c r="B102">
        <v>6.8</v>
      </c>
      <c r="C102" t="str">
        <f t="shared" si="2"/>
        <v>イソプロパノール消毒液７０％　「ヨシダ」</v>
      </c>
      <c r="D102">
        <f t="shared" si="3"/>
        <v>6.8</v>
      </c>
    </row>
    <row r="103" spans="1:4" x14ac:dyDescent="0.15">
      <c r="A103" t="s">
        <v>263</v>
      </c>
      <c r="B103">
        <v>14.4</v>
      </c>
      <c r="C103" t="str">
        <f t="shared" si="2"/>
        <v>イノソリッド配合経腸用半固形剤</v>
      </c>
      <c r="D103">
        <f t="shared" si="3"/>
        <v>14.4</v>
      </c>
    </row>
    <row r="104" spans="1:4" x14ac:dyDescent="0.15">
      <c r="A104" t="s">
        <v>265</v>
      </c>
      <c r="B104">
        <v>14.1</v>
      </c>
      <c r="C104" t="str">
        <f t="shared" si="2"/>
        <v>イノラス配合経腸用液（コーヒー）</v>
      </c>
      <c r="D104">
        <f t="shared" si="3"/>
        <v>14.1</v>
      </c>
    </row>
    <row r="105" spans="1:4" x14ac:dyDescent="0.15">
      <c r="A105" t="s">
        <v>267</v>
      </c>
      <c r="B105">
        <v>1588</v>
      </c>
      <c r="C105" t="str">
        <f t="shared" si="2"/>
        <v>イバンドロン酸静注１ｍｇシリンジ「トーワ」</v>
      </c>
      <c r="D105">
        <f t="shared" si="3"/>
        <v>1588</v>
      </c>
    </row>
    <row r="106" spans="1:4" x14ac:dyDescent="0.15">
      <c r="A106" t="s">
        <v>267</v>
      </c>
      <c r="B106">
        <v>1588</v>
      </c>
      <c r="C106" t="str">
        <f t="shared" si="2"/>
        <v>イバンドロン酸静注１ｍｇシリンジ「トーワ」</v>
      </c>
      <c r="D106">
        <f t="shared" si="3"/>
        <v>1588</v>
      </c>
    </row>
    <row r="107" spans="1:4" x14ac:dyDescent="0.15">
      <c r="A107" t="s">
        <v>272</v>
      </c>
      <c r="B107">
        <v>101.9</v>
      </c>
      <c r="C107" t="str">
        <f t="shared" si="2"/>
        <v>イフェクサーＳＲカプセル３７．５ｍｇ</v>
      </c>
      <c r="D107">
        <f t="shared" si="3"/>
        <v>101.9</v>
      </c>
    </row>
    <row r="108" spans="1:4" x14ac:dyDescent="0.15">
      <c r="A108" t="s">
        <v>273</v>
      </c>
      <c r="B108">
        <v>167.6</v>
      </c>
      <c r="C108" t="str">
        <f t="shared" si="2"/>
        <v>イフェクサーＳＲカプセル７５ｍｇ</v>
      </c>
      <c r="D108">
        <f t="shared" si="3"/>
        <v>167.6</v>
      </c>
    </row>
    <row r="109" spans="1:4" x14ac:dyDescent="0.15">
      <c r="A109" t="s">
        <v>274</v>
      </c>
      <c r="B109">
        <v>25061</v>
      </c>
      <c r="C109" t="str">
        <f t="shared" si="2"/>
        <v>イベニティ皮下注１０５ｍｇシリンジ</v>
      </c>
      <c r="D109">
        <f t="shared" si="3"/>
        <v>25061</v>
      </c>
    </row>
    <row r="110" spans="1:4" x14ac:dyDescent="0.15">
      <c r="A110" t="s">
        <v>276</v>
      </c>
      <c r="B110">
        <v>61</v>
      </c>
      <c r="C110" t="str">
        <f t="shared" si="2"/>
        <v>イリボー錠５μｇ</v>
      </c>
      <c r="D110">
        <f t="shared" si="3"/>
        <v>61</v>
      </c>
    </row>
    <row r="111" spans="1:4" x14ac:dyDescent="0.15">
      <c r="A111" t="s">
        <v>277</v>
      </c>
      <c r="B111">
        <v>10.4</v>
      </c>
      <c r="C111" t="str">
        <f t="shared" si="2"/>
        <v>イルベサルタン錠５０ｍｇ「サワイ」</v>
      </c>
      <c r="D111">
        <f t="shared" si="3"/>
        <v>10.4</v>
      </c>
    </row>
    <row r="112" spans="1:4" x14ac:dyDescent="0.15">
      <c r="A112" t="s">
        <v>277</v>
      </c>
      <c r="B112">
        <v>10.4</v>
      </c>
      <c r="C112" t="str">
        <f t="shared" si="2"/>
        <v>イルベサルタン錠５０ｍｇ「サワイ」</v>
      </c>
      <c r="D112">
        <f t="shared" si="3"/>
        <v>10.4</v>
      </c>
    </row>
    <row r="113" spans="1:4" x14ac:dyDescent="0.15">
      <c r="A113" t="s">
        <v>278</v>
      </c>
      <c r="B113">
        <v>227.8</v>
      </c>
      <c r="C113" t="str">
        <f t="shared" si="2"/>
        <v>インヴェガ錠３ｍｇ</v>
      </c>
      <c r="D113">
        <f t="shared" si="3"/>
        <v>227.8</v>
      </c>
    </row>
    <row r="114" spans="1:4" x14ac:dyDescent="0.15">
      <c r="A114" t="s">
        <v>280</v>
      </c>
      <c r="B114">
        <v>419.7</v>
      </c>
      <c r="C114" t="str">
        <f t="shared" si="2"/>
        <v>インヴェガ錠６ｍｇ</v>
      </c>
      <c r="D114">
        <f t="shared" si="3"/>
        <v>419.7</v>
      </c>
    </row>
    <row r="115" spans="1:4" x14ac:dyDescent="0.15">
      <c r="A115" t="s">
        <v>281</v>
      </c>
      <c r="B115">
        <v>398.8</v>
      </c>
      <c r="C115" t="str">
        <f t="shared" si="2"/>
        <v>インチュニブ錠１ｍｇ</v>
      </c>
      <c r="D115">
        <f t="shared" si="3"/>
        <v>398.8</v>
      </c>
    </row>
    <row r="116" spans="1:4" x14ac:dyDescent="0.15">
      <c r="A116" t="s">
        <v>282</v>
      </c>
      <c r="B116">
        <v>3.3</v>
      </c>
      <c r="C116" t="str">
        <f t="shared" si="2"/>
        <v>インテバンクリーム１％　　　　　　　　　</v>
      </c>
      <c r="D116">
        <f t="shared" si="3"/>
        <v>3.3</v>
      </c>
    </row>
    <row r="117" spans="1:4" x14ac:dyDescent="0.15">
      <c r="A117" t="s">
        <v>285</v>
      </c>
      <c r="B117">
        <v>3.3</v>
      </c>
      <c r="C117" t="str">
        <f t="shared" si="2"/>
        <v>インテバン外用液１％　　　　　　　　　</v>
      </c>
      <c r="D117">
        <f t="shared" si="3"/>
        <v>3.3</v>
      </c>
    </row>
    <row r="118" spans="1:4" x14ac:dyDescent="0.15">
      <c r="A118" t="s">
        <v>287</v>
      </c>
      <c r="B118">
        <v>10.4</v>
      </c>
      <c r="C118" t="str">
        <f t="shared" si="2"/>
        <v>インデラル錠１０ｍｇ</v>
      </c>
      <c r="D118">
        <f t="shared" si="3"/>
        <v>10.4</v>
      </c>
    </row>
    <row r="119" spans="1:4" x14ac:dyDescent="0.15">
      <c r="A119" t="s">
        <v>290</v>
      </c>
      <c r="B119">
        <v>1182</v>
      </c>
      <c r="C119" t="str">
        <f t="shared" si="2"/>
        <v>イントラリポス輸液２０％　　　　　　ソフトバッグ　１００ｍｌ</v>
      </c>
      <c r="D119">
        <f t="shared" si="3"/>
        <v>1182</v>
      </c>
    </row>
    <row r="120" spans="1:4" x14ac:dyDescent="0.15">
      <c r="A120" t="s">
        <v>295</v>
      </c>
      <c r="B120">
        <v>9.8000000000000007</v>
      </c>
      <c r="C120" t="str">
        <f t="shared" si="2"/>
        <v>ウインタミン細粒１０％　採用中止</v>
      </c>
      <c r="D120">
        <f t="shared" si="3"/>
        <v>9.8000000000000007</v>
      </c>
    </row>
    <row r="121" spans="1:4" x14ac:dyDescent="0.15">
      <c r="A121" t="s">
        <v>296</v>
      </c>
      <c r="B121">
        <v>10.4</v>
      </c>
      <c r="C121" t="str">
        <f t="shared" si="2"/>
        <v>ウルソデオキシコール酸錠１００ｍｇ「サワイ」</v>
      </c>
      <c r="D121">
        <f t="shared" si="3"/>
        <v>10.4</v>
      </c>
    </row>
    <row r="122" spans="1:4" x14ac:dyDescent="0.15">
      <c r="A122" t="s">
        <v>299</v>
      </c>
      <c r="B122">
        <v>170.3</v>
      </c>
      <c r="C122" t="str">
        <f t="shared" si="2"/>
        <v>エイゾプト懸濁性点眼液１％</v>
      </c>
      <c r="D122">
        <f t="shared" si="3"/>
        <v>170.3</v>
      </c>
    </row>
    <row r="123" spans="1:4" x14ac:dyDescent="0.15">
      <c r="A123" t="s">
        <v>301</v>
      </c>
      <c r="B123">
        <v>51.9</v>
      </c>
      <c r="C123" t="str">
        <f t="shared" si="2"/>
        <v>エスシタロプラムＯＤ錠１０ｍｇ「トーワ」</v>
      </c>
      <c r="D123">
        <f t="shared" si="3"/>
        <v>51.9</v>
      </c>
    </row>
    <row r="124" spans="1:4" x14ac:dyDescent="0.15">
      <c r="A124" t="s">
        <v>301</v>
      </c>
      <c r="B124">
        <v>51.9</v>
      </c>
      <c r="C124" t="str">
        <f t="shared" si="2"/>
        <v>エスシタロプラムＯＤ錠１０ｍｇ「トーワ」</v>
      </c>
      <c r="D124">
        <f t="shared" si="3"/>
        <v>51.9</v>
      </c>
    </row>
    <row r="125" spans="1:4" x14ac:dyDescent="0.15">
      <c r="A125" t="s">
        <v>302</v>
      </c>
      <c r="B125">
        <v>7.7</v>
      </c>
      <c r="C125" t="str">
        <f t="shared" si="2"/>
        <v>エスゾピクロン錠１ｍｇ「トーワ」</v>
      </c>
      <c r="D125">
        <f t="shared" si="3"/>
        <v>7.7</v>
      </c>
    </row>
    <row r="126" spans="1:4" x14ac:dyDescent="0.15">
      <c r="A126" t="s">
        <v>302</v>
      </c>
      <c r="B126">
        <v>7.7</v>
      </c>
      <c r="C126" t="str">
        <f t="shared" si="2"/>
        <v>エスゾピクロン錠１ｍｇ「トーワ」</v>
      </c>
      <c r="D126">
        <f t="shared" si="3"/>
        <v>7.7</v>
      </c>
    </row>
    <row r="127" spans="1:4" x14ac:dyDescent="0.15">
      <c r="A127" t="s">
        <v>304</v>
      </c>
      <c r="B127">
        <v>30.7</v>
      </c>
      <c r="C127" t="str">
        <f t="shared" si="2"/>
        <v>エゼチミブＯＤ錠１０ｍｇ「トーワ」</v>
      </c>
      <c r="D127">
        <f t="shared" si="3"/>
        <v>30.7</v>
      </c>
    </row>
    <row r="128" spans="1:4" x14ac:dyDescent="0.15">
      <c r="A128" t="s">
        <v>305</v>
      </c>
      <c r="B128">
        <v>37.799999999999997</v>
      </c>
      <c r="C128" t="str">
        <f t="shared" si="2"/>
        <v>エソメプラゾールカプセル２０ｍｇ「ニプロ」</v>
      </c>
      <c r="D128">
        <f t="shared" si="3"/>
        <v>37.799999999999997</v>
      </c>
    </row>
    <row r="129" spans="1:4" x14ac:dyDescent="0.15">
      <c r="A129" t="s">
        <v>305</v>
      </c>
      <c r="B129">
        <v>37.799999999999997</v>
      </c>
      <c r="C129" t="str">
        <f t="shared" si="2"/>
        <v>エソメプラゾールカプセル２０ｍｇ「ニプロ」</v>
      </c>
      <c r="D129">
        <f t="shared" si="3"/>
        <v>37.799999999999997</v>
      </c>
    </row>
    <row r="130" spans="1:4" x14ac:dyDescent="0.15">
      <c r="A130" t="s">
        <v>307</v>
      </c>
      <c r="B130">
        <v>6.6</v>
      </c>
      <c r="C130" t="str">
        <f t="shared" ref="C130:C193" si="4">DBCS(A130)</f>
        <v>エチゾラム錠０．５ｍｇ「アメル」</v>
      </c>
      <c r="D130">
        <f t="shared" ref="D130:D193" si="5">B130</f>
        <v>6.6</v>
      </c>
    </row>
    <row r="131" spans="1:4" x14ac:dyDescent="0.15">
      <c r="A131" t="s">
        <v>307</v>
      </c>
      <c r="B131">
        <v>6.6</v>
      </c>
      <c r="C131" t="str">
        <f t="shared" si="4"/>
        <v>エチゾラム錠０．５ｍｇ「アメル」</v>
      </c>
      <c r="D131">
        <f t="shared" si="5"/>
        <v>6.6</v>
      </c>
    </row>
    <row r="132" spans="1:4" x14ac:dyDescent="0.15">
      <c r="A132" t="s">
        <v>309</v>
      </c>
      <c r="B132">
        <v>10.1</v>
      </c>
      <c r="C132" t="str">
        <f t="shared" si="4"/>
        <v>エチゾラム錠１ｍｇ「アメル」</v>
      </c>
      <c r="D132">
        <f t="shared" si="5"/>
        <v>10.1</v>
      </c>
    </row>
    <row r="133" spans="1:4" x14ac:dyDescent="0.15">
      <c r="A133" t="s">
        <v>309</v>
      </c>
      <c r="B133">
        <v>10.1</v>
      </c>
      <c r="C133" t="str">
        <f t="shared" si="4"/>
        <v>エチゾラム錠１ｍｇ「アメル」</v>
      </c>
      <c r="D133">
        <f t="shared" si="5"/>
        <v>10.1</v>
      </c>
    </row>
    <row r="134" spans="1:4" x14ac:dyDescent="0.15">
      <c r="A134" t="s">
        <v>310</v>
      </c>
      <c r="B134">
        <v>10.4</v>
      </c>
      <c r="C134" t="str">
        <f t="shared" si="4"/>
        <v>エナラプリルマレイン酸塩錠５ｍｇ「サワイ」　</v>
      </c>
      <c r="D134">
        <f t="shared" si="5"/>
        <v>10.4</v>
      </c>
    </row>
    <row r="135" spans="1:4" x14ac:dyDescent="0.15">
      <c r="A135" t="s">
        <v>312</v>
      </c>
      <c r="B135">
        <v>17.399999999999999</v>
      </c>
      <c r="C135" t="str">
        <f t="shared" si="4"/>
        <v>エバスチンＯＤ錠５ｍｇ「サワイ」</v>
      </c>
      <c r="D135">
        <f t="shared" si="5"/>
        <v>17.399999999999999</v>
      </c>
    </row>
    <row r="136" spans="1:4" x14ac:dyDescent="0.15">
      <c r="A136" t="s">
        <v>315</v>
      </c>
      <c r="B136">
        <v>51.4</v>
      </c>
      <c r="C136" t="str">
        <f t="shared" si="4"/>
        <v>エビスタ錠６０ｍｇ</v>
      </c>
      <c r="D136">
        <f t="shared" si="5"/>
        <v>51.4</v>
      </c>
    </row>
    <row r="137" spans="1:4" x14ac:dyDescent="0.15">
      <c r="A137" t="s">
        <v>317</v>
      </c>
      <c r="B137">
        <v>18.2</v>
      </c>
      <c r="C137" t="str">
        <f t="shared" si="4"/>
        <v>エピナスチン塩酸塩錠２０ｍｇ「トーワ」</v>
      </c>
      <c r="D137">
        <f t="shared" si="5"/>
        <v>18.2</v>
      </c>
    </row>
    <row r="138" spans="1:4" x14ac:dyDescent="0.15">
      <c r="A138" t="s">
        <v>318</v>
      </c>
      <c r="B138">
        <v>10203</v>
      </c>
      <c r="C138" t="str">
        <f t="shared" si="4"/>
        <v>エピペン注射液０．３ｍｇ</v>
      </c>
      <c r="D138">
        <f t="shared" si="5"/>
        <v>10203</v>
      </c>
    </row>
    <row r="139" spans="1:4" x14ac:dyDescent="0.15">
      <c r="A139" t="s">
        <v>322</v>
      </c>
      <c r="B139">
        <v>34376</v>
      </c>
      <c r="C139" t="str">
        <f t="shared" si="4"/>
        <v>エビリファイ持続性水懸筋注用３００ｍｇ　シリンジ</v>
      </c>
      <c r="D139">
        <f t="shared" si="5"/>
        <v>34376</v>
      </c>
    </row>
    <row r="140" spans="1:4" x14ac:dyDescent="0.15">
      <c r="A140" t="s">
        <v>324</v>
      </c>
      <c r="B140">
        <v>41300</v>
      </c>
      <c r="C140" t="str">
        <f t="shared" si="4"/>
        <v>エビリファイ持続性水懸筋注用４００ｍｇ　シリンジ</v>
      </c>
      <c r="D140">
        <f t="shared" si="5"/>
        <v>41300</v>
      </c>
    </row>
    <row r="141" spans="1:4" x14ac:dyDescent="0.15">
      <c r="A141" t="s">
        <v>326</v>
      </c>
      <c r="B141">
        <v>33</v>
      </c>
      <c r="C141" t="str">
        <f t="shared" si="4"/>
        <v>エビリファイ内用液０．１％（３ｍｌ）</v>
      </c>
      <c r="D141">
        <f t="shared" si="5"/>
        <v>33</v>
      </c>
    </row>
    <row r="142" spans="1:4" x14ac:dyDescent="0.15">
      <c r="A142" t="s">
        <v>328</v>
      </c>
      <c r="B142">
        <v>33</v>
      </c>
      <c r="C142" t="str">
        <f t="shared" si="4"/>
        <v>エビリファイ内用液０．１％（６ｍｌ）</v>
      </c>
      <c r="D142">
        <f t="shared" si="5"/>
        <v>33</v>
      </c>
    </row>
    <row r="143" spans="1:4" x14ac:dyDescent="0.15">
      <c r="A143" t="s">
        <v>330</v>
      </c>
      <c r="B143">
        <v>178</v>
      </c>
      <c r="C143" t="str">
        <f t="shared" si="4"/>
        <v>エフィエント錠２．５ｍｇ</v>
      </c>
      <c r="D143">
        <f t="shared" si="5"/>
        <v>178</v>
      </c>
    </row>
    <row r="144" spans="1:4" x14ac:dyDescent="0.15">
      <c r="A144" t="s">
        <v>331</v>
      </c>
      <c r="B144">
        <v>676.3</v>
      </c>
      <c r="C144" t="str">
        <f t="shared" si="4"/>
        <v>エフィナコナゾール爪外用液１０％「サワイ」　３．５６ｇ</v>
      </c>
      <c r="D144">
        <f t="shared" si="5"/>
        <v>676.3</v>
      </c>
    </row>
    <row r="145" spans="1:4" x14ac:dyDescent="0.15">
      <c r="A145" t="s">
        <v>334</v>
      </c>
      <c r="B145">
        <v>15.8</v>
      </c>
      <c r="C145" t="str">
        <f t="shared" si="4"/>
        <v>エブランチルカプセル１５ｍｇ「三和」</v>
      </c>
      <c r="D145">
        <f t="shared" si="5"/>
        <v>15.8</v>
      </c>
    </row>
    <row r="146" spans="1:4" x14ac:dyDescent="0.15">
      <c r="A146" t="s">
        <v>337</v>
      </c>
      <c r="B146">
        <v>6.1</v>
      </c>
      <c r="C146" t="str">
        <f t="shared" si="4"/>
        <v>エペリゾン塩酸塩錠５０ｍｇ「日医工」</v>
      </c>
      <c r="D146">
        <f t="shared" si="5"/>
        <v>6.1</v>
      </c>
    </row>
    <row r="147" spans="1:4" x14ac:dyDescent="0.15">
      <c r="A147" t="s">
        <v>339</v>
      </c>
      <c r="B147">
        <v>61</v>
      </c>
      <c r="C147" t="str">
        <f t="shared" si="4"/>
        <v>エホチール注１０ｍｇ</v>
      </c>
      <c r="D147">
        <f t="shared" si="5"/>
        <v>61</v>
      </c>
    </row>
    <row r="148" spans="1:4" x14ac:dyDescent="0.15">
      <c r="A148" t="s">
        <v>342</v>
      </c>
      <c r="B148">
        <v>114.7</v>
      </c>
      <c r="C148" t="str">
        <f t="shared" si="4"/>
        <v>エリキュース錠２．５ｍｇ</v>
      </c>
      <c r="D148">
        <f t="shared" si="5"/>
        <v>114.7</v>
      </c>
    </row>
    <row r="149" spans="1:4" x14ac:dyDescent="0.15">
      <c r="A149" t="s">
        <v>344</v>
      </c>
      <c r="B149">
        <v>8.6999999999999993</v>
      </c>
      <c r="C149" t="str">
        <f t="shared" si="4"/>
        <v>エリスロシン錠２００ｍｇ</v>
      </c>
      <c r="D149">
        <f t="shared" si="5"/>
        <v>8.6999999999999993</v>
      </c>
    </row>
    <row r="150" spans="1:4" x14ac:dyDescent="0.15">
      <c r="A150" t="s">
        <v>345</v>
      </c>
      <c r="B150">
        <v>71.5</v>
      </c>
      <c r="C150" t="str">
        <f t="shared" si="4"/>
        <v>エンテカビルＯＤ錠０．５ｍｇ「サワイ」</v>
      </c>
      <c r="D150">
        <f t="shared" si="5"/>
        <v>71.5</v>
      </c>
    </row>
    <row r="151" spans="1:4" x14ac:dyDescent="0.15">
      <c r="A151" t="s">
        <v>347</v>
      </c>
      <c r="B151">
        <v>106.9</v>
      </c>
      <c r="C151" t="str">
        <f t="shared" si="4"/>
        <v>エンレスト錠１００ｍｇ</v>
      </c>
      <c r="D151">
        <f t="shared" si="5"/>
        <v>106.9</v>
      </c>
    </row>
    <row r="152" spans="1:4" x14ac:dyDescent="0.15">
      <c r="A152" t="s">
        <v>349</v>
      </c>
      <c r="B152">
        <v>58.1</v>
      </c>
      <c r="C152" t="str">
        <f t="shared" si="4"/>
        <v>オイラックスクリーム１０％</v>
      </c>
      <c r="D152">
        <f t="shared" si="5"/>
        <v>58.1</v>
      </c>
    </row>
    <row r="153" spans="1:4" x14ac:dyDescent="0.15">
      <c r="A153" t="s">
        <v>351</v>
      </c>
      <c r="B153">
        <v>45.7</v>
      </c>
      <c r="C153" t="str">
        <f t="shared" si="4"/>
        <v>オーグメンチン配合錠２５０ＲＳ（３７５ｍｇ）</v>
      </c>
      <c r="D153">
        <f t="shared" si="5"/>
        <v>45.7</v>
      </c>
    </row>
    <row r="154" spans="1:4" x14ac:dyDescent="0.15">
      <c r="A154" t="s">
        <v>354</v>
      </c>
      <c r="B154">
        <v>50.2</v>
      </c>
      <c r="C154" t="str">
        <f t="shared" si="4"/>
        <v>オキサロール軟膏２５μｇ／ｇ０．００２５％</v>
      </c>
      <c r="D154">
        <f t="shared" si="5"/>
        <v>50.2</v>
      </c>
    </row>
    <row r="155" spans="1:4" x14ac:dyDescent="0.15">
      <c r="A155" t="s">
        <v>356</v>
      </c>
      <c r="B155">
        <v>111.6</v>
      </c>
      <c r="C155" t="str">
        <f t="shared" si="4"/>
        <v>オセルタミビルカプセル７５ｍｇ「サワイ」</v>
      </c>
      <c r="D155">
        <f t="shared" si="5"/>
        <v>111.6</v>
      </c>
    </row>
    <row r="156" spans="1:4" x14ac:dyDescent="0.15">
      <c r="A156" t="s">
        <v>359</v>
      </c>
      <c r="B156">
        <v>107.4</v>
      </c>
      <c r="C156" t="str">
        <f t="shared" si="4"/>
        <v>オフロキサシン点眼液０．３％「ＪＧ」</v>
      </c>
      <c r="D156">
        <f t="shared" si="5"/>
        <v>107.4</v>
      </c>
    </row>
    <row r="157" spans="1:4" x14ac:dyDescent="0.15">
      <c r="A157" t="s">
        <v>361</v>
      </c>
      <c r="B157">
        <v>30.7</v>
      </c>
      <c r="C157" t="str">
        <f t="shared" si="4"/>
        <v>オランザピンＯＤ錠１０ｍｇ「ニプロ」</v>
      </c>
      <c r="D157">
        <f t="shared" si="5"/>
        <v>30.7</v>
      </c>
    </row>
    <row r="158" spans="1:4" x14ac:dyDescent="0.15">
      <c r="A158" t="s">
        <v>361</v>
      </c>
      <c r="B158">
        <v>30.7</v>
      </c>
      <c r="C158" t="str">
        <f t="shared" si="4"/>
        <v>オランザピンＯＤ錠１０ｍｇ「ニプロ」</v>
      </c>
      <c r="D158">
        <f t="shared" si="5"/>
        <v>30.7</v>
      </c>
    </row>
    <row r="159" spans="1:4" x14ac:dyDescent="0.15">
      <c r="A159" t="s">
        <v>362</v>
      </c>
      <c r="B159">
        <v>17</v>
      </c>
      <c r="C159" t="str">
        <f t="shared" si="4"/>
        <v>オランザピンＯＤ錠５ｍｇ「ニプロ」</v>
      </c>
      <c r="D159">
        <f t="shared" si="5"/>
        <v>17</v>
      </c>
    </row>
    <row r="160" spans="1:4" x14ac:dyDescent="0.15">
      <c r="A160" t="s">
        <v>362</v>
      </c>
      <c r="B160">
        <v>17</v>
      </c>
      <c r="C160" t="str">
        <f t="shared" si="4"/>
        <v>オランザピンＯＤ錠５ｍｇ「ニプロ」</v>
      </c>
      <c r="D160">
        <f t="shared" si="5"/>
        <v>17</v>
      </c>
    </row>
    <row r="161" spans="1:4" x14ac:dyDescent="0.15">
      <c r="A161" t="s">
        <v>363</v>
      </c>
      <c r="B161">
        <v>38.6</v>
      </c>
      <c r="C161" t="str">
        <f t="shared" si="4"/>
        <v>オランザピン細粒１％「ニプロ」</v>
      </c>
      <c r="D161">
        <f t="shared" si="5"/>
        <v>38.6</v>
      </c>
    </row>
    <row r="162" spans="1:4" x14ac:dyDescent="0.15">
      <c r="A162" t="s">
        <v>364</v>
      </c>
      <c r="B162">
        <v>8.1999999999999993</v>
      </c>
      <c r="C162" t="str">
        <f t="shared" si="4"/>
        <v>オランザピン錠２．５ｍｇ「ニプロ」　　</v>
      </c>
      <c r="D162">
        <f t="shared" si="5"/>
        <v>8.1999999999999993</v>
      </c>
    </row>
    <row r="163" spans="1:4" x14ac:dyDescent="0.15">
      <c r="A163" t="s">
        <v>364</v>
      </c>
      <c r="B163">
        <v>8.1999999999999993</v>
      </c>
      <c r="C163" t="str">
        <f t="shared" si="4"/>
        <v>オランザピン錠２．５ｍｇ「ニプロ」　　</v>
      </c>
      <c r="D163">
        <f t="shared" si="5"/>
        <v>8.1999999999999993</v>
      </c>
    </row>
    <row r="164" spans="1:4" x14ac:dyDescent="0.15">
      <c r="A164" t="s">
        <v>365</v>
      </c>
      <c r="B164">
        <v>17.3</v>
      </c>
      <c r="C164" t="str">
        <f t="shared" si="4"/>
        <v>オリブ油</v>
      </c>
      <c r="D164">
        <f t="shared" si="5"/>
        <v>17.3</v>
      </c>
    </row>
    <row r="165" spans="1:4" x14ac:dyDescent="0.15">
      <c r="A165" t="s">
        <v>368</v>
      </c>
      <c r="B165">
        <v>17.5</v>
      </c>
      <c r="C165" t="str">
        <f t="shared" si="4"/>
        <v>オルメテックＯＤ錠１０ｍｇ</v>
      </c>
      <c r="D165">
        <f t="shared" si="5"/>
        <v>17.5</v>
      </c>
    </row>
    <row r="166" spans="1:4" x14ac:dyDescent="0.15">
      <c r="A166" t="s">
        <v>369</v>
      </c>
      <c r="B166">
        <v>10.4</v>
      </c>
      <c r="C166" t="str">
        <f t="shared" si="4"/>
        <v>オロパタジン塩酸塩ＯＤ錠５ｍｇ「トーワ」</v>
      </c>
      <c r="D166">
        <f t="shared" si="5"/>
        <v>10.4</v>
      </c>
    </row>
    <row r="167" spans="1:4" x14ac:dyDescent="0.15">
      <c r="A167" t="s">
        <v>369</v>
      </c>
      <c r="B167">
        <v>10.4</v>
      </c>
      <c r="C167" t="str">
        <f t="shared" si="4"/>
        <v>オロパタジン塩酸塩ＯＤ錠５ｍｇ「トーワ」</v>
      </c>
      <c r="D167">
        <f t="shared" si="5"/>
        <v>10.4</v>
      </c>
    </row>
    <row r="168" spans="1:4" x14ac:dyDescent="0.15">
      <c r="A168" t="s">
        <v>370</v>
      </c>
      <c r="B168">
        <v>10</v>
      </c>
      <c r="C168" t="str">
        <f t="shared" si="4"/>
        <v>カモスタットメシル酸塩錠１００ｍｇ「サワイ」</v>
      </c>
      <c r="D168">
        <f t="shared" si="5"/>
        <v>10</v>
      </c>
    </row>
    <row r="169" spans="1:4" x14ac:dyDescent="0.15">
      <c r="A169" t="s">
        <v>371</v>
      </c>
      <c r="B169">
        <v>27.6</v>
      </c>
      <c r="C169" t="str">
        <f t="shared" si="4"/>
        <v>ガランタミンＯＤ錠１２ｍｇ「日医工」</v>
      </c>
      <c r="D169">
        <f t="shared" si="5"/>
        <v>27.6</v>
      </c>
    </row>
    <row r="170" spans="1:4" x14ac:dyDescent="0.15">
      <c r="A170" t="s">
        <v>372</v>
      </c>
      <c r="B170">
        <v>18.399999999999999</v>
      </c>
      <c r="C170" t="str">
        <f t="shared" si="4"/>
        <v>ガランタミンＯＤ錠４ｍｇ「日医工」</v>
      </c>
      <c r="D170">
        <f t="shared" si="5"/>
        <v>18.399999999999999</v>
      </c>
    </row>
    <row r="171" spans="1:4" x14ac:dyDescent="0.15">
      <c r="A171" t="s">
        <v>374</v>
      </c>
      <c r="B171">
        <v>9.6</v>
      </c>
      <c r="C171" t="str">
        <f t="shared" si="4"/>
        <v>カリメートドライシロップ９２．５９％</v>
      </c>
      <c r="D171">
        <f t="shared" si="5"/>
        <v>9.6</v>
      </c>
    </row>
    <row r="172" spans="1:4" x14ac:dyDescent="0.15">
      <c r="A172" t="s">
        <v>376</v>
      </c>
      <c r="B172">
        <v>22.2</v>
      </c>
      <c r="C172" t="str">
        <f t="shared" si="4"/>
        <v>カルバマゼピン細粒５０％「アメル」　　　</v>
      </c>
      <c r="D172">
        <f t="shared" si="5"/>
        <v>22.2</v>
      </c>
    </row>
    <row r="173" spans="1:4" x14ac:dyDescent="0.15">
      <c r="A173" t="s">
        <v>377</v>
      </c>
      <c r="B173">
        <v>5.9</v>
      </c>
      <c r="C173" t="str">
        <f t="shared" si="4"/>
        <v>カルバマゼピン錠１００ｍｇ「アメル」</v>
      </c>
      <c r="D173">
        <f t="shared" si="5"/>
        <v>5.9</v>
      </c>
    </row>
    <row r="174" spans="1:4" x14ac:dyDescent="0.15">
      <c r="A174" t="s">
        <v>378</v>
      </c>
      <c r="B174">
        <v>10</v>
      </c>
      <c r="C174" t="str">
        <f t="shared" si="4"/>
        <v>カルバマゼピン錠２００ｍｇ「アメル」</v>
      </c>
      <c r="D174">
        <f t="shared" si="5"/>
        <v>10</v>
      </c>
    </row>
    <row r="175" spans="1:4" x14ac:dyDescent="0.15">
      <c r="A175" t="s">
        <v>378</v>
      </c>
      <c r="B175">
        <v>10</v>
      </c>
      <c r="C175" t="str">
        <f t="shared" si="4"/>
        <v>カルバマゼピン錠２００ｍｇ「アメル」</v>
      </c>
      <c r="D175">
        <f t="shared" si="5"/>
        <v>10</v>
      </c>
    </row>
    <row r="176" spans="1:4" x14ac:dyDescent="0.15">
      <c r="A176" t="s">
        <v>379</v>
      </c>
      <c r="B176">
        <v>10.4</v>
      </c>
      <c r="C176" t="str">
        <f t="shared" si="4"/>
        <v>カルベジロール錠１０ｍｇ「ＤＳＥＰ」</v>
      </c>
      <c r="D176">
        <f t="shared" si="5"/>
        <v>10.4</v>
      </c>
    </row>
    <row r="177" spans="1:4" x14ac:dyDescent="0.15">
      <c r="A177" t="s">
        <v>381</v>
      </c>
      <c r="B177">
        <v>10.4</v>
      </c>
      <c r="C177" t="str">
        <f t="shared" si="4"/>
        <v>カルボシステイン錠２５０ｍｇ「トーワ」</v>
      </c>
      <c r="D177">
        <f t="shared" si="5"/>
        <v>10.4</v>
      </c>
    </row>
    <row r="178" spans="1:4" x14ac:dyDescent="0.15">
      <c r="A178" t="s">
        <v>383</v>
      </c>
      <c r="B178">
        <v>31.4</v>
      </c>
      <c r="C178" t="str">
        <f t="shared" si="4"/>
        <v>カロナール坐剤２００</v>
      </c>
      <c r="D178">
        <f t="shared" si="5"/>
        <v>31.4</v>
      </c>
    </row>
    <row r="179" spans="1:4" x14ac:dyDescent="0.15">
      <c r="A179" t="s">
        <v>386</v>
      </c>
      <c r="B179">
        <v>6.7</v>
      </c>
      <c r="C179" t="str">
        <f t="shared" si="4"/>
        <v>カロナール錠２００</v>
      </c>
      <c r="D179">
        <f t="shared" si="5"/>
        <v>6.7</v>
      </c>
    </row>
    <row r="180" spans="1:4" x14ac:dyDescent="0.15">
      <c r="A180" t="s">
        <v>386</v>
      </c>
      <c r="B180">
        <v>6.7</v>
      </c>
      <c r="C180" t="str">
        <f t="shared" si="4"/>
        <v>カロナール錠２００</v>
      </c>
      <c r="D180">
        <f t="shared" si="5"/>
        <v>6.7</v>
      </c>
    </row>
    <row r="181" spans="1:4" x14ac:dyDescent="0.15">
      <c r="A181" t="s">
        <v>389</v>
      </c>
      <c r="B181">
        <v>210</v>
      </c>
      <c r="C181" t="str">
        <f t="shared" si="4"/>
        <v>キシロカイン注シリンジ０．５％　　</v>
      </c>
      <c r="D181">
        <f t="shared" si="5"/>
        <v>210</v>
      </c>
    </row>
    <row r="182" spans="1:4" x14ac:dyDescent="0.15">
      <c r="A182" t="s">
        <v>390</v>
      </c>
      <c r="B182">
        <v>61</v>
      </c>
      <c r="C182" t="str">
        <f t="shared" si="4"/>
        <v>キシロカイン注ポリアンプ０．５％</v>
      </c>
      <c r="D182">
        <f t="shared" si="5"/>
        <v>61</v>
      </c>
    </row>
    <row r="183" spans="1:4" x14ac:dyDescent="0.15">
      <c r="A183" t="s">
        <v>392</v>
      </c>
      <c r="B183">
        <v>1732.2</v>
      </c>
      <c r="C183" t="str">
        <f t="shared" si="4"/>
        <v>キュバール１００エアゾール１５ｍｇ　　</v>
      </c>
      <c r="D183">
        <f t="shared" si="5"/>
        <v>1732.2</v>
      </c>
    </row>
    <row r="184" spans="1:4" x14ac:dyDescent="0.15">
      <c r="A184" t="s">
        <v>394</v>
      </c>
      <c r="B184">
        <v>21.7</v>
      </c>
      <c r="C184" t="str">
        <f t="shared" si="4"/>
        <v>クアゼパム錠１５ｍｇ「アメル」</v>
      </c>
      <c r="D184">
        <f t="shared" si="5"/>
        <v>21.7</v>
      </c>
    </row>
    <row r="185" spans="1:4" x14ac:dyDescent="0.15">
      <c r="A185" t="s">
        <v>394</v>
      </c>
      <c r="B185">
        <v>21.7</v>
      </c>
      <c r="C185" t="str">
        <f t="shared" si="4"/>
        <v>クアゼパム錠１５ｍｇ「アメル」</v>
      </c>
      <c r="D185">
        <f t="shared" si="5"/>
        <v>21.7</v>
      </c>
    </row>
    <row r="186" spans="1:4" x14ac:dyDescent="0.15">
      <c r="A186" t="s">
        <v>395</v>
      </c>
      <c r="B186">
        <v>57.3</v>
      </c>
      <c r="C186" t="str">
        <f t="shared" si="4"/>
        <v>クービビック錠２５ｍｇ</v>
      </c>
      <c r="D186">
        <f t="shared" si="5"/>
        <v>57.3</v>
      </c>
    </row>
    <row r="187" spans="1:4" x14ac:dyDescent="0.15">
      <c r="A187" t="s">
        <v>396</v>
      </c>
      <c r="B187">
        <v>90.8</v>
      </c>
      <c r="C187" t="str">
        <f t="shared" si="4"/>
        <v>クービビック錠５０ｍｇ</v>
      </c>
      <c r="D187">
        <f t="shared" si="5"/>
        <v>90.8</v>
      </c>
    </row>
    <row r="188" spans="1:4" x14ac:dyDescent="0.15">
      <c r="A188" t="s">
        <v>397</v>
      </c>
      <c r="B188">
        <v>80.2</v>
      </c>
      <c r="C188" t="str">
        <f t="shared" si="4"/>
        <v>グーフィス錠５ｍｇ</v>
      </c>
      <c r="D188">
        <f t="shared" si="5"/>
        <v>80.2</v>
      </c>
    </row>
    <row r="189" spans="1:4" x14ac:dyDescent="0.15">
      <c r="A189" t="s">
        <v>399</v>
      </c>
      <c r="B189">
        <v>134.9</v>
      </c>
      <c r="C189" t="str">
        <f t="shared" si="4"/>
        <v>クエチアピン細粒５０％「アメル」</v>
      </c>
      <c r="D189">
        <f t="shared" si="5"/>
        <v>134.9</v>
      </c>
    </row>
    <row r="190" spans="1:4" x14ac:dyDescent="0.15">
      <c r="A190" t="s">
        <v>400</v>
      </c>
      <c r="B190">
        <v>16.8</v>
      </c>
      <c r="C190" t="str">
        <f t="shared" si="4"/>
        <v>クエチアピン錠１００ｍｇ「アメル」</v>
      </c>
      <c r="D190">
        <f t="shared" si="5"/>
        <v>16.8</v>
      </c>
    </row>
    <row r="191" spans="1:4" x14ac:dyDescent="0.15">
      <c r="A191" t="s">
        <v>400</v>
      </c>
      <c r="B191">
        <v>16.8</v>
      </c>
      <c r="C191" t="str">
        <f t="shared" si="4"/>
        <v>クエチアピン錠１００ｍｇ「アメル」</v>
      </c>
      <c r="D191">
        <f t="shared" si="5"/>
        <v>16.8</v>
      </c>
    </row>
    <row r="192" spans="1:4" x14ac:dyDescent="0.15">
      <c r="A192" t="s">
        <v>401</v>
      </c>
      <c r="B192">
        <v>10.4</v>
      </c>
      <c r="C192" t="str">
        <f t="shared" si="4"/>
        <v>クエチアピン錠１２．５ｍｇ「アメル」</v>
      </c>
      <c r="D192">
        <f t="shared" si="5"/>
        <v>10.4</v>
      </c>
    </row>
    <row r="193" spans="1:4" x14ac:dyDescent="0.15">
      <c r="A193" t="s">
        <v>401</v>
      </c>
      <c r="B193">
        <v>10.4</v>
      </c>
      <c r="C193" t="str">
        <f t="shared" si="4"/>
        <v>クエチアピン錠１２．５ｍｇ「アメル」</v>
      </c>
      <c r="D193">
        <f t="shared" si="5"/>
        <v>10.4</v>
      </c>
    </row>
    <row r="194" spans="1:4" x14ac:dyDescent="0.15">
      <c r="A194" t="s">
        <v>402</v>
      </c>
      <c r="B194">
        <v>29.3</v>
      </c>
      <c r="C194" t="str">
        <f t="shared" ref="C194:C257" si="6">DBCS(A194)</f>
        <v>クエチアピン錠２００ｍｇ「アメル」</v>
      </c>
      <c r="D194">
        <f t="shared" ref="D194:D257" si="7">B194</f>
        <v>29.3</v>
      </c>
    </row>
    <row r="195" spans="1:4" x14ac:dyDescent="0.15">
      <c r="A195" t="s">
        <v>402</v>
      </c>
      <c r="B195">
        <v>29.3</v>
      </c>
      <c r="C195" t="str">
        <f t="shared" si="6"/>
        <v>クエチアピン錠２００ｍｇ「アメル」</v>
      </c>
      <c r="D195">
        <f t="shared" si="7"/>
        <v>29.3</v>
      </c>
    </row>
    <row r="196" spans="1:4" x14ac:dyDescent="0.15">
      <c r="A196" t="s">
        <v>403</v>
      </c>
      <c r="B196">
        <v>10.4</v>
      </c>
      <c r="C196" t="str">
        <f t="shared" si="6"/>
        <v>クエチアピン錠２５ｍｇ「アメル」</v>
      </c>
      <c r="D196">
        <f t="shared" si="7"/>
        <v>10.4</v>
      </c>
    </row>
    <row r="197" spans="1:4" x14ac:dyDescent="0.15">
      <c r="A197" t="s">
        <v>403</v>
      </c>
      <c r="B197">
        <v>10.4</v>
      </c>
      <c r="C197" t="str">
        <f t="shared" si="6"/>
        <v>クエチアピン錠２５ｍｇ「アメル」</v>
      </c>
      <c r="D197">
        <f t="shared" si="7"/>
        <v>10.4</v>
      </c>
    </row>
    <row r="198" spans="1:4" x14ac:dyDescent="0.15">
      <c r="A198" t="s">
        <v>404</v>
      </c>
      <c r="B198">
        <v>505.4</v>
      </c>
      <c r="C198" t="str">
        <f t="shared" si="6"/>
        <v>グラアルファ配合点眼液</v>
      </c>
      <c r="D198">
        <f t="shared" si="7"/>
        <v>505.4</v>
      </c>
    </row>
    <row r="199" spans="1:4" x14ac:dyDescent="0.15">
      <c r="A199" t="s">
        <v>405</v>
      </c>
      <c r="B199">
        <v>85.2</v>
      </c>
      <c r="C199" t="str">
        <f t="shared" si="6"/>
        <v>グラクティブ錠５０ｍｇ</v>
      </c>
      <c r="D199">
        <f t="shared" si="7"/>
        <v>85.2</v>
      </c>
    </row>
    <row r="200" spans="1:4" x14ac:dyDescent="0.15">
      <c r="A200" t="s">
        <v>408</v>
      </c>
      <c r="B200">
        <v>449.4</v>
      </c>
      <c r="C200" t="str">
        <f t="shared" si="6"/>
        <v>グラナテック点眼液０．４％</v>
      </c>
      <c r="D200">
        <f t="shared" si="7"/>
        <v>449.4</v>
      </c>
    </row>
    <row r="201" spans="1:4" x14ac:dyDescent="0.15">
      <c r="A201" t="s">
        <v>409</v>
      </c>
      <c r="B201">
        <v>19.8</v>
      </c>
      <c r="C201" t="str">
        <f t="shared" si="6"/>
        <v>グラマリール細粒１０％</v>
      </c>
      <c r="D201">
        <f t="shared" si="7"/>
        <v>19.8</v>
      </c>
    </row>
    <row r="202" spans="1:4" x14ac:dyDescent="0.15">
      <c r="A202" t="s">
        <v>410</v>
      </c>
      <c r="B202">
        <v>12.5</v>
      </c>
      <c r="C202" t="str">
        <f t="shared" si="6"/>
        <v>グラマリール錠２５ｍｇ</v>
      </c>
      <c r="D202">
        <f t="shared" si="7"/>
        <v>12.5</v>
      </c>
    </row>
    <row r="203" spans="1:4" x14ac:dyDescent="0.15">
      <c r="A203" t="s">
        <v>411</v>
      </c>
      <c r="B203">
        <v>16.100000000000001</v>
      </c>
      <c r="C203" t="str">
        <f t="shared" si="6"/>
        <v>グラマリール錠５０ｍｇ</v>
      </c>
      <c r="D203">
        <f t="shared" si="7"/>
        <v>16.100000000000001</v>
      </c>
    </row>
    <row r="204" spans="1:4" x14ac:dyDescent="0.15">
      <c r="A204" t="s">
        <v>412</v>
      </c>
      <c r="B204">
        <v>24.9</v>
      </c>
      <c r="C204" t="str">
        <f t="shared" si="6"/>
        <v>クラリシッド錠２００ｍｇ</v>
      </c>
      <c r="D204">
        <f t="shared" si="7"/>
        <v>24.9</v>
      </c>
    </row>
    <row r="205" spans="1:4" x14ac:dyDescent="0.15">
      <c r="A205" t="s">
        <v>414</v>
      </c>
      <c r="B205">
        <v>31.7</v>
      </c>
      <c r="C205" t="str">
        <f t="shared" si="6"/>
        <v>クラリチン錠１０ｍｇ</v>
      </c>
      <c r="D205">
        <f t="shared" si="7"/>
        <v>31.7</v>
      </c>
    </row>
    <row r="206" spans="1:4" x14ac:dyDescent="0.15">
      <c r="A206" t="s">
        <v>415</v>
      </c>
      <c r="B206">
        <v>8.1999999999999993</v>
      </c>
      <c r="C206" t="str">
        <f t="shared" si="6"/>
        <v>グランダキシン錠５０</v>
      </c>
      <c r="D206">
        <f t="shared" si="7"/>
        <v>8.1999999999999993</v>
      </c>
    </row>
    <row r="207" spans="1:4" x14ac:dyDescent="0.15">
      <c r="A207" t="s">
        <v>416</v>
      </c>
      <c r="B207">
        <v>302</v>
      </c>
      <c r="C207" t="str">
        <f t="shared" si="6"/>
        <v>グリセオール注</v>
      </c>
      <c r="D207">
        <f t="shared" si="7"/>
        <v>302</v>
      </c>
    </row>
    <row r="208" spans="1:4" x14ac:dyDescent="0.15">
      <c r="A208" t="s">
        <v>418</v>
      </c>
      <c r="B208">
        <v>124.2</v>
      </c>
      <c r="C208" t="str">
        <f t="shared" si="6"/>
        <v>グリセリン浣腸液５０％「ムネ」　６０ｍｌ</v>
      </c>
      <c r="D208">
        <f t="shared" si="7"/>
        <v>124.2</v>
      </c>
    </row>
    <row r="209" spans="1:4" x14ac:dyDescent="0.15">
      <c r="A209" t="s">
        <v>421</v>
      </c>
      <c r="B209">
        <v>5.9</v>
      </c>
      <c r="C209" t="str">
        <f t="shared" si="6"/>
        <v>グリチロン配合錠</v>
      </c>
      <c r="D209">
        <f t="shared" si="7"/>
        <v>5.9</v>
      </c>
    </row>
    <row r="210" spans="1:4" x14ac:dyDescent="0.15">
      <c r="A210" t="s">
        <v>424</v>
      </c>
      <c r="B210">
        <v>10.4</v>
      </c>
      <c r="C210" t="str">
        <f t="shared" si="6"/>
        <v>グリメピリドＯＤ錠１ｍｇ「トーワ」</v>
      </c>
      <c r="D210">
        <f t="shared" si="7"/>
        <v>10.4</v>
      </c>
    </row>
    <row r="211" spans="1:4" x14ac:dyDescent="0.15">
      <c r="A211" t="s">
        <v>428</v>
      </c>
      <c r="B211">
        <v>1396.8</v>
      </c>
      <c r="C211" t="str">
        <f t="shared" si="6"/>
        <v>クレナフィン爪外用液１０％３．５６ｇ</v>
      </c>
      <c r="D211">
        <f t="shared" si="7"/>
        <v>1396.8</v>
      </c>
    </row>
    <row r="212" spans="1:4" x14ac:dyDescent="0.15">
      <c r="A212" t="s">
        <v>430</v>
      </c>
      <c r="B212">
        <v>48.3</v>
      </c>
      <c r="C212" t="str">
        <f t="shared" si="6"/>
        <v>クレメジン細粒分包２ｇ</v>
      </c>
      <c r="D212">
        <f t="shared" si="7"/>
        <v>48.3</v>
      </c>
    </row>
    <row r="213" spans="1:4" x14ac:dyDescent="0.15">
      <c r="A213" t="s">
        <v>434</v>
      </c>
      <c r="B213">
        <v>12.7</v>
      </c>
      <c r="C213" t="str">
        <f t="shared" si="6"/>
        <v>クロピドグレル錠２５ｍｇ「ＪＧ」</v>
      </c>
      <c r="D213">
        <f t="shared" si="7"/>
        <v>12.7</v>
      </c>
    </row>
    <row r="214" spans="1:4" x14ac:dyDescent="0.15">
      <c r="A214" t="s">
        <v>435</v>
      </c>
      <c r="B214">
        <v>31.9</v>
      </c>
      <c r="C214" t="str">
        <f t="shared" si="6"/>
        <v>クロピドグレル錠７５ｍｇ「ＪＧ」</v>
      </c>
      <c r="D214">
        <f t="shared" si="7"/>
        <v>31.9</v>
      </c>
    </row>
    <row r="215" spans="1:4" x14ac:dyDescent="0.15">
      <c r="A215" t="s">
        <v>435</v>
      </c>
      <c r="B215">
        <v>31.9</v>
      </c>
      <c r="C215" t="str">
        <f t="shared" si="6"/>
        <v>クロピドグレル錠７５ｍｇ「ＪＧ」</v>
      </c>
      <c r="D215">
        <f t="shared" si="7"/>
        <v>31.9</v>
      </c>
    </row>
    <row r="216" spans="1:4" x14ac:dyDescent="0.15">
      <c r="A216" t="s">
        <v>436</v>
      </c>
      <c r="B216">
        <v>16.100000000000001</v>
      </c>
      <c r="C216" t="str">
        <f t="shared" si="6"/>
        <v>クロフェクトン錠２５ｍｇ</v>
      </c>
      <c r="D216">
        <f t="shared" si="7"/>
        <v>16.100000000000001</v>
      </c>
    </row>
    <row r="217" spans="1:4" x14ac:dyDescent="0.15">
      <c r="A217" t="s">
        <v>437</v>
      </c>
      <c r="B217">
        <v>11.7</v>
      </c>
      <c r="C217" t="str">
        <f t="shared" si="6"/>
        <v>クロベタゾールプロピオン酸エステル軟膏０．０５％「イワキ」</v>
      </c>
      <c r="D217">
        <f t="shared" si="7"/>
        <v>11.7</v>
      </c>
    </row>
    <row r="218" spans="1:4" x14ac:dyDescent="0.15">
      <c r="A218" t="s">
        <v>439</v>
      </c>
      <c r="B218">
        <v>71.7</v>
      </c>
      <c r="C218" t="str">
        <f t="shared" si="6"/>
        <v>クロマイ腟錠１００ｍｇ</v>
      </c>
      <c r="D218">
        <f t="shared" si="7"/>
        <v>71.7</v>
      </c>
    </row>
    <row r="219" spans="1:4" x14ac:dyDescent="0.15">
      <c r="A219" t="s">
        <v>442</v>
      </c>
      <c r="B219">
        <v>187.8</v>
      </c>
      <c r="C219" t="str">
        <f t="shared" si="6"/>
        <v>クロモグリク酸Ｎａ点眼液２％「ニットー」　</v>
      </c>
      <c r="D219">
        <f t="shared" si="7"/>
        <v>187.8</v>
      </c>
    </row>
    <row r="220" spans="1:4" x14ac:dyDescent="0.15">
      <c r="A220" t="s">
        <v>442</v>
      </c>
      <c r="B220">
        <v>187.8</v>
      </c>
      <c r="C220" t="str">
        <f t="shared" si="6"/>
        <v>クロモグリク酸Ｎａ点眼液２％「ニットー」　</v>
      </c>
      <c r="D220">
        <f t="shared" si="7"/>
        <v>187.8</v>
      </c>
    </row>
    <row r="221" spans="1:4" x14ac:dyDescent="0.15">
      <c r="A221" t="s">
        <v>445</v>
      </c>
      <c r="B221">
        <v>61</v>
      </c>
      <c r="C221" t="str">
        <f t="shared" si="6"/>
        <v>ケイツーＮ静注１０ｍｇ</v>
      </c>
      <c r="D221">
        <f t="shared" si="7"/>
        <v>61</v>
      </c>
    </row>
    <row r="222" spans="1:4" x14ac:dyDescent="0.15">
      <c r="A222" t="s">
        <v>449</v>
      </c>
      <c r="B222">
        <v>12.8</v>
      </c>
      <c r="C222" t="str">
        <f t="shared" si="6"/>
        <v>ゲーベンクリーム１％　　　　　　　　　　</v>
      </c>
      <c r="D222">
        <f t="shared" si="7"/>
        <v>12.8</v>
      </c>
    </row>
    <row r="223" spans="1:4" x14ac:dyDescent="0.15">
      <c r="A223" t="s">
        <v>451</v>
      </c>
      <c r="B223">
        <v>231</v>
      </c>
      <c r="C223" t="str">
        <f t="shared" si="6"/>
        <v>ケトチフェン点鼻液０．０５％「サワイ」</v>
      </c>
      <c r="D223">
        <f t="shared" si="7"/>
        <v>231</v>
      </c>
    </row>
    <row r="224" spans="1:4" x14ac:dyDescent="0.15">
      <c r="A224" t="s">
        <v>454</v>
      </c>
      <c r="B224">
        <v>12.3</v>
      </c>
      <c r="C224" t="str">
        <f t="shared" si="6"/>
        <v>ケトプロフェンパップ３０ｍｇ　「三和」　　１０ｘ１４ｃｍ</v>
      </c>
      <c r="D224">
        <f t="shared" si="7"/>
        <v>12.3</v>
      </c>
    </row>
    <row r="225" spans="1:4" x14ac:dyDescent="0.15">
      <c r="A225" t="s">
        <v>456</v>
      </c>
      <c r="B225">
        <v>54.7</v>
      </c>
      <c r="C225" t="str">
        <f t="shared" si="6"/>
        <v>ケフラールカプセル２５０ｍｇ</v>
      </c>
      <c r="D225">
        <f t="shared" si="7"/>
        <v>54.7</v>
      </c>
    </row>
    <row r="226" spans="1:4" x14ac:dyDescent="0.15">
      <c r="A226" t="s">
        <v>458</v>
      </c>
      <c r="B226">
        <v>31.5</v>
      </c>
      <c r="C226" t="str">
        <f t="shared" si="6"/>
        <v>ケフレックスカプセル２５０ｍｇ</v>
      </c>
      <c r="D226">
        <f t="shared" si="7"/>
        <v>31.5</v>
      </c>
    </row>
    <row r="227" spans="1:4" x14ac:dyDescent="0.15">
      <c r="A227" t="s">
        <v>459</v>
      </c>
      <c r="B227">
        <v>45.9</v>
      </c>
      <c r="C227" t="str">
        <f t="shared" si="6"/>
        <v>ケルロング錠１０ｍｇ</v>
      </c>
      <c r="D227">
        <f t="shared" si="7"/>
        <v>45.9</v>
      </c>
    </row>
    <row r="228" spans="1:4" x14ac:dyDescent="0.15">
      <c r="A228" t="s">
        <v>461</v>
      </c>
      <c r="B228">
        <v>8.6999999999999993</v>
      </c>
      <c r="C228" t="str">
        <f t="shared" si="6"/>
        <v>ゲンタマイシン硫酸塩軟膏０．１％「イワキ」</v>
      </c>
      <c r="D228">
        <f t="shared" si="7"/>
        <v>8.6999999999999993</v>
      </c>
    </row>
    <row r="229" spans="1:4" x14ac:dyDescent="0.15">
      <c r="A229" t="s">
        <v>463</v>
      </c>
      <c r="B229">
        <v>7.4</v>
      </c>
      <c r="C229" t="str">
        <f t="shared" si="6"/>
        <v>コートリル錠１０ｍｇ</v>
      </c>
      <c r="D229">
        <f t="shared" si="7"/>
        <v>7.4</v>
      </c>
    </row>
    <row r="230" spans="1:4" x14ac:dyDescent="0.15">
      <c r="A230" t="s">
        <v>464</v>
      </c>
      <c r="B230">
        <v>7.5</v>
      </c>
      <c r="C230" t="str">
        <f t="shared" si="6"/>
        <v>コールタイジン点鼻液</v>
      </c>
      <c r="D230">
        <f t="shared" si="7"/>
        <v>7.5</v>
      </c>
    </row>
    <row r="231" spans="1:4" x14ac:dyDescent="0.15">
      <c r="A231" t="s">
        <v>467</v>
      </c>
      <c r="B231">
        <v>326</v>
      </c>
      <c r="C231" t="str">
        <f t="shared" si="6"/>
        <v>コソプト配合点眼液</v>
      </c>
      <c r="D231">
        <f t="shared" si="7"/>
        <v>326</v>
      </c>
    </row>
    <row r="232" spans="1:4" x14ac:dyDescent="0.15">
      <c r="A232" t="s">
        <v>468</v>
      </c>
      <c r="B232">
        <v>8.5</v>
      </c>
      <c r="C232" t="str">
        <f t="shared" si="6"/>
        <v>コデインリン酸塩散１％「ホエイ」</v>
      </c>
      <c r="D232">
        <f t="shared" si="7"/>
        <v>8.5</v>
      </c>
    </row>
    <row r="233" spans="1:4" x14ac:dyDescent="0.15">
      <c r="A233" t="s">
        <v>470</v>
      </c>
      <c r="C233" t="str">
        <f t="shared" si="6"/>
        <v>コミナティ筋注シリンジ</v>
      </c>
      <c r="D233">
        <f t="shared" si="7"/>
        <v>0</v>
      </c>
    </row>
    <row r="234" spans="1:4" x14ac:dyDescent="0.15">
      <c r="A234" t="s">
        <v>472</v>
      </c>
      <c r="B234">
        <v>235.8</v>
      </c>
      <c r="C234" t="str">
        <f t="shared" si="6"/>
        <v>コンサータ錠１８ｍｇ</v>
      </c>
      <c r="D234">
        <f t="shared" si="7"/>
        <v>235.8</v>
      </c>
    </row>
    <row r="235" spans="1:4" x14ac:dyDescent="0.15">
      <c r="A235" t="s">
        <v>473</v>
      </c>
      <c r="B235">
        <v>9.6999999999999993</v>
      </c>
      <c r="C235" t="str">
        <f t="shared" si="6"/>
        <v>コントミン糖衣錠１００ｍｇ</v>
      </c>
      <c r="D235">
        <f t="shared" si="7"/>
        <v>9.6999999999999993</v>
      </c>
    </row>
    <row r="236" spans="1:4" x14ac:dyDescent="0.15">
      <c r="A236" t="s">
        <v>474</v>
      </c>
      <c r="B236">
        <v>9.6999999999999993</v>
      </c>
      <c r="C236" t="str">
        <f t="shared" si="6"/>
        <v>コントミン糖衣錠２５ｍｇ</v>
      </c>
      <c r="D236">
        <f t="shared" si="7"/>
        <v>9.6999999999999993</v>
      </c>
    </row>
    <row r="237" spans="1:4" x14ac:dyDescent="0.15">
      <c r="A237" t="s">
        <v>474</v>
      </c>
      <c r="B237">
        <v>9.6999999999999993</v>
      </c>
      <c r="C237" t="str">
        <f t="shared" si="6"/>
        <v>コントミン糖衣錠２５ｍｇ</v>
      </c>
      <c r="D237">
        <f t="shared" si="7"/>
        <v>9.6999999999999993</v>
      </c>
    </row>
    <row r="238" spans="1:4" x14ac:dyDescent="0.15">
      <c r="A238" t="s">
        <v>474</v>
      </c>
      <c r="B238">
        <v>9.6999999999999993</v>
      </c>
      <c r="C238" t="str">
        <f t="shared" si="6"/>
        <v>コントミン糖衣錠２５ｍｇ</v>
      </c>
      <c r="D238">
        <f t="shared" si="7"/>
        <v>9.6999999999999993</v>
      </c>
    </row>
    <row r="239" spans="1:4" x14ac:dyDescent="0.15">
      <c r="A239" t="s">
        <v>475</v>
      </c>
      <c r="B239">
        <v>9.6999999999999993</v>
      </c>
      <c r="C239" t="str">
        <f t="shared" si="6"/>
        <v>コントミン糖衣錠５０ｍｇ</v>
      </c>
      <c r="D239">
        <f t="shared" si="7"/>
        <v>9.6999999999999993</v>
      </c>
    </row>
    <row r="240" spans="1:4" x14ac:dyDescent="0.15">
      <c r="A240" t="s">
        <v>475</v>
      </c>
      <c r="B240">
        <v>9.6999999999999993</v>
      </c>
      <c r="C240" t="str">
        <f t="shared" si="6"/>
        <v>コントミン糖衣錠５０ｍｇ</v>
      </c>
      <c r="D240">
        <f t="shared" si="7"/>
        <v>9.6999999999999993</v>
      </c>
    </row>
    <row r="241" spans="1:4" x14ac:dyDescent="0.15">
      <c r="A241" t="s">
        <v>476</v>
      </c>
      <c r="B241">
        <v>369.1</v>
      </c>
      <c r="C241" t="str">
        <f t="shared" si="6"/>
        <v>サリベートエアゾール</v>
      </c>
      <c r="D241">
        <f t="shared" si="7"/>
        <v>369.1</v>
      </c>
    </row>
    <row r="242" spans="1:4" x14ac:dyDescent="0.15">
      <c r="A242" t="s">
        <v>479</v>
      </c>
      <c r="B242">
        <v>15.3</v>
      </c>
      <c r="C242" t="str">
        <f t="shared" si="6"/>
        <v>サワシリン錠２５０</v>
      </c>
      <c r="D242">
        <f t="shared" si="7"/>
        <v>15.3</v>
      </c>
    </row>
    <row r="243" spans="1:4" x14ac:dyDescent="0.15">
      <c r="A243" t="s">
        <v>481</v>
      </c>
      <c r="B243">
        <v>21.2</v>
      </c>
      <c r="C243" t="str">
        <f t="shared" si="6"/>
        <v>サンリズムカプセル２５ｍｇ</v>
      </c>
      <c r="D243">
        <f t="shared" si="7"/>
        <v>21.2</v>
      </c>
    </row>
    <row r="244" spans="1:4" x14ac:dyDescent="0.15">
      <c r="A244" t="s">
        <v>483</v>
      </c>
      <c r="B244">
        <v>5.9</v>
      </c>
      <c r="C244" t="str">
        <f t="shared" si="6"/>
        <v>ジアゼパム錠２ｍｇ「アメル」</v>
      </c>
      <c r="D244">
        <f t="shared" si="7"/>
        <v>5.9</v>
      </c>
    </row>
    <row r="245" spans="1:4" x14ac:dyDescent="0.15">
      <c r="A245" t="s">
        <v>484</v>
      </c>
      <c r="B245">
        <v>6</v>
      </c>
      <c r="C245" t="str">
        <f t="shared" si="6"/>
        <v>ジアゼパム錠５ｍｇ「アメル」</v>
      </c>
      <c r="D245">
        <f t="shared" si="7"/>
        <v>6</v>
      </c>
    </row>
    <row r="246" spans="1:4" x14ac:dyDescent="0.15">
      <c r="A246" t="s">
        <v>485</v>
      </c>
      <c r="B246">
        <v>120</v>
      </c>
      <c r="C246" t="str">
        <f t="shared" si="6"/>
        <v>ジアゼパム注射液５ｍｇ「ＮＩＧ」</v>
      </c>
      <c r="D246">
        <f t="shared" si="7"/>
        <v>120</v>
      </c>
    </row>
    <row r="247" spans="1:4" x14ac:dyDescent="0.15">
      <c r="A247" t="s">
        <v>487</v>
      </c>
      <c r="B247">
        <v>5.0999999999999996</v>
      </c>
      <c r="C247" t="str">
        <f t="shared" si="6"/>
        <v>シアナマイド内用液１％「タナベ」</v>
      </c>
      <c r="D247">
        <f t="shared" si="7"/>
        <v>5.0999999999999996</v>
      </c>
    </row>
    <row r="248" spans="1:4" x14ac:dyDescent="0.15">
      <c r="A248" t="s">
        <v>489</v>
      </c>
      <c r="B248">
        <v>89.2</v>
      </c>
      <c r="C248" t="str">
        <f t="shared" si="6"/>
        <v>シアノコバラミン点眼液０．０２％「日点」</v>
      </c>
      <c r="D248">
        <f t="shared" si="7"/>
        <v>89.2</v>
      </c>
    </row>
    <row r="249" spans="1:4" x14ac:dyDescent="0.15">
      <c r="A249" t="s">
        <v>492</v>
      </c>
      <c r="B249">
        <v>6.5</v>
      </c>
      <c r="C249" t="str">
        <f t="shared" si="6"/>
        <v>シーピー配合顆粒</v>
      </c>
      <c r="D249">
        <f t="shared" si="7"/>
        <v>6.5</v>
      </c>
    </row>
    <row r="250" spans="1:4" x14ac:dyDescent="0.15">
      <c r="A250" t="s">
        <v>495</v>
      </c>
      <c r="B250">
        <v>139.4</v>
      </c>
      <c r="C250" t="str">
        <f t="shared" si="6"/>
        <v>ジェニナック錠２００ＭＧ</v>
      </c>
      <c r="D250">
        <f t="shared" si="7"/>
        <v>139.4</v>
      </c>
    </row>
    <row r="251" spans="1:4" x14ac:dyDescent="0.15">
      <c r="A251" t="s">
        <v>496</v>
      </c>
      <c r="B251">
        <v>139</v>
      </c>
      <c r="C251" t="str">
        <f t="shared" si="6"/>
        <v>ジギラノゲン注０．４ｍｇ　０．０２％</v>
      </c>
      <c r="D251">
        <f t="shared" si="7"/>
        <v>139</v>
      </c>
    </row>
    <row r="252" spans="1:4" x14ac:dyDescent="0.15">
      <c r="A252" t="s">
        <v>499</v>
      </c>
      <c r="B252">
        <v>343.5</v>
      </c>
      <c r="C252" t="str">
        <f t="shared" si="6"/>
        <v>ジクアス点眼液３％</v>
      </c>
      <c r="D252">
        <f t="shared" si="7"/>
        <v>343.5</v>
      </c>
    </row>
    <row r="253" spans="1:4" x14ac:dyDescent="0.15">
      <c r="A253" t="s">
        <v>500</v>
      </c>
      <c r="B253">
        <v>307</v>
      </c>
      <c r="C253" t="str">
        <f t="shared" si="6"/>
        <v>シクレスト舌下錠１０ｍｇ</v>
      </c>
      <c r="D253">
        <f t="shared" si="7"/>
        <v>307</v>
      </c>
    </row>
    <row r="254" spans="1:4" x14ac:dyDescent="0.15">
      <c r="A254" t="s">
        <v>502</v>
      </c>
      <c r="B254">
        <v>199.6</v>
      </c>
      <c r="C254" t="str">
        <f t="shared" si="6"/>
        <v>シクレスト舌下錠５ｍｇ</v>
      </c>
      <c r="D254">
        <f t="shared" si="7"/>
        <v>199.6</v>
      </c>
    </row>
    <row r="255" spans="1:4" x14ac:dyDescent="0.15">
      <c r="A255" t="s">
        <v>503</v>
      </c>
      <c r="B255">
        <v>76</v>
      </c>
      <c r="C255" t="str">
        <f t="shared" si="6"/>
        <v>シクロスポリンカプセル５０ｍｇ「トーワ」</v>
      </c>
      <c r="D255">
        <f t="shared" si="7"/>
        <v>76</v>
      </c>
    </row>
    <row r="256" spans="1:4" x14ac:dyDescent="0.15">
      <c r="A256" t="s">
        <v>505</v>
      </c>
      <c r="B256">
        <v>20.9</v>
      </c>
      <c r="C256" t="str">
        <f t="shared" si="6"/>
        <v>ジクロフェナクナトリウム坐剤２５ｍｇ「ＪＧ」</v>
      </c>
      <c r="D256">
        <f t="shared" si="7"/>
        <v>20.9</v>
      </c>
    </row>
    <row r="257" spans="1:4" x14ac:dyDescent="0.15">
      <c r="A257" t="s">
        <v>507</v>
      </c>
      <c r="B257">
        <v>10.4</v>
      </c>
      <c r="C257" t="str">
        <f t="shared" si="6"/>
        <v>ジスチグミン臭化物錠５ｍｇ「ＮＩＧ」</v>
      </c>
      <c r="D257">
        <f t="shared" si="7"/>
        <v>10.4</v>
      </c>
    </row>
    <row r="258" spans="1:4" x14ac:dyDescent="0.15">
      <c r="A258" t="s">
        <v>509</v>
      </c>
      <c r="B258">
        <v>2297.9</v>
      </c>
      <c r="C258" t="str">
        <f t="shared" ref="C258:C321" si="8">DBCS(A258)</f>
        <v>ジスバルカプセル４０ｍｇ</v>
      </c>
      <c r="D258">
        <f t="shared" ref="D258:D321" si="9">B258</f>
        <v>2297.9</v>
      </c>
    </row>
    <row r="259" spans="1:4" x14ac:dyDescent="0.15">
      <c r="A259" t="s">
        <v>510</v>
      </c>
      <c r="B259">
        <v>5.9</v>
      </c>
      <c r="C259" t="str">
        <f t="shared" si="8"/>
        <v>ジフェニドール塩酸塩錠２５ｍｇ「ＮＩＧ」</v>
      </c>
      <c r="D259">
        <f t="shared" si="9"/>
        <v>5.9</v>
      </c>
    </row>
    <row r="260" spans="1:4" x14ac:dyDescent="0.15">
      <c r="A260" t="s">
        <v>512</v>
      </c>
      <c r="B260">
        <v>178.5</v>
      </c>
      <c r="C260" t="str">
        <f t="shared" si="8"/>
        <v>ジプレキサ　ザイディス錠１０ｍｇ</v>
      </c>
      <c r="D260">
        <f t="shared" si="9"/>
        <v>178.5</v>
      </c>
    </row>
    <row r="261" spans="1:4" x14ac:dyDescent="0.15">
      <c r="A261" t="s">
        <v>514</v>
      </c>
      <c r="B261">
        <v>44.4</v>
      </c>
      <c r="C261" t="str">
        <f t="shared" si="8"/>
        <v>ジプレキサ　ザイディス錠２．５ｍｇ</v>
      </c>
      <c r="D261">
        <f t="shared" si="9"/>
        <v>44.4</v>
      </c>
    </row>
    <row r="262" spans="1:4" x14ac:dyDescent="0.15">
      <c r="A262" t="s">
        <v>516</v>
      </c>
      <c r="B262">
        <v>89.1</v>
      </c>
      <c r="C262" t="str">
        <f t="shared" si="8"/>
        <v>ジプレキサ　ザイディス錠５ｍｇ</v>
      </c>
      <c r="D262">
        <f t="shared" si="9"/>
        <v>89.1</v>
      </c>
    </row>
    <row r="263" spans="1:4" x14ac:dyDescent="0.15">
      <c r="A263" t="s">
        <v>517</v>
      </c>
      <c r="B263">
        <v>15.9</v>
      </c>
      <c r="C263" t="str">
        <f t="shared" si="8"/>
        <v>シベンゾリンコハク酸塩錠１００ｍｇ「サワイ」</v>
      </c>
      <c r="D263">
        <f t="shared" si="9"/>
        <v>15.9</v>
      </c>
    </row>
    <row r="264" spans="1:4" x14ac:dyDescent="0.15">
      <c r="A264" t="s">
        <v>518</v>
      </c>
      <c r="B264">
        <v>5.9</v>
      </c>
      <c r="C264" t="str">
        <f t="shared" si="8"/>
        <v>ジメチコン錠４０ｍｇ「ＹＤ」</v>
      </c>
      <c r="D264">
        <f t="shared" si="9"/>
        <v>5.9</v>
      </c>
    </row>
    <row r="265" spans="1:4" x14ac:dyDescent="0.15">
      <c r="A265" t="s">
        <v>518</v>
      </c>
      <c r="B265">
        <v>5.9</v>
      </c>
      <c r="C265" t="str">
        <f t="shared" si="8"/>
        <v>ジメチコン錠４０ｍｇ「ＹＤ」</v>
      </c>
      <c r="D265">
        <f t="shared" si="9"/>
        <v>5.9</v>
      </c>
    </row>
    <row r="266" spans="1:4" x14ac:dyDescent="0.15">
      <c r="A266" t="s">
        <v>520</v>
      </c>
      <c r="B266">
        <v>24.4</v>
      </c>
      <c r="C266" t="str">
        <f t="shared" si="8"/>
        <v>シロスタゾールＯＤ錠１００ｍｇ「タカタ」</v>
      </c>
      <c r="D266">
        <f t="shared" si="9"/>
        <v>24.4</v>
      </c>
    </row>
    <row r="267" spans="1:4" x14ac:dyDescent="0.15">
      <c r="A267" t="s">
        <v>522</v>
      </c>
      <c r="B267">
        <v>24.4</v>
      </c>
      <c r="C267" t="str">
        <f t="shared" si="8"/>
        <v>シロスタゾールＯＤ錠１００ｍｇ「タカタ」　</v>
      </c>
      <c r="D267">
        <f t="shared" si="9"/>
        <v>24.4</v>
      </c>
    </row>
    <row r="268" spans="1:4" x14ac:dyDescent="0.15">
      <c r="A268" t="s">
        <v>523</v>
      </c>
      <c r="B268">
        <v>13.2</v>
      </c>
      <c r="C268" t="str">
        <f t="shared" si="8"/>
        <v>シロドシンＯＤ錠４ｍｇ「ＫＭＰ」</v>
      </c>
      <c r="D268">
        <f t="shared" si="9"/>
        <v>13.2</v>
      </c>
    </row>
    <row r="269" spans="1:4" x14ac:dyDescent="0.15">
      <c r="A269" t="s">
        <v>526</v>
      </c>
      <c r="B269">
        <v>60.9</v>
      </c>
      <c r="C269" t="str">
        <f t="shared" si="8"/>
        <v>シングレア錠１０ｍｇ</v>
      </c>
      <c r="D269">
        <f t="shared" si="9"/>
        <v>60.9</v>
      </c>
    </row>
    <row r="270" spans="1:4" x14ac:dyDescent="0.15">
      <c r="A270" t="s">
        <v>528</v>
      </c>
      <c r="B270">
        <v>9.6999999999999993</v>
      </c>
      <c r="C270" t="str">
        <f t="shared" si="8"/>
        <v>スクロードパスタ</v>
      </c>
      <c r="D270">
        <f t="shared" si="9"/>
        <v>9.6999999999999993</v>
      </c>
    </row>
    <row r="271" spans="1:4" x14ac:dyDescent="0.15">
      <c r="A271" t="s">
        <v>529</v>
      </c>
      <c r="B271">
        <v>11.1</v>
      </c>
      <c r="C271" t="str">
        <f t="shared" si="8"/>
        <v>スタデルムクリーム５％</v>
      </c>
      <c r="D271">
        <f t="shared" si="9"/>
        <v>11.1</v>
      </c>
    </row>
    <row r="272" spans="1:4" x14ac:dyDescent="0.15">
      <c r="A272" t="s">
        <v>531</v>
      </c>
      <c r="B272">
        <v>574.79999999999995</v>
      </c>
      <c r="C272" t="str">
        <f t="shared" si="8"/>
        <v>ストロメクトール錠３ｍｇ</v>
      </c>
      <c r="D272">
        <f t="shared" si="9"/>
        <v>574.79999999999995</v>
      </c>
    </row>
    <row r="273" spans="1:4" x14ac:dyDescent="0.15">
      <c r="A273" t="s">
        <v>534</v>
      </c>
      <c r="B273">
        <v>70.599999999999994</v>
      </c>
      <c r="C273" t="str">
        <f t="shared" si="8"/>
        <v>スピール膏Ｍ　ＳＰＭ１６</v>
      </c>
      <c r="D273">
        <f t="shared" si="9"/>
        <v>70.599999999999994</v>
      </c>
    </row>
    <row r="274" spans="1:4" x14ac:dyDescent="0.15">
      <c r="A274" t="s">
        <v>538</v>
      </c>
      <c r="B274">
        <v>3100.9</v>
      </c>
      <c r="C274" t="str">
        <f t="shared" si="8"/>
        <v>スピリーバ２．５μｇレスピマット６０吸入</v>
      </c>
      <c r="D274">
        <f t="shared" si="9"/>
        <v>3100.9</v>
      </c>
    </row>
    <row r="275" spans="1:4" x14ac:dyDescent="0.15">
      <c r="A275" t="s">
        <v>541</v>
      </c>
      <c r="B275">
        <v>7.3</v>
      </c>
      <c r="C275" t="str">
        <f t="shared" si="8"/>
        <v>スピロペント錠１０μｇ</v>
      </c>
      <c r="D275">
        <f t="shared" si="9"/>
        <v>7.3</v>
      </c>
    </row>
    <row r="276" spans="1:4" x14ac:dyDescent="0.15">
      <c r="A276" t="s">
        <v>542</v>
      </c>
      <c r="B276">
        <v>70.599999999999994</v>
      </c>
      <c r="C276" t="str">
        <f t="shared" si="8"/>
        <v>スミスリンローション５％</v>
      </c>
      <c r="D276">
        <f t="shared" si="9"/>
        <v>70.599999999999994</v>
      </c>
    </row>
    <row r="277" spans="1:4" x14ac:dyDescent="0.15">
      <c r="A277" t="s">
        <v>544</v>
      </c>
      <c r="B277">
        <v>597</v>
      </c>
      <c r="C277" t="str">
        <f t="shared" si="8"/>
        <v>スルバシリン静注用１．５ｇ</v>
      </c>
      <c r="D277">
        <f t="shared" si="9"/>
        <v>597</v>
      </c>
    </row>
    <row r="278" spans="1:4" x14ac:dyDescent="0.15">
      <c r="A278" t="s">
        <v>546</v>
      </c>
      <c r="B278">
        <v>6.6</v>
      </c>
      <c r="C278" t="str">
        <f t="shared" si="8"/>
        <v>スルピリド錠１００ｍｇ「アメル」</v>
      </c>
      <c r="D278">
        <f t="shared" si="9"/>
        <v>6.6</v>
      </c>
    </row>
    <row r="279" spans="1:4" x14ac:dyDescent="0.15">
      <c r="A279" t="s">
        <v>547</v>
      </c>
      <c r="B279">
        <v>8.3000000000000007</v>
      </c>
      <c r="C279" t="str">
        <f t="shared" si="8"/>
        <v>スルピリド錠２００ｍｇ「アメル」</v>
      </c>
      <c r="D279">
        <f t="shared" si="9"/>
        <v>8.3000000000000007</v>
      </c>
    </row>
    <row r="280" spans="1:4" x14ac:dyDescent="0.15">
      <c r="A280" t="s">
        <v>548</v>
      </c>
      <c r="B280">
        <v>6.6</v>
      </c>
      <c r="C280" t="str">
        <f t="shared" si="8"/>
        <v>スルピリド錠５０ｍｇ「アメル」</v>
      </c>
      <c r="D280">
        <f t="shared" si="9"/>
        <v>6.6</v>
      </c>
    </row>
    <row r="281" spans="1:4" x14ac:dyDescent="0.15">
      <c r="A281" t="s">
        <v>548</v>
      </c>
      <c r="B281">
        <v>6.6</v>
      </c>
      <c r="C281" t="str">
        <f t="shared" si="8"/>
        <v>スルピリド錠５０ｍｇ「アメル」</v>
      </c>
      <c r="D281">
        <f t="shared" si="9"/>
        <v>6.6</v>
      </c>
    </row>
    <row r="282" spans="1:4" x14ac:dyDescent="0.15">
      <c r="A282" t="s">
        <v>549</v>
      </c>
      <c r="C282" t="str">
        <f t="shared" si="8"/>
        <v>スワブスティック　（ヘキシジン）</v>
      </c>
      <c r="D282">
        <f t="shared" si="9"/>
        <v>0</v>
      </c>
    </row>
    <row r="283" spans="1:4" x14ac:dyDescent="0.15">
      <c r="A283" t="s">
        <v>552</v>
      </c>
      <c r="C283" t="str">
        <f t="shared" si="8"/>
        <v>スワブスティック（ポビドンヨード）　　　Ｍサイズ</v>
      </c>
      <c r="D283">
        <f t="shared" si="9"/>
        <v>0</v>
      </c>
    </row>
    <row r="284" spans="1:4" x14ac:dyDescent="0.15">
      <c r="A284" t="s">
        <v>555</v>
      </c>
      <c r="B284">
        <v>15.5</v>
      </c>
      <c r="C284" t="str">
        <f t="shared" si="8"/>
        <v>セディール錠１０ｍｇ　　　　　　　　　　</v>
      </c>
      <c r="D284">
        <f t="shared" si="9"/>
        <v>15.5</v>
      </c>
    </row>
    <row r="285" spans="1:4" x14ac:dyDescent="0.15">
      <c r="A285" t="s">
        <v>555</v>
      </c>
      <c r="B285">
        <v>15.5</v>
      </c>
      <c r="C285" t="str">
        <f t="shared" si="8"/>
        <v>セディール錠１０ｍｇ　　　　　　　　　　</v>
      </c>
      <c r="D285">
        <f t="shared" si="9"/>
        <v>15.5</v>
      </c>
    </row>
    <row r="286" spans="1:4" x14ac:dyDescent="0.15">
      <c r="A286" t="s">
        <v>557</v>
      </c>
      <c r="B286">
        <v>5.9</v>
      </c>
      <c r="C286" t="str">
        <f t="shared" si="8"/>
        <v>セパゾン錠１</v>
      </c>
      <c r="D286">
        <f t="shared" si="9"/>
        <v>5.9</v>
      </c>
    </row>
    <row r="287" spans="1:4" x14ac:dyDescent="0.15">
      <c r="A287" t="s">
        <v>557</v>
      </c>
      <c r="B287">
        <v>5.9</v>
      </c>
      <c r="C287" t="str">
        <f t="shared" si="8"/>
        <v>セパゾン錠１</v>
      </c>
      <c r="D287">
        <f t="shared" si="9"/>
        <v>5.9</v>
      </c>
    </row>
    <row r="288" spans="1:4" x14ac:dyDescent="0.15">
      <c r="A288" t="s">
        <v>558</v>
      </c>
      <c r="B288">
        <v>6</v>
      </c>
      <c r="C288" t="str">
        <f t="shared" si="8"/>
        <v>セパゾン錠２</v>
      </c>
      <c r="D288">
        <f t="shared" si="9"/>
        <v>6</v>
      </c>
    </row>
    <row r="289" spans="1:4" x14ac:dyDescent="0.15">
      <c r="A289" t="s">
        <v>559</v>
      </c>
      <c r="B289">
        <v>13.4</v>
      </c>
      <c r="C289" t="str">
        <f t="shared" si="8"/>
        <v>セパミット細粒１％</v>
      </c>
      <c r="D289">
        <f t="shared" si="9"/>
        <v>13.4</v>
      </c>
    </row>
    <row r="290" spans="1:4" x14ac:dyDescent="0.15">
      <c r="A290" t="s">
        <v>561</v>
      </c>
      <c r="B290">
        <v>522</v>
      </c>
      <c r="C290" t="str">
        <f t="shared" si="8"/>
        <v>セフェピム塩酸塩静注用１ｇ「サンド」</v>
      </c>
      <c r="D290">
        <f t="shared" si="9"/>
        <v>522</v>
      </c>
    </row>
    <row r="291" spans="1:4" x14ac:dyDescent="0.15">
      <c r="A291" t="s">
        <v>562</v>
      </c>
      <c r="B291">
        <v>686</v>
      </c>
      <c r="C291" t="str">
        <f t="shared" si="8"/>
        <v>セフタジジム静注用１ｇ「ＶＴＲＳ」</v>
      </c>
      <c r="D291">
        <f t="shared" si="9"/>
        <v>686</v>
      </c>
    </row>
    <row r="292" spans="1:4" x14ac:dyDescent="0.15">
      <c r="A292" t="s">
        <v>563</v>
      </c>
      <c r="B292">
        <v>422</v>
      </c>
      <c r="C292" t="str">
        <f t="shared" si="8"/>
        <v>セフトリアキソンＮａ静注１Ｇ「ニチイコウ」</v>
      </c>
      <c r="D292">
        <f t="shared" si="9"/>
        <v>422</v>
      </c>
    </row>
    <row r="293" spans="1:4" x14ac:dyDescent="0.15">
      <c r="A293" t="s">
        <v>565</v>
      </c>
      <c r="B293">
        <v>44680</v>
      </c>
      <c r="C293" t="str">
        <f t="shared" si="8"/>
        <v>ゼプリオン水懸筋注１００ｍｇ　シリンジ</v>
      </c>
      <c r="D293">
        <f t="shared" si="9"/>
        <v>44680</v>
      </c>
    </row>
    <row r="294" spans="1:4" x14ac:dyDescent="0.15">
      <c r="A294" t="s">
        <v>567</v>
      </c>
      <c r="B294">
        <v>57335</v>
      </c>
      <c r="C294" t="str">
        <f t="shared" si="8"/>
        <v>ゼプリオン水懸筋注１５０ｍｇ　シリンジ</v>
      </c>
      <c r="D294">
        <f t="shared" si="9"/>
        <v>57335</v>
      </c>
    </row>
    <row r="295" spans="1:4" x14ac:dyDescent="0.15">
      <c r="A295" t="s">
        <v>568</v>
      </c>
      <c r="B295">
        <v>27994</v>
      </c>
      <c r="C295" t="str">
        <f t="shared" si="8"/>
        <v>ゼプリオン水懸筋注５０ｍｇシリンジ</v>
      </c>
      <c r="D295">
        <f t="shared" si="9"/>
        <v>27994</v>
      </c>
    </row>
    <row r="296" spans="1:4" x14ac:dyDescent="0.15">
      <c r="A296" t="s">
        <v>570</v>
      </c>
      <c r="B296">
        <v>36826</v>
      </c>
      <c r="C296" t="str">
        <f t="shared" si="8"/>
        <v>ゼプリオン水懸筋注７５ｍｇシリンジ</v>
      </c>
      <c r="D296">
        <f t="shared" si="9"/>
        <v>36826</v>
      </c>
    </row>
    <row r="297" spans="1:4" x14ac:dyDescent="0.15">
      <c r="A297" t="s">
        <v>572</v>
      </c>
      <c r="B297">
        <v>40.200000000000003</v>
      </c>
      <c r="C297" t="str">
        <f t="shared" si="8"/>
        <v>セララ錠５０ｍｇ</v>
      </c>
      <c r="D297">
        <f t="shared" si="9"/>
        <v>40.200000000000003</v>
      </c>
    </row>
    <row r="298" spans="1:4" x14ac:dyDescent="0.15">
      <c r="A298" t="s">
        <v>573</v>
      </c>
      <c r="B298">
        <v>14.4</v>
      </c>
      <c r="C298" t="str">
        <f t="shared" si="8"/>
        <v>セルトラリン錠２５ｍｇ「明治」</v>
      </c>
      <c r="D298">
        <f t="shared" si="9"/>
        <v>14.4</v>
      </c>
    </row>
    <row r="299" spans="1:4" x14ac:dyDescent="0.15">
      <c r="A299" t="s">
        <v>573</v>
      </c>
      <c r="B299">
        <v>14.4</v>
      </c>
      <c r="C299" t="str">
        <f t="shared" si="8"/>
        <v>セルトラリン錠２５ｍｇ「明治」</v>
      </c>
      <c r="D299">
        <f t="shared" si="9"/>
        <v>14.4</v>
      </c>
    </row>
    <row r="300" spans="1:4" x14ac:dyDescent="0.15">
      <c r="A300" t="s">
        <v>574</v>
      </c>
      <c r="B300">
        <v>6.1</v>
      </c>
      <c r="C300" t="str">
        <f t="shared" si="8"/>
        <v>セレコキシブ錠１００ｍｇ「ＤＳＥＰ」</v>
      </c>
      <c r="D300">
        <f t="shared" si="9"/>
        <v>6.1</v>
      </c>
    </row>
    <row r="301" spans="1:4" x14ac:dyDescent="0.15">
      <c r="A301" t="s">
        <v>574</v>
      </c>
      <c r="B301">
        <v>6.1</v>
      </c>
      <c r="C301" t="str">
        <f t="shared" si="8"/>
        <v>セレコキシブ錠１００ｍｇ「ＤＳＥＰ」</v>
      </c>
      <c r="D301">
        <f t="shared" si="9"/>
        <v>6.1</v>
      </c>
    </row>
    <row r="302" spans="1:4" x14ac:dyDescent="0.15">
      <c r="A302" t="s">
        <v>575</v>
      </c>
      <c r="B302">
        <v>8</v>
      </c>
      <c r="C302" t="str">
        <f t="shared" si="8"/>
        <v>セレスタミン配合錠</v>
      </c>
      <c r="D302">
        <f t="shared" si="9"/>
        <v>8</v>
      </c>
    </row>
    <row r="303" spans="1:4" x14ac:dyDescent="0.15">
      <c r="A303" t="s">
        <v>577</v>
      </c>
      <c r="B303">
        <v>36.700000000000003</v>
      </c>
      <c r="C303" t="str">
        <f t="shared" si="8"/>
        <v>セレニカＲ顆粒４０％</v>
      </c>
      <c r="D303">
        <f t="shared" si="9"/>
        <v>36.700000000000003</v>
      </c>
    </row>
    <row r="304" spans="1:4" x14ac:dyDescent="0.15">
      <c r="A304" t="s">
        <v>578</v>
      </c>
      <c r="B304">
        <v>100</v>
      </c>
      <c r="C304" t="str">
        <f t="shared" si="8"/>
        <v>セレネース注５ｍｇ</v>
      </c>
      <c r="D304">
        <f t="shared" si="9"/>
        <v>100</v>
      </c>
    </row>
    <row r="305" spans="1:4" x14ac:dyDescent="0.15">
      <c r="A305" t="s">
        <v>580</v>
      </c>
      <c r="B305">
        <v>15.1</v>
      </c>
      <c r="C305" t="str">
        <f t="shared" si="8"/>
        <v>セレネース内服液０．２％</v>
      </c>
      <c r="D305">
        <f t="shared" si="9"/>
        <v>15.1</v>
      </c>
    </row>
    <row r="306" spans="1:4" x14ac:dyDescent="0.15">
      <c r="A306" t="s">
        <v>582</v>
      </c>
      <c r="B306">
        <v>5.3</v>
      </c>
      <c r="C306" t="str">
        <f t="shared" si="8"/>
        <v>センノシド錠１２ｍｇ「クニヒロ」</v>
      </c>
      <c r="D306">
        <f t="shared" si="9"/>
        <v>5.3</v>
      </c>
    </row>
    <row r="307" spans="1:4" x14ac:dyDescent="0.15">
      <c r="A307" t="s">
        <v>582</v>
      </c>
      <c r="B307">
        <v>5.3</v>
      </c>
      <c r="C307" t="str">
        <f t="shared" si="8"/>
        <v>センノシド錠１２ｍｇ「クニヒロ」</v>
      </c>
      <c r="D307">
        <f t="shared" si="9"/>
        <v>5.3</v>
      </c>
    </row>
    <row r="308" spans="1:4" x14ac:dyDescent="0.15">
      <c r="A308" t="s">
        <v>584</v>
      </c>
      <c r="B308">
        <v>7.7</v>
      </c>
      <c r="C308" t="str">
        <f t="shared" si="8"/>
        <v>センブリ・重曹散</v>
      </c>
      <c r="D308">
        <f t="shared" si="9"/>
        <v>7.7</v>
      </c>
    </row>
    <row r="309" spans="1:4" x14ac:dyDescent="0.15">
      <c r="A309" t="s">
        <v>586</v>
      </c>
      <c r="B309">
        <v>1144</v>
      </c>
      <c r="C309" t="str">
        <f t="shared" si="8"/>
        <v>ゾシン静注用４．５</v>
      </c>
      <c r="D309">
        <f t="shared" si="9"/>
        <v>1144</v>
      </c>
    </row>
    <row r="310" spans="1:4" x14ac:dyDescent="0.15">
      <c r="A310" t="s">
        <v>589</v>
      </c>
      <c r="B310">
        <v>60.3</v>
      </c>
      <c r="C310" t="str">
        <f t="shared" si="8"/>
        <v>ソタロール塩酸塩錠８０ｍｇ「ＴＥ」</v>
      </c>
      <c r="D310">
        <f t="shared" si="9"/>
        <v>60.3</v>
      </c>
    </row>
    <row r="311" spans="1:4" x14ac:dyDescent="0.15">
      <c r="A311" t="s">
        <v>592</v>
      </c>
      <c r="B311">
        <v>275</v>
      </c>
      <c r="C311" t="str">
        <f t="shared" si="8"/>
        <v>ゾニサミドＯＤ錠２５ｍｇＴＲＥ「ＤＳＥＰ」</v>
      </c>
      <c r="D311">
        <f t="shared" si="9"/>
        <v>275</v>
      </c>
    </row>
    <row r="312" spans="1:4" x14ac:dyDescent="0.15">
      <c r="A312" t="s">
        <v>593</v>
      </c>
      <c r="B312">
        <v>11.7</v>
      </c>
      <c r="C312" t="str">
        <f t="shared" si="8"/>
        <v>ゾニサミド錠１００ＭＧ「アメル」</v>
      </c>
      <c r="D312">
        <f t="shared" si="9"/>
        <v>11.7</v>
      </c>
    </row>
    <row r="313" spans="1:4" x14ac:dyDescent="0.15">
      <c r="A313" t="s">
        <v>594</v>
      </c>
      <c r="B313">
        <v>6.7</v>
      </c>
      <c r="C313" t="str">
        <f t="shared" si="8"/>
        <v>ゾピクロン錠７．５ｍｇ「トーワ」</v>
      </c>
      <c r="D313">
        <f t="shared" si="9"/>
        <v>6.7</v>
      </c>
    </row>
    <row r="314" spans="1:4" x14ac:dyDescent="0.15">
      <c r="A314" t="s">
        <v>594</v>
      </c>
      <c r="B314">
        <v>6.7</v>
      </c>
      <c r="C314" t="str">
        <f t="shared" si="8"/>
        <v>ゾピクロン錠７．５ｍｇ「トーワ」</v>
      </c>
      <c r="D314">
        <f t="shared" si="9"/>
        <v>6.7</v>
      </c>
    </row>
    <row r="315" spans="1:4" x14ac:dyDescent="0.15">
      <c r="A315" t="s">
        <v>595</v>
      </c>
      <c r="B315">
        <v>2438.8000000000002</v>
      </c>
      <c r="C315" t="str">
        <f t="shared" si="8"/>
        <v>ゾフルーザ錠２０ｍｇ</v>
      </c>
      <c r="D315">
        <f t="shared" si="9"/>
        <v>2438.8000000000002</v>
      </c>
    </row>
    <row r="316" spans="1:4" x14ac:dyDescent="0.15">
      <c r="A316" t="s">
        <v>596</v>
      </c>
      <c r="B316">
        <v>6.1</v>
      </c>
      <c r="C316" t="str">
        <f t="shared" si="8"/>
        <v>ソラナックス０．４ｍｇ錠</v>
      </c>
      <c r="D316">
        <f t="shared" si="9"/>
        <v>6.1</v>
      </c>
    </row>
    <row r="317" spans="1:4" x14ac:dyDescent="0.15">
      <c r="A317" t="s">
        <v>596</v>
      </c>
      <c r="B317">
        <v>6.1</v>
      </c>
      <c r="C317" t="str">
        <f t="shared" si="8"/>
        <v>ソラナックス０．４ｍｇ錠</v>
      </c>
      <c r="D317">
        <f t="shared" si="9"/>
        <v>6.1</v>
      </c>
    </row>
    <row r="318" spans="1:4" x14ac:dyDescent="0.15">
      <c r="A318" t="s">
        <v>597</v>
      </c>
      <c r="B318">
        <v>7.6</v>
      </c>
      <c r="C318" t="str">
        <f t="shared" si="8"/>
        <v>ソラナックス０．８ｍｇ錠</v>
      </c>
      <c r="D318">
        <f t="shared" si="9"/>
        <v>7.6</v>
      </c>
    </row>
    <row r="319" spans="1:4" x14ac:dyDescent="0.15">
      <c r="A319" t="s">
        <v>597</v>
      </c>
      <c r="B319">
        <v>7.6</v>
      </c>
      <c r="C319" t="str">
        <f t="shared" si="8"/>
        <v>ソラナックス０．８ｍｇ錠</v>
      </c>
      <c r="D319">
        <f t="shared" si="9"/>
        <v>7.6</v>
      </c>
    </row>
    <row r="320" spans="1:4" x14ac:dyDescent="0.15">
      <c r="A320" t="s">
        <v>598</v>
      </c>
      <c r="B320">
        <v>33</v>
      </c>
      <c r="C320" t="str">
        <f t="shared" si="8"/>
        <v>ソリフェナシンコハク酸塩ＯＤ錠５ｍｇ「トーワ」</v>
      </c>
      <c r="D320">
        <f t="shared" si="9"/>
        <v>33</v>
      </c>
    </row>
    <row r="321" spans="1:4" x14ac:dyDescent="0.15">
      <c r="A321" t="s">
        <v>598</v>
      </c>
      <c r="B321">
        <v>33</v>
      </c>
      <c r="C321" t="str">
        <f t="shared" si="8"/>
        <v>ソリフェナシンコハク酸塩ＯＤ錠５ｍｇ「トーワ」</v>
      </c>
      <c r="D321">
        <f t="shared" si="9"/>
        <v>33</v>
      </c>
    </row>
    <row r="322" spans="1:4" x14ac:dyDescent="0.15">
      <c r="A322" t="s">
        <v>599</v>
      </c>
      <c r="B322">
        <v>216</v>
      </c>
      <c r="C322" t="str">
        <f t="shared" ref="C322:C385" si="10">DBCS(A322)</f>
        <v>ソルダクトン静注用１００ｍｇ</v>
      </c>
      <c r="D322">
        <f t="shared" ref="D322:D385" si="11">B322</f>
        <v>216</v>
      </c>
    </row>
    <row r="323" spans="1:4" x14ac:dyDescent="0.15">
      <c r="A323" t="s">
        <v>601</v>
      </c>
      <c r="B323">
        <v>145</v>
      </c>
      <c r="C323" t="str">
        <f t="shared" si="10"/>
        <v>ソルデム－１輸液　２００ｍｌ</v>
      </c>
      <c r="D323">
        <f t="shared" si="11"/>
        <v>145</v>
      </c>
    </row>
    <row r="324" spans="1:4" x14ac:dyDescent="0.15">
      <c r="A324" t="s">
        <v>603</v>
      </c>
      <c r="B324">
        <v>184</v>
      </c>
      <c r="C324" t="str">
        <f t="shared" si="10"/>
        <v>ソルデム１輸液　５００ｍｌ</v>
      </c>
      <c r="D324">
        <f t="shared" si="11"/>
        <v>184</v>
      </c>
    </row>
    <row r="325" spans="1:4" x14ac:dyDescent="0.15">
      <c r="A325" t="s">
        <v>605</v>
      </c>
      <c r="B325">
        <v>157.4</v>
      </c>
      <c r="C325" t="str">
        <f t="shared" si="10"/>
        <v>ダーブロック錠２ｍｇ</v>
      </c>
      <c r="D325">
        <f t="shared" si="11"/>
        <v>157.4</v>
      </c>
    </row>
    <row r="326" spans="1:4" x14ac:dyDescent="0.15">
      <c r="A326" t="s">
        <v>607</v>
      </c>
      <c r="B326">
        <v>50.7</v>
      </c>
      <c r="C326" t="str">
        <f t="shared" si="10"/>
        <v>ダイアップ坐剤４</v>
      </c>
      <c r="D326">
        <f t="shared" si="11"/>
        <v>50.7</v>
      </c>
    </row>
    <row r="327" spans="1:4" x14ac:dyDescent="0.15">
      <c r="A327" t="s">
        <v>609</v>
      </c>
      <c r="B327">
        <v>61</v>
      </c>
      <c r="C327" t="str">
        <f t="shared" si="10"/>
        <v>ダイビタミックス注</v>
      </c>
      <c r="D327">
        <f t="shared" si="11"/>
        <v>61</v>
      </c>
    </row>
    <row r="328" spans="1:4" x14ac:dyDescent="0.15">
      <c r="A328" t="s">
        <v>612</v>
      </c>
      <c r="B328">
        <v>15.1</v>
      </c>
      <c r="C328" t="str">
        <f t="shared" si="10"/>
        <v>ダイフェン配合錠</v>
      </c>
      <c r="D328">
        <f t="shared" si="11"/>
        <v>15.1</v>
      </c>
    </row>
    <row r="329" spans="1:4" x14ac:dyDescent="0.15">
      <c r="A329" t="s">
        <v>614</v>
      </c>
      <c r="B329">
        <v>153.5</v>
      </c>
      <c r="C329" t="str">
        <f t="shared" si="10"/>
        <v>タクロリムスカプセル１ｍｇ「ニプロ」</v>
      </c>
      <c r="D329">
        <f t="shared" si="11"/>
        <v>153.5</v>
      </c>
    </row>
    <row r="330" spans="1:4" x14ac:dyDescent="0.15">
      <c r="A330" t="s">
        <v>615</v>
      </c>
      <c r="B330">
        <v>94.3</v>
      </c>
      <c r="C330" t="str">
        <f t="shared" si="10"/>
        <v>タケキャブＯＤ錠１０ｍｇ</v>
      </c>
      <c r="D330">
        <f t="shared" si="11"/>
        <v>94.3</v>
      </c>
    </row>
    <row r="331" spans="1:4" x14ac:dyDescent="0.15">
      <c r="A331" t="s">
        <v>615</v>
      </c>
      <c r="B331">
        <v>94.3</v>
      </c>
      <c r="C331" t="str">
        <f t="shared" si="10"/>
        <v>タケキャブＯＤ錠１０ｍｇ</v>
      </c>
      <c r="D331">
        <f t="shared" si="11"/>
        <v>94.3</v>
      </c>
    </row>
    <row r="332" spans="1:4" x14ac:dyDescent="0.15">
      <c r="A332" t="s">
        <v>617</v>
      </c>
      <c r="B332">
        <v>141</v>
      </c>
      <c r="C332" t="str">
        <f t="shared" si="10"/>
        <v>タケキャブＯＤ錠２０ｍｇ</v>
      </c>
      <c r="D332">
        <f t="shared" si="11"/>
        <v>141</v>
      </c>
    </row>
    <row r="333" spans="1:4" x14ac:dyDescent="0.15">
      <c r="A333" t="s">
        <v>618</v>
      </c>
      <c r="B333">
        <v>452</v>
      </c>
      <c r="C333" t="str">
        <f t="shared" si="10"/>
        <v>タケプロン静注用３０ｍｇ</v>
      </c>
      <c r="D333">
        <f t="shared" si="11"/>
        <v>452</v>
      </c>
    </row>
    <row r="334" spans="1:4" x14ac:dyDescent="0.15">
      <c r="A334" t="s">
        <v>620</v>
      </c>
      <c r="B334">
        <v>7.2</v>
      </c>
      <c r="C334" t="str">
        <f t="shared" si="10"/>
        <v>タチオン錠５０ｍｇ</v>
      </c>
      <c r="D334">
        <f t="shared" si="11"/>
        <v>7.2</v>
      </c>
    </row>
    <row r="335" spans="1:4" x14ac:dyDescent="0.15">
      <c r="A335" t="s">
        <v>622</v>
      </c>
      <c r="B335">
        <v>18.5</v>
      </c>
      <c r="C335" t="str">
        <f t="shared" si="10"/>
        <v>タムスロシン塩酸塩ＯＤ錠０．２ｍｇ「サワイ」</v>
      </c>
      <c r="D335">
        <f t="shared" si="11"/>
        <v>18.5</v>
      </c>
    </row>
    <row r="336" spans="1:4" x14ac:dyDescent="0.15">
      <c r="A336" t="s">
        <v>622</v>
      </c>
      <c r="B336">
        <v>18.5</v>
      </c>
      <c r="C336" t="str">
        <f t="shared" si="10"/>
        <v>タムスロシン塩酸塩ＯＤ錠０．２ｍｇ「サワイ」</v>
      </c>
      <c r="D336">
        <f t="shared" si="11"/>
        <v>18.5</v>
      </c>
    </row>
    <row r="337" spans="1:4" x14ac:dyDescent="0.15">
      <c r="A337" t="s">
        <v>623</v>
      </c>
      <c r="B337">
        <v>23.8</v>
      </c>
      <c r="C337" t="str">
        <f t="shared" si="10"/>
        <v>ダラシンカプセル１５０ｍｇ</v>
      </c>
      <c r="D337">
        <f t="shared" si="11"/>
        <v>23.8</v>
      </c>
    </row>
    <row r="338" spans="1:4" x14ac:dyDescent="0.15">
      <c r="A338" t="s">
        <v>624</v>
      </c>
      <c r="B338">
        <v>92.5</v>
      </c>
      <c r="C338" t="str">
        <f t="shared" si="10"/>
        <v>タリージェ錠５ｍｇ</v>
      </c>
      <c r="D338">
        <f t="shared" si="11"/>
        <v>92.5</v>
      </c>
    </row>
    <row r="339" spans="1:4" x14ac:dyDescent="0.15">
      <c r="A339" t="s">
        <v>625</v>
      </c>
      <c r="B339">
        <v>113.5</v>
      </c>
      <c r="C339" t="str">
        <f t="shared" si="10"/>
        <v>タリビッド眼軟膏０．３％</v>
      </c>
      <c r="D339">
        <f t="shared" si="11"/>
        <v>113.5</v>
      </c>
    </row>
    <row r="340" spans="1:4" x14ac:dyDescent="0.15">
      <c r="A340" t="s">
        <v>627</v>
      </c>
      <c r="B340">
        <v>111.2</v>
      </c>
      <c r="C340" t="str">
        <f t="shared" si="10"/>
        <v>タリビッド耳科用液０．３％</v>
      </c>
      <c r="D340">
        <f t="shared" si="11"/>
        <v>111.2</v>
      </c>
    </row>
    <row r="341" spans="1:4" x14ac:dyDescent="0.15">
      <c r="A341" t="s">
        <v>629</v>
      </c>
      <c r="B341">
        <v>6155</v>
      </c>
      <c r="C341" t="str">
        <f t="shared" si="10"/>
        <v>ダルベポエチン　アルファＢＳ注１２０μｇシリンジ「三和」</v>
      </c>
      <c r="D341">
        <f t="shared" si="11"/>
        <v>6155</v>
      </c>
    </row>
    <row r="342" spans="1:4" x14ac:dyDescent="0.15">
      <c r="A342" t="s">
        <v>630</v>
      </c>
      <c r="B342">
        <v>1976</v>
      </c>
      <c r="C342" t="str">
        <f t="shared" si="10"/>
        <v>ダルベポエチン　アルファＢＳ注３０μｇシリンジ「三和」</v>
      </c>
      <c r="D342">
        <f t="shared" si="11"/>
        <v>1976</v>
      </c>
    </row>
    <row r="343" spans="1:4" x14ac:dyDescent="0.15">
      <c r="A343" t="s">
        <v>631</v>
      </c>
      <c r="B343">
        <v>3424</v>
      </c>
      <c r="C343" t="str">
        <f t="shared" si="10"/>
        <v>ダルベポエチンアルファＢＳ注６０μｇシリンジ「三和」</v>
      </c>
      <c r="D343">
        <f t="shared" si="11"/>
        <v>3424</v>
      </c>
    </row>
    <row r="344" spans="1:4" x14ac:dyDescent="0.15">
      <c r="A344" t="s">
        <v>632</v>
      </c>
      <c r="B344">
        <v>17.600000000000001</v>
      </c>
      <c r="C344" t="str">
        <f t="shared" si="10"/>
        <v>ダントリウム　カプセル　２５ＭＧ</v>
      </c>
      <c r="D344">
        <f t="shared" si="11"/>
        <v>17.600000000000001</v>
      </c>
    </row>
    <row r="345" spans="1:4" x14ac:dyDescent="0.15">
      <c r="A345" t="s">
        <v>634</v>
      </c>
      <c r="B345">
        <v>9039</v>
      </c>
      <c r="C345" t="str">
        <f t="shared" si="10"/>
        <v>ダントリウム静注用２０ＭＧ</v>
      </c>
      <c r="D345">
        <f t="shared" si="11"/>
        <v>9039</v>
      </c>
    </row>
    <row r="346" spans="1:4" x14ac:dyDescent="0.15">
      <c r="A346" t="s">
        <v>636</v>
      </c>
      <c r="B346">
        <v>7.2</v>
      </c>
      <c r="C346" t="str">
        <f t="shared" si="10"/>
        <v>タンニン酸アルブミン「ＶＴＲＳ」原末　　　</v>
      </c>
      <c r="D346">
        <f t="shared" si="11"/>
        <v>7.2</v>
      </c>
    </row>
    <row r="347" spans="1:4" x14ac:dyDescent="0.15">
      <c r="A347" t="s">
        <v>637</v>
      </c>
      <c r="B347">
        <v>40.5</v>
      </c>
      <c r="C347" t="str">
        <f t="shared" si="10"/>
        <v>タンボコール錠５０ｍｇ</v>
      </c>
      <c r="D347">
        <f t="shared" si="11"/>
        <v>40.5</v>
      </c>
    </row>
    <row r="348" spans="1:4" x14ac:dyDescent="0.15">
      <c r="A348" t="s">
        <v>638</v>
      </c>
      <c r="B348">
        <v>960</v>
      </c>
      <c r="C348" t="str">
        <f t="shared" si="10"/>
        <v>チエナム点滴静注用０．５ｇ</v>
      </c>
      <c r="D348">
        <f t="shared" si="11"/>
        <v>960</v>
      </c>
    </row>
    <row r="349" spans="1:4" x14ac:dyDescent="0.15">
      <c r="A349" t="s">
        <v>640</v>
      </c>
      <c r="B349">
        <v>6.1</v>
      </c>
      <c r="C349" t="str">
        <f t="shared" si="10"/>
        <v>チザニジン錠１ｍｇ「トーワ」　</v>
      </c>
      <c r="D349">
        <f t="shared" si="11"/>
        <v>6.1</v>
      </c>
    </row>
    <row r="350" spans="1:4" x14ac:dyDescent="0.15">
      <c r="A350" t="s">
        <v>640</v>
      </c>
      <c r="B350">
        <v>6.1</v>
      </c>
      <c r="C350" t="str">
        <f t="shared" si="10"/>
        <v>チザニジン錠１ｍｇ「トーワ」　</v>
      </c>
      <c r="D350">
        <f t="shared" si="11"/>
        <v>6.1</v>
      </c>
    </row>
    <row r="351" spans="1:4" x14ac:dyDescent="0.15">
      <c r="A351" t="s">
        <v>641</v>
      </c>
      <c r="B351">
        <v>52.3</v>
      </c>
      <c r="C351" t="str">
        <f t="shared" si="10"/>
        <v>チモロール点眼液０．５％「ニッテン」</v>
      </c>
      <c r="D351">
        <f t="shared" si="11"/>
        <v>52.3</v>
      </c>
    </row>
    <row r="352" spans="1:4" x14ac:dyDescent="0.15">
      <c r="A352" t="s">
        <v>643</v>
      </c>
      <c r="B352">
        <v>10.4</v>
      </c>
      <c r="C352" t="str">
        <f t="shared" si="10"/>
        <v>チラーヂンＳ錠２５μｇ</v>
      </c>
      <c r="D352">
        <f t="shared" si="11"/>
        <v>10.4</v>
      </c>
    </row>
    <row r="353" spans="1:4" x14ac:dyDescent="0.15">
      <c r="A353" t="s">
        <v>645</v>
      </c>
      <c r="B353">
        <v>10.4</v>
      </c>
      <c r="C353" t="str">
        <f t="shared" si="10"/>
        <v>チラーヂンＳ錠５０μｇ</v>
      </c>
      <c r="D353">
        <f t="shared" si="11"/>
        <v>10.4</v>
      </c>
    </row>
    <row r="354" spans="1:4" x14ac:dyDescent="0.15">
      <c r="A354" t="s">
        <v>646</v>
      </c>
      <c r="B354">
        <v>20192</v>
      </c>
      <c r="C354" t="str">
        <f t="shared" si="10"/>
        <v>チラーヂンＳ静注液２００μｇ</v>
      </c>
      <c r="D354">
        <f t="shared" si="11"/>
        <v>20192</v>
      </c>
    </row>
    <row r="355" spans="1:4" x14ac:dyDescent="0.15">
      <c r="A355" t="s">
        <v>648</v>
      </c>
      <c r="B355">
        <v>34.1</v>
      </c>
      <c r="C355" t="str">
        <f t="shared" si="10"/>
        <v>ツイミーグ錠５００ｍｇ</v>
      </c>
      <c r="D355">
        <f t="shared" si="11"/>
        <v>34.1</v>
      </c>
    </row>
    <row r="356" spans="1:4" x14ac:dyDescent="0.15">
      <c r="A356" t="s">
        <v>649</v>
      </c>
      <c r="B356">
        <v>22.8</v>
      </c>
      <c r="C356" t="str">
        <f t="shared" si="10"/>
        <v>ツロブテロールテープ１ｍｇ「サワイ」</v>
      </c>
      <c r="D356">
        <f t="shared" si="11"/>
        <v>22.8</v>
      </c>
    </row>
    <row r="357" spans="1:4" x14ac:dyDescent="0.15">
      <c r="A357" t="s">
        <v>651</v>
      </c>
      <c r="B357">
        <v>44.9</v>
      </c>
      <c r="C357" t="str">
        <f t="shared" si="10"/>
        <v>デエビゴ錠２．５ｍｇ</v>
      </c>
      <c r="D357">
        <f t="shared" si="11"/>
        <v>44.9</v>
      </c>
    </row>
    <row r="358" spans="1:4" x14ac:dyDescent="0.15">
      <c r="A358" t="s">
        <v>651</v>
      </c>
      <c r="B358">
        <v>44.9</v>
      </c>
      <c r="C358" t="str">
        <f t="shared" si="10"/>
        <v>デエビゴ錠２．５ｍｇ</v>
      </c>
      <c r="D358">
        <f t="shared" si="11"/>
        <v>44.9</v>
      </c>
    </row>
    <row r="359" spans="1:4" x14ac:dyDescent="0.15">
      <c r="A359" t="s">
        <v>652</v>
      </c>
      <c r="B359">
        <v>71.3</v>
      </c>
      <c r="C359" t="str">
        <f t="shared" si="10"/>
        <v>デエビゴ錠５ｍｇ</v>
      </c>
      <c r="D359">
        <f t="shared" si="11"/>
        <v>71.3</v>
      </c>
    </row>
    <row r="360" spans="1:4" x14ac:dyDescent="0.15">
      <c r="A360" t="s">
        <v>652</v>
      </c>
      <c r="B360">
        <v>71.3</v>
      </c>
      <c r="C360" t="str">
        <f t="shared" si="10"/>
        <v>デエビゴ錠５ｍｇ</v>
      </c>
      <c r="D360">
        <f t="shared" si="11"/>
        <v>71.3</v>
      </c>
    </row>
    <row r="361" spans="1:4" x14ac:dyDescent="0.15">
      <c r="A361" t="s">
        <v>653</v>
      </c>
      <c r="B361">
        <v>6.1</v>
      </c>
      <c r="C361" t="str">
        <f t="shared" si="10"/>
        <v>テオフィリン徐放Ｕ錠２００ｍｇ「トーワ」</v>
      </c>
      <c r="D361">
        <f t="shared" si="11"/>
        <v>6.1</v>
      </c>
    </row>
    <row r="362" spans="1:4" x14ac:dyDescent="0.15">
      <c r="A362" t="s">
        <v>654</v>
      </c>
      <c r="B362">
        <v>6.1</v>
      </c>
      <c r="C362" t="str">
        <f t="shared" si="10"/>
        <v>デカドロン錠０．５ｍｇ</v>
      </c>
      <c r="D362">
        <f t="shared" si="11"/>
        <v>6.1</v>
      </c>
    </row>
    <row r="363" spans="1:4" x14ac:dyDescent="0.15">
      <c r="A363" t="s">
        <v>655</v>
      </c>
      <c r="B363">
        <v>173</v>
      </c>
      <c r="C363" t="str">
        <f t="shared" si="10"/>
        <v>デカドロン注射液３．３ｍｇ</v>
      </c>
      <c r="D363">
        <f t="shared" si="11"/>
        <v>173</v>
      </c>
    </row>
    <row r="364" spans="1:4" x14ac:dyDescent="0.15">
      <c r="A364" t="s">
        <v>656</v>
      </c>
      <c r="B364">
        <v>194</v>
      </c>
      <c r="C364" t="str">
        <f t="shared" si="10"/>
        <v>デカドロン注射液６．６ｍｇ</v>
      </c>
      <c r="D364">
        <f t="shared" si="11"/>
        <v>194</v>
      </c>
    </row>
    <row r="365" spans="1:4" x14ac:dyDescent="0.15">
      <c r="A365" t="s">
        <v>659</v>
      </c>
      <c r="B365">
        <v>39</v>
      </c>
      <c r="C365" t="str">
        <f t="shared" si="10"/>
        <v>デキサメタゾン口腔用軟膏０．１％「日医工」</v>
      </c>
      <c r="D365">
        <f t="shared" si="11"/>
        <v>39</v>
      </c>
    </row>
    <row r="366" spans="1:4" x14ac:dyDescent="0.15">
      <c r="A366" t="s">
        <v>661</v>
      </c>
      <c r="B366">
        <v>5.9</v>
      </c>
      <c r="C366" t="str">
        <f t="shared" si="10"/>
        <v>デキストロメトルファン臭化水素酸塩錠１５ｍｇ「トーワ」</v>
      </c>
      <c r="D366">
        <f t="shared" si="11"/>
        <v>5.9</v>
      </c>
    </row>
    <row r="367" spans="1:4" x14ac:dyDescent="0.15">
      <c r="A367" t="s">
        <v>663</v>
      </c>
      <c r="B367">
        <v>19.2</v>
      </c>
      <c r="C367" t="str">
        <f t="shared" si="10"/>
        <v>テクスメテン　ユニバーサル　クリーム０．１％</v>
      </c>
      <c r="D367">
        <f t="shared" si="11"/>
        <v>19.2</v>
      </c>
    </row>
    <row r="368" spans="1:4" x14ac:dyDescent="0.15">
      <c r="A368" t="s">
        <v>665</v>
      </c>
      <c r="B368">
        <v>9.1</v>
      </c>
      <c r="C368" t="str">
        <f t="shared" si="10"/>
        <v>テトラミド錠１０ｍｇ</v>
      </c>
      <c r="D368">
        <f t="shared" si="11"/>
        <v>9.1</v>
      </c>
    </row>
    <row r="369" spans="1:4" x14ac:dyDescent="0.15">
      <c r="A369" t="s">
        <v>667</v>
      </c>
      <c r="B369">
        <v>25</v>
      </c>
      <c r="C369" t="str">
        <f t="shared" si="10"/>
        <v>テトラミド錠３０ｍｇ</v>
      </c>
      <c r="D369">
        <f t="shared" si="11"/>
        <v>25</v>
      </c>
    </row>
    <row r="370" spans="1:4" x14ac:dyDescent="0.15">
      <c r="A370" t="s">
        <v>668</v>
      </c>
      <c r="B370">
        <v>11.3</v>
      </c>
      <c r="C370" t="str">
        <f t="shared" si="10"/>
        <v>デノタスチュアブル配合錠</v>
      </c>
      <c r="D370">
        <f t="shared" si="11"/>
        <v>11.3</v>
      </c>
    </row>
    <row r="371" spans="1:4" x14ac:dyDescent="0.15">
      <c r="A371" t="s">
        <v>671</v>
      </c>
      <c r="B371">
        <v>11.3</v>
      </c>
      <c r="C371" t="str">
        <f t="shared" si="10"/>
        <v>デパケンＲ錠２００ｍｇ</v>
      </c>
      <c r="D371">
        <f t="shared" si="11"/>
        <v>11.3</v>
      </c>
    </row>
    <row r="372" spans="1:4" x14ac:dyDescent="0.15">
      <c r="A372" t="s">
        <v>670</v>
      </c>
      <c r="B372">
        <v>11.3</v>
      </c>
      <c r="C372" t="str">
        <f t="shared" si="10"/>
        <v>デパケンＲ錠２００ｍｇ</v>
      </c>
      <c r="D372">
        <f t="shared" si="11"/>
        <v>11.3</v>
      </c>
    </row>
    <row r="373" spans="1:4" x14ac:dyDescent="0.15">
      <c r="A373" t="s">
        <v>672</v>
      </c>
      <c r="B373">
        <v>34</v>
      </c>
      <c r="C373" t="str">
        <f t="shared" si="10"/>
        <v>デパス細粒１％</v>
      </c>
      <c r="D373">
        <f t="shared" si="11"/>
        <v>34</v>
      </c>
    </row>
    <row r="374" spans="1:4" x14ac:dyDescent="0.15">
      <c r="A374" t="s">
        <v>673</v>
      </c>
      <c r="B374">
        <v>6.5</v>
      </c>
      <c r="C374" t="str">
        <f t="shared" si="10"/>
        <v>テプレノンカプセル５０ｍｇ「ＹＤ」</v>
      </c>
      <c r="D374">
        <f t="shared" si="11"/>
        <v>6.5</v>
      </c>
    </row>
    <row r="375" spans="1:4" x14ac:dyDescent="0.15">
      <c r="A375" t="s">
        <v>674</v>
      </c>
      <c r="B375">
        <v>9.4</v>
      </c>
      <c r="C375" t="str">
        <f t="shared" si="10"/>
        <v>テプレノン細粒１０％「ＹＤ」</v>
      </c>
      <c r="D375">
        <f t="shared" si="11"/>
        <v>9.4</v>
      </c>
    </row>
    <row r="376" spans="1:4" x14ac:dyDescent="0.15">
      <c r="A376" t="s">
        <v>675</v>
      </c>
      <c r="B376">
        <v>18.3</v>
      </c>
      <c r="C376" t="str">
        <f t="shared" si="10"/>
        <v>デプロメール錠２５</v>
      </c>
      <c r="D376">
        <f t="shared" si="11"/>
        <v>18.3</v>
      </c>
    </row>
    <row r="377" spans="1:4" x14ac:dyDescent="0.15">
      <c r="A377" t="s">
        <v>675</v>
      </c>
      <c r="B377">
        <v>18.3</v>
      </c>
      <c r="C377" t="str">
        <f t="shared" si="10"/>
        <v>デプロメール錠２５</v>
      </c>
      <c r="D377">
        <f t="shared" si="11"/>
        <v>18.3</v>
      </c>
    </row>
    <row r="378" spans="1:4" x14ac:dyDescent="0.15">
      <c r="A378" t="s">
        <v>676</v>
      </c>
      <c r="B378">
        <v>26.8</v>
      </c>
      <c r="C378" t="str">
        <f t="shared" si="10"/>
        <v>デュタステリドカプセル０．５ｍｇＡＶ「サワイ」</v>
      </c>
      <c r="D378">
        <f t="shared" si="11"/>
        <v>26.8</v>
      </c>
    </row>
    <row r="379" spans="1:4" x14ac:dyDescent="0.15">
      <c r="A379" t="s">
        <v>678</v>
      </c>
      <c r="B379">
        <v>25.7</v>
      </c>
      <c r="C379" t="str">
        <f t="shared" si="10"/>
        <v>デュロキセチンカプセル２０ｍｇ「ＤＳＥＰ」</v>
      </c>
      <c r="D379">
        <f t="shared" si="11"/>
        <v>25.7</v>
      </c>
    </row>
    <row r="380" spans="1:4" x14ac:dyDescent="0.15">
      <c r="A380" t="s">
        <v>678</v>
      </c>
      <c r="B380">
        <v>25.7</v>
      </c>
      <c r="C380" t="str">
        <f t="shared" si="10"/>
        <v>デュロキセチンカプセル２０ｍｇ「ＤＳＥＰ」</v>
      </c>
      <c r="D380">
        <f t="shared" si="11"/>
        <v>25.7</v>
      </c>
    </row>
    <row r="381" spans="1:4" x14ac:dyDescent="0.15">
      <c r="A381" t="s">
        <v>679</v>
      </c>
      <c r="B381">
        <v>10045</v>
      </c>
      <c r="C381" t="str">
        <f t="shared" si="10"/>
        <v>テリボン皮下注用５６．５μｇ　溶解液付</v>
      </c>
      <c r="D381">
        <f t="shared" si="11"/>
        <v>10045</v>
      </c>
    </row>
    <row r="382" spans="1:4" x14ac:dyDescent="0.15">
      <c r="A382" t="s">
        <v>683</v>
      </c>
      <c r="B382">
        <v>9.5</v>
      </c>
      <c r="C382" t="str">
        <f t="shared" si="10"/>
        <v>テルビナフィン塩酸塩クリーム　１％「サワイ」</v>
      </c>
      <c r="D382">
        <f t="shared" si="11"/>
        <v>9.5</v>
      </c>
    </row>
    <row r="383" spans="1:4" x14ac:dyDescent="0.15">
      <c r="A383" t="s">
        <v>684</v>
      </c>
      <c r="B383">
        <v>9.5</v>
      </c>
      <c r="C383" t="str">
        <f t="shared" si="10"/>
        <v>テルビナフィン塩酸塩外用液１％「サワイ」</v>
      </c>
      <c r="D383">
        <f t="shared" si="11"/>
        <v>9.5</v>
      </c>
    </row>
    <row r="384" spans="1:4" x14ac:dyDescent="0.15">
      <c r="A384" t="s">
        <v>685</v>
      </c>
      <c r="B384">
        <v>10.4</v>
      </c>
      <c r="C384" t="str">
        <f t="shared" si="10"/>
        <v>テルミサルタンＯＤ錠２０ｍｇ「トーワ」</v>
      </c>
      <c r="D384">
        <f t="shared" si="11"/>
        <v>10.4</v>
      </c>
    </row>
    <row r="385" spans="1:4" x14ac:dyDescent="0.15">
      <c r="A385" t="s">
        <v>685</v>
      </c>
      <c r="B385">
        <v>10.4</v>
      </c>
      <c r="C385" t="str">
        <f t="shared" si="10"/>
        <v>テルミサルタンＯＤ錠２０ｍｇ「トーワ」</v>
      </c>
      <c r="D385">
        <f t="shared" si="11"/>
        <v>10.4</v>
      </c>
    </row>
    <row r="386" spans="1:4" x14ac:dyDescent="0.15">
      <c r="A386" t="s">
        <v>686</v>
      </c>
      <c r="B386">
        <v>27.7</v>
      </c>
      <c r="C386" t="str">
        <f t="shared" ref="C386:C449" si="12">DBCS(A386)</f>
        <v>デルモゾールＧ軟膏</v>
      </c>
      <c r="D386">
        <f t="shared" ref="D386:D449" si="13">B386</f>
        <v>27.7</v>
      </c>
    </row>
    <row r="387" spans="1:4" x14ac:dyDescent="0.15">
      <c r="A387" t="s">
        <v>686</v>
      </c>
      <c r="B387">
        <v>27.7</v>
      </c>
      <c r="C387" t="str">
        <f t="shared" si="12"/>
        <v>デルモゾールＧ軟膏</v>
      </c>
      <c r="D387">
        <f t="shared" si="13"/>
        <v>27.7</v>
      </c>
    </row>
    <row r="388" spans="1:4" x14ac:dyDescent="0.15">
      <c r="A388" t="s">
        <v>688</v>
      </c>
      <c r="B388">
        <v>14.6</v>
      </c>
      <c r="C388" t="str">
        <f t="shared" si="12"/>
        <v>デルモベート軟膏０．０５％</v>
      </c>
      <c r="D388">
        <f t="shared" si="13"/>
        <v>14.6</v>
      </c>
    </row>
    <row r="389" spans="1:4" x14ac:dyDescent="0.15">
      <c r="A389" t="s">
        <v>690</v>
      </c>
      <c r="B389">
        <v>7.2</v>
      </c>
      <c r="C389" t="str">
        <f t="shared" si="12"/>
        <v>トアラセット配合錠「オーハラ」</v>
      </c>
      <c r="D389">
        <f t="shared" si="13"/>
        <v>7.2</v>
      </c>
    </row>
    <row r="390" spans="1:4" x14ac:dyDescent="0.15">
      <c r="A390" t="s">
        <v>692</v>
      </c>
      <c r="B390">
        <v>6.5</v>
      </c>
      <c r="C390" t="str">
        <f t="shared" si="12"/>
        <v>トーワチーム配合顆粒</v>
      </c>
      <c r="D390">
        <f t="shared" si="13"/>
        <v>6.5</v>
      </c>
    </row>
    <row r="391" spans="1:4" x14ac:dyDescent="0.15">
      <c r="A391" t="s">
        <v>696</v>
      </c>
      <c r="B391">
        <v>73.099999999999994</v>
      </c>
      <c r="C391" t="str">
        <f t="shared" si="12"/>
        <v>ドネペジル塩酸塩ＯＤ錠１０ｍｇ「トーワ」</v>
      </c>
      <c r="D391">
        <f t="shared" si="13"/>
        <v>73.099999999999994</v>
      </c>
    </row>
    <row r="392" spans="1:4" x14ac:dyDescent="0.15">
      <c r="A392" t="s">
        <v>696</v>
      </c>
      <c r="B392">
        <v>73.099999999999994</v>
      </c>
      <c r="C392" t="str">
        <f t="shared" si="12"/>
        <v>ドネペジル塩酸塩ＯＤ錠１０ｍｇ「トーワ」</v>
      </c>
      <c r="D392">
        <f t="shared" si="13"/>
        <v>73.099999999999994</v>
      </c>
    </row>
    <row r="393" spans="1:4" x14ac:dyDescent="0.15">
      <c r="A393" t="s">
        <v>697</v>
      </c>
      <c r="B393">
        <v>29.1</v>
      </c>
      <c r="C393" t="str">
        <f t="shared" si="12"/>
        <v>ドネペジル塩酸塩ＯＤ錠３ｍｇ「トーワ」</v>
      </c>
      <c r="D393">
        <f t="shared" si="13"/>
        <v>29.1</v>
      </c>
    </row>
    <row r="394" spans="1:4" x14ac:dyDescent="0.15">
      <c r="A394" t="s">
        <v>697</v>
      </c>
      <c r="B394">
        <v>29.1</v>
      </c>
      <c r="C394" t="str">
        <f t="shared" si="12"/>
        <v>ドネペジル塩酸塩ＯＤ錠３ｍｇ「トーワ」</v>
      </c>
      <c r="D394">
        <f t="shared" si="13"/>
        <v>29.1</v>
      </c>
    </row>
    <row r="395" spans="1:4" x14ac:dyDescent="0.15">
      <c r="A395" t="s">
        <v>699</v>
      </c>
      <c r="B395">
        <v>43.4</v>
      </c>
      <c r="C395" t="str">
        <f t="shared" si="12"/>
        <v>ドネペジル塩酸塩ＯＤ錠５ｍｇ「トーワ」</v>
      </c>
      <c r="D395">
        <f t="shared" si="13"/>
        <v>43.4</v>
      </c>
    </row>
    <row r="396" spans="1:4" x14ac:dyDescent="0.15">
      <c r="A396" t="s">
        <v>699</v>
      </c>
      <c r="B396">
        <v>43.4</v>
      </c>
      <c r="C396" t="str">
        <f t="shared" si="12"/>
        <v>ドネペジル塩酸塩ＯＤ錠５ｍｇ「トーワ」</v>
      </c>
      <c r="D396">
        <f t="shared" si="13"/>
        <v>43.4</v>
      </c>
    </row>
    <row r="397" spans="1:4" x14ac:dyDescent="0.15">
      <c r="A397" t="s">
        <v>700</v>
      </c>
      <c r="B397">
        <v>339</v>
      </c>
      <c r="C397" t="str">
        <f t="shared" si="12"/>
        <v>ドパストン静注５０ｍｇ</v>
      </c>
      <c r="D397">
        <f t="shared" si="13"/>
        <v>339</v>
      </c>
    </row>
    <row r="398" spans="1:4" x14ac:dyDescent="0.15">
      <c r="A398" t="s">
        <v>702</v>
      </c>
      <c r="B398">
        <v>146</v>
      </c>
      <c r="C398" t="str">
        <f t="shared" si="12"/>
        <v>ドパミン塩酸塩点滴静注１００ｍｇ「ＮＰ」</v>
      </c>
      <c r="D398">
        <f t="shared" si="13"/>
        <v>146</v>
      </c>
    </row>
    <row r="399" spans="1:4" x14ac:dyDescent="0.15">
      <c r="A399" t="s">
        <v>704</v>
      </c>
      <c r="B399">
        <v>29.7</v>
      </c>
      <c r="C399" t="str">
        <f t="shared" si="12"/>
        <v>トピロリック錠４０ｍｇ</v>
      </c>
      <c r="D399">
        <f t="shared" si="13"/>
        <v>29.7</v>
      </c>
    </row>
    <row r="400" spans="1:4" x14ac:dyDescent="0.15">
      <c r="A400" t="s">
        <v>706</v>
      </c>
      <c r="B400">
        <v>32.700000000000003</v>
      </c>
      <c r="C400" t="str">
        <f t="shared" si="12"/>
        <v>ドプスＯＤ錠１００ｍｇ</v>
      </c>
      <c r="D400">
        <f t="shared" si="13"/>
        <v>32.700000000000003</v>
      </c>
    </row>
    <row r="401" spans="1:4" x14ac:dyDescent="0.15">
      <c r="A401" t="s">
        <v>707</v>
      </c>
      <c r="B401">
        <v>10.1</v>
      </c>
      <c r="C401" t="str">
        <f t="shared" si="12"/>
        <v>トフラニール錠１０ｍｇ</v>
      </c>
      <c r="D401">
        <f t="shared" si="13"/>
        <v>10.1</v>
      </c>
    </row>
    <row r="402" spans="1:4" x14ac:dyDescent="0.15">
      <c r="A402" t="s">
        <v>708</v>
      </c>
      <c r="B402">
        <v>6.1</v>
      </c>
      <c r="C402" t="str">
        <f t="shared" si="12"/>
        <v>トラセミド錠４ｍｇ「ＫＯ」</v>
      </c>
      <c r="D402">
        <f t="shared" si="13"/>
        <v>6.1</v>
      </c>
    </row>
    <row r="403" spans="1:4" x14ac:dyDescent="0.15">
      <c r="A403" t="s">
        <v>710</v>
      </c>
      <c r="B403">
        <v>118.9</v>
      </c>
      <c r="C403" t="str">
        <f t="shared" si="12"/>
        <v>トラゼンタ錠５ｍｇ</v>
      </c>
      <c r="D403">
        <f t="shared" si="13"/>
        <v>118.9</v>
      </c>
    </row>
    <row r="404" spans="1:4" x14ac:dyDescent="0.15">
      <c r="A404" t="s">
        <v>711</v>
      </c>
      <c r="B404">
        <v>6.1</v>
      </c>
      <c r="C404" t="str">
        <f t="shared" si="12"/>
        <v>トラゾドン塩酸塩錠２５ｍｇ「アメル」</v>
      </c>
      <c r="D404">
        <f t="shared" si="13"/>
        <v>6.1</v>
      </c>
    </row>
    <row r="405" spans="1:4" x14ac:dyDescent="0.15">
      <c r="A405" t="s">
        <v>711</v>
      </c>
      <c r="B405">
        <v>6.1</v>
      </c>
      <c r="C405" t="str">
        <f t="shared" si="12"/>
        <v>トラゾドン塩酸塩錠２５ｍｇ「アメル」</v>
      </c>
      <c r="D405">
        <f t="shared" si="13"/>
        <v>6.1</v>
      </c>
    </row>
    <row r="406" spans="1:4" x14ac:dyDescent="0.15">
      <c r="A406" t="s">
        <v>712</v>
      </c>
      <c r="B406">
        <v>17</v>
      </c>
      <c r="C406" t="str">
        <f t="shared" si="12"/>
        <v>トラマールＯＤ錠２５ｍｇ</v>
      </c>
      <c r="D406">
        <f t="shared" si="13"/>
        <v>17</v>
      </c>
    </row>
    <row r="407" spans="1:4" x14ac:dyDescent="0.15">
      <c r="A407" t="s">
        <v>713</v>
      </c>
      <c r="B407">
        <v>10.4</v>
      </c>
      <c r="C407" t="str">
        <f t="shared" si="12"/>
        <v>トランサミンカプセル２５０ｍｇ　　　　　　　　</v>
      </c>
      <c r="D407">
        <f t="shared" si="13"/>
        <v>10.4</v>
      </c>
    </row>
    <row r="408" spans="1:4" x14ac:dyDescent="0.15">
      <c r="A408" t="s">
        <v>715</v>
      </c>
      <c r="B408">
        <v>100</v>
      </c>
      <c r="C408" t="str">
        <f t="shared" si="12"/>
        <v>トランサミン注５％　　　　　　　　　　</v>
      </c>
      <c r="D408">
        <f t="shared" si="13"/>
        <v>100</v>
      </c>
    </row>
    <row r="409" spans="1:4" x14ac:dyDescent="0.15">
      <c r="A409" t="s">
        <v>1238</v>
      </c>
      <c r="B409">
        <v>5.9</v>
      </c>
      <c r="C409" t="str">
        <f t="shared" si="12"/>
        <v>トリアゾラム錠０．１２５ｍｇ「ＣＨ」　　採用中止</v>
      </c>
      <c r="D409">
        <f t="shared" si="13"/>
        <v>5.9</v>
      </c>
    </row>
    <row r="410" spans="1:4" x14ac:dyDescent="0.15">
      <c r="A410" t="s">
        <v>717</v>
      </c>
      <c r="B410">
        <v>6.1</v>
      </c>
      <c r="C410" t="str">
        <f t="shared" si="12"/>
        <v>トリアゾラム錠０．２５ｍｇ「ＣＨ」　　　採用中止</v>
      </c>
      <c r="D410">
        <f t="shared" si="13"/>
        <v>6.1</v>
      </c>
    </row>
    <row r="411" spans="1:4" x14ac:dyDescent="0.15">
      <c r="A411" t="s">
        <v>718</v>
      </c>
      <c r="B411">
        <v>6.1</v>
      </c>
      <c r="C411" t="str">
        <f t="shared" si="12"/>
        <v>トリアゾラム錠０．２５ｍｇ「日医工」　　　　　　　　</v>
      </c>
      <c r="D411">
        <f t="shared" si="13"/>
        <v>6.1</v>
      </c>
    </row>
    <row r="412" spans="1:4" x14ac:dyDescent="0.15">
      <c r="A412" t="s">
        <v>719</v>
      </c>
      <c r="B412">
        <v>10.1</v>
      </c>
      <c r="C412" t="str">
        <f t="shared" si="12"/>
        <v>トリプタノール錠２５</v>
      </c>
      <c r="D412">
        <f t="shared" si="13"/>
        <v>10.1</v>
      </c>
    </row>
    <row r="413" spans="1:4" x14ac:dyDescent="0.15">
      <c r="A413" t="s">
        <v>1239</v>
      </c>
      <c r="B413">
        <v>256</v>
      </c>
      <c r="C413" t="str">
        <f t="shared" si="12"/>
        <v>トリフリード輸液（１）</v>
      </c>
      <c r="D413">
        <f t="shared" si="13"/>
        <v>256</v>
      </c>
    </row>
    <row r="414" spans="1:4" x14ac:dyDescent="0.15">
      <c r="A414" t="s">
        <v>720</v>
      </c>
      <c r="B414">
        <v>9</v>
      </c>
      <c r="C414" t="str">
        <f t="shared" si="12"/>
        <v>トリヘキシフェニジル塩酸塩錠２ｍｇ「ＮＩＧ」　</v>
      </c>
      <c r="D414">
        <f t="shared" si="13"/>
        <v>9</v>
      </c>
    </row>
    <row r="415" spans="1:4" x14ac:dyDescent="0.15">
      <c r="A415" t="s">
        <v>720</v>
      </c>
      <c r="B415">
        <v>9</v>
      </c>
      <c r="C415" t="str">
        <f t="shared" si="12"/>
        <v>トリヘキシフェニジル塩酸塩錠２ｍｇ「ＮＩＧ」　</v>
      </c>
      <c r="D415">
        <f t="shared" si="13"/>
        <v>9</v>
      </c>
    </row>
    <row r="416" spans="1:4" x14ac:dyDescent="0.15">
      <c r="A416" t="s">
        <v>723</v>
      </c>
      <c r="B416">
        <v>6.1</v>
      </c>
      <c r="C416" t="str">
        <f t="shared" si="12"/>
        <v>トリメブチンマレイン酸塩錠１００ｍｇ「トーワ」</v>
      </c>
      <c r="D416">
        <f t="shared" si="13"/>
        <v>6.1</v>
      </c>
    </row>
    <row r="417" spans="1:4" x14ac:dyDescent="0.15">
      <c r="A417" t="s">
        <v>724</v>
      </c>
      <c r="B417">
        <v>161.69999999999999</v>
      </c>
      <c r="C417" t="str">
        <f t="shared" si="12"/>
        <v>トリンテリックス錠１０ｍｇ</v>
      </c>
      <c r="D417">
        <f t="shared" si="13"/>
        <v>161.69999999999999</v>
      </c>
    </row>
    <row r="418" spans="1:4" x14ac:dyDescent="0.15">
      <c r="A418" t="s">
        <v>725</v>
      </c>
      <c r="B418">
        <v>309</v>
      </c>
      <c r="C418" t="str">
        <f t="shared" si="12"/>
        <v>トルバプタンＯＤ錠７．５ｍｇ「ＴＥ」</v>
      </c>
      <c r="D418">
        <f t="shared" si="13"/>
        <v>309</v>
      </c>
    </row>
    <row r="419" spans="1:4" x14ac:dyDescent="0.15">
      <c r="A419" t="s">
        <v>727</v>
      </c>
      <c r="B419">
        <v>115</v>
      </c>
      <c r="C419" t="str">
        <f t="shared" si="12"/>
        <v>ドルミカム注射液１０ｍｇ</v>
      </c>
      <c r="D419">
        <f t="shared" si="13"/>
        <v>115</v>
      </c>
    </row>
    <row r="420" spans="1:4" x14ac:dyDescent="0.15">
      <c r="A420" t="s">
        <v>728</v>
      </c>
      <c r="B420">
        <v>2749</v>
      </c>
      <c r="C420" t="str">
        <f t="shared" si="12"/>
        <v>トルリシティ皮下注０．７５ｍｇアテオス</v>
      </c>
      <c r="D420">
        <f t="shared" si="13"/>
        <v>2749</v>
      </c>
    </row>
    <row r="421" spans="1:4" x14ac:dyDescent="0.15">
      <c r="A421" t="s">
        <v>731</v>
      </c>
      <c r="B421">
        <v>1841</v>
      </c>
      <c r="C421" t="str">
        <f t="shared" si="12"/>
        <v>トレシーバ注フレックスタッチ</v>
      </c>
      <c r="D421">
        <f t="shared" si="13"/>
        <v>1841</v>
      </c>
    </row>
    <row r="422" spans="1:4" x14ac:dyDescent="0.15">
      <c r="A422" t="s">
        <v>733</v>
      </c>
      <c r="B422">
        <v>9.1999999999999993</v>
      </c>
      <c r="C422" t="str">
        <f t="shared" si="12"/>
        <v>トレドミン錠１５ｍｇ　　　　　　　</v>
      </c>
      <c r="D422">
        <f t="shared" si="13"/>
        <v>9.1999999999999993</v>
      </c>
    </row>
    <row r="423" spans="1:4" x14ac:dyDescent="0.15">
      <c r="A423" t="s">
        <v>734</v>
      </c>
      <c r="B423">
        <v>12.8</v>
      </c>
      <c r="C423" t="str">
        <f t="shared" si="12"/>
        <v>トレドミン錠２５ｍｇ　　　　　　　</v>
      </c>
      <c r="D423">
        <f t="shared" si="13"/>
        <v>12.8</v>
      </c>
    </row>
    <row r="424" spans="1:4" x14ac:dyDescent="0.15">
      <c r="A424" t="s">
        <v>735</v>
      </c>
      <c r="B424">
        <v>49.7</v>
      </c>
      <c r="C424" t="str">
        <f t="shared" si="12"/>
        <v>ドロキシドパカプセル１００ｍｇ「アメル」</v>
      </c>
      <c r="D424">
        <f t="shared" si="13"/>
        <v>49.7</v>
      </c>
    </row>
    <row r="425" spans="1:4" x14ac:dyDescent="0.15">
      <c r="A425" t="s">
        <v>736</v>
      </c>
      <c r="B425">
        <v>6.1</v>
      </c>
      <c r="C425" t="str">
        <f t="shared" si="12"/>
        <v>ドンペリドン錠１０ｍｇ「ＪＧ」</v>
      </c>
      <c r="D425">
        <f t="shared" si="13"/>
        <v>6.1</v>
      </c>
    </row>
    <row r="426" spans="1:4" x14ac:dyDescent="0.15">
      <c r="A426" t="s">
        <v>737</v>
      </c>
      <c r="B426">
        <v>76.5</v>
      </c>
      <c r="C426" t="str">
        <f t="shared" si="12"/>
        <v>ナウゼリン坐剤６０</v>
      </c>
      <c r="D426">
        <f t="shared" si="13"/>
        <v>76.5</v>
      </c>
    </row>
    <row r="427" spans="1:4" x14ac:dyDescent="0.15">
      <c r="A427" t="s">
        <v>739</v>
      </c>
      <c r="B427">
        <v>10.4</v>
      </c>
      <c r="C427" t="str">
        <f t="shared" si="12"/>
        <v>ナトリックス錠１</v>
      </c>
      <c r="D427">
        <f t="shared" si="13"/>
        <v>10.4</v>
      </c>
    </row>
    <row r="428" spans="1:4" x14ac:dyDescent="0.15">
      <c r="A428" t="s">
        <v>740</v>
      </c>
      <c r="B428">
        <v>6.1</v>
      </c>
      <c r="C428" t="str">
        <f t="shared" si="12"/>
        <v>ニコランジル錠５ｍｇ「トーワ」　　　　　　　　　</v>
      </c>
      <c r="D428">
        <f t="shared" si="13"/>
        <v>6.1</v>
      </c>
    </row>
    <row r="429" spans="1:4" x14ac:dyDescent="0.15">
      <c r="A429" t="s">
        <v>741</v>
      </c>
      <c r="B429">
        <v>10.1</v>
      </c>
      <c r="C429" t="str">
        <f t="shared" si="12"/>
        <v>ニセルゴリン錠５ｍｇ「トーワ」</v>
      </c>
      <c r="D429">
        <f t="shared" si="13"/>
        <v>10.1</v>
      </c>
    </row>
    <row r="430" spans="1:4" x14ac:dyDescent="0.15">
      <c r="A430" t="s">
        <v>742</v>
      </c>
      <c r="B430">
        <v>16</v>
      </c>
      <c r="C430" t="str">
        <f t="shared" si="12"/>
        <v>ニゾラールクリーム２％　　　　　　　　　</v>
      </c>
      <c r="D430">
        <f t="shared" si="13"/>
        <v>16</v>
      </c>
    </row>
    <row r="431" spans="1:4" x14ac:dyDescent="0.15">
      <c r="A431" t="s">
        <v>744</v>
      </c>
      <c r="B431">
        <v>22.1</v>
      </c>
      <c r="C431" t="str">
        <f t="shared" si="12"/>
        <v>ニゾラールローション２％</v>
      </c>
      <c r="D431">
        <f t="shared" si="13"/>
        <v>22.1</v>
      </c>
    </row>
    <row r="432" spans="1:4" x14ac:dyDescent="0.15">
      <c r="A432" t="s">
        <v>746</v>
      </c>
      <c r="B432">
        <v>10</v>
      </c>
      <c r="C432" t="str">
        <f t="shared" si="12"/>
        <v>ニトロペン舌下錠０．３ｍｇ</v>
      </c>
      <c r="D432">
        <f t="shared" si="13"/>
        <v>10</v>
      </c>
    </row>
    <row r="433" spans="1:4" x14ac:dyDescent="0.15">
      <c r="A433" t="s">
        <v>747</v>
      </c>
      <c r="B433">
        <v>8.3000000000000007</v>
      </c>
      <c r="C433" t="str">
        <f t="shared" si="12"/>
        <v>ニフェジピンカプセル１０ｍｇ「サワイ」</v>
      </c>
      <c r="D433">
        <f t="shared" si="13"/>
        <v>8.3000000000000007</v>
      </c>
    </row>
    <row r="434" spans="1:4" x14ac:dyDescent="0.15">
      <c r="A434" t="s">
        <v>748</v>
      </c>
      <c r="B434">
        <v>296.10000000000002</v>
      </c>
      <c r="C434" t="str">
        <f t="shared" si="12"/>
        <v>ニュープロパッチ４．５ｍｇ</v>
      </c>
      <c r="D434">
        <f t="shared" si="13"/>
        <v>296.10000000000002</v>
      </c>
    </row>
    <row r="435" spans="1:4" x14ac:dyDescent="0.15">
      <c r="A435" t="s">
        <v>749</v>
      </c>
      <c r="B435">
        <v>4735</v>
      </c>
      <c r="C435" t="str">
        <f t="shared" si="12"/>
        <v>ニューモバックスＮＰシリンジ</v>
      </c>
      <c r="D435">
        <f t="shared" si="13"/>
        <v>4735</v>
      </c>
    </row>
    <row r="436" spans="1:4" x14ac:dyDescent="0.15">
      <c r="A436" t="s">
        <v>751</v>
      </c>
      <c r="B436">
        <v>6.7</v>
      </c>
      <c r="C436" t="str">
        <f t="shared" si="12"/>
        <v>ニューレプチル錠１０ｍｇ</v>
      </c>
      <c r="D436">
        <f t="shared" si="13"/>
        <v>6.7</v>
      </c>
    </row>
    <row r="437" spans="1:4" x14ac:dyDescent="0.15">
      <c r="A437" t="s">
        <v>752</v>
      </c>
      <c r="B437">
        <v>6.1</v>
      </c>
      <c r="C437" t="str">
        <f t="shared" si="12"/>
        <v>ニューレプチル錠５ｍｇ</v>
      </c>
      <c r="D437">
        <f t="shared" si="13"/>
        <v>6.1</v>
      </c>
    </row>
    <row r="438" spans="1:4" x14ac:dyDescent="0.15">
      <c r="A438" t="s">
        <v>753</v>
      </c>
      <c r="B438">
        <v>10.1</v>
      </c>
      <c r="C438" t="str">
        <f t="shared" si="12"/>
        <v>ニルバジピン錠２ｍｇ「サワイ」</v>
      </c>
      <c r="D438">
        <f t="shared" si="13"/>
        <v>10.1</v>
      </c>
    </row>
    <row r="439" spans="1:4" x14ac:dyDescent="0.15">
      <c r="A439" t="s">
        <v>754</v>
      </c>
      <c r="B439">
        <v>10.4</v>
      </c>
      <c r="C439" t="str">
        <f t="shared" si="12"/>
        <v>ニルバジピン錠４ｍｇ「サワイ」</v>
      </c>
      <c r="D439">
        <f t="shared" si="13"/>
        <v>10.4</v>
      </c>
    </row>
    <row r="440" spans="1:4" x14ac:dyDescent="0.15">
      <c r="A440" t="s">
        <v>755</v>
      </c>
      <c r="B440">
        <v>814.8</v>
      </c>
      <c r="C440" t="str">
        <f t="shared" si="12"/>
        <v>ネイリンカプセル１００ｍｇ</v>
      </c>
      <c r="D440">
        <f t="shared" si="13"/>
        <v>814.8</v>
      </c>
    </row>
    <row r="441" spans="1:4" x14ac:dyDescent="0.15">
      <c r="A441" t="s">
        <v>757</v>
      </c>
      <c r="B441">
        <v>14.7</v>
      </c>
      <c r="C441" t="str">
        <f t="shared" si="12"/>
        <v>ネオドパストン配合錠Ｌ１００</v>
      </c>
      <c r="D441">
        <f t="shared" si="13"/>
        <v>14.7</v>
      </c>
    </row>
    <row r="442" spans="1:4" x14ac:dyDescent="0.15">
      <c r="A442" t="s">
        <v>758</v>
      </c>
      <c r="B442">
        <v>61</v>
      </c>
      <c r="C442" t="str">
        <f t="shared" si="12"/>
        <v>ネオファーゲン静注２０ｍｌ</v>
      </c>
      <c r="D442">
        <f t="shared" si="13"/>
        <v>61</v>
      </c>
    </row>
    <row r="443" spans="1:4" x14ac:dyDescent="0.15">
      <c r="A443" t="s">
        <v>760</v>
      </c>
      <c r="B443">
        <v>100</v>
      </c>
      <c r="C443" t="str">
        <f t="shared" si="12"/>
        <v>ネオフィリン注２５０ｍｇ</v>
      </c>
      <c r="D443">
        <f t="shared" si="13"/>
        <v>100</v>
      </c>
    </row>
    <row r="444" spans="1:4" x14ac:dyDescent="0.15">
      <c r="A444" t="s">
        <v>761</v>
      </c>
      <c r="B444">
        <v>41</v>
      </c>
      <c r="C444" t="str">
        <f t="shared" si="12"/>
        <v>ネオメドロールＥＥ軟膏</v>
      </c>
      <c r="D444">
        <f t="shared" si="13"/>
        <v>41</v>
      </c>
    </row>
    <row r="445" spans="1:4" x14ac:dyDescent="0.15">
      <c r="A445" t="s">
        <v>763</v>
      </c>
      <c r="B445">
        <v>28.5</v>
      </c>
      <c r="C445" t="str">
        <f t="shared" si="12"/>
        <v>ノイロトロピン錠４単位</v>
      </c>
      <c r="D445">
        <f t="shared" si="13"/>
        <v>28.5</v>
      </c>
    </row>
    <row r="446" spans="1:4" x14ac:dyDescent="0.15">
      <c r="A446" t="s">
        <v>765</v>
      </c>
      <c r="B446">
        <v>6</v>
      </c>
      <c r="C446" t="str">
        <f t="shared" si="12"/>
        <v>ノイロビタン配合錠</v>
      </c>
      <c r="D446">
        <f t="shared" si="13"/>
        <v>6</v>
      </c>
    </row>
    <row r="447" spans="1:4" x14ac:dyDescent="0.15">
      <c r="A447" t="s">
        <v>765</v>
      </c>
      <c r="B447">
        <v>6</v>
      </c>
      <c r="C447" t="str">
        <f t="shared" si="12"/>
        <v>ノイロビタン配合錠</v>
      </c>
      <c r="D447">
        <f t="shared" si="13"/>
        <v>6</v>
      </c>
    </row>
    <row r="448" spans="1:4" x14ac:dyDescent="0.15">
      <c r="A448" t="s">
        <v>766</v>
      </c>
      <c r="B448">
        <v>770.6</v>
      </c>
      <c r="C448" t="str">
        <f t="shared" si="12"/>
        <v>ノウリアスト錠２０ｍｇ</v>
      </c>
      <c r="D448">
        <f t="shared" si="13"/>
        <v>770.6</v>
      </c>
    </row>
    <row r="449" spans="1:4" x14ac:dyDescent="0.15">
      <c r="A449" t="s">
        <v>767</v>
      </c>
      <c r="B449">
        <v>201.1</v>
      </c>
      <c r="C449" t="str">
        <f t="shared" si="12"/>
        <v>ノベルジン錠２５ｍｇ</v>
      </c>
      <c r="D449">
        <f t="shared" si="13"/>
        <v>201.1</v>
      </c>
    </row>
    <row r="450" spans="1:4" x14ac:dyDescent="0.15">
      <c r="A450" t="s">
        <v>769</v>
      </c>
      <c r="B450">
        <v>100</v>
      </c>
      <c r="C450" t="str">
        <f t="shared" ref="C450:C513" si="14">DBCS(A450)</f>
        <v>ノルアドリナリン注１ｍｇ</v>
      </c>
      <c r="D450">
        <f t="shared" ref="D450:D513" si="15">B450</f>
        <v>100</v>
      </c>
    </row>
    <row r="451" spans="1:4" x14ac:dyDescent="0.15">
      <c r="A451" t="s">
        <v>771</v>
      </c>
      <c r="B451">
        <v>10.1</v>
      </c>
      <c r="C451" t="str">
        <f t="shared" si="14"/>
        <v>ハーフジゴキシンＫＹ錠０．１２５</v>
      </c>
      <c r="D451">
        <f t="shared" si="15"/>
        <v>10.1</v>
      </c>
    </row>
    <row r="452" spans="1:4" x14ac:dyDescent="0.15">
      <c r="A452" t="s">
        <v>772</v>
      </c>
      <c r="B452">
        <v>12.3</v>
      </c>
      <c r="C452" t="str">
        <f t="shared" si="14"/>
        <v>ハイペン錠２００ｍｇ</v>
      </c>
      <c r="D452">
        <f t="shared" si="15"/>
        <v>12.3</v>
      </c>
    </row>
    <row r="453" spans="1:4" x14ac:dyDescent="0.15">
      <c r="A453" t="s">
        <v>773</v>
      </c>
      <c r="B453">
        <v>33.700000000000003</v>
      </c>
      <c r="C453" t="str">
        <f t="shared" si="14"/>
        <v>パキシルＣＲ錠１２．５ｍｇ</v>
      </c>
      <c r="D453">
        <f t="shared" si="15"/>
        <v>33.700000000000003</v>
      </c>
    </row>
    <row r="454" spans="1:4" x14ac:dyDescent="0.15">
      <c r="A454" t="s">
        <v>773</v>
      </c>
      <c r="B454">
        <v>33.700000000000003</v>
      </c>
      <c r="C454" t="str">
        <f t="shared" si="14"/>
        <v>パキシルＣＲ錠１２．５ｍｇ</v>
      </c>
      <c r="D454">
        <f t="shared" si="15"/>
        <v>33.700000000000003</v>
      </c>
    </row>
    <row r="455" spans="1:4" x14ac:dyDescent="0.15">
      <c r="A455" t="s">
        <v>774</v>
      </c>
      <c r="B455">
        <v>5.9</v>
      </c>
      <c r="C455" t="str">
        <f t="shared" si="14"/>
        <v>バッサミン配合錠Ａ８１</v>
      </c>
      <c r="D455">
        <f t="shared" si="15"/>
        <v>5.9</v>
      </c>
    </row>
    <row r="456" spans="1:4" x14ac:dyDescent="0.15">
      <c r="A456" t="s">
        <v>775</v>
      </c>
      <c r="B456">
        <v>42.6</v>
      </c>
      <c r="C456" t="str">
        <f t="shared" si="14"/>
        <v>バナン錠１００ｍｇ（第一三共）</v>
      </c>
      <c r="D456">
        <f t="shared" si="15"/>
        <v>42.6</v>
      </c>
    </row>
    <row r="457" spans="1:4" x14ac:dyDescent="0.15">
      <c r="A457" t="s">
        <v>776</v>
      </c>
      <c r="B457">
        <v>4691</v>
      </c>
      <c r="C457" t="str">
        <f t="shared" si="14"/>
        <v>ハベカシン注射液７５ｍｇ</v>
      </c>
      <c r="D457">
        <f t="shared" si="15"/>
        <v>4691</v>
      </c>
    </row>
    <row r="458" spans="1:4" x14ac:dyDescent="0.15">
      <c r="A458" t="s">
        <v>779</v>
      </c>
      <c r="B458">
        <v>67.5</v>
      </c>
      <c r="C458" t="str">
        <f t="shared" si="14"/>
        <v>バラシクロビル錠５００ｍｇ「ＳＰＫＫ」</v>
      </c>
      <c r="D458">
        <f t="shared" si="15"/>
        <v>67.5</v>
      </c>
    </row>
    <row r="459" spans="1:4" x14ac:dyDescent="0.15">
      <c r="A459" t="s">
        <v>781</v>
      </c>
      <c r="B459">
        <v>26.3</v>
      </c>
      <c r="C459" t="str">
        <f t="shared" si="14"/>
        <v>バルプロ酸ＮＡ徐放顆粒４０％「フジナガ」</v>
      </c>
      <c r="D459">
        <f t="shared" si="15"/>
        <v>26.3</v>
      </c>
    </row>
    <row r="460" spans="1:4" x14ac:dyDescent="0.15">
      <c r="A460" t="s">
        <v>782</v>
      </c>
      <c r="B460">
        <v>7</v>
      </c>
      <c r="C460" t="str">
        <f t="shared" si="14"/>
        <v>バルプロ酸ナトリウムシロップ５％「ＤＳＰ」</v>
      </c>
      <c r="D460">
        <f t="shared" si="15"/>
        <v>7</v>
      </c>
    </row>
    <row r="461" spans="1:4" x14ac:dyDescent="0.15">
      <c r="A461" t="s">
        <v>784</v>
      </c>
      <c r="B461">
        <v>14.3</v>
      </c>
      <c r="C461" t="str">
        <f t="shared" si="14"/>
        <v>バルプロ酸ナトリウム錠２００ｍｇ「ＤＳＰ」</v>
      </c>
      <c r="D461">
        <f t="shared" si="15"/>
        <v>14.3</v>
      </c>
    </row>
    <row r="462" spans="1:4" x14ac:dyDescent="0.15">
      <c r="A462" t="s">
        <v>785</v>
      </c>
      <c r="B462">
        <v>554</v>
      </c>
      <c r="C462" t="str">
        <f t="shared" si="14"/>
        <v>パレプラス輸液</v>
      </c>
      <c r="D462">
        <f t="shared" si="15"/>
        <v>554</v>
      </c>
    </row>
    <row r="463" spans="1:4" x14ac:dyDescent="0.15">
      <c r="A463" t="s">
        <v>786</v>
      </c>
      <c r="B463">
        <v>14.6</v>
      </c>
      <c r="C463" t="str">
        <f t="shared" si="14"/>
        <v>パロキセチンＯＤ錠１０ｍｇ「トーワ」</v>
      </c>
      <c r="D463">
        <f t="shared" si="15"/>
        <v>14.6</v>
      </c>
    </row>
    <row r="464" spans="1:4" x14ac:dyDescent="0.15">
      <c r="A464" t="s">
        <v>786</v>
      </c>
      <c r="B464">
        <v>14.6</v>
      </c>
      <c r="C464" t="str">
        <f t="shared" si="14"/>
        <v>パロキセチンＯＤ錠１０ｍｇ「トーワ」</v>
      </c>
      <c r="D464">
        <f t="shared" si="15"/>
        <v>14.6</v>
      </c>
    </row>
    <row r="465" spans="1:4" x14ac:dyDescent="0.15">
      <c r="A465" t="s">
        <v>787</v>
      </c>
      <c r="B465">
        <v>10.1</v>
      </c>
      <c r="C465" t="str">
        <f t="shared" si="14"/>
        <v>ハロペリドール細粒１％「ヨシトミ」　　　　　　　</v>
      </c>
      <c r="D465">
        <f t="shared" si="15"/>
        <v>10.1</v>
      </c>
    </row>
    <row r="466" spans="1:4" x14ac:dyDescent="0.15">
      <c r="A466" t="s">
        <v>788</v>
      </c>
      <c r="B466">
        <v>6.2</v>
      </c>
      <c r="C466" t="str">
        <f t="shared" si="14"/>
        <v>ハロペリドール錠０．７５ｍｇ「アメル」　　　　　　</v>
      </c>
      <c r="D466">
        <f t="shared" si="15"/>
        <v>6.2</v>
      </c>
    </row>
    <row r="467" spans="1:4" x14ac:dyDescent="0.15">
      <c r="A467" t="s">
        <v>789</v>
      </c>
      <c r="B467">
        <v>6.3</v>
      </c>
      <c r="C467" t="str">
        <f t="shared" si="14"/>
        <v>ハロペリドール錠１．５ｍｇ「アメル」　　　　　　　</v>
      </c>
      <c r="D467">
        <f t="shared" si="15"/>
        <v>6.3</v>
      </c>
    </row>
    <row r="468" spans="1:4" x14ac:dyDescent="0.15">
      <c r="A468" t="s">
        <v>791</v>
      </c>
      <c r="B468">
        <v>6.3</v>
      </c>
      <c r="C468" t="str">
        <f t="shared" si="14"/>
        <v>ハロペリドール錠１ｍｇ「アメル」</v>
      </c>
      <c r="D468">
        <f t="shared" si="15"/>
        <v>6.3</v>
      </c>
    </row>
    <row r="469" spans="1:4" x14ac:dyDescent="0.15">
      <c r="A469" t="s">
        <v>790</v>
      </c>
      <c r="B469">
        <v>6.3</v>
      </c>
      <c r="C469" t="str">
        <f t="shared" si="14"/>
        <v>ハロペリドール錠１ｍｇ「アメル」</v>
      </c>
      <c r="D469">
        <f t="shared" si="15"/>
        <v>6.3</v>
      </c>
    </row>
    <row r="470" spans="1:4" x14ac:dyDescent="0.15">
      <c r="A470" t="s">
        <v>792</v>
      </c>
      <c r="B470">
        <v>6.6</v>
      </c>
      <c r="C470" t="str">
        <f t="shared" si="14"/>
        <v>ハロペリドール錠３ｍｇ「アメル」</v>
      </c>
      <c r="D470">
        <f t="shared" si="15"/>
        <v>6.6</v>
      </c>
    </row>
    <row r="471" spans="1:4" x14ac:dyDescent="0.15">
      <c r="A471" t="s">
        <v>793</v>
      </c>
      <c r="B471">
        <v>2263</v>
      </c>
      <c r="C471" t="str">
        <f t="shared" si="14"/>
        <v>ハロマンス注１００ｍｇ</v>
      </c>
      <c r="D471">
        <f t="shared" si="15"/>
        <v>2263</v>
      </c>
    </row>
    <row r="472" spans="1:4" x14ac:dyDescent="0.15">
      <c r="A472" t="s">
        <v>795</v>
      </c>
      <c r="B472">
        <v>1443</v>
      </c>
      <c r="C472" t="str">
        <f t="shared" si="14"/>
        <v>ハロマンス注５０ｍｇ</v>
      </c>
      <c r="D472">
        <f t="shared" si="15"/>
        <v>1443</v>
      </c>
    </row>
    <row r="473" spans="1:4" x14ac:dyDescent="0.15">
      <c r="A473" t="s">
        <v>796</v>
      </c>
      <c r="B473">
        <v>754</v>
      </c>
      <c r="C473" t="str">
        <f t="shared" si="14"/>
        <v>バンコマイシン塩酸塩点滴静注用０．５ｇ「ＶＴＲＳ」</v>
      </c>
      <c r="D473">
        <f t="shared" si="15"/>
        <v>754</v>
      </c>
    </row>
    <row r="474" spans="1:4" x14ac:dyDescent="0.15">
      <c r="A474" t="s">
        <v>797</v>
      </c>
      <c r="B474">
        <v>61</v>
      </c>
      <c r="C474" t="str">
        <f t="shared" si="14"/>
        <v>パントール注射液５００ＭＧ</v>
      </c>
      <c r="D474">
        <f t="shared" si="15"/>
        <v>61</v>
      </c>
    </row>
    <row r="475" spans="1:4" x14ac:dyDescent="0.15">
      <c r="A475" t="s">
        <v>800</v>
      </c>
      <c r="B475">
        <v>11.1</v>
      </c>
      <c r="C475" t="str">
        <f t="shared" si="14"/>
        <v>パントシン散２０％</v>
      </c>
      <c r="D475">
        <f t="shared" si="15"/>
        <v>11.1</v>
      </c>
    </row>
    <row r="476" spans="1:4" x14ac:dyDescent="0.15">
      <c r="A476" t="s">
        <v>801</v>
      </c>
      <c r="B476">
        <v>10.8</v>
      </c>
      <c r="C476" t="str">
        <f t="shared" si="14"/>
        <v>パントシン錠２００</v>
      </c>
      <c r="D476">
        <f t="shared" si="15"/>
        <v>10.8</v>
      </c>
    </row>
    <row r="477" spans="1:4" x14ac:dyDescent="0.15">
      <c r="A477" t="s">
        <v>801</v>
      </c>
      <c r="B477">
        <v>10.8</v>
      </c>
      <c r="C477" t="str">
        <f t="shared" si="14"/>
        <v>パントシン錠２００</v>
      </c>
      <c r="D477">
        <f t="shared" si="15"/>
        <v>10.8</v>
      </c>
    </row>
    <row r="478" spans="1:4" x14ac:dyDescent="0.15">
      <c r="A478" t="s">
        <v>802</v>
      </c>
      <c r="B478">
        <v>16.600000000000001</v>
      </c>
      <c r="C478" t="str">
        <f t="shared" si="14"/>
        <v>ビ・シフロール錠０．１２５ｍｇ</v>
      </c>
      <c r="D478">
        <f t="shared" si="15"/>
        <v>16.600000000000001</v>
      </c>
    </row>
    <row r="479" spans="1:4" x14ac:dyDescent="0.15">
      <c r="A479" t="s">
        <v>803</v>
      </c>
      <c r="B479">
        <v>144.1</v>
      </c>
      <c r="C479" t="str">
        <f t="shared" si="14"/>
        <v>ヒアルロン酸Ｎａ点眼液０．１％「ニットー」</v>
      </c>
      <c r="D479">
        <f t="shared" si="15"/>
        <v>144.1</v>
      </c>
    </row>
    <row r="480" spans="1:4" x14ac:dyDescent="0.15">
      <c r="A480" t="s">
        <v>804</v>
      </c>
      <c r="B480">
        <v>9.6999999999999993</v>
      </c>
      <c r="C480" t="str">
        <f t="shared" si="14"/>
        <v>ピーゼットシー糖衣錠４ｍｇ</v>
      </c>
      <c r="D480">
        <f t="shared" si="15"/>
        <v>9.6999999999999993</v>
      </c>
    </row>
    <row r="481" spans="1:4" x14ac:dyDescent="0.15">
      <c r="A481" t="s">
        <v>805</v>
      </c>
      <c r="B481">
        <v>11.7</v>
      </c>
      <c r="C481" t="str">
        <f t="shared" si="14"/>
        <v>ピオグリダゾンＯＤ錠１５ｍｇ「トーワ」</v>
      </c>
      <c r="D481">
        <f t="shared" si="15"/>
        <v>11.7</v>
      </c>
    </row>
    <row r="482" spans="1:4" x14ac:dyDescent="0.15">
      <c r="A482" t="s">
        <v>806</v>
      </c>
      <c r="B482">
        <v>5.9</v>
      </c>
      <c r="C482" t="str">
        <f t="shared" si="14"/>
        <v>ビオフェルミン錠剤</v>
      </c>
      <c r="D482">
        <f t="shared" si="15"/>
        <v>5.9</v>
      </c>
    </row>
    <row r="483" spans="1:4" x14ac:dyDescent="0.15">
      <c r="A483" t="s">
        <v>806</v>
      </c>
      <c r="B483">
        <v>5.9</v>
      </c>
      <c r="C483" t="str">
        <f t="shared" si="14"/>
        <v>ビオフェルミン錠剤</v>
      </c>
      <c r="D483">
        <f t="shared" si="15"/>
        <v>5.9</v>
      </c>
    </row>
    <row r="484" spans="1:4" x14ac:dyDescent="0.15">
      <c r="A484" t="s">
        <v>809</v>
      </c>
      <c r="B484">
        <v>6.5</v>
      </c>
      <c r="C484" t="str">
        <f t="shared" si="14"/>
        <v>ビオフェルミン配合散</v>
      </c>
      <c r="D484">
        <f t="shared" si="15"/>
        <v>6.5</v>
      </c>
    </row>
    <row r="485" spans="1:4" x14ac:dyDescent="0.15">
      <c r="A485" t="s">
        <v>809</v>
      </c>
      <c r="B485">
        <v>6.5</v>
      </c>
      <c r="C485" t="str">
        <f t="shared" si="14"/>
        <v>ビオフェルミン配合散</v>
      </c>
      <c r="D485">
        <f t="shared" si="15"/>
        <v>6.5</v>
      </c>
    </row>
    <row r="486" spans="1:4" x14ac:dyDescent="0.15">
      <c r="A486" t="s">
        <v>809</v>
      </c>
      <c r="B486">
        <v>6.5</v>
      </c>
      <c r="C486" t="str">
        <f t="shared" si="14"/>
        <v>ビオフェルミン配合散</v>
      </c>
      <c r="D486">
        <f t="shared" si="15"/>
        <v>6.5</v>
      </c>
    </row>
    <row r="487" spans="1:4" x14ac:dyDescent="0.15">
      <c r="A487" t="s">
        <v>814</v>
      </c>
      <c r="B487">
        <v>110.9</v>
      </c>
      <c r="C487" t="str">
        <f t="shared" si="14"/>
        <v>ビカルタミド錠８０ｍｇ「オーハラ」</v>
      </c>
      <c r="D487">
        <f t="shared" si="15"/>
        <v>110.9</v>
      </c>
    </row>
    <row r="488" spans="1:4" x14ac:dyDescent="0.15">
      <c r="A488" t="s">
        <v>815</v>
      </c>
      <c r="B488">
        <v>6.1</v>
      </c>
      <c r="C488" t="str">
        <f t="shared" si="14"/>
        <v>ピコスルファートナトリウム錠２．５ｍｇ「イワキ」</v>
      </c>
      <c r="D488">
        <f t="shared" si="15"/>
        <v>6.1</v>
      </c>
    </row>
    <row r="489" spans="1:4" x14ac:dyDescent="0.15">
      <c r="A489" t="s">
        <v>815</v>
      </c>
      <c r="B489">
        <v>6.1</v>
      </c>
      <c r="C489" t="str">
        <f t="shared" si="14"/>
        <v>ピコスルファートナトリウム錠２．５ｍｇ「イワキ」</v>
      </c>
      <c r="D489">
        <f t="shared" si="15"/>
        <v>6.1</v>
      </c>
    </row>
    <row r="490" spans="1:4" x14ac:dyDescent="0.15">
      <c r="A490" t="s">
        <v>816</v>
      </c>
      <c r="B490">
        <v>7.5</v>
      </c>
      <c r="C490" t="str">
        <f t="shared" si="14"/>
        <v>ピコスルファートナトリウム内用液０．７５％「イワキ」</v>
      </c>
      <c r="D490">
        <f t="shared" si="15"/>
        <v>7.5</v>
      </c>
    </row>
    <row r="491" spans="1:4" x14ac:dyDescent="0.15">
      <c r="A491" t="s">
        <v>817</v>
      </c>
      <c r="B491">
        <v>41.5</v>
      </c>
      <c r="C491" t="str">
        <f t="shared" si="14"/>
        <v>ビソノテープ２ｍｇ</v>
      </c>
      <c r="D491">
        <f t="shared" si="15"/>
        <v>41.5</v>
      </c>
    </row>
    <row r="492" spans="1:4" x14ac:dyDescent="0.15">
      <c r="A492" t="s">
        <v>818</v>
      </c>
      <c r="B492">
        <v>57</v>
      </c>
      <c r="C492" t="str">
        <f t="shared" si="14"/>
        <v>ビソノテープ４ｍｇ</v>
      </c>
      <c r="D492">
        <f t="shared" si="15"/>
        <v>57</v>
      </c>
    </row>
    <row r="493" spans="1:4" x14ac:dyDescent="0.15">
      <c r="A493" t="s">
        <v>819</v>
      </c>
      <c r="B493">
        <v>10.4</v>
      </c>
      <c r="C493" t="str">
        <f t="shared" si="14"/>
        <v>ビソプロロールフマル酸塩錠０．６２５ｍｇ「トーワ」</v>
      </c>
      <c r="D493">
        <f t="shared" si="15"/>
        <v>10.4</v>
      </c>
    </row>
    <row r="494" spans="1:4" x14ac:dyDescent="0.15">
      <c r="A494" t="s">
        <v>820</v>
      </c>
      <c r="B494">
        <v>10.4</v>
      </c>
      <c r="C494" t="str">
        <f t="shared" si="14"/>
        <v>ビソプロロールフマル酸塩錠２．５ｍｇ「トーワ」</v>
      </c>
      <c r="D494">
        <f t="shared" si="15"/>
        <v>10.4</v>
      </c>
    </row>
    <row r="495" spans="1:4" x14ac:dyDescent="0.15">
      <c r="A495" t="s">
        <v>821</v>
      </c>
      <c r="B495">
        <v>74.099999999999994</v>
      </c>
      <c r="C495" t="str">
        <f t="shared" si="14"/>
        <v>ビダラビン軟膏３％「ＳＷ」</v>
      </c>
      <c r="D495">
        <f t="shared" si="15"/>
        <v>74.099999999999994</v>
      </c>
    </row>
    <row r="496" spans="1:4" x14ac:dyDescent="0.15">
      <c r="A496" t="s">
        <v>823</v>
      </c>
      <c r="B496">
        <v>12.5</v>
      </c>
      <c r="C496" t="str">
        <f t="shared" si="14"/>
        <v>ビブラマイシン錠５０ｍｇ</v>
      </c>
      <c r="D496">
        <f t="shared" si="15"/>
        <v>12.5</v>
      </c>
    </row>
    <row r="497" spans="1:4" x14ac:dyDescent="0.15">
      <c r="A497" t="s">
        <v>825</v>
      </c>
      <c r="B497">
        <v>131.30000000000001</v>
      </c>
      <c r="C497" t="str">
        <f t="shared" si="14"/>
        <v>ビプレッソ徐放錠１５０ｍｇ</v>
      </c>
      <c r="D497">
        <f t="shared" si="15"/>
        <v>131.30000000000001</v>
      </c>
    </row>
    <row r="498" spans="1:4" x14ac:dyDescent="0.15">
      <c r="A498" t="s">
        <v>825</v>
      </c>
      <c r="B498">
        <v>131.30000000000001</v>
      </c>
      <c r="C498" t="str">
        <f t="shared" si="14"/>
        <v>ビプレッソ徐放錠１５０ｍｇ</v>
      </c>
      <c r="D498">
        <f t="shared" si="15"/>
        <v>131.30000000000001</v>
      </c>
    </row>
    <row r="499" spans="1:4" x14ac:dyDescent="0.15">
      <c r="A499" t="s">
        <v>826</v>
      </c>
      <c r="B499">
        <v>48.7</v>
      </c>
      <c r="C499" t="str">
        <f t="shared" si="14"/>
        <v>ビプレッソ徐放錠５０ｍｇ</v>
      </c>
      <c r="D499">
        <f t="shared" si="15"/>
        <v>48.7</v>
      </c>
    </row>
    <row r="500" spans="1:4" x14ac:dyDescent="0.15">
      <c r="A500" t="s">
        <v>826</v>
      </c>
      <c r="B500">
        <v>48.7</v>
      </c>
      <c r="C500" t="str">
        <f t="shared" si="14"/>
        <v>ビプレッソ徐放錠５０ｍｇ</v>
      </c>
      <c r="D500">
        <f t="shared" si="15"/>
        <v>48.7</v>
      </c>
    </row>
    <row r="501" spans="1:4" x14ac:dyDescent="0.15">
      <c r="A501" t="s">
        <v>827</v>
      </c>
      <c r="B501">
        <v>5.9</v>
      </c>
      <c r="C501" t="str">
        <f t="shared" si="14"/>
        <v>ビペリデン塩酸塩錠１ｍｇ「アメル」</v>
      </c>
      <c r="D501">
        <f t="shared" si="15"/>
        <v>5.9</v>
      </c>
    </row>
    <row r="502" spans="1:4" x14ac:dyDescent="0.15">
      <c r="A502" t="s">
        <v>827</v>
      </c>
      <c r="B502">
        <v>5.9</v>
      </c>
      <c r="C502" t="str">
        <f t="shared" si="14"/>
        <v>ビペリデン塩酸塩錠１ｍｇ「アメル」</v>
      </c>
      <c r="D502">
        <f t="shared" si="15"/>
        <v>5.9</v>
      </c>
    </row>
    <row r="503" spans="1:4" x14ac:dyDescent="0.15">
      <c r="A503" t="s">
        <v>828</v>
      </c>
      <c r="B503">
        <v>61</v>
      </c>
      <c r="C503" t="str">
        <f t="shared" si="14"/>
        <v>ヒベルナ注２５ｍｇ</v>
      </c>
      <c r="D503">
        <f t="shared" si="15"/>
        <v>61</v>
      </c>
    </row>
    <row r="504" spans="1:4" x14ac:dyDescent="0.15">
      <c r="A504" t="s">
        <v>831</v>
      </c>
      <c r="B504">
        <v>5.9</v>
      </c>
      <c r="C504" t="str">
        <f t="shared" si="14"/>
        <v>ヒベルナ糖衣錠２５ｍｇ</v>
      </c>
      <c r="D504">
        <f t="shared" si="15"/>
        <v>5.9</v>
      </c>
    </row>
    <row r="505" spans="1:4" x14ac:dyDescent="0.15">
      <c r="A505" t="s">
        <v>831</v>
      </c>
      <c r="B505">
        <v>5.9</v>
      </c>
      <c r="C505" t="str">
        <f t="shared" si="14"/>
        <v>ヒベルナ糖衣錠２５ｍｇ</v>
      </c>
      <c r="D505">
        <f t="shared" si="15"/>
        <v>5.9</v>
      </c>
    </row>
    <row r="506" spans="1:4" x14ac:dyDescent="0.15">
      <c r="A506" t="s">
        <v>832</v>
      </c>
      <c r="B506">
        <v>355.5</v>
      </c>
      <c r="C506" t="str">
        <f t="shared" si="14"/>
        <v>ビムパット錠１００ｍｇ</v>
      </c>
      <c r="D506">
        <f t="shared" si="15"/>
        <v>355.5</v>
      </c>
    </row>
    <row r="507" spans="1:4" x14ac:dyDescent="0.15">
      <c r="A507" t="s">
        <v>833</v>
      </c>
      <c r="B507">
        <v>217.8</v>
      </c>
      <c r="C507" t="str">
        <f t="shared" si="14"/>
        <v>ビムパット錠５０ｍｇ　採用中止</v>
      </c>
      <c r="D507">
        <f t="shared" si="15"/>
        <v>217.8</v>
      </c>
    </row>
    <row r="508" spans="1:4" x14ac:dyDescent="0.15">
      <c r="A508" t="s">
        <v>834</v>
      </c>
      <c r="B508">
        <v>39.200000000000003</v>
      </c>
      <c r="C508" t="str">
        <f t="shared" si="14"/>
        <v>ピメノールカプセル５０ｍｇ</v>
      </c>
      <c r="D508">
        <f t="shared" si="15"/>
        <v>39.200000000000003</v>
      </c>
    </row>
    <row r="509" spans="1:4" x14ac:dyDescent="0.15">
      <c r="A509" t="s">
        <v>836</v>
      </c>
      <c r="B509">
        <v>31.9</v>
      </c>
      <c r="C509" t="str">
        <f t="shared" si="14"/>
        <v>ピモベンダン錠１．２５ｍｇ「ＴＥ」</v>
      </c>
      <c r="D509">
        <f t="shared" si="15"/>
        <v>31.9</v>
      </c>
    </row>
    <row r="510" spans="1:4" x14ac:dyDescent="0.15">
      <c r="A510" t="s">
        <v>837</v>
      </c>
      <c r="B510">
        <v>232</v>
      </c>
      <c r="C510" t="str">
        <f t="shared" si="14"/>
        <v>ヒューマリンＲ注Ｕ１００単位／ｍｌ　１０ｍｌ</v>
      </c>
      <c r="D510">
        <f t="shared" si="15"/>
        <v>232</v>
      </c>
    </row>
    <row r="511" spans="1:4" x14ac:dyDescent="0.15">
      <c r="A511" t="s">
        <v>839</v>
      </c>
      <c r="B511">
        <v>1174</v>
      </c>
      <c r="C511" t="str">
        <f t="shared" si="14"/>
        <v>ヒューマリンＲ注ミリオペン　３００単位</v>
      </c>
      <c r="D511">
        <f t="shared" si="15"/>
        <v>1174</v>
      </c>
    </row>
    <row r="512" spans="1:4" x14ac:dyDescent="0.15">
      <c r="A512" t="s">
        <v>840</v>
      </c>
      <c r="B512">
        <v>1190</v>
      </c>
      <c r="C512" t="str">
        <f t="shared" si="14"/>
        <v>ヒューマログミックス５０注ミリオペン　３００単位</v>
      </c>
      <c r="D512">
        <f t="shared" si="15"/>
        <v>1190</v>
      </c>
    </row>
    <row r="513" spans="1:4" x14ac:dyDescent="0.15">
      <c r="A513" t="s">
        <v>841</v>
      </c>
      <c r="B513">
        <v>0</v>
      </c>
      <c r="C513" t="str">
        <f t="shared" si="14"/>
        <v>ピューラックス６％</v>
      </c>
      <c r="D513">
        <f t="shared" si="15"/>
        <v>0</v>
      </c>
    </row>
    <row r="514" spans="1:4" x14ac:dyDescent="0.15">
      <c r="A514" t="s">
        <v>844</v>
      </c>
      <c r="B514">
        <v>49.1</v>
      </c>
      <c r="C514" t="str">
        <f t="shared" ref="C514:C577" si="16">DBCS(A514)</f>
        <v>ビラノアＯＤ錠２０ｍｇ</v>
      </c>
      <c r="D514">
        <f t="shared" ref="D514:D577" si="17">B514</f>
        <v>49.1</v>
      </c>
    </row>
    <row r="515" spans="1:4" x14ac:dyDescent="0.15">
      <c r="A515" t="s">
        <v>844</v>
      </c>
      <c r="B515">
        <v>49.1</v>
      </c>
      <c r="C515" t="str">
        <f t="shared" si="16"/>
        <v>ビラノアＯＤ錠２０ｍｇ</v>
      </c>
      <c r="D515">
        <f t="shared" si="17"/>
        <v>49.1</v>
      </c>
    </row>
    <row r="516" spans="1:4" x14ac:dyDescent="0.15">
      <c r="A516" t="s">
        <v>845</v>
      </c>
      <c r="B516">
        <v>18.2</v>
      </c>
      <c r="C516" t="str">
        <f t="shared" si="16"/>
        <v>ヒルドイドソフト軟膏　０．３％</v>
      </c>
      <c r="D516">
        <f t="shared" si="17"/>
        <v>18.2</v>
      </c>
    </row>
    <row r="517" spans="1:4" x14ac:dyDescent="0.15">
      <c r="A517" t="s">
        <v>847</v>
      </c>
      <c r="B517">
        <v>14.3</v>
      </c>
      <c r="C517" t="str">
        <f t="shared" si="16"/>
        <v>ヒルナミン細粒１０％</v>
      </c>
      <c r="D517">
        <f t="shared" si="17"/>
        <v>14.3</v>
      </c>
    </row>
    <row r="518" spans="1:4" x14ac:dyDescent="0.15">
      <c r="A518" t="s">
        <v>848</v>
      </c>
      <c r="B518">
        <v>5.9</v>
      </c>
      <c r="C518" t="str">
        <f t="shared" si="16"/>
        <v>ヒルナミン錠（２５ｍｇ）</v>
      </c>
      <c r="D518">
        <f t="shared" si="17"/>
        <v>5.9</v>
      </c>
    </row>
    <row r="519" spans="1:4" x14ac:dyDescent="0.15">
      <c r="A519" t="s">
        <v>848</v>
      </c>
      <c r="B519">
        <v>5.9</v>
      </c>
      <c r="C519" t="str">
        <f t="shared" si="16"/>
        <v>ヒルナミン錠（２５ｍｇ）</v>
      </c>
      <c r="D519">
        <f t="shared" si="17"/>
        <v>5.9</v>
      </c>
    </row>
    <row r="520" spans="1:4" x14ac:dyDescent="0.15">
      <c r="A520" t="s">
        <v>849</v>
      </c>
      <c r="B520">
        <v>8.9</v>
      </c>
      <c r="C520" t="str">
        <f t="shared" si="16"/>
        <v>ヒルナミン錠（５０ｍｇ）</v>
      </c>
      <c r="D520">
        <f t="shared" si="17"/>
        <v>8.9</v>
      </c>
    </row>
    <row r="521" spans="1:4" x14ac:dyDescent="0.15">
      <c r="A521" t="s">
        <v>850</v>
      </c>
      <c r="B521">
        <v>5.9</v>
      </c>
      <c r="C521" t="str">
        <f t="shared" si="16"/>
        <v>ヒルナミン錠（５ｍｇ）</v>
      </c>
      <c r="D521">
        <f t="shared" si="17"/>
        <v>5.9</v>
      </c>
    </row>
    <row r="522" spans="1:4" x14ac:dyDescent="0.15">
      <c r="A522" t="s">
        <v>850</v>
      </c>
      <c r="B522">
        <v>5.9</v>
      </c>
      <c r="C522" t="str">
        <f t="shared" si="16"/>
        <v>ヒルナミン錠（５ｍｇ）</v>
      </c>
      <c r="D522">
        <f t="shared" si="17"/>
        <v>5.9</v>
      </c>
    </row>
    <row r="523" spans="1:4" x14ac:dyDescent="0.15">
      <c r="A523" t="s">
        <v>851</v>
      </c>
      <c r="B523">
        <v>67</v>
      </c>
      <c r="C523" t="str">
        <f t="shared" si="16"/>
        <v>ピレノキシン懸濁性点眼液０．００５％「参天」</v>
      </c>
      <c r="D523">
        <f t="shared" si="17"/>
        <v>67</v>
      </c>
    </row>
    <row r="524" spans="1:4" x14ac:dyDescent="0.15">
      <c r="A524" t="s">
        <v>852</v>
      </c>
      <c r="B524">
        <v>10.4</v>
      </c>
      <c r="C524" t="str">
        <f t="shared" si="16"/>
        <v>ファモチジンＤ錠２０ｍｇ「サワイ」</v>
      </c>
      <c r="D524">
        <f t="shared" si="17"/>
        <v>10.4</v>
      </c>
    </row>
    <row r="525" spans="1:4" x14ac:dyDescent="0.15">
      <c r="A525" t="s">
        <v>852</v>
      </c>
      <c r="B525">
        <v>10.4</v>
      </c>
      <c r="C525" t="str">
        <f t="shared" si="16"/>
        <v>ファモチジンＤ錠２０ｍｇ「サワイ」</v>
      </c>
      <c r="D525">
        <f t="shared" si="17"/>
        <v>10.4</v>
      </c>
    </row>
    <row r="526" spans="1:4" x14ac:dyDescent="0.15">
      <c r="A526" t="s">
        <v>853</v>
      </c>
      <c r="B526">
        <v>100</v>
      </c>
      <c r="C526" t="str">
        <f t="shared" si="16"/>
        <v>ファモチジン静注液２０ｍｇ「サワイ」</v>
      </c>
      <c r="D526">
        <f t="shared" si="17"/>
        <v>100</v>
      </c>
    </row>
    <row r="527" spans="1:4" x14ac:dyDescent="0.15">
      <c r="A527" t="s">
        <v>855</v>
      </c>
      <c r="B527">
        <v>153</v>
      </c>
      <c r="C527" t="str">
        <f t="shared" si="16"/>
        <v>ファロム錠２００ｍｇ</v>
      </c>
      <c r="D527">
        <f t="shared" si="17"/>
        <v>153</v>
      </c>
    </row>
    <row r="528" spans="1:4" x14ac:dyDescent="0.15">
      <c r="A528" t="s">
        <v>856</v>
      </c>
      <c r="B528">
        <v>195.7</v>
      </c>
      <c r="C528" t="str">
        <f t="shared" si="16"/>
        <v>フィコンパ錠２ｍｇ</v>
      </c>
      <c r="D528">
        <f t="shared" si="17"/>
        <v>195.7</v>
      </c>
    </row>
    <row r="529" spans="1:4" x14ac:dyDescent="0.15">
      <c r="A529" t="s">
        <v>858</v>
      </c>
      <c r="B529">
        <v>127</v>
      </c>
      <c r="C529" t="str">
        <f t="shared" si="16"/>
        <v>フェジン静注４０ｍｇ</v>
      </c>
      <c r="D529">
        <f t="shared" si="17"/>
        <v>127</v>
      </c>
    </row>
    <row r="530" spans="1:4" x14ac:dyDescent="0.15">
      <c r="A530" t="s">
        <v>860</v>
      </c>
      <c r="B530">
        <v>10.4</v>
      </c>
      <c r="C530" t="str">
        <f t="shared" si="16"/>
        <v>フェノバール錠３０ｍｇ</v>
      </c>
      <c r="D530">
        <f t="shared" si="17"/>
        <v>10.4</v>
      </c>
    </row>
    <row r="531" spans="1:4" x14ac:dyDescent="0.15">
      <c r="A531" t="s">
        <v>861</v>
      </c>
      <c r="B531">
        <v>70</v>
      </c>
      <c r="C531" t="str">
        <f t="shared" si="16"/>
        <v>フェノバール注射液１００ｍｇ</v>
      </c>
      <c r="D531">
        <f t="shared" si="17"/>
        <v>70</v>
      </c>
    </row>
    <row r="532" spans="1:4" x14ac:dyDescent="0.15">
      <c r="A532" t="s">
        <v>862</v>
      </c>
      <c r="B532">
        <v>7.5</v>
      </c>
      <c r="C532" t="str">
        <f t="shared" si="16"/>
        <v>フェノバルビタール散１０％
「ホエイ」</v>
      </c>
      <c r="D532">
        <f t="shared" si="17"/>
        <v>7.5</v>
      </c>
    </row>
    <row r="533" spans="1:4" x14ac:dyDescent="0.15">
      <c r="A533" t="s">
        <v>863</v>
      </c>
      <c r="B533">
        <v>6.1</v>
      </c>
      <c r="C533" t="str">
        <f t="shared" si="16"/>
        <v>フェブキソスタット錠１０ｍｇ「サワイ」　</v>
      </c>
      <c r="D533">
        <f t="shared" si="17"/>
        <v>6.1</v>
      </c>
    </row>
    <row r="534" spans="1:4" x14ac:dyDescent="0.15">
      <c r="A534" t="s">
        <v>864</v>
      </c>
      <c r="B534">
        <v>11.3</v>
      </c>
      <c r="C534" t="str">
        <f t="shared" si="16"/>
        <v>フェロジピン錠５ｍｇ「ＮＩＧ」</v>
      </c>
      <c r="D534">
        <f t="shared" si="17"/>
        <v>11.3</v>
      </c>
    </row>
    <row r="535" spans="1:4" x14ac:dyDescent="0.15">
      <c r="A535" t="s">
        <v>865</v>
      </c>
      <c r="B535">
        <v>6.1</v>
      </c>
      <c r="C535" t="str">
        <f t="shared" si="16"/>
        <v>フェロミア錠５０ｍｇ</v>
      </c>
      <c r="D535">
        <f t="shared" si="17"/>
        <v>6.1</v>
      </c>
    </row>
    <row r="536" spans="1:4" x14ac:dyDescent="0.15">
      <c r="A536" t="s">
        <v>865</v>
      </c>
      <c r="B536">
        <v>6.1</v>
      </c>
      <c r="C536" t="str">
        <f t="shared" si="16"/>
        <v>フェロミア錠５０ｍｇ</v>
      </c>
      <c r="D536">
        <f t="shared" si="17"/>
        <v>6.1</v>
      </c>
    </row>
    <row r="537" spans="1:4" x14ac:dyDescent="0.15">
      <c r="A537" t="s">
        <v>866</v>
      </c>
      <c r="B537">
        <v>9.4</v>
      </c>
      <c r="C537" t="str">
        <f t="shared" si="16"/>
        <v>フェロミア顆粒８．３％　</v>
      </c>
      <c r="D537">
        <f t="shared" si="17"/>
        <v>9.4</v>
      </c>
    </row>
    <row r="538" spans="1:4" x14ac:dyDescent="0.15">
      <c r="A538" t="s">
        <v>867</v>
      </c>
      <c r="B538">
        <v>149.30000000000001</v>
      </c>
      <c r="C538" t="str">
        <f t="shared" si="16"/>
        <v>フォシーガ錠５ｍｇ</v>
      </c>
      <c r="D538">
        <f t="shared" si="17"/>
        <v>149.30000000000001</v>
      </c>
    </row>
    <row r="539" spans="1:4" x14ac:dyDescent="0.15">
      <c r="A539" t="s">
        <v>868</v>
      </c>
      <c r="B539">
        <v>10.1</v>
      </c>
      <c r="C539" t="str">
        <f t="shared" si="16"/>
        <v>フォリアミン錠５ｍｇ</v>
      </c>
      <c r="D539">
        <f t="shared" si="17"/>
        <v>10.1</v>
      </c>
    </row>
    <row r="540" spans="1:4" x14ac:dyDescent="0.15">
      <c r="A540" t="s">
        <v>869</v>
      </c>
      <c r="B540">
        <v>61</v>
      </c>
      <c r="C540" t="str">
        <f t="shared" si="16"/>
        <v>ブスコパン注２０ｍｇ　２％</v>
      </c>
      <c r="D540">
        <f t="shared" si="17"/>
        <v>61</v>
      </c>
    </row>
    <row r="541" spans="1:4" x14ac:dyDescent="0.15">
      <c r="A541" t="s">
        <v>870</v>
      </c>
      <c r="B541">
        <v>7.7</v>
      </c>
      <c r="C541" t="str">
        <f t="shared" si="16"/>
        <v>ブドウ糖</v>
      </c>
      <c r="D541">
        <f t="shared" si="17"/>
        <v>7.7</v>
      </c>
    </row>
    <row r="542" spans="1:4" x14ac:dyDescent="0.15">
      <c r="A542" t="s">
        <v>872</v>
      </c>
      <c r="B542">
        <v>100</v>
      </c>
      <c r="C542" t="str">
        <f t="shared" si="16"/>
        <v>ブドウ糖注２０％ＰＬ「フソー」　　</v>
      </c>
      <c r="D542">
        <f t="shared" si="17"/>
        <v>100</v>
      </c>
    </row>
    <row r="543" spans="1:4" x14ac:dyDescent="0.15">
      <c r="A543" t="s">
        <v>875</v>
      </c>
      <c r="B543">
        <v>151</v>
      </c>
      <c r="C543" t="str">
        <f t="shared" si="16"/>
        <v>ブドウ糖注５％ＰＬ「フソー」　　　　　　</v>
      </c>
      <c r="D543">
        <f t="shared" si="17"/>
        <v>151</v>
      </c>
    </row>
    <row r="544" spans="1:4" x14ac:dyDescent="0.15">
      <c r="A544" t="s">
        <v>877</v>
      </c>
      <c r="B544">
        <v>100</v>
      </c>
      <c r="C544" t="str">
        <f t="shared" si="16"/>
        <v>ブドウ糖注５％ＰＬ「フソー」２０ｍｌ</v>
      </c>
      <c r="D544">
        <f t="shared" si="17"/>
        <v>100</v>
      </c>
    </row>
    <row r="545" spans="1:4" x14ac:dyDescent="0.15">
      <c r="A545" t="s">
        <v>879</v>
      </c>
      <c r="B545">
        <v>36.200000000000003</v>
      </c>
      <c r="C545" t="str">
        <f t="shared" si="16"/>
        <v>フラジール内服錠２５０ｍｇ</v>
      </c>
      <c r="D545">
        <f t="shared" si="17"/>
        <v>36.200000000000003</v>
      </c>
    </row>
    <row r="546" spans="1:4" x14ac:dyDescent="0.15">
      <c r="A546" t="s">
        <v>882</v>
      </c>
      <c r="B546">
        <v>54.3</v>
      </c>
      <c r="C546" t="str">
        <f t="shared" si="16"/>
        <v>フラジール腟錠２５０ｍｇ</v>
      </c>
      <c r="D546">
        <f t="shared" si="17"/>
        <v>54.3</v>
      </c>
    </row>
    <row r="547" spans="1:4" x14ac:dyDescent="0.15">
      <c r="A547" t="s">
        <v>884</v>
      </c>
      <c r="B547">
        <v>10.4</v>
      </c>
      <c r="C547" t="str">
        <f t="shared" si="16"/>
        <v>プラバスタチンＮａ錠５ｍｇ「サワイ」</v>
      </c>
      <c r="D547">
        <f t="shared" si="17"/>
        <v>10.4</v>
      </c>
    </row>
    <row r="548" spans="1:4" x14ac:dyDescent="0.15">
      <c r="A548" t="s">
        <v>884</v>
      </c>
      <c r="B548">
        <v>10.4</v>
      </c>
      <c r="C548" t="str">
        <f t="shared" si="16"/>
        <v>プラバスタチンＮａ錠５ｍｇ「サワイ」</v>
      </c>
      <c r="D548">
        <f t="shared" si="17"/>
        <v>10.4</v>
      </c>
    </row>
    <row r="549" spans="1:4" x14ac:dyDescent="0.15">
      <c r="A549" t="s">
        <v>885</v>
      </c>
      <c r="B549">
        <v>24939</v>
      </c>
      <c r="C549" t="str">
        <f t="shared" si="16"/>
        <v>プラリア皮下注６０ｍｇシリンジ</v>
      </c>
      <c r="D549">
        <f t="shared" si="17"/>
        <v>24939</v>
      </c>
    </row>
    <row r="550" spans="1:4" x14ac:dyDescent="0.15">
      <c r="A550" t="s">
        <v>887</v>
      </c>
      <c r="B550">
        <v>38.4</v>
      </c>
      <c r="C550" t="str">
        <f t="shared" si="16"/>
        <v>フランドルテープ４０ｍｇ</v>
      </c>
      <c r="D550">
        <f t="shared" si="17"/>
        <v>38.4</v>
      </c>
    </row>
    <row r="551" spans="1:4" x14ac:dyDescent="0.15">
      <c r="A551" t="s">
        <v>889</v>
      </c>
      <c r="B551">
        <v>61</v>
      </c>
      <c r="C551" t="str">
        <f t="shared" si="16"/>
        <v>プリンペラン注射液１０ｍｇ</v>
      </c>
      <c r="D551">
        <f t="shared" si="17"/>
        <v>61</v>
      </c>
    </row>
    <row r="552" spans="1:4" x14ac:dyDescent="0.15">
      <c r="A552" t="s">
        <v>890</v>
      </c>
      <c r="B552">
        <v>10.1</v>
      </c>
      <c r="C552" t="str">
        <f t="shared" si="16"/>
        <v>フルイトラン錠２ｍｇ</v>
      </c>
      <c r="D552">
        <f t="shared" si="17"/>
        <v>10.1</v>
      </c>
    </row>
    <row r="553" spans="1:4" x14ac:dyDescent="0.15">
      <c r="A553" t="s">
        <v>891</v>
      </c>
      <c r="B553">
        <v>18.5</v>
      </c>
      <c r="C553" t="str">
        <f t="shared" si="16"/>
        <v>フルオロメトロン点眼液０．１％「ＮＩＴ」</v>
      </c>
      <c r="D553">
        <f t="shared" si="17"/>
        <v>18.5</v>
      </c>
    </row>
    <row r="554" spans="1:4" x14ac:dyDescent="0.15">
      <c r="A554" t="s">
        <v>892</v>
      </c>
      <c r="B554">
        <v>1416</v>
      </c>
      <c r="C554" t="str">
        <f t="shared" si="16"/>
        <v>フルデカシン筋注２５ｍｇ</v>
      </c>
      <c r="D554">
        <f t="shared" si="17"/>
        <v>1416</v>
      </c>
    </row>
    <row r="555" spans="1:4" x14ac:dyDescent="0.15">
      <c r="A555" t="s">
        <v>894</v>
      </c>
      <c r="B555">
        <v>5.9</v>
      </c>
      <c r="C555" t="str">
        <f t="shared" si="16"/>
        <v>フルニトラゼパム錠１ｍｇ「アメル」</v>
      </c>
      <c r="D555">
        <f t="shared" si="17"/>
        <v>5.9</v>
      </c>
    </row>
    <row r="556" spans="1:4" x14ac:dyDescent="0.15">
      <c r="A556" t="s">
        <v>894</v>
      </c>
      <c r="B556">
        <v>5.9</v>
      </c>
      <c r="C556" t="str">
        <f t="shared" si="16"/>
        <v>フルニトラゼパム錠１ｍｇ「アメル」</v>
      </c>
      <c r="D556">
        <f t="shared" si="17"/>
        <v>5.9</v>
      </c>
    </row>
    <row r="557" spans="1:4" x14ac:dyDescent="0.15">
      <c r="A557" t="s">
        <v>895</v>
      </c>
      <c r="B557">
        <v>6.1</v>
      </c>
      <c r="C557" t="str">
        <f t="shared" si="16"/>
        <v>フルニトラゼパム錠２ｍｇ「アメル」</v>
      </c>
      <c r="D557">
        <f t="shared" si="17"/>
        <v>6.1</v>
      </c>
    </row>
    <row r="558" spans="1:4" x14ac:dyDescent="0.15">
      <c r="A558" t="s">
        <v>895</v>
      </c>
      <c r="B558">
        <v>6.1</v>
      </c>
      <c r="C558" t="str">
        <f t="shared" si="16"/>
        <v>フルニトラゼパム錠２ｍｇ「アメル」</v>
      </c>
      <c r="D558">
        <f t="shared" si="17"/>
        <v>6.1</v>
      </c>
    </row>
    <row r="559" spans="1:4" x14ac:dyDescent="0.15">
      <c r="A559" t="s">
        <v>896</v>
      </c>
      <c r="B559">
        <v>11.4</v>
      </c>
      <c r="C559" t="str">
        <f t="shared" si="16"/>
        <v>プレガバリンＯＤ錠２５ｍｇ「サワイ」</v>
      </c>
      <c r="D559">
        <f t="shared" si="17"/>
        <v>11.4</v>
      </c>
    </row>
    <row r="560" spans="1:4" x14ac:dyDescent="0.15">
      <c r="A560" t="s">
        <v>897</v>
      </c>
      <c r="B560">
        <v>18.3</v>
      </c>
      <c r="C560" t="str">
        <f t="shared" si="16"/>
        <v>プレガバリンＯＤ錠７５ｍｇ「サワイ」</v>
      </c>
      <c r="D560">
        <f t="shared" si="17"/>
        <v>18.3</v>
      </c>
    </row>
    <row r="561" spans="1:4" x14ac:dyDescent="0.15">
      <c r="A561" t="s">
        <v>898</v>
      </c>
      <c r="B561">
        <v>8.6</v>
      </c>
      <c r="C561" t="str">
        <f t="shared" si="16"/>
        <v>プレドニゾロン錠１ｍｇ「ＶＴＲＳ」</v>
      </c>
      <c r="D561">
        <f t="shared" si="17"/>
        <v>8.6</v>
      </c>
    </row>
    <row r="562" spans="1:4" x14ac:dyDescent="0.15">
      <c r="A562" t="s">
        <v>899</v>
      </c>
      <c r="B562">
        <v>10.1</v>
      </c>
      <c r="C562" t="str">
        <f t="shared" si="16"/>
        <v>プレドニゾロン錠５ｍｇ「ＶＴＲＳ」　　　　　</v>
      </c>
      <c r="D562">
        <f t="shared" si="17"/>
        <v>10.1</v>
      </c>
    </row>
    <row r="563" spans="1:4" x14ac:dyDescent="0.15">
      <c r="A563" t="s">
        <v>900</v>
      </c>
      <c r="B563">
        <v>34.299999999999997</v>
      </c>
      <c r="C563" t="str">
        <f t="shared" si="16"/>
        <v>プロスタンディン軟膏０．００３％</v>
      </c>
      <c r="D563">
        <f t="shared" si="17"/>
        <v>34.299999999999997</v>
      </c>
    </row>
    <row r="564" spans="1:4" x14ac:dyDescent="0.15">
      <c r="A564" t="s">
        <v>902</v>
      </c>
      <c r="B564">
        <v>27.4</v>
      </c>
      <c r="C564" t="str">
        <f t="shared" si="16"/>
        <v>フロセミド細粒４％「ＥＭＥＣ」</v>
      </c>
      <c r="D564">
        <f t="shared" si="17"/>
        <v>27.4</v>
      </c>
    </row>
    <row r="565" spans="1:4" x14ac:dyDescent="0.15">
      <c r="A565" t="s">
        <v>903</v>
      </c>
      <c r="B565">
        <v>6.3</v>
      </c>
      <c r="C565" t="str">
        <f t="shared" si="16"/>
        <v>フロセミド錠２０ｍｇ「ＮＩＧ」</v>
      </c>
      <c r="D565">
        <f t="shared" si="17"/>
        <v>6.3</v>
      </c>
    </row>
    <row r="566" spans="1:4" x14ac:dyDescent="0.15">
      <c r="A566" t="s">
        <v>905</v>
      </c>
      <c r="B566">
        <v>60</v>
      </c>
      <c r="C566" t="str">
        <f t="shared" si="16"/>
        <v>フロセミド注２０ｍｇ「ＮＩＧ」</v>
      </c>
      <c r="D566">
        <f t="shared" si="17"/>
        <v>60</v>
      </c>
    </row>
    <row r="567" spans="1:4" x14ac:dyDescent="0.15">
      <c r="A567" t="s">
        <v>906</v>
      </c>
      <c r="B567">
        <v>60</v>
      </c>
      <c r="C567" t="str">
        <f t="shared" si="16"/>
        <v>フロセミド注２０ｍｇ「トーワ」</v>
      </c>
      <c r="D567">
        <f t="shared" si="17"/>
        <v>60</v>
      </c>
    </row>
    <row r="568" spans="1:4" x14ac:dyDescent="0.15">
      <c r="A568" t="s">
        <v>907</v>
      </c>
      <c r="B568">
        <v>10.4</v>
      </c>
      <c r="C568" t="str">
        <f t="shared" si="16"/>
        <v>ブロチゾラム錠０．２５ｍｇ「ヨシトミ」</v>
      </c>
      <c r="D568">
        <f t="shared" si="17"/>
        <v>10.4</v>
      </c>
    </row>
    <row r="569" spans="1:4" x14ac:dyDescent="0.15">
      <c r="A569" t="s">
        <v>907</v>
      </c>
      <c r="B569">
        <v>10.4</v>
      </c>
      <c r="C569" t="str">
        <f t="shared" si="16"/>
        <v>ブロチゾラム錠０．２５ｍｇ「ヨシトミ」</v>
      </c>
      <c r="D569">
        <f t="shared" si="17"/>
        <v>10.4</v>
      </c>
    </row>
    <row r="570" spans="1:4" x14ac:dyDescent="0.15">
      <c r="A570" t="s">
        <v>909</v>
      </c>
      <c r="B570">
        <v>64.3</v>
      </c>
      <c r="C570" t="str">
        <f t="shared" si="16"/>
        <v>ブロナック点眼液０．１％</v>
      </c>
      <c r="D570">
        <f t="shared" si="17"/>
        <v>64.3</v>
      </c>
    </row>
    <row r="571" spans="1:4" x14ac:dyDescent="0.15">
      <c r="A571" t="s">
        <v>910</v>
      </c>
      <c r="B571">
        <v>99.2</v>
      </c>
      <c r="C571" t="str">
        <f t="shared" si="16"/>
        <v>ブロナンセリン散２％「ＤＳＰＢ」</v>
      </c>
      <c r="D571">
        <f t="shared" si="17"/>
        <v>99.2</v>
      </c>
    </row>
    <row r="572" spans="1:4" x14ac:dyDescent="0.15">
      <c r="A572" t="s">
        <v>911</v>
      </c>
      <c r="B572">
        <v>9.3000000000000007</v>
      </c>
      <c r="C572" t="str">
        <f t="shared" si="16"/>
        <v>ブロナンセリン錠２ｍｇ「ＤＳＰＢ」</v>
      </c>
      <c r="D572">
        <f t="shared" si="17"/>
        <v>9.3000000000000007</v>
      </c>
    </row>
    <row r="573" spans="1:4" x14ac:dyDescent="0.15">
      <c r="A573" t="s">
        <v>912</v>
      </c>
      <c r="B573">
        <v>18</v>
      </c>
      <c r="C573" t="str">
        <f t="shared" si="16"/>
        <v>ブロナンセリン錠４ｍｇ「ＤＳＰＢ」</v>
      </c>
      <c r="D573">
        <f t="shared" si="17"/>
        <v>18</v>
      </c>
    </row>
    <row r="574" spans="1:4" x14ac:dyDescent="0.15">
      <c r="A574" t="s">
        <v>912</v>
      </c>
      <c r="B574">
        <v>18</v>
      </c>
      <c r="C574" t="str">
        <f t="shared" si="16"/>
        <v>ブロナンセリン錠４ｍｇ「ＤＳＰＢ」</v>
      </c>
      <c r="D574">
        <f t="shared" si="17"/>
        <v>18</v>
      </c>
    </row>
    <row r="575" spans="1:4" x14ac:dyDescent="0.15">
      <c r="A575" t="s">
        <v>913</v>
      </c>
      <c r="B575">
        <v>32</v>
      </c>
      <c r="C575" t="str">
        <f t="shared" si="16"/>
        <v>ブロナンセリン錠８ｍｇ「ＤＳＰＢ」</v>
      </c>
      <c r="D575">
        <f t="shared" si="17"/>
        <v>32</v>
      </c>
    </row>
    <row r="576" spans="1:4" x14ac:dyDescent="0.15">
      <c r="A576" t="s">
        <v>913</v>
      </c>
      <c r="B576">
        <v>32</v>
      </c>
      <c r="C576" t="str">
        <f t="shared" si="16"/>
        <v>ブロナンセリン錠８ｍｇ「ＤＳＰＢ」</v>
      </c>
      <c r="D576">
        <f t="shared" si="17"/>
        <v>32</v>
      </c>
    </row>
    <row r="577" spans="1:4" x14ac:dyDescent="0.15">
      <c r="A577" t="s">
        <v>914</v>
      </c>
      <c r="B577">
        <v>12</v>
      </c>
      <c r="C577" t="str">
        <f t="shared" si="16"/>
        <v>プロピベリン塩酸塩錠１０ｍｇ「ＮＩＧ」　</v>
      </c>
      <c r="D577">
        <f t="shared" si="17"/>
        <v>12</v>
      </c>
    </row>
    <row r="578" spans="1:4" x14ac:dyDescent="0.15">
      <c r="A578" t="s">
        <v>914</v>
      </c>
      <c r="B578">
        <v>12</v>
      </c>
      <c r="C578" t="str">
        <f t="shared" ref="C578:C641" si="18">DBCS(A578)</f>
        <v>プロピベリン塩酸塩錠１０ｍｇ「ＮＩＧ」　</v>
      </c>
      <c r="D578">
        <f t="shared" ref="D578:D641" si="19">B578</f>
        <v>12</v>
      </c>
    </row>
    <row r="579" spans="1:4" x14ac:dyDescent="0.15">
      <c r="A579" t="s">
        <v>915</v>
      </c>
      <c r="B579">
        <v>15.6</v>
      </c>
      <c r="C579" t="str">
        <f t="shared" si="18"/>
        <v>プロマックＤ錠７５</v>
      </c>
      <c r="D579">
        <f t="shared" si="19"/>
        <v>15.6</v>
      </c>
    </row>
    <row r="580" spans="1:4" x14ac:dyDescent="0.15">
      <c r="A580" t="s">
        <v>917</v>
      </c>
      <c r="B580">
        <v>5.6</v>
      </c>
      <c r="C580" t="str">
        <f t="shared" si="18"/>
        <v>ブロムヘキシン塩酸塩吸入液０．２％「タイヨー」</v>
      </c>
      <c r="D580">
        <f t="shared" si="19"/>
        <v>5.6</v>
      </c>
    </row>
    <row r="581" spans="1:4" x14ac:dyDescent="0.15">
      <c r="A581" t="s">
        <v>1240</v>
      </c>
      <c r="B581">
        <v>5.3</v>
      </c>
      <c r="C581" t="str">
        <f t="shared" si="18"/>
        <v>ブロムヘキシン塩酸塩錠４ｍｇ「トーワ」</v>
      </c>
      <c r="D581">
        <f t="shared" si="19"/>
        <v>5.3</v>
      </c>
    </row>
    <row r="582" spans="1:4" x14ac:dyDescent="0.15">
      <c r="A582" t="s">
        <v>919</v>
      </c>
      <c r="B582">
        <v>59</v>
      </c>
      <c r="C582" t="str">
        <f t="shared" si="18"/>
        <v>ブロムヘキシン塩酸塩注射液４ｍｇ「タイヨー」</v>
      </c>
      <c r="D582">
        <f t="shared" si="19"/>
        <v>59</v>
      </c>
    </row>
    <row r="583" spans="1:4" x14ac:dyDescent="0.15">
      <c r="A583" t="s">
        <v>921</v>
      </c>
      <c r="B583">
        <v>6.7</v>
      </c>
      <c r="C583" t="str">
        <f t="shared" si="18"/>
        <v>ブロムペリドール錠３ｍｇ「アメル」</v>
      </c>
      <c r="D583">
        <f t="shared" si="19"/>
        <v>6.7</v>
      </c>
    </row>
    <row r="584" spans="1:4" x14ac:dyDescent="0.15">
      <c r="A584" t="s">
        <v>922</v>
      </c>
      <c r="B584">
        <v>146.1</v>
      </c>
      <c r="C584" t="str">
        <f t="shared" si="18"/>
        <v>ベオーパ錠５０ｍｇ</v>
      </c>
      <c r="D584">
        <f t="shared" si="19"/>
        <v>146.1</v>
      </c>
    </row>
    <row r="585" spans="1:4" x14ac:dyDescent="0.15">
      <c r="A585" t="s">
        <v>923</v>
      </c>
      <c r="B585">
        <v>46498</v>
      </c>
      <c r="C585" t="str">
        <f t="shared" si="18"/>
        <v>ベクルリー点滴静注用１００ｍｇ</v>
      </c>
      <c r="D585">
        <f t="shared" si="19"/>
        <v>46498</v>
      </c>
    </row>
    <row r="586" spans="1:4" x14ac:dyDescent="0.15">
      <c r="A586" t="s">
        <v>926</v>
      </c>
      <c r="B586">
        <v>8.8000000000000007</v>
      </c>
      <c r="C586" t="str">
        <f t="shared" si="18"/>
        <v>ベサコリン散５％</v>
      </c>
      <c r="D586">
        <f t="shared" si="19"/>
        <v>8.8000000000000007</v>
      </c>
    </row>
    <row r="587" spans="1:4" x14ac:dyDescent="0.15">
      <c r="A587" t="s">
        <v>927</v>
      </c>
      <c r="B587">
        <v>10.4</v>
      </c>
      <c r="C587" t="str">
        <f t="shared" si="18"/>
        <v>ベザフィブラートＳＲ錠２００ｍｇ「日医工」　　　</v>
      </c>
      <c r="D587">
        <f t="shared" si="19"/>
        <v>10.4</v>
      </c>
    </row>
    <row r="588" spans="1:4" x14ac:dyDescent="0.15">
      <c r="A588" t="s">
        <v>928</v>
      </c>
      <c r="B588">
        <v>6.8</v>
      </c>
      <c r="C588" t="str">
        <f t="shared" si="18"/>
        <v>ベタナミン錠１０ｍｇ</v>
      </c>
      <c r="D588">
        <f t="shared" si="19"/>
        <v>6.8</v>
      </c>
    </row>
    <row r="589" spans="1:4" x14ac:dyDescent="0.15">
      <c r="A589" t="s">
        <v>929</v>
      </c>
      <c r="B589">
        <v>141.69999999999999</v>
      </c>
      <c r="C589" t="str">
        <f t="shared" si="18"/>
        <v>ベタニス錠５０ｍｇ</v>
      </c>
      <c r="D589">
        <f t="shared" si="19"/>
        <v>141.69999999999999</v>
      </c>
    </row>
    <row r="590" spans="1:4" x14ac:dyDescent="0.15">
      <c r="A590" t="s">
        <v>930</v>
      </c>
      <c r="B590">
        <v>8.5</v>
      </c>
      <c r="C590" t="str">
        <f t="shared" si="18"/>
        <v>ベタメタゾン吉草酸エステルロ－ション０．１２％「イワキ」</v>
      </c>
      <c r="D590">
        <f t="shared" si="19"/>
        <v>8.5</v>
      </c>
    </row>
    <row r="591" spans="1:4" x14ac:dyDescent="0.15">
      <c r="A591" t="s">
        <v>932</v>
      </c>
      <c r="B591">
        <v>126</v>
      </c>
      <c r="C591" t="str">
        <f t="shared" si="18"/>
        <v>ヘパリンＮＡロック用１０単位／ｍｌ「オーツカ」　１００単位</v>
      </c>
      <c r="D591">
        <f t="shared" si="19"/>
        <v>126</v>
      </c>
    </row>
    <row r="592" spans="1:4" x14ac:dyDescent="0.15">
      <c r="A592" t="s">
        <v>933</v>
      </c>
      <c r="B592">
        <v>165</v>
      </c>
      <c r="C592" t="str">
        <f t="shared" si="18"/>
        <v>ヘパリンＮａ注５千単位／５ｍｌ「モチダ」</v>
      </c>
      <c r="D592">
        <f t="shared" si="19"/>
        <v>165</v>
      </c>
    </row>
    <row r="593" spans="1:4" x14ac:dyDescent="0.15">
      <c r="A593" t="s">
        <v>935</v>
      </c>
      <c r="B593">
        <v>7.4</v>
      </c>
      <c r="C593" t="str">
        <f t="shared" si="18"/>
        <v>ヘパリン類似物質外用スプレー０．３％「サトウ」</v>
      </c>
      <c r="D593">
        <f t="shared" si="19"/>
        <v>7.4</v>
      </c>
    </row>
    <row r="594" spans="1:4" x14ac:dyDescent="0.15">
      <c r="A594" t="s">
        <v>937</v>
      </c>
      <c r="B594">
        <v>7.4</v>
      </c>
      <c r="C594" t="str">
        <f t="shared" si="18"/>
        <v>ヘパリン類似物質外用泡状スプレー０．３％「日本臓器」　販売中止</v>
      </c>
      <c r="D594">
        <f t="shared" si="19"/>
        <v>7.4</v>
      </c>
    </row>
    <row r="595" spans="1:4" x14ac:dyDescent="0.15">
      <c r="A595" t="s">
        <v>938</v>
      </c>
      <c r="B595">
        <v>3.7</v>
      </c>
      <c r="C595" t="str">
        <f t="shared" si="18"/>
        <v>ヘパリン類似物質油性クリーム０．３％「ニチイコウ」</v>
      </c>
      <c r="D595">
        <f t="shared" si="19"/>
        <v>3.7</v>
      </c>
    </row>
    <row r="596" spans="1:4" x14ac:dyDescent="0.15">
      <c r="A596" t="s">
        <v>939</v>
      </c>
      <c r="B596">
        <v>35976</v>
      </c>
      <c r="C596" t="str">
        <f t="shared" si="18"/>
        <v>ヘブスブリンＩＨ静注１０００単位</v>
      </c>
      <c r="D596">
        <f t="shared" si="19"/>
        <v>35976</v>
      </c>
    </row>
    <row r="597" spans="1:4" x14ac:dyDescent="0.15">
      <c r="A597" t="s">
        <v>942</v>
      </c>
      <c r="B597">
        <v>33.6</v>
      </c>
      <c r="C597" t="str">
        <f t="shared" si="18"/>
        <v>ベプリコール錠５０ｍｇ</v>
      </c>
      <c r="D597">
        <f t="shared" si="19"/>
        <v>33.6</v>
      </c>
    </row>
    <row r="598" spans="1:4" x14ac:dyDescent="0.15">
      <c r="A598" t="s">
        <v>943</v>
      </c>
      <c r="B598">
        <v>201.4</v>
      </c>
      <c r="C598" t="str">
        <f t="shared" si="18"/>
        <v>ペミロラストＫ点眼液０．１％「ＴＳ」</v>
      </c>
      <c r="D598">
        <f t="shared" si="19"/>
        <v>201.4</v>
      </c>
    </row>
    <row r="599" spans="1:4" x14ac:dyDescent="0.15">
      <c r="A599" t="s">
        <v>945</v>
      </c>
      <c r="B599">
        <v>21.3</v>
      </c>
      <c r="C599" t="str">
        <f t="shared" si="18"/>
        <v>ヘモレックス軟膏</v>
      </c>
      <c r="D599">
        <f t="shared" si="19"/>
        <v>21.3</v>
      </c>
    </row>
    <row r="600" spans="1:4" x14ac:dyDescent="0.15">
      <c r="A600" t="s">
        <v>949</v>
      </c>
      <c r="B600">
        <v>90.8</v>
      </c>
      <c r="C600" t="str">
        <f t="shared" si="18"/>
        <v>ベルソムラ錠１５ｍｇ</v>
      </c>
      <c r="D600">
        <f t="shared" si="19"/>
        <v>90.8</v>
      </c>
    </row>
    <row r="601" spans="1:4" x14ac:dyDescent="0.15">
      <c r="A601" t="s">
        <v>950</v>
      </c>
      <c r="B601">
        <v>109.9</v>
      </c>
      <c r="C601" t="str">
        <f t="shared" si="18"/>
        <v>ベルソムラ錠２０ｍｇ</v>
      </c>
      <c r="D601">
        <f t="shared" si="19"/>
        <v>109.9</v>
      </c>
    </row>
    <row r="602" spans="1:4" x14ac:dyDescent="0.15">
      <c r="A602" t="s">
        <v>951</v>
      </c>
      <c r="B602">
        <v>7.3</v>
      </c>
      <c r="C602" t="str">
        <f t="shared" si="18"/>
        <v>ヘルベッサー錠３０　　　　　</v>
      </c>
      <c r="D602">
        <f t="shared" si="19"/>
        <v>7.3</v>
      </c>
    </row>
    <row r="603" spans="1:4" x14ac:dyDescent="0.15">
      <c r="A603" t="s">
        <v>952</v>
      </c>
      <c r="B603">
        <v>561</v>
      </c>
      <c r="C603" t="str">
        <f t="shared" si="18"/>
        <v>ヘルベッサー注射用５０</v>
      </c>
      <c r="D603">
        <f t="shared" si="19"/>
        <v>561</v>
      </c>
    </row>
    <row r="604" spans="1:4" x14ac:dyDescent="0.15">
      <c r="A604" t="s">
        <v>953</v>
      </c>
      <c r="B604">
        <v>16.2</v>
      </c>
      <c r="C604" t="str">
        <f t="shared" si="18"/>
        <v>ベンザリン細粒１％</v>
      </c>
      <c r="D604">
        <f t="shared" si="19"/>
        <v>16.2</v>
      </c>
    </row>
    <row r="605" spans="1:4" x14ac:dyDescent="0.15">
      <c r="A605" t="s">
        <v>955</v>
      </c>
      <c r="B605">
        <v>7.8</v>
      </c>
      <c r="C605" t="str">
        <f t="shared" si="18"/>
        <v>ベンザリン錠５</v>
      </c>
      <c r="D605">
        <f t="shared" si="19"/>
        <v>7.8</v>
      </c>
    </row>
    <row r="606" spans="1:4" x14ac:dyDescent="0.15">
      <c r="A606" t="s">
        <v>955</v>
      </c>
      <c r="B606">
        <v>7.8</v>
      </c>
      <c r="C606" t="str">
        <f t="shared" si="18"/>
        <v>ベンザリン錠５</v>
      </c>
      <c r="D606">
        <f t="shared" si="19"/>
        <v>7.8</v>
      </c>
    </row>
    <row r="607" spans="1:4" x14ac:dyDescent="0.15">
      <c r="A607" t="s">
        <v>956</v>
      </c>
      <c r="B607">
        <v>100.1</v>
      </c>
      <c r="C607" t="str">
        <f t="shared" si="18"/>
        <v>ペンタサ顆粒９４％　５００ｍｇ含有</v>
      </c>
      <c r="D607">
        <f t="shared" si="19"/>
        <v>100.1</v>
      </c>
    </row>
    <row r="608" spans="1:4" x14ac:dyDescent="0.15">
      <c r="A608" t="s">
        <v>958</v>
      </c>
      <c r="B608">
        <v>329</v>
      </c>
      <c r="C608" t="str">
        <f t="shared" si="18"/>
        <v>ペントシリン注射用１ｇ　　　　　　　　　</v>
      </c>
      <c r="D608">
        <f t="shared" si="19"/>
        <v>329</v>
      </c>
    </row>
    <row r="609" spans="1:4" x14ac:dyDescent="0.15">
      <c r="A609" t="s">
        <v>961</v>
      </c>
      <c r="B609">
        <v>11.3</v>
      </c>
      <c r="C609" t="str">
        <f t="shared" si="18"/>
        <v>ボアラ軟膏０．１２％</v>
      </c>
      <c r="D609">
        <f t="shared" si="19"/>
        <v>11.3</v>
      </c>
    </row>
    <row r="610" spans="1:4" x14ac:dyDescent="0.15">
      <c r="A610" t="s">
        <v>962</v>
      </c>
      <c r="B610">
        <v>22.9</v>
      </c>
      <c r="C610" t="str">
        <f t="shared" si="18"/>
        <v>ホーリンＶ膣用錠１ｍｇ</v>
      </c>
      <c r="D610">
        <f t="shared" si="19"/>
        <v>22.9</v>
      </c>
    </row>
    <row r="611" spans="1:4" x14ac:dyDescent="0.15">
      <c r="A611" t="s">
        <v>964</v>
      </c>
      <c r="B611">
        <v>10.4</v>
      </c>
      <c r="C611" t="str">
        <f t="shared" si="18"/>
        <v>ボグリボーズＯＤ錠０．２ｍｇ　「トーワ」</v>
      </c>
      <c r="D611">
        <f t="shared" si="19"/>
        <v>10.4</v>
      </c>
    </row>
    <row r="612" spans="1:4" x14ac:dyDescent="0.15">
      <c r="A612" t="s">
        <v>965</v>
      </c>
      <c r="B612">
        <v>10.4</v>
      </c>
      <c r="C612" t="str">
        <f t="shared" si="18"/>
        <v>ボグリボーズＯＤ錠０．２ｍｇ「トーワ」</v>
      </c>
      <c r="D612">
        <f t="shared" si="19"/>
        <v>10.4</v>
      </c>
    </row>
    <row r="613" spans="1:4" x14ac:dyDescent="0.15">
      <c r="A613" t="s">
        <v>966</v>
      </c>
      <c r="B613">
        <v>863</v>
      </c>
      <c r="C613" t="str">
        <f t="shared" si="18"/>
        <v>ホスホマイシンナトリウム静注用２ｇ「日医工」</v>
      </c>
      <c r="D613">
        <f t="shared" si="19"/>
        <v>863</v>
      </c>
    </row>
    <row r="614" spans="1:4" x14ac:dyDescent="0.15">
      <c r="A614" t="s">
        <v>968</v>
      </c>
      <c r="B614">
        <v>188</v>
      </c>
      <c r="C614" t="str">
        <f t="shared" si="18"/>
        <v>ボスミン注１ｍｇ　０．１％</v>
      </c>
      <c r="D614">
        <f t="shared" si="19"/>
        <v>188</v>
      </c>
    </row>
    <row r="615" spans="1:4" x14ac:dyDescent="0.15">
      <c r="A615" t="s">
        <v>970</v>
      </c>
      <c r="B615">
        <v>71.099999999999994</v>
      </c>
      <c r="C615" t="str">
        <f t="shared" si="18"/>
        <v>ホスリボン配合顆粒</v>
      </c>
      <c r="D615">
        <f t="shared" si="19"/>
        <v>71.099999999999994</v>
      </c>
    </row>
    <row r="616" spans="1:4" x14ac:dyDescent="0.15">
      <c r="A616" t="s">
        <v>972</v>
      </c>
      <c r="B616">
        <v>251</v>
      </c>
      <c r="C616" t="str">
        <f t="shared" si="18"/>
        <v>ポタコールＲ輸液　２５０ｍｌ</v>
      </c>
      <c r="D616">
        <f t="shared" si="19"/>
        <v>251</v>
      </c>
    </row>
    <row r="617" spans="1:4" x14ac:dyDescent="0.15">
      <c r="A617" t="s">
        <v>974</v>
      </c>
      <c r="B617">
        <v>279</v>
      </c>
      <c r="C617" t="str">
        <f t="shared" si="18"/>
        <v>ポタコールＲ輸液　５００ｍｌ</v>
      </c>
      <c r="D617">
        <f t="shared" si="19"/>
        <v>279</v>
      </c>
    </row>
    <row r="618" spans="1:4" x14ac:dyDescent="0.15">
      <c r="A618" t="s">
        <v>1241</v>
      </c>
      <c r="B618">
        <v>3.2</v>
      </c>
      <c r="C618" t="str">
        <f t="shared" si="18"/>
        <v>ポビドンヨードガーグル７％「ケンエー」</v>
      </c>
      <c r="D618">
        <f t="shared" si="19"/>
        <v>3.2</v>
      </c>
    </row>
    <row r="619" spans="1:4" x14ac:dyDescent="0.15">
      <c r="A619" t="s">
        <v>978</v>
      </c>
      <c r="C619" t="str">
        <f t="shared" si="18"/>
        <v>ポビドンヨード液１０％　　　綿球２０ケンエー</v>
      </c>
      <c r="D619">
        <f t="shared" si="19"/>
        <v>0</v>
      </c>
    </row>
    <row r="620" spans="1:4" x14ac:dyDescent="0.15">
      <c r="A620" t="s">
        <v>980</v>
      </c>
      <c r="B620">
        <v>69</v>
      </c>
      <c r="C620" t="str">
        <f t="shared" si="18"/>
        <v>ポララミン注５ｍｇ</v>
      </c>
      <c r="D620">
        <f t="shared" si="19"/>
        <v>69</v>
      </c>
    </row>
    <row r="621" spans="1:4" x14ac:dyDescent="0.15">
      <c r="A621" t="s">
        <v>982</v>
      </c>
      <c r="B621">
        <v>77.8</v>
      </c>
      <c r="C621" t="str">
        <f t="shared" si="18"/>
        <v>ポリスチレンスルホン酸Ｃａ経口ゼリー２０％分包２５ｇ「三和」</v>
      </c>
      <c r="D621">
        <f t="shared" si="19"/>
        <v>77.8</v>
      </c>
    </row>
    <row r="622" spans="1:4" x14ac:dyDescent="0.15">
      <c r="A622" t="s">
        <v>984</v>
      </c>
      <c r="B622">
        <v>71.3</v>
      </c>
      <c r="C622" t="str">
        <f t="shared" si="18"/>
        <v>ボルズイ錠５ｍｇ</v>
      </c>
      <c r="D622">
        <f t="shared" si="19"/>
        <v>71.3</v>
      </c>
    </row>
    <row r="623" spans="1:4" x14ac:dyDescent="0.15">
      <c r="A623" t="s">
        <v>986</v>
      </c>
      <c r="B623">
        <v>7.3</v>
      </c>
      <c r="C623" t="str">
        <f t="shared" si="18"/>
        <v>ボルタレン錠２５ｍｇ</v>
      </c>
      <c r="D623">
        <f t="shared" si="19"/>
        <v>7.3</v>
      </c>
    </row>
    <row r="624" spans="1:4" x14ac:dyDescent="0.15">
      <c r="A624" t="s">
        <v>987</v>
      </c>
      <c r="B624">
        <v>9.6</v>
      </c>
      <c r="C624" t="str">
        <f t="shared" si="18"/>
        <v>マーズレンＳ配合顆粒</v>
      </c>
      <c r="D624">
        <f t="shared" si="19"/>
        <v>9.6</v>
      </c>
    </row>
    <row r="625" spans="1:4" x14ac:dyDescent="0.15">
      <c r="A625" t="s">
        <v>987</v>
      </c>
      <c r="B625">
        <v>9.6</v>
      </c>
      <c r="C625" t="str">
        <f t="shared" si="18"/>
        <v>マーズレンＳ配合顆粒</v>
      </c>
      <c r="D625">
        <f t="shared" si="19"/>
        <v>9.6</v>
      </c>
    </row>
    <row r="626" spans="1:4" x14ac:dyDescent="0.15">
      <c r="A626" t="s">
        <v>990</v>
      </c>
      <c r="B626">
        <v>11.1</v>
      </c>
      <c r="C626" t="str">
        <f t="shared" si="18"/>
        <v>マイザー軟膏０．０５％</v>
      </c>
      <c r="D626">
        <f t="shared" si="19"/>
        <v>11.1</v>
      </c>
    </row>
    <row r="627" spans="1:4" x14ac:dyDescent="0.15">
      <c r="A627" t="s">
        <v>991</v>
      </c>
      <c r="B627">
        <v>14</v>
      </c>
      <c r="C627" t="str">
        <f t="shared" si="18"/>
        <v>マイスタン錠５ｍｇ</v>
      </c>
      <c r="D627">
        <f t="shared" si="19"/>
        <v>14</v>
      </c>
    </row>
    <row r="628" spans="1:4" x14ac:dyDescent="0.15">
      <c r="A628" t="s">
        <v>992</v>
      </c>
      <c r="B628">
        <v>17.5</v>
      </c>
      <c r="C628" t="str">
        <f t="shared" si="18"/>
        <v>マイスリー錠５ｍｇ</v>
      </c>
      <c r="D628">
        <f t="shared" si="19"/>
        <v>17.5</v>
      </c>
    </row>
    <row r="629" spans="1:4" x14ac:dyDescent="0.15">
      <c r="A629" t="s">
        <v>992</v>
      </c>
      <c r="B629">
        <v>17.5</v>
      </c>
      <c r="C629" t="str">
        <f t="shared" si="18"/>
        <v>マイスリー錠５ｍｇ</v>
      </c>
      <c r="D629">
        <f t="shared" si="19"/>
        <v>17.5</v>
      </c>
    </row>
    <row r="630" spans="1:4" x14ac:dyDescent="0.15">
      <c r="A630" t="s">
        <v>993</v>
      </c>
      <c r="B630">
        <v>5.9</v>
      </c>
      <c r="C630" t="str">
        <f t="shared" si="18"/>
        <v>マグミット錠３３０ｍｇ</v>
      </c>
      <c r="D630">
        <f t="shared" si="19"/>
        <v>5.9</v>
      </c>
    </row>
    <row r="631" spans="1:4" x14ac:dyDescent="0.15">
      <c r="A631" t="s">
        <v>993</v>
      </c>
      <c r="B631">
        <v>5.9</v>
      </c>
      <c r="C631" t="str">
        <f t="shared" si="18"/>
        <v>マグミット錠３３０ｍｇ</v>
      </c>
      <c r="D631">
        <f t="shared" si="19"/>
        <v>5.9</v>
      </c>
    </row>
    <row r="632" spans="1:4" x14ac:dyDescent="0.15">
      <c r="A632" t="s">
        <v>995</v>
      </c>
      <c r="B632">
        <v>5.9</v>
      </c>
      <c r="C632" t="str">
        <f t="shared" si="18"/>
        <v>マグミット錠５００ｍｇ</v>
      </c>
      <c r="D632">
        <f t="shared" si="19"/>
        <v>5.9</v>
      </c>
    </row>
    <row r="633" spans="1:4" x14ac:dyDescent="0.15">
      <c r="A633" t="s">
        <v>995</v>
      </c>
      <c r="B633">
        <v>5.9</v>
      </c>
      <c r="C633" t="str">
        <f t="shared" si="18"/>
        <v>マグミット錠５００ｍｇ</v>
      </c>
      <c r="D633">
        <f t="shared" si="19"/>
        <v>5.9</v>
      </c>
    </row>
    <row r="634" spans="1:4" x14ac:dyDescent="0.15">
      <c r="A634" t="s">
        <v>996</v>
      </c>
      <c r="B634">
        <v>17</v>
      </c>
      <c r="C634" t="str">
        <f t="shared" si="18"/>
        <v>マドパー配合錠Ｌ１００</v>
      </c>
      <c r="D634">
        <f t="shared" si="19"/>
        <v>17</v>
      </c>
    </row>
    <row r="635" spans="1:4" x14ac:dyDescent="0.15">
      <c r="A635" t="s">
        <v>997</v>
      </c>
      <c r="B635">
        <v>6.1</v>
      </c>
      <c r="C635" t="str">
        <f t="shared" si="18"/>
        <v>マプロチリン塩酸塩錠１０ｍｇ「アメル」</v>
      </c>
      <c r="D635">
        <f t="shared" si="19"/>
        <v>6.1</v>
      </c>
    </row>
    <row r="636" spans="1:4" x14ac:dyDescent="0.15">
      <c r="A636" t="s">
        <v>998</v>
      </c>
      <c r="B636">
        <v>8.6999999999999993</v>
      </c>
      <c r="C636" t="str">
        <f t="shared" si="18"/>
        <v>マプロチリン塩酸塩錠２５ｍｇ「アメル」</v>
      </c>
      <c r="D636">
        <f t="shared" si="19"/>
        <v>8.6999999999999993</v>
      </c>
    </row>
    <row r="637" spans="1:4" x14ac:dyDescent="0.15">
      <c r="A637" t="s">
        <v>999</v>
      </c>
      <c r="B637">
        <v>552.20000000000005</v>
      </c>
      <c r="C637" t="str">
        <f t="shared" si="18"/>
        <v>ミケルナ配合点眼液</v>
      </c>
      <c r="D637">
        <f t="shared" si="19"/>
        <v>552.20000000000005</v>
      </c>
    </row>
    <row r="638" spans="1:4" x14ac:dyDescent="0.15">
      <c r="A638" t="s">
        <v>1001</v>
      </c>
      <c r="B638">
        <v>8.3000000000000007</v>
      </c>
      <c r="C638" t="str">
        <f t="shared" si="18"/>
        <v>ミチグリニドＣａ・ＯＤ錠１０ｍｇ「三和」</v>
      </c>
      <c r="D638">
        <f t="shared" si="19"/>
        <v>8.3000000000000007</v>
      </c>
    </row>
    <row r="639" spans="1:4" x14ac:dyDescent="0.15">
      <c r="A639" t="s">
        <v>1002</v>
      </c>
      <c r="B639">
        <v>8.1</v>
      </c>
      <c r="C639" t="str">
        <f t="shared" si="18"/>
        <v>ミドドリン塩酸塩錠２ｍｇ「トーワ」</v>
      </c>
      <c r="D639">
        <f t="shared" si="19"/>
        <v>8.1</v>
      </c>
    </row>
    <row r="640" spans="1:4" x14ac:dyDescent="0.15">
      <c r="A640" t="s">
        <v>1004</v>
      </c>
      <c r="B640">
        <v>328</v>
      </c>
      <c r="C640" t="str">
        <f t="shared" si="18"/>
        <v>ミノサイクリン塩酸塩点滴静注用１００ｍｇ「日医工」</v>
      </c>
      <c r="D640">
        <f t="shared" si="19"/>
        <v>328</v>
      </c>
    </row>
    <row r="641" spans="1:4" x14ac:dyDescent="0.15">
      <c r="A641" t="s">
        <v>1005</v>
      </c>
      <c r="B641">
        <v>513.1</v>
      </c>
      <c r="C641" t="str">
        <f t="shared" si="18"/>
        <v>ミノドロン酸錠５０ｍｇ「ＪＧ」</v>
      </c>
      <c r="D641">
        <f t="shared" si="19"/>
        <v>513.1</v>
      </c>
    </row>
    <row r="642" spans="1:4" x14ac:dyDescent="0.15">
      <c r="A642" t="s">
        <v>1007</v>
      </c>
      <c r="B642">
        <v>15.7</v>
      </c>
      <c r="C642" t="str">
        <f t="shared" ref="C642:C705" si="20">DBCS(A642)</f>
        <v>ミルタザピンＯＤ錠１５ｍｇ「サワイ」</v>
      </c>
      <c r="D642">
        <f t="shared" ref="D642:D705" si="21">B642</f>
        <v>15.7</v>
      </c>
    </row>
    <row r="643" spans="1:4" x14ac:dyDescent="0.15">
      <c r="A643" t="s">
        <v>1007</v>
      </c>
      <c r="B643">
        <v>15.7</v>
      </c>
      <c r="C643" t="str">
        <f t="shared" si="20"/>
        <v>ミルタザピンＯＤ錠１５ｍｇ「サワイ」</v>
      </c>
      <c r="D643">
        <f t="shared" si="21"/>
        <v>15.7</v>
      </c>
    </row>
    <row r="644" spans="1:4" x14ac:dyDescent="0.15">
      <c r="A644" t="s">
        <v>1008</v>
      </c>
      <c r="B644">
        <v>15.9</v>
      </c>
      <c r="C644" t="str">
        <f t="shared" si="20"/>
        <v>ムコスタ点眼液ＵＤ２％</v>
      </c>
      <c r="D644">
        <f t="shared" si="21"/>
        <v>15.9</v>
      </c>
    </row>
    <row r="645" spans="1:4" x14ac:dyDescent="0.15">
      <c r="A645" t="s">
        <v>1010</v>
      </c>
      <c r="B645">
        <v>10.4</v>
      </c>
      <c r="C645" t="str">
        <f t="shared" si="20"/>
        <v>メイラックス錠１ｍｇ</v>
      </c>
      <c r="D645">
        <f t="shared" si="21"/>
        <v>10.4</v>
      </c>
    </row>
    <row r="646" spans="1:4" x14ac:dyDescent="0.15">
      <c r="A646" t="s">
        <v>1011</v>
      </c>
      <c r="B646">
        <v>100</v>
      </c>
      <c r="C646" t="str">
        <f t="shared" si="20"/>
        <v>メイロン静注７％　プラアンプル</v>
      </c>
      <c r="D646">
        <f t="shared" si="21"/>
        <v>100</v>
      </c>
    </row>
    <row r="647" spans="1:4" x14ac:dyDescent="0.15">
      <c r="A647" t="s">
        <v>1013</v>
      </c>
      <c r="B647">
        <v>8.8000000000000007</v>
      </c>
      <c r="C647" t="str">
        <f t="shared" si="20"/>
        <v>メキシチールカプセル５０ｍｇ</v>
      </c>
      <c r="D647">
        <f t="shared" si="21"/>
        <v>8.8000000000000007</v>
      </c>
    </row>
    <row r="648" spans="1:4" x14ac:dyDescent="0.15">
      <c r="A648" t="s">
        <v>1014</v>
      </c>
      <c r="B648">
        <v>5.9</v>
      </c>
      <c r="C648" t="str">
        <f t="shared" si="20"/>
        <v>メコバラミン錠５００「トーワ」</v>
      </c>
      <c r="D648">
        <f t="shared" si="21"/>
        <v>5.9</v>
      </c>
    </row>
    <row r="649" spans="1:4" x14ac:dyDescent="0.15">
      <c r="A649" t="s">
        <v>1014</v>
      </c>
      <c r="B649">
        <v>5.9</v>
      </c>
      <c r="C649" t="str">
        <f t="shared" si="20"/>
        <v>メコバラミン錠５００「トーワ」</v>
      </c>
      <c r="D649">
        <f t="shared" si="21"/>
        <v>5.9</v>
      </c>
    </row>
    <row r="650" spans="1:4" x14ac:dyDescent="0.15">
      <c r="A650" t="s">
        <v>1015</v>
      </c>
      <c r="B650">
        <v>77.400000000000006</v>
      </c>
      <c r="C650" t="str">
        <f t="shared" si="20"/>
        <v>メトトレキサート錠２ｍｇ「あゆみ」</v>
      </c>
      <c r="D650">
        <f t="shared" si="21"/>
        <v>77.400000000000006</v>
      </c>
    </row>
    <row r="651" spans="1:4" x14ac:dyDescent="0.15">
      <c r="A651" t="s">
        <v>1017</v>
      </c>
      <c r="B651">
        <v>10.4</v>
      </c>
      <c r="C651" t="str">
        <f t="shared" si="20"/>
        <v>メトホルミン塩酸塩錠２５０ｍｇＭＴ「ＤＳＰＢ」</v>
      </c>
      <c r="D651">
        <f t="shared" si="21"/>
        <v>10.4</v>
      </c>
    </row>
    <row r="652" spans="1:4" x14ac:dyDescent="0.15">
      <c r="A652" t="s">
        <v>1018</v>
      </c>
      <c r="B652">
        <v>1060.9000000000001</v>
      </c>
      <c r="C652" t="str">
        <f t="shared" si="20"/>
        <v>メプチンエア－１０μｇ吸入１００回　　０．０１４３％</v>
      </c>
      <c r="D652">
        <f t="shared" si="21"/>
        <v>1060.9000000000001</v>
      </c>
    </row>
    <row r="653" spans="1:4" x14ac:dyDescent="0.15">
      <c r="A653" t="s">
        <v>1019</v>
      </c>
      <c r="B653">
        <v>66</v>
      </c>
      <c r="C653" t="str">
        <f t="shared" si="20"/>
        <v>メマンチン塩酸塩ＯＤ錠２０ｍｇ「ＤＳＥＰ」</v>
      </c>
      <c r="D653">
        <f t="shared" si="21"/>
        <v>66</v>
      </c>
    </row>
    <row r="654" spans="1:4" x14ac:dyDescent="0.15">
      <c r="A654" t="s">
        <v>1019</v>
      </c>
      <c r="B654">
        <v>66</v>
      </c>
      <c r="C654" t="str">
        <f t="shared" si="20"/>
        <v>メマンチン塩酸塩ＯＤ錠２０ｍｇ「ＤＳＥＰ」</v>
      </c>
      <c r="D654">
        <f t="shared" si="21"/>
        <v>66</v>
      </c>
    </row>
    <row r="655" spans="1:4" x14ac:dyDescent="0.15">
      <c r="A655" t="s">
        <v>1020</v>
      </c>
      <c r="B655">
        <v>21.5</v>
      </c>
      <c r="C655" t="str">
        <f t="shared" si="20"/>
        <v>メマンチン塩酸塩ＯＤ錠５ｍｇ「ＤＳＥＰ」</v>
      </c>
      <c r="D655">
        <f t="shared" si="21"/>
        <v>21.5</v>
      </c>
    </row>
    <row r="656" spans="1:4" x14ac:dyDescent="0.15">
      <c r="A656" t="s">
        <v>1020</v>
      </c>
      <c r="B656">
        <v>21.5</v>
      </c>
      <c r="C656" t="str">
        <f t="shared" si="20"/>
        <v>メマンチン塩酸塩ＯＤ錠５ｍｇ「ＤＳＥＰ」</v>
      </c>
      <c r="D656">
        <f t="shared" si="21"/>
        <v>21.5</v>
      </c>
    </row>
    <row r="657" spans="1:4" x14ac:dyDescent="0.15">
      <c r="A657" t="s">
        <v>1021</v>
      </c>
      <c r="B657">
        <v>9</v>
      </c>
      <c r="C657" t="str">
        <f t="shared" si="20"/>
        <v>メリスロン錠６ｍｇ</v>
      </c>
      <c r="D657">
        <f t="shared" si="21"/>
        <v>9</v>
      </c>
    </row>
    <row r="658" spans="1:4" x14ac:dyDescent="0.15">
      <c r="A658" t="s">
        <v>1022</v>
      </c>
      <c r="B658">
        <v>10.1</v>
      </c>
      <c r="C658" t="str">
        <f t="shared" si="20"/>
        <v>メルカゾール錠５ｍｇ</v>
      </c>
      <c r="D658">
        <f t="shared" si="21"/>
        <v>10.1</v>
      </c>
    </row>
    <row r="659" spans="1:4" x14ac:dyDescent="0.15">
      <c r="A659" t="s">
        <v>1023</v>
      </c>
      <c r="B659">
        <v>656</v>
      </c>
      <c r="C659" t="str">
        <f t="shared" si="20"/>
        <v>メロペネム点滴静注用０．５ｇ「サワイ」</v>
      </c>
      <c r="D659">
        <f t="shared" si="21"/>
        <v>656</v>
      </c>
    </row>
    <row r="660" spans="1:4" x14ac:dyDescent="0.15">
      <c r="A660" t="s">
        <v>1025</v>
      </c>
      <c r="B660">
        <v>9.6</v>
      </c>
      <c r="C660" t="str">
        <f t="shared" si="20"/>
        <v>モサプリドクエン酸塩散１％「日医工」</v>
      </c>
      <c r="D660">
        <f t="shared" si="21"/>
        <v>9.6</v>
      </c>
    </row>
    <row r="661" spans="1:4" x14ac:dyDescent="0.15">
      <c r="A661" t="s">
        <v>1026</v>
      </c>
      <c r="B661">
        <v>10.4</v>
      </c>
      <c r="C661" t="str">
        <f t="shared" si="20"/>
        <v>モサプリドクエン酸塩錠５ｍｇ「日医工」</v>
      </c>
      <c r="D661">
        <f t="shared" si="21"/>
        <v>10.4</v>
      </c>
    </row>
    <row r="662" spans="1:4" x14ac:dyDescent="0.15">
      <c r="A662" t="s">
        <v>1026</v>
      </c>
      <c r="B662">
        <v>10.4</v>
      </c>
      <c r="C662" t="str">
        <f t="shared" si="20"/>
        <v>モサプリドクエン酸塩錠５ｍｇ「日医工」</v>
      </c>
      <c r="D662">
        <f t="shared" si="21"/>
        <v>10.4</v>
      </c>
    </row>
    <row r="663" spans="1:4" x14ac:dyDescent="0.15">
      <c r="A663" t="s">
        <v>1027</v>
      </c>
      <c r="B663">
        <v>303.60000000000002</v>
      </c>
      <c r="C663" t="str">
        <f t="shared" si="20"/>
        <v>モディオダール錠１００ｍｇ</v>
      </c>
      <c r="D663">
        <f t="shared" si="21"/>
        <v>303.60000000000002</v>
      </c>
    </row>
    <row r="664" spans="1:4" x14ac:dyDescent="0.15">
      <c r="A664" t="s">
        <v>1029</v>
      </c>
      <c r="B664">
        <v>61.4</v>
      </c>
      <c r="C664" t="str">
        <f t="shared" si="20"/>
        <v>モビコール配合内用剤ＬＤ（１）　　　６．８５２３ｇ／１包</v>
      </c>
      <c r="D664">
        <f t="shared" si="21"/>
        <v>61.4</v>
      </c>
    </row>
    <row r="665" spans="1:4" x14ac:dyDescent="0.15">
      <c r="A665" t="s">
        <v>1031</v>
      </c>
      <c r="B665">
        <v>8.4</v>
      </c>
      <c r="C665" t="str">
        <f t="shared" si="20"/>
        <v>ユーロジン２ｍｇ錠</v>
      </c>
      <c r="D665">
        <f t="shared" si="21"/>
        <v>8.4</v>
      </c>
    </row>
    <row r="666" spans="1:4" x14ac:dyDescent="0.15">
      <c r="A666" t="s">
        <v>1032</v>
      </c>
      <c r="B666">
        <v>6.8</v>
      </c>
      <c r="C666" t="str">
        <f t="shared" si="20"/>
        <v>ユベラＮソフトカプセル２００ｍｇ</v>
      </c>
      <c r="D666">
        <f t="shared" si="21"/>
        <v>6.8</v>
      </c>
    </row>
    <row r="667" spans="1:4" x14ac:dyDescent="0.15">
      <c r="A667" t="s">
        <v>1034</v>
      </c>
      <c r="B667">
        <v>42.4</v>
      </c>
      <c r="C667" t="str">
        <f t="shared" si="20"/>
        <v>ユリス錠１ｍｇ</v>
      </c>
      <c r="D667">
        <f t="shared" si="21"/>
        <v>42.4</v>
      </c>
    </row>
    <row r="668" spans="1:4" x14ac:dyDescent="0.15">
      <c r="A668" t="s">
        <v>1035</v>
      </c>
      <c r="B668">
        <v>75.599999999999994</v>
      </c>
      <c r="C668" t="str">
        <f t="shared" si="20"/>
        <v>ユリス錠２ｍｇ</v>
      </c>
      <c r="D668">
        <f t="shared" si="21"/>
        <v>75.599999999999994</v>
      </c>
    </row>
    <row r="669" spans="1:4" x14ac:dyDescent="0.15">
      <c r="A669" t="s">
        <v>1036</v>
      </c>
      <c r="B669">
        <v>5.9</v>
      </c>
      <c r="C669" t="str">
        <f t="shared" si="20"/>
        <v>ヨウ化カリウム丸５０ｍｇ「日医工」</v>
      </c>
      <c r="D669">
        <f t="shared" si="21"/>
        <v>5.9</v>
      </c>
    </row>
    <row r="670" spans="1:4" x14ac:dyDescent="0.15">
      <c r="A670" t="s">
        <v>1039</v>
      </c>
      <c r="B670">
        <v>6.9</v>
      </c>
      <c r="C670" t="str">
        <f t="shared" si="20"/>
        <v>ラクツロースシロップ６５％「タカタ」</v>
      </c>
      <c r="D670">
        <f t="shared" si="21"/>
        <v>6.9</v>
      </c>
    </row>
    <row r="671" spans="1:4" x14ac:dyDescent="0.15">
      <c r="A671" t="s">
        <v>1040</v>
      </c>
      <c r="B671">
        <v>2164.9</v>
      </c>
      <c r="C671" t="str">
        <f t="shared" si="20"/>
        <v>ラゲブリオカプセル２００ｍｇ</v>
      </c>
      <c r="D671">
        <f t="shared" si="21"/>
        <v>2164.9</v>
      </c>
    </row>
    <row r="672" spans="1:4" x14ac:dyDescent="0.15">
      <c r="A672" t="s">
        <v>1042</v>
      </c>
      <c r="B672">
        <v>10.7</v>
      </c>
      <c r="C672" t="str">
        <f t="shared" si="20"/>
        <v>ラコールＮＦ配合経腸液（コーヒー）</v>
      </c>
      <c r="D672">
        <f t="shared" si="21"/>
        <v>10.7</v>
      </c>
    </row>
    <row r="673" spans="1:4" x14ac:dyDescent="0.15">
      <c r="A673" t="s">
        <v>1045</v>
      </c>
      <c r="B673">
        <v>10.7</v>
      </c>
      <c r="C673" t="str">
        <f t="shared" si="20"/>
        <v>ラコールＮＦ配合経腸液（ミルク）</v>
      </c>
      <c r="D673">
        <f t="shared" si="21"/>
        <v>10.7</v>
      </c>
    </row>
    <row r="674" spans="1:4" x14ac:dyDescent="0.15">
      <c r="A674" t="s">
        <v>1046</v>
      </c>
      <c r="B674">
        <v>76.3</v>
      </c>
      <c r="C674" t="str">
        <f t="shared" si="20"/>
        <v>ラコサミド錠５０ｍｇ「ＪＧ」</v>
      </c>
      <c r="D674">
        <f t="shared" si="21"/>
        <v>76.3</v>
      </c>
    </row>
    <row r="675" spans="1:4" x14ac:dyDescent="0.15">
      <c r="A675" t="s">
        <v>1047</v>
      </c>
      <c r="B675">
        <v>2744</v>
      </c>
      <c r="C675" t="str">
        <f t="shared" si="20"/>
        <v>ラジカット内用懸濁液２．１％　　　３５ｍｌ</v>
      </c>
      <c r="D675">
        <f t="shared" si="21"/>
        <v>2744</v>
      </c>
    </row>
    <row r="676" spans="1:4" x14ac:dyDescent="0.15">
      <c r="A676" t="s">
        <v>1049</v>
      </c>
      <c r="B676">
        <v>2744</v>
      </c>
      <c r="C676" t="str">
        <f t="shared" si="20"/>
        <v>ラジカット内用懸濁液２．１％　　　５０ｍｌ</v>
      </c>
      <c r="D676">
        <f t="shared" si="21"/>
        <v>2744</v>
      </c>
    </row>
    <row r="677" spans="1:4" x14ac:dyDescent="0.15">
      <c r="A677" t="s">
        <v>1051</v>
      </c>
      <c r="B677">
        <v>3962</v>
      </c>
      <c r="C677" t="str">
        <f t="shared" si="20"/>
        <v>ラスビック点滴静注キット１５０ｍｇ</v>
      </c>
      <c r="D677">
        <f t="shared" si="21"/>
        <v>3962</v>
      </c>
    </row>
    <row r="678" spans="1:4" x14ac:dyDescent="0.15">
      <c r="A678" t="s">
        <v>1052</v>
      </c>
      <c r="B678">
        <v>151</v>
      </c>
      <c r="C678" t="str">
        <f t="shared" si="20"/>
        <v>ラタノプロスト点眼液０．００５％「センジュ」</v>
      </c>
      <c r="D678">
        <f t="shared" si="21"/>
        <v>151</v>
      </c>
    </row>
    <row r="679" spans="1:4" x14ac:dyDescent="0.15">
      <c r="A679" t="s">
        <v>1053</v>
      </c>
      <c r="B679">
        <v>159.1</v>
      </c>
      <c r="C679" t="str">
        <f t="shared" si="20"/>
        <v>ラツーダ錠２０ｍｇ</v>
      </c>
      <c r="D679">
        <f t="shared" si="21"/>
        <v>159.1</v>
      </c>
    </row>
    <row r="680" spans="1:4" x14ac:dyDescent="0.15">
      <c r="A680" t="s">
        <v>1053</v>
      </c>
      <c r="B680">
        <v>159.1</v>
      </c>
      <c r="C680" t="str">
        <f t="shared" si="20"/>
        <v>ラツーダ錠２０ｍｇ</v>
      </c>
      <c r="D680">
        <f t="shared" si="21"/>
        <v>159.1</v>
      </c>
    </row>
    <row r="681" spans="1:4" x14ac:dyDescent="0.15">
      <c r="A681" t="s">
        <v>1054</v>
      </c>
      <c r="B681">
        <v>295.8</v>
      </c>
      <c r="C681" t="str">
        <f t="shared" si="20"/>
        <v>ラツーダ錠４０ｍｇ</v>
      </c>
      <c r="D681">
        <f t="shared" si="21"/>
        <v>295.8</v>
      </c>
    </row>
    <row r="682" spans="1:4" x14ac:dyDescent="0.15">
      <c r="A682" t="s">
        <v>1054</v>
      </c>
      <c r="B682">
        <v>295.8</v>
      </c>
      <c r="C682" t="str">
        <f t="shared" si="20"/>
        <v>ラツーダ錠４０ｍｇ</v>
      </c>
      <c r="D682">
        <f t="shared" si="21"/>
        <v>295.8</v>
      </c>
    </row>
    <row r="683" spans="1:4" x14ac:dyDescent="0.15">
      <c r="A683" t="s">
        <v>1055</v>
      </c>
      <c r="B683">
        <v>6197</v>
      </c>
      <c r="C683" t="str">
        <f t="shared" si="20"/>
        <v>ラピアクタ点滴静注バッグ３００ｍｇ</v>
      </c>
      <c r="D683">
        <f t="shared" si="21"/>
        <v>6197</v>
      </c>
    </row>
    <row r="684" spans="1:4" x14ac:dyDescent="0.15">
      <c r="A684" t="s">
        <v>1057</v>
      </c>
      <c r="B684">
        <v>18.899999999999999</v>
      </c>
      <c r="C684" t="str">
        <f t="shared" si="20"/>
        <v>ラメルテオン錠８ｍｇ「トーワ」</v>
      </c>
      <c r="D684">
        <f t="shared" si="21"/>
        <v>18.899999999999999</v>
      </c>
    </row>
    <row r="685" spans="1:4" x14ac:dyDescent="0.15">
      <c r="A685" t="s">
        <v>1057</v>
      </c>
      <c r="B685">
        <v>18.899999999999999</v>
      </c>
      <c r="C685" t="str">
        <f t="shared" si="20"/>
        <v>ラメルテオン錠８ｍｇ「トーワ」</v>
      </c>
      <c r="D685">
        <f t="shared" si="21"/>
        <v>18.899999999999999</v>
      </c>
    </row>
    <row r="686" spans="1:4" x14ac:dyDescent="0.15">
      <c r="A686" t="s">
        <v>1058</v>
      </c>
      <c r="B686">
        <v>28.7</v>
      </c>
      <c r="C686" t="str">
        <f t="shared" si="20"/>
        <v>ラモトリギン錠１００ｍｇ「トーワ」</v>
      </c>
      <c r="D686">
        <f t="shared" si="21"/>
        <v>28.7</v>
      </c>
    </row>
    <row r="687" spans="1:4" x14ac:dyDescent="0.15">
      <c r="A687" t="s">
        <v>1058</v>
      </c>
      <c r="B687">
        <v>28.7</v>
      </c>
      <c r="C687" t="str">
        <f t="shared" si="20"/>
        <v>ラモトリギン錠１００ｍｇ「トーワ」</v>
      </c>
      <c r="D687">
        <f t="shared" si="21"/>
        <v>28.7</v>
      </c>
    </row>
    <row r="688" spans="1:4" x14ac:dyDescent="0.15">
      <c r="A688" t="s">
        <v>1059</v>
      </c>
      <c r="B688">
        <v>11.7</v>
      </c>
      <c r="C688" t="str">
        <f t="shared" si="20"/>
        <v>ラモトリギン錠２５ｍｇ「トーワ」</v>
      </c>
      <c r="D688">
        <f t="shared" si="21"/>
        <v>11.7</v>
      </c>
    </row>
    <row r="689" spans="1:4" x14ac:dyDescent="0.15">
      <c r="A689" t="s">
        <v>1059</v>
      </c>
      <c r="B689">
        <v>11.7</v>
      </c>
      <c r="C689" t="str">
        <f t="shared" si="20"/>
        <v>ラモトリギン錠２５ｍｇ「トーワ」</v>
      </c>
      <c r="D689">
        <f t="shared" si="21"/>
        <v>11.7</v>
      </c>
    </row>
    <row r="690" spans="1:4" x14ac:dyDescent="0.15">
      <c r="A690" t="s">
        <v>1060</v>
      </c>
      <c r="B690">
        <v>11.3</v>
      </c>
      <c r="C690" t="str">
        <f t="shared" si="20"/>
        <v>ランソプラゾールＯＤ錠１５ｍｇ「トーワ」</v>
      </c>
      <c r="D690">
        <f t="shared" si="21"/>
        <v>11.3</v>
      </c>
    </row>
    <row r="691" spans="1:4" x14ac:dyDescent="0.15">
      <c r="A691" t="s">
        <v>1060</v>
      </c>
      <c r="B691">
        <v>11.3</v>
      </c>
      <c r="C691" t="str">
        <f t="shared" si="20"/>
        <v>ランソプラゾールＯＤ錠１５ｍｇ「トーワ」</v>
      </c>
      <c r="D691">
        <f t="shared" si="21"/>
        <v>11.3</v>
      </c>
    </row>
    <row r="692" spans="1:4" x14ac:dyDescent="0.15">
      <c r="A692" t="s">
        <v>1061</v>
      </c>
      <c r="B692">
        <v>1910</v>
      </c>
      <c r="C692" t="str">
        <f t="shared" si="20"/>
        <v>ランタスＸＲ注ソロスター４５０単位</v>
      </c>
      <c r="D692">
        <f t="shared" si="21"/>
        <v>1910</v>
      </c>
    </row>
    <row r="693" spans="1:4" x14ac:dyDescent="0.15">
      <c r="A693" t="s">
        <v>1063</v>
      </c>
      <c r="B693">
        <v>1049</v>
      </c>
      <c r="C693" t="str">
        <f t="shared" si="20"/>
        <v>ランタス注ソロスター３００単位</v>
      </c>
      <c r="D693">
        <f t="shared" si="21"/>
        <v>1049</v>
      </c>
    </row>
    <row r="694" spans="1:4" x14ac:dyDescent="0.15">
      <c r="A694" t="s">
        <v>1065</v>
      </c>
      <c r="B694">
        <v>6.6</v>
      </c>
      <c r="C694" t="str">
        <f t="shared" si="20"/>
        <v>リーゼ錠５ｍｇ</v>
      </c>
      <c r="D694">
        <f t="shared" si="21"/>
        <v>6.6</v>
      </c>
    </row>
    <row r="695" spans="1:4" x14ac:dyDescent="0.15">
      <c r="A695" t="s">
        <v>1066</v>
      </c>
      <c r="B695">
        <v>10.4</v>
      </c>
      <c r="C695" t="str">
        <f t="shared" si="20"/>
        <v>リオレサール錠５ｍｇ</v>
      </c>
      <c r="D695">
        <f t="shared" si="21"/>
        <v>10.4</v>
      </c>
    </row>
    <row r="696" spans="1:4" x14ac:dyDescent="0.15">
      <c r="A696" t="s">
        <v>1068</v>
      </c>
      <c r="B696">
        <v>411.3</v>
      </c>
      <c r="C696" t="str">
        <f t="shared" si="20"/>
        <v>リクシアナＯＤ錠３０ｍｇ</v>
      </c>
      <c r="D696">
        <f t="shared" si="21"/>
        <v>411.3</v>
      </c>
    </row>
    <row r="697" spans="1:4" x14ac:dyDescent="0.15">
      <c r="A697" t="s">
        <v>1069</v>
      </c>
      <c r="B697">
        <v>33070</v>
      </c>
      <c r="C697" t="str">
        <f t="shared" si="20"/>
        <v>リクラスト点滴静注液５ｍｇ</v>
      </c>
      <c r="D697">
        <f t="shared" si="21"/>
        <v>33070</v>
      </c>
    </row>
    <row r="698" spans="1:4" x14ac:dyDescent="0.15">
      <c r="A698" t="s">
        <v>1071</v>
      </c>
      <c r="B698">
        <v>13032</v>
      </c>
      <c r="C698" t="str">
        <f t="shared" si="20"/>
        <v>リスパダールコンスタ筋注用２５ｍｇ</v>
      </c>
      <c r="D698">
        <f t="shared" si="21"/>
        <v>13032</v>
      </c>
    </row>
    <row r="699" spans="1:4" x14ac:dyDescent="0.15">
      <c r="A699" t="s">
        <v>1242</v>
      </c>
      <c r="B699">
        <v>19680</v>
      </c>
      <c r="C699" t="str">
        <f t="shared" si="20"/>
        <v>リスパダールコンスタ筋注用５０ｍｇ</v>
      </c>
      <c r="D699">
        <f t="shared" si="21"/>
        <v>19680</v>
      </c>
    </row>
    <row r="700" spans="1:4" x14ac:dyDescent="0.15">
      <c r="A700" t="s">
        <v>1073</v>
      </c>
      <c r="B700">
        <v>84.2</v>
      </c>
      <c r="C700" t="str">
        <f t="shared" si="20"/>
        <v>リスパダール細粒１％</v>
      </c>
      <c r="D700">
        <f t="shared" si="21"/>
        <v>84.2</v>
      </c>
    </row>
    <row r="701" spans="1:4" x14ac:dyDescent="0.15">
      <c r="A701" t="s">
        <v>1074</v>
      </c>
      <c r="B701">
        <v>11.9</v>
      </c>
      <c r="C701" t="str">
        <f t="shared" si="20"/>
        <v>リスパダール錠１ｍｇ　　　　　　　　　　</v>
      </c>
      <c r="D701">
        <f t="shared" si="21"/>
        <v>11.9</v>
      </c>
    </row>
    <row r="702" spans="1:4" x14ac:dyDescent="0.15">
      <c r="A702" t="s">
        <v>1074</v>
      </c>
      <c r="B702">
        <v>11.9</v>
      </c>
      <c r="C702" t="str">
        <f t="shared" si="20"/>
        <v>リスパダール錠１ｍｇ　　　　　　　　　　</v>
      </c>
      <c r="D702">
        <f t="shared" si="21"/>
        <v>11.9</v>
      </c>
    </row>
    <row r="703" spans="1:4" x14ac:dyDescent="0.15">
      <c r="A703" t="s">
        <v>1075</v>
      </c>
      <c r="B703">
        <v>19.3</v>
      </c>
      <c r="C703" t="str">
        <f t="shared" si="20"/>
        <v>リスパダール錠２ｍｇ　　　　　　　　　　</v>
      </c>
      <c r="D703">
        <f t="shared" si="21"/>
        <v>19.3</v>
      </c>
    </row>
    <row r="704" spans="1:4" x14ac:dyDescent="0.15">
      <c r="A704" t="s">
        <v>1075</v>
      </c>
      <c r="B704">
        <v>19.3</v>
      </c>
      <c r="C704" t="str">
        <f t="shared" si="20"/>
        <v>リスパダール錠２ｍｇ　　　　　　　　　　</v>
      </c>
      <c r="D704">
        <f t="shared" si="21"/>
        <v>19.3</v>
      </c>
    </row>
    <row r="705" spans="1:4" x14ac:dyDescent="0.15">
      <c r="A705" t="s">
        <v>1076</v>
      </c>
      <c r="B705">
        <v>26.2</v>
      </c>
      <c r="C705" t="str">
        <f t="shared" si="20"/>
        <v>リスパダール錠３ｍｇ</v>
      </c>
      <c r="D705">
        <f t="shared" si="21"/>
        <v>26.2</v>
      </c>
    </row>
    <row r="706" spans="1:4" x14ac:dyDescent="0.15">
      <c r="A706" t="s">
        <v>1076</v>
      </c>
      <c r="B706">
        <v>26.2</v>
      </c>
      <c r="C706" t="str">
        <f t="shared" ref="C706:C769" si="22">DBCS(A706)</f>
        <v>リスパダール錠３ｍｇ</v>
      </c>
      <c r="D706">
        <f t="shared" ref="D706:D769" si="23">B706</f>
        <v>26.2</v>
      </c>
    </row>
    <row r="707" spans="1:4" x14ac:dyDescent="0.15">
      <c r="A707" t="s">
        <v>1243</v>
      </c>
      <c r="B707">
        <v>31.5</v>
      </c>
      <c r="C707" t="str">
        <f t="shared" si="22"/>
        <v>リスパダール内用液　１ｍｇ／ｍｌ（３０ｍｌ瓶）　　　</v>
      </c>
      <c r="D707">
        <f t="shared" si="23"/>
        <v>31.5</v>
      </c>
    </row>
    <row r="708" spans="1:4" x14ac:dyDescent="0.15">
      <c r="A708" t="s">
        <v>1078</v>
      </c>
      <c r="B708">
        <v>31.5</v>
      </c>
      <c r="C708" t="str">
        <f t="shared" si="22"/>
        <v>リスパダール内用液（１ｍｇ／ｍｌ）０．５ｍｌ</v>
      </c>
      <c r="D708">
        <f t="shared" si="23"/>
        <v>31.5</v>
      </c>
    </row>
    <row r="709" spans="1:4" x14ac:dyDescent="0.15">
      <c r="A709" t="s">
        <v>1080</v>
      </c>
      <c r="B709">
        <v>31.5</v>
      </c>
      <c r="C709" t="str">
        <f t="shared" si="22"/>
        <v>リスパダール内用液１ｍｇ／ｍｌ　　（１ｍｌ）　　　　</v>
      </c>
      <c r="D709">
        <f t="shared" si="23"/>
        <v>31.5</v>
      </c>
    </row>
    <row r="710" spans="1:4" x14ac:dyDescent="0.15">
      <c r="A710" t="s">
        <v>1082</v>
      </c>
      <c r="B710">
        <v>10.4</v>
      </c>
      <c r="C710" t="str">
        <f t="shared" si="22"/>
        <v>リスペリドンＯＤ錠０．５ｍｇ「アメル」</v>
      </c>
      <c r="D710">
        <f t="shared" si="23"/>
        <v>10.4</v>
      </c>
    </row>
    <row r="711" spans="1:4" x14ac:dyDescent="0.15">
      <c r="A711" t="s">
        <v>1082</v>
      </c>
      <c r="B711">
        <v>10.4</v>
      </c>
      <c r="C711" t="str">
        <f t="shared" si="22"/>
        <v>リスペリドンＯＤ錠０．５ｍｇ「アメル」</v>
      </c>
      <c r="D711">
        <f t="shared" si="23"/>
        <v>10.4</v>
      </c>
    </row>
    <row r="712" spans="1:4" x14ac:dyDescent="0.15">
      <c r="A712" t="s">
        <v>1083</v>
      </c>
      <c r="B712">
        <v>10.4</v>
      </c>
      <c r="C712" t="str">
        <f t="shared" si="22"/>
        <v>リスペリドンＯＤ錠１ｍｇ「アメル」</v>
      </c>
      <c r="D712">
        <f t="shared" si="23"/>
        <v>10.4</v>
      </c>
    </row>
    <row r="713" spans="1:4" x14ac:dyDescent="0.15">
      <c r="A713" t="s">
        <v>1083</v>
      </c>
      <c r="B713">
        <v>10.4</v>
      </c>
      <c r="C713" t="str">
        <f t="shared" si="22"/>
        <v>リスペリドンＯＤ錠１ｍｇ「アメル」</v>
      </c>
      <c r="D713">
        <f t="shared" si="23"/>
        <v>10.4</v>
      </c>
    </row>
    <row r="714" spans="1:4" x14ac:dyDescent="0.15">
      <c r="A714" t="s">
        <v>1084</v>
      </c>
      <c r="B714">
        <v>10.4</v>
      </c>
      <c r="C714" t="str">
        <f t="shared" si="22"/>
        <v>リスペリドンＯＤ錠２ｍｇ「アメル」</v>
      </c>
      <c r="D714">
        <f t="shared" si="23"/>
        <v>10.4</v>
      </c>
    </row>
    <row r="715" spans="1:4" x14ac:dyDescent="0.15">
      <c r="A715" t="s">
        <v>1084</v>
      </c>
      <c r="B715">
        <v>10.4</v>
      </c>
      <c r="C715" t="str">
        <f t="shared" si="22"/>
        <v>リスペリドンＯＤ錠２ｍｇ「アメル」</v>
      </c>
      <c r="D715">
        <f t="shared" si="23"/>
        <v>10.4</v>
      </c>
    </row>
    <row r="716" spans="1:4" x14ac:dyDescent="0.15">
      <c r="A716" t="s">
        <v>1085</v>
      </c>
      <c r="B716">
        <v>10.9</v>
      </c>
      <c r="C716" t="str">
        <f t="shared" si="22"/>
        <v>リスペリドンＯＤ錠３ｍｇ「アメル」</v>
      </c>
      <c r="D716">
        <f t="shared" si="23"/>
        <v>10.9</v>
      </c>
    </row>
    <row r="717" spans="1:4" x14ac:dyDescent="0.15">
      <c r="A717" t="s">
        <v>1085</v>
      </c>
      <c r="B717">
        <v>10.9</v>
      </c>
      <c r="C717" t="str">
        <f t="shared" si="22"/>
        <v>リスペリドンＯＤ錠３ｍｇ「アメル」</v>
      </c>
      <c r="D717">
        <f t="shared" si="23"/>
        <v>10.9</v>
      </c>
    </row>
    <row r="718" spans="1:4" x14ac:dyDescent="0.15">
      <c r="A718" t="s">
        <v>1086</v>
      </c>
      <c r="B718">
        <v>46.9</v>
      </c>
      <c r="C718" t="str">
        <f t="shared" si="22"/>
        <v>リスペリドン細粒１％「アメル」</v>
      </c>
      <c r="D718">
        <f t="shared" si="23"/>
        <v>46.9</v>
      </c>
    </row>
    <row r="719" spans="1:4" x14ac:dyDescent="0.15">
      <c r="A719" t="s">
        <v>1087</v>
      </c>
      <c r="B719">
        <v>10.4</v>
      </c>
      <c r="C719" t="str">
        <f t="shared" si="22"/>
        <v>リスペリドン錠０．５ｍｇ「アメル」</v>
      </c>
      <c r="D719">
        <f t="shared" si="23"/>
        <v>10.4</v>
      </c>
    </row>
    <row r="720" spans="1:4" x14ac:dyDescent="0.15">
      <c r="A720" t="s">
        <v>1088</v>
      </c>
      <c r="B720">
        <v>10.4</v>
      </c>
      <c r="C720" t="str">
        <f t="shared" si="22"/>
        <v>リスペリドン錠１ｍｇ「アメル」</v>
      </c>
      <c r="D720">
        <f t="shared" si="23"/>
        <v>10.4</v>
      </c>
    </row>
    <row r="721" spans="1:4" x14ac:dyDescent="0.15">
      <c r="A721" t="s">
        <v>1089</v>
      </c>
      <c r="B721">
        <v>15</v>
      </c>
      <c r="C721" t="str">
        <f t="shared" si="22"/>
        <v>リスペリドン内用液分包０．５ｍｇ「アメル」０．５ｍｌ</v>
      </c>
      <c r="D721">
        <f t="shared" si="23"/>
        <v>15</v>
      </c>
    </row>
    <row r="722" spans="1:4" x14ac:dyDescent="0.15">
      <c r="A722" t="s">
        <v>1091</v>
      </c>
      <c r="B722">
        <v>29.7</v>
      </c>
      <c r="C722" t="str">
        <f t="shared" si="22"/>
        <v>リスペリドン内用液分包１ｍｇ「アメル」　１ｍｌ</v>
      </c>
      <c r="D722">
        <f t="shared" si="23"/>
        <v>29.7</v>
      </c>
    </row>
    <row r="723" spans="1:4" x14ac:dyDescent="0.15">
      <c r="A723" t="s">
        <v>1092</v>
      </c>
      <c r="B723">
        <v>16.2</v>
      </c>
      <c r="C723" t="str">
        <f t="shared" si="22"/>
        <v>リスミー錠２ｍｇ</v>
      </c>
      <c r="D723">
        <f t="shared" si="23"/>
        <v>16.2</v>
      </c>
    </row>
    <row r="724" spans="1:4" x14ac:dyDescent="0.15">
      <c r="A724" t="s">
        <v>1093</v>
      </c>
      <c r="B724">
        <v>14.7</v>
      </c>
      <c r="C724" t="str">
        <f t="shared" si="22"/>
        <v>リドメックスコーワ軟膏０．３％</v>
      </c>
      <c r="D724">
        <f t="shared" si="23"/>
        <v>14.7</v>
      </c>
    </row>
    <row r="725" spans="1:4" x14ac:dyDescent="0.15">
      <c r="A725" t="s">
        <v>1094</v>
      </c>
      <c r="B725">
        <v>161.30000000000001</v>
      </c>
      <c r="C725" t="str">
        <f t="shared" si="22"/>
        <v>リバーロキサバンＯＤ錠１０ｍｇ「バイエル」</v>
      </c>
      <c r="D725">
        <f t="shared" si="23"/>
        <v>161.30000000000001</v>
      </c>
    </row>
    <row r="726" spans="1:4" x14ac:dyDescent="0.15">
      <c r="A726" t="s">
        <v>1095</v>
      </c>
      <c r="B726">
        <v>84</v>
      </c>
      <c r="C726" t="str">
        <f t="shared" si="22"/>
        <v>リバスチグミンテープ１３．５ｍｇ「トーワ」　</v>
      </c>
      <c r="D726">
        <f t="shared" si="23"/>
        <v>84</v>
      </c>
    </row>
    <row r="727" spans="1:4" x14ac:dyDescent="0.15">
      <c r="A727" t="s">
        <v>1097</v>
      </c>
      <c r="B727">
        <v>89.5</v>
      </c>
      <c r="C727" t="str">
        <f t="shared" si="22"/>
        <v>リバスチグミンテープ１８ｍｇ「トーワ」　</v>
      </c>
      <c r="D727">
        <f t="shared" si="23"/>
        <v>89.5</v>
      </c>
    </row>
    <row r="728" spans="1:4" x14ac:dyDescent="0.15">
      <c r="A728" t="s">
        <v>1098</v>
      </c>
      <c r="B728">
        <v>71.2</v>
      </c>
      <c r="C728" t="str">
        <f t="shared" si="22"/>
        <v>リバスチグミンテープ４．５ｍｇ「トーワ」</v>
      </c>
      <c r="D728">
        <f t="shared" si="23"/>
        <v>71.2</v>
      </c>
    </row>
    <row r="729" spans="1:4" x14ac:dyDescent="0.15">
      <c r="A729" t="s">
        <v>1099</v>
      </c>
      <c r="B729">
        <v>80.400000000000006</v>
      </c>
      <c r="C729" t="str">
        <f t="shared" si="22"/>
        <v>リバスチグミンテープ９ｍｇ「トーワ」　</v>
      </c>
      <c r="D729">
        <f t="shared" si="23"/>
        <v>80.400000000000006</v>
      </c>
    </row>
    <row r="730" spans="1:4" x14ac:dyDescent="0.15">
      <c r="A730" t="s">
        <v>1100</v>
      </c>
      <c r="B730">
        <v>235.1</v>
      </c>
      <c r="C730" t="str">
        <f t="shared" si="22"/>
        <v>リフキシマ錠２００ｍｇ</v>
      </c>
      <c r="D730">
        <f t="shared" si="23"/>
        <v>235.1</v>
      </c>
    </row>
    <row r="731" spans="1:4" x14ac:dyDescent="0.15">
      <c r="A731" t="s">
        <v>1102</v>
      </c>
      <c r="B731">
        <v>9.6</v>
      </c>
      <c r="C731" t="str">
        <f t="shared" si="22"/>
        <v>リボトリール錠０．５ｍｇ</v>
      </c>
      <c r="D731">
        <f t="shared" si="23"/>
        <v>9.6</v>
      </c>
    </row>
    <row r="732" spans="1:4" x14ac:dyDescent="0.15">
      <c r="A732" t="s">
        <v>1102</v>
      </c>
      <c r="B732">
        <v>9.6</v>
      </c>
      <c r="C732" t="str">
        <f t="shared" si="22"/>
        <v>リボトリール錠０．５ｍｇ</v>
      </c>
      <c r="D732">
        <f t="shared" si="23"/>
        <v>9.6</v>
      </c>
    </row>
    <row r="733" spans="1:4" x14ac:dyDescent="0.15">
      <c r="A733" t="s">
        <v>1103</v>
      </c>
      <c r="B733">
        <v>10.4</v>
      </c>
      <c r="C733" t="str">
        <f t="shared" si="22"/>
        <v>リボトリール錠１ｍｇ</v>
      </c>
      <c r="D733">
        <f t="shared" si="23"/>
        <v>10.4</v>
      </c>
    </row>
    <row r="734" spans="1:4" x14ac:dyDescent="0.15">
      <c r="A734" t="s">
        <v>1103</v>
      </c>
      <c r="B734">
        <v>10.4</v>
      </c>
      <c r="C734" t="str">
        <f t="shared" si="22"/>
        <v>リボトリール錠１ｍｇ</v>
      </c>
      <c r="D734">
        <f t="shared" si="23"/>
        <v>10.4</v>
      </c>
    </row>
    <row r="735" spans="1:4" x14ac:dyDescent="0.15">
      <c r="A735" t="s">
        <v>1104</v>
      </c>
      <c r="B735">
        <v>29</v>
      </c>
      <c r="C735" t="str">
        <f t="shared" si="22"/>
        <v>リマチル錠１００ｍｇ</v>
      </c>
      <c r="D735">
        <f t="shared" si="23"/>
        <v>29</v>
      </c>
    </row>
    <row r="736" spans="1:4" x14ac:dyDescent="0.15">
      <c r="A736" t="s">
        <v>1106</v>
      </c>
      <c r="B736">
        <v>9.9</v>
      </c>
      <c r="C736" t="str">
        <f t="shared" si="22"/>
        <v>リマプロスト　アルファデクス錠５μｇ「サワイ」</v>
      </c>
      <c r="D736">
        <f t="shared" si="23"/>
        <v>9.9</v>
      </c>
    </row>
    <row r="737" spans="1:4" x14ac:dyDescent="0.15">
      <c r="A737" t="s">
        <v>1107</v>
      </c>
      <c r="B737">
        <v>17611</v>
      </c>
      <c r="C737" t="str">
        <f t="shared" si="22"/>
        <v>リュープロレリン酢酸塩注射用キット３．７５ｍｇ「あすか」</v>
      </c>
      <c r="D737">
        <f t="shared" si="23"/>
        <v>17611</v>
      </c>
    </row>
    <row r="738" spans="1:4" x14ac:dyDescent="0.15">
      <c r="A738" t="s">
        <v>1109</v>
      </c>
      <c r="B738">
        <v>383.5</v>
      </c>
      <c r="C738" t="str">
        <f t="shared" si="22"/>
        <v>リルゾール錠５０ｍｇ「ニプロ」</v>
      </c>
      <c r="D738">
        <f t="shared" si="23"/>
        <v>383.5</v>
      </c>
    </row>
    <row r="739" spans="1:4" x14ac:dyDescent="0.15">
      <c r="A739" t="s">
        <v>1110</v>
      </c>
      <c r="B739">
        <v>64.5</v>
      </c>
      <c r="C739" t="str">
        <f t="shared" si="22"/>
        <v>リンゼス錠０．２５ｍｇ</v>
      </c>
      <c r="D739">
        <f t="shared" si="23"/>
        <v>64.5</v>
      </c>
    </row>
    <row r="740" spans="1:4" x14ac:dyDescent="0.15">
      <c r="A740" t="s">
        <v>1111</v>
      </c>
      <c r="B740">
        <v>16.899999999999999</v>
      </c>
      <c r="C740" t="str">
        <f t="shared" si="22"/>
        <v>リンデロン－Ｖ　クリーム０．１２％</v>
      </c>
      <c r="D740">
        <f t="shared" si="23"/>
        <v>16.899999999999999</v>
      </c>
    </row>
    <row r="741" spans="1:4" x14ac:dyDescent="0.15">
      <c r="A741" t="s">
        <v>1113</v>
      </c>
      <c r="B741">
        <v>208</v>
      </c>
      <c r="C741" t="str">
        <f t="shared" si="22"/>
        <v>リンデロン懸濁注２．５ｍｇ</v>
      </c>
      <c r="D741">
        <f t="shared" si="23"/>
        <v>208</v>
      </c>
    </row>
    <row r="742" spans="1:4" x14ac:dyDescent="0.15">
      <c r="A742" t="s">
        <v>1115</v>
      </c>
      <c r="B742">
        <v>49.1</v>
      </c>
      <c r="C742" t="str">
        <f t="shared" si="22"/>
        <v>リンデロン点眼点耳点鼻液０．１％</v>
      </c>
      <c r="D742">
        <f t="shared" si="23"/>
        <v>49.1</v>
      </c>
    </row>
    <row r="743" spans="1:4" x14ac:dyDescent="0.15">
      <c r="A743" t="s">
        <v>1116</v>
      </c>
      <c r="B743">
        <v>9.6</v>
      </c>
      <c r="C743" t="str">
        <f t="shared" si="22"/>
        <v>ルーラン錠４ｍｇ　　　　　　　　　　　　</v>
      </c>
      <c r="D743">
        <f t="shared" si="23"/>
        <v>9.6</v>
      </c>
    </row>
    <row r="744" spans="1:4" x14ac:dyDescent="0.15">
      <c r="A744" t="s">
        <v>1116</v>
      </c>
      <c r="B744">
        <v>9.6</v>
      </c>
      <c r="C744" t="str">
        <f t="shared" si="22"/>
        <v>ルーラン錠４ｍｇ　　　　　　　　　　　　</v>
      </c>
      <c r="D744">
        <f t="shared" si="23"/>
        <v>9.6</v>
      </c>
    </row>
    <row r="745" spans="1:4" x14ac:dyDescent="0.15">
      <c r="A745" t="s">
        <v>1118</v>
      </c>
      <c r="B745">
        <v>18.7</v>
      </c>
      <c r="C745" t="str">
        <f t="shared" si="22"/>
        <v>ルーラン錠８ｍｇ</v>
      </c>
      <c r="D745">
        <f t="shared" si="23"/>
        <v>18.7</v>
      </c>
    </row>
    <row r="746" spans="1:4" x14ac:dyDescent="0.15">
      <c r="A746" t="s">
        <v>1119</v>
      </c>
      <c r="B746">
        <v>18.7</v>
      </c>
      <c r="C746" t="str">
        <f t="shared" si="22"/>
        <v>ルーラン錠８ｍｇ　　　　　　　　　　　　</v>
      </c>
      <c r="D746">
        <f t="shared" si="23"/>
        <v>18.7</v>
      </c>
    </row>
    <row r="747" spans="1:4" x14ac:dyDescent="0.15">
      <c r="A747" t="s">
        <v>1120</v>
      </c>
      <c r="B747">
        <v>128.69999999999999</v>
      </c>
      <c r="C747" t="str">
        <f t="shared" si="22"/>
        <v>レキサルティＯＤ錠０．５ｍｇ</v>
      </c>
      <c r="D747">
        <f t="shared" si="23"/>
        <v>128.69999999999999</v>
      </c>
    </row>
    <row r="748" spans="1:4" x14ac:dyDescent="0.15">
      <c r="A748" t="s">
        <v>1120</v>
      </c>
      <c r="B748">
        <v>128.69999999999999</v>
      </c>
      <c r="C748" t="str">
        <f t="shared" si="22"/>
        <v>レキサルティＯＤ錠０．５ｍｇ</v>
      </c>
      <c r="D748">
        <f t="shared" si="23"/>
        <v>128.69999999999999</v>
      </c>
    </row>
    <row r="749" spans="1:4" x14ac:dyDescent="0.15">
      <c r="A749" t="s">
        <v>1121</v>
      </c>
      <c r="B749">
        <v>241.8</v>
      </c>
      <c r="C749" t="str">
        <f t="shared" si="22"/>
        <v>レキサルティＯＤ錠１ｍｇ</v>
      </c>
      <c r="D749">
        <f t="shared" si="23"/>
        <v>241.8</v>
      </c>
    </row>
    <row r="750" spans="1:4" x14ac:dyDescent="0.15">
      <c r="A750" t="s">
        <v>1121</v>
      </c>
      <c r="B750">
        <v>241.8</v>
      </c>
      <c r="C750" t="str">
        <f t="shared" si="22"/>
        <v>レキサルティＯＤ錠１ｍｇ</v>
      </c>
      <c r="D750">
        <f t="shared" si="23"/>
        <v>241.8</v>
      </c>
    </row>
    <row r="751" spans="1:4" x14ac:dyDescent="0.15">
      <c r="A751" t="s">
        <v>1123</v>
      </c>
      <c r="B751">
        <v>461.9</v>
      </c>
      <c r="C751" t="str">
        <f t="shared" si="22"/>
        <v>レキサルティＯＤ錠２ｍｇ</v>
      </c>
      <c r="D751">
        <f t="shared" si="23"/>
        <v>461.9</v>
      </c>
    </row>
    <row r="752" spans="1:4" x14ac:dyDescent="0.15">
      <c r="A752" t="s">
        <v>1122</v>
      </c>
      <c r="B752">
        <v>461.9</v>
      </c>
      <c r="C752" t="str">
        <f t="shared" si="22"/>
        <v>レキサルティＯＤ錠２ｍｇ</v>
      </c>
      <c r="D752">
        <f t="shared" si="23"/>
        <v>461.9</v>
      </c>
    </row>
    <row r="753" spans="1:4" x14ac:dyDescent="0.15">
      <c r="A753" t="s">
        <v>1124</v>
      </c>
      <c r="B753">
        <v>6.1</v>
      </c>
      <c r="C753" t="str">
        <f t="shared" si="22"/>
        <v>レキソタン錠２</v>
      </c>
      <c r="D753">
        <f t="shared" si="23"/>
        <v>6.1</v>
      </c>
    </row>
    <row r="754" spans="1:4" x14ac:dyDescent="0.15">
      <c r="A754" t="s">
        <v>1124</v>
      </c>
      <c r="B754">
        <v>6.1</v>
      </c>
      <c r="C754" t="str">
        <f t="shared" si="22"/>
        <v>レキソタン錠２</v>
      </c>
      <c r="D754">
        <f t="shared" si="23"/>
        <v>6.1</v>
      </c>
    </row>
    <row r="755" spans="1:4" x14ac:dyDescent="0.15">
      <c r="A755" t="s">
        <v>1126</v>
      </c>
      <c r="B755">
        <v>7</v>
      </c>
      <c r="C755" t="str">
        <f t="shared" si="22"/>
        <v>レキソタン錠５</v>
      </c>
      <c r="D755">
        <f t="shared" si="23"/>
        <v>7</v>
      </c>
    </row>
    <row r="756" spans="1:4" x14ac:dyDescent="0.15">
      <c r="A756" t="s">
        <v>1126</v>
      </c>
      <c r="B756">
        <v>7</v>
      </c>
      <c r="C756" t="str">
        <f t="shared" si="22"/>
        <v>レキソタン錠５</v>
      </c>
      <c r="D756">
        <f t="shared" si="23"/>
        <v>7</v>
      </c>
    </row>
    <row r="757" spans="1:4" x14ac:dyDescent="0.15">
      <c r="A757" t="s">
        <v>1127</v>
      </c>
      <c r="B757">
        <v>34.200000000000003</v>
      </c>
      <c r="C757" t="str">
        <f t="shared" si="22"/>
        <v>レグテクト錠３３３ｍｇ</v>
      </c>
      <c r="D757">
        <f t="shared" si="23"/>
        <v>34.200000000000003</v>
      </c>
    </row>
    <row r="758" spans="1:4" x14ac:dyDescent="0.15">
      <c r="A758" t="s">
        <v>1127</v>
      </c>
      <c r="B758">
        <v>34.200000000000003</v>
      </c>
      <c r="C758" t="str">
        <f t="shared" si="22"/>
        <v>レグテクト錠３３３ｍｇ</v>
      </c>
      <c r="D758">
        <f t="shared" si="23"/>
        <v>34.200000000000003</v>
      </c>
    </row>
    <row r="759" spans="1:4" x14ac:dyDescent="0.15">
      <c r="A759" t="s">
        <v>1130</v>
      </c>
      <c r="B759">
        <v>21.3</v>
      </c>
      <c r="C759" t="str">
        <f t="shared" si="22"/>
        <v>レスタミンコーワクリーム１％</v>
      </c>
      <c r="D759">
        <f t="shared" si="23"/>
        <v>21.3</v>
      </c>
    </row>
    <row r="760" spans="1:4" x14ac:dyDescent="0.15">
      <c r="A760" t="s">
        <v>1131</v>
      </c>
      <c r="B760">
        <v>10.8</v>
      </c>
      <c r="C760" t="str">
        <f t="shared" si="22"/>
        <v>レスプレン錠２０ｍｇ</v>
      </c>
      <c r="D760">
        <f t="shared" si="23"/>
        <v>10.8</v>
      </c>
    </row>
    <row r="761" spans="1:4" x14ac:dyDescent="0.15">
      <c r="A761" t="s">
        <v>1132</v>
      </c>
      <c r="B761">
        <v>52.4</v>
      </c>
      <c r="C761" t="str">
        <f t="shared" si="22"/>
        <v>レトロゾール錠２．５ｍｇ「サワイ」</v>
      </c>
      <c r="D761">
        <f t="shared" si="23"/>
        <v>52.4</v>
      </c>
    </row>
    <row r="762" spans="1:4" x14ac:dyDescent="0.15">
      <c r="A762" t="s">
        <v>1133</v>
      </c>
      <c r="B762">
        <v>10.4</v>
      </c>
      <c r="C762" t="str">
        <f t="shared" si="22"/>
        <v>レバミピド錠１００ｍｇ「オーツカ」</v>
      </c>
      <c r="D762">
        <f t="shared" si="23"/>
        <v>10.4</v>
      </c>
    </row>
    <row r="763" spans="1:4" x14ac:dyDescent="0.15">
      <c r="A763" t="s">
        <v>1133</v>
      </c>
      <c r="B763">
        <v>10.4</v>
      </c>
      <c r="C763" t="str">
        <f t="shared" si="22"/>
        <v>レバミピド錠１００ｍｇ「オーツカ」</v>
      </c>
      <c r="D763">
        <f t="shared" si="23"/>
        <v>10.4</v>
      </c>
    </row>
    <row r="764" spans="1:4" x14ac:dyDescent="0.15">
      <c r="A764" t="s">
        <v>1134</v>
      </c>
      <c r="B764">
        <v>63.7</v>
      </c>
      <c r="C764" t="str">
        <f t="shared" si="22"/>
        <v>レベチラセタムＤＳ５０％「トーワ」</v>
      </c>
      <c r="D764">
        <f t="shared" si="23"/>
        <v>63.7</v>
      </c>
    </row>
    <row r="765" spans="1:4" x14ac:dyDescent="0.15">
      <c r="A765" t="s">
        <v>1136</v>
      </c>
      <c r="B765">
        <v>25.4</v>
      </c>
      <c r="C765" t="str">
        <f t="shared" si="22"/>
        <v>レベチラセタム錠２５０ｍｇ「トーワ」</v>
      </c>
      <c r="D765">
        <f t="shared" si="23"/>
        <v>25.4</v>
      </c>
    </row>
    <row r="766" spans="1:4" x14ac:dyDescent="0.15">
      <c r="A766" t="s">
        <v>1136</v>
      </c>
      <c r="B766">
        <v>25.4</v>
      </c>
      <c r="C766" t="str">
        <f t="shared" si="22"/>
        <v>レベチラセタム錠２５０ｍｇ「トーワ」</v>
      </c>
      <c r="D766">
        <f t="shared" si="23"/>
        <v>25.4</v>
      </c>
    </row>
    <row r="767" spans="1:4" x14ac:dyDescent="0.15">
      <c r="A767" t="s">
        <v>1137</v>
      </c>
      <c r="B767">
        <v>669</v>
      </c>
      <c r="C767" t="str">
        <f t="shared" si="22"/>
        <v>レベチラセタム点滴静注５００ｍｇ「明治」</v>
      </c>
      <c r="D767">
        <f t="shared" si="23"/>
        <v>669</v>
      </c>
    </row>
    <row r="768" spans="1:4" x14ac:dyDescent="0.15">
      <c r="A768" t="s">
        <v>1138</v>
      </c>
      <c r="B768">
        <v>75.900000000000006</v>
      </c>
      <c r="C768" t="str">
        <f t="shared" si="22"/>
        <v>レボカルニチンＦＦ錠２５０ｍｇ「アメル」</v>
      </c>
      <c r="D768">
        <f t="shared" si="23"/>
        <v>75.900000000000006</v>
      </c>
    </row>
    <row r="769" spans="1:4" x14ac:dyDescent="0.15">
      <c r="A769" t="s">
        <v>1139</v>
      </c>
      <c r="B769">
        <v>27.7</v>
      </c>
      <c r="C769" t="str">
        <f t="shared" si="22"/>
        <v>レボフロキサシン細粒１０％「ＤＳＥＰ」</v>
      </c>
      <c r="D769">
        <f t="shared" si="23"/>
        <v>27.7</v>
      </c>
    </row>
    <row r="770" spans="1:4" x14ac:dyDescent="0.15">
      <c r="A770" t="s">
        <v>1140</v>
      </c>
      <c r="B770">
        <v>32.9</v>
      </c>
      <c r="C770" t="str">
        <f t="shared" ref="C770:C833" si="24">DBCS(A770)</f>
        <v>レボフロキサシン錠２５０ｍｇ「ＤＳＥＰ」</v>
      </c>
      <c r="D770">
        <f t="shared" ref="D770:D833" si="25">B770</f>
        <v>32.9</v>
      </c>
    </row>
    <row r="771" spans="1:4" x14ac:dyDescent="0.15">
      <c r="A771" t="s">
        <v>1141</v>
      </c>
      <c r="B771">
        <v>26.6</v>
      </c>
      <c r="C771" t="str">
        <f t="shared" si="24"/>
        <v>レボフロキサシン点眼液１．５％「ニットー」</v>
      </c>
      <c r="D771">
        <f t="shared" si="25"/>
        <v>26.6</v>
      </c>
    </row>
    <row r="772" spans="1:4" x14ac:dyDescent="0.15">
      <c r="A772" t="s">
        <v>1142</v>
      </c>
      <c r="B772">
        <v>1044</v>
      </c>
      <c r="C772" t="str">
        <f t="shared" si="24"/>
        <v>レボフロキサシン点滴静注バッグ５００ｍｇ／１００ｍｌ「ＤＳＥＰ」</v>
      </c>
      <c r="D772">
        <f t="shared" si="25"/>
        <v>1044</v>
      </c>
    </row>
    <row r="773" spans="1:4" x14ac:dyDescent="0.15">
      <c r="A773" t="s">
        <v>1144</v>
      </c>
      <c r="B773">
        <v>2377.3000000000002</v>
      </c>
      <c r="C773" t="str">
        <f t="shared" si="24"/>
        <v>レボレード錠１２．５ｍｇ</v>
      </c>
      <c r="D773">
        <f t="shared" si="25"/>
        <v>2377.3000000000002</v>
      </c>
    </row>
    <row r="774" spans="1:4" x14ac:dyDescent="0.15">
      <c r="A774" t="s">
        <v>1145</v>
      </c>
      <c r="B774">
        <v>346.9</v>
      </c>
      <c r="C774" t="str">
        <f t="shared" si="24"/>
        <v>レルパックス錠２０ｍｇ</v>
      </c>
      <c r="D774">
        <f t="shared" si="25"/>
        <v>346.9</v>
      </c>
    </row>
    <row r="775" spans="1:4" x14ac:dyDescent="0.15">
      <c r="A775" t="s">
        <v>1146</v>
      </c>
      <c r="B775">
        <v>4829.8999999999996</v>
      </c>
      <c r="C775" t="str">
        <f t="shared" si="24"/>
        <v>レルベア１００エリプタ３０吸入用</v>
      </c>
      <c r="D775">
        <f t="shared" si="25"/>
        <v>4829.8999999999996</v>
      </c>
    </row>
    <row r="776" spans="1:4" x14ac:dyDescent="0.15">
      <c r="A776" t="s">
        <v>1147</v>
      </c>
      <c r="B776">
        <v>5220.8</v>
      </c>
      <c r="C776" t="str">
        <f t="shared" si="24"/>
        <v>レルベア２００エリプタ３０吸入用</v>
      </c>
      <c r="D776">
        <f t="shared" si="25"/>
        <v>5220.8</v>
      </c>
    </row>
    <row r="777" spans="1:4" x14ac:dyDescent="0.15">
      <c r="A777" t="s">
        <v>1148</v>
      </c>
      <c r="B777">
        <v>263</v>
      </c>
      <c r="C777" t="str">
        <f t="shared" si="24"/>
        <v>ロイコボリン注３ｍｇ</v>
      </c>
      <c r="D777">
        <f t="shared" si="25"/>
        <v>263</v>
      </c>
    </row>
    <row r="778" spans="1:4" x14ac:dyDescent="0.15">
      <c r="A778" t="s">
        <v>1149</v>
      </c>
      <c r="B778">
        <v>13.8</v>
      </c>
      <c r="C778" t="str">
        <f t="shared" si="24"/>
        <v>ロキソニン細粒１０％</v>
      </c>
      <c r="D778">
        <f t="shared" si="25"/>
        <v>13.8</v>
      </c>
    </row>
    <row r="779" spans="1:4" x14ac:dyDescent="0.15">
      <c r="A779" t="s">
        <v>1150</v>
      </c>
      <c r="B779">
        <v>17.600000000000001</v>
      </c>
      <c r="C779" t="str">
        <f t="shared" si="24"/>
        <v>ロキソプロフェンＮａテープ１００ｍｇ「ＤＳＥＰ」</v>
      </c>
      <c r="D779">
        <f t="shared" si="25"/>
        <v>17.600000000000001</v>
      </c>
    </row>
    <row r="780" spans="1:4" x14ac:dyDescent="0.15">
      <c r="A780" t="s">
        <v>1152</v>
      </c>
      <c r="B780">
        <v>10.1</v>
      </c>
      <c r="C780" t="str">
        <f t="shared" si="24"/>
        <v>ロキソプロフェンナトリウム錠６０ｍｇ「日医工」</v>
      </c>
      <c r="D780">
        <f t="shared" si="25"/>
        <v>10.1</v>
      </c>
    </row>
    <row r="781" spans="1:4" x14ac:dyDescent="0.15">
      <c r="A781" t="s">
        <v>1152</v>
      </c>
      <c r="B781">
        <v>10.1</v>
      </c>
      <c r="C781" t="str">
        <f t="shared" si="24"/>
        <v>ロキソプロフェンナトリウム錠６０ｍｇ「日医工」</v>
      </c>
      <c r="D781">
        <f t="shared" si="25"/>
        <v>10.1</v>
      </c>
    </row>
    <row r="782" spans="1:4" x14ac:dyDescent="0.15">
      <c r="A782" t="s">
        <v>1153</v>
      </c>
      <c r="B782">
        <v>1024.3</v>
      </c>
      <c r="C782" t="str">
        <f t="shared" si="24"/>
        <v>ロケルマ懸濁用散分包５ｇ</v>
      </c>
      <c r="D782">
        <f t="shared" si="25"/>
        <v>1024.3</v>
      </c>
    </row>
    <row r="783" spans="1:4" x14ac:dyDescent="0.15">
      <c r="A783" t="s">
        <v>1156</v>
      </c>
      <c r="B783">
        <v>14.9</v>
      </c>
      <c r="C783" t="str">
        <f t="shared" si="24"/>
        <v>ロコイド軟膏０．１％</v>
      </c>
      <c r="D783">
        <f t="shared" si="25"/>
        <v>14.9</v>
      </c>
    </row>
    <row r="784" spans="1:4" x14ac:dyDescent="0.15">
      <c r="A784" t="s">
        <v>1157</v>
      </c>
      <c r="B784">
        <v>10.4</v>
      </c>
      <c r="C784" t="str">
        <f t="shared" si="24"/>
        <v>ロスバスタチン錠２．５ｍｇ「トーワ」</v>
      </c>
      <c r="D784">
        <f t="shared" si="25"/>
        <v>10.4</v>
      </c>
    </row>
    <row r="785" spans="1:4" x14ac:dyDescent="0.15">
      <c r="A785" t="s">
        <v>1157</v>
      </c>
      <c r="B785">
        <v>10.4</v>
      </c>
      <c r="C785" t="str">
        <f t="shared" si="24"/>
        <v>ロスバスタチン錠２．５ｍｇ「トーワ」</v>
      </c>
      <c r="D785">
        <f t="shared" si="25"/>
        <v>10.4</v>
      </c>
    </row>
    <row r="786" spans="1:4" x14ac:dyDescent="0.15">
      <c r="A786" t="s">
        <v>1158</v>
      </c>
      <c r="B786">
        <v>41.1</v>
      </c>
      <c r="C786" t="str">
        <f t="shared" si="24"/>
        <v>ロゼレム錠８ｍｇ</v>
      </c>
      <c r="D786">
        <f t="shared" si="25"/>
        <v>41.1</v>
      </c>
    </row>
    <row r="787" spans="1:4" x14ac:dyDescent="0.15">
      <c r="A787" t="s">
        <v>1159</v>
      </c>
      <c r="B787">
        <v>202.6</v>
      </c>
      <c r="C787" t="str">
        <f t="shared" si="24"/>
        <v>ロドピン細粒５０％</v>
      </c>
      <c r="D787">
        <f t="shared" si="25"/>
        <v>202.6</v>
      </c>
    </row>
    <row r="788" spans="1:4" x14ac:dyDescent="0.15">
      <c r="A788" t="s">
        <v>1160</v>
      </c>
      <c r="B788">
        <v>10.199999999999999</v>
      </c>
      <c r="C788" t="str">
        <f t="shared" si="24"/>
        <v>ロドピン錠２５ｍｇ</v>
      </c>
      <c r="D788">
        <f t="shared" si="25"/>
        <v>10.199999999999999</v>
      </c>
    </row>
    <row r="789" spans="1:4" x14ac:dyDescent="0.15">
      <c r="A789" t="s">
        <v>1160</v>
      </c>
      <c r="B789">
        <v>10.199999999999999</v>
      </c>
      <c r="C789" t="str">
        <f t="shared" si="24"/>
        <v>ロドピン錠２５ｍｇ</v>
      </c>
      <c r="D789">
        <f t="shared" si="25"/>
        <v>10.199999999999999</v>
      </c>
    </row>
    <row r="790" spans="1:4" x14ac:dyDescent="0.15">
      <c r="A790" t="s">
        <v>1161</v>
      </c>
      <c r="B790">
        <v>18.899999999999999</v>
      </c>
      <c r="C790" t="str">
        <f t="shared" si="24"/>
        <v>ロドピン錠５０ｍｇ</v>
      </c>
      <c r="D790">
        <f t="shared" si="25"/>
        <v>18.899999999999999</v>
      </c>
    </row>
    <row r="791" spans="1:4" x14ac:dyDescent="0.15">
      <c r="A791" t="s">
        <v>1161</v>
      </c>
      <c r="B791">
        <v>18.899999999999999</v>
      </c>
      <c r="C791" t="str">
        <f t="shared" si="24"/>
        <v>ロドピン錠５０ｍｇ</v>
      </c>
      <c r="D791">
        <f t="shared" si="25"/>
        <v>18.899999999999999</v>
      </c>
    </row>
    <row r="792" spans="1:4" x14ac:dyDescent="0.15">
      <c r="A792" t="s">
        <v>1162</v>
      </c>
      <c r="B792">
        <v>229</v>
      </c>
      <c r="C792" t="str">
        <f t="shared" si="24"/>
        <v>ロナセンテープ２０ｍｇ</v>
      </c>
      <c r="D792">
        <f t="shared" si="25"/>
        <v>229</v>
      </c>
    </row>
    <row r="793" spans="1:4" x14ac:dyDescent="0.15">
      <c r="A793" t="s">
        <v>1163</v>
      </c>
      <c r="B793">
        <v>429.1</v>
      </c>
      <c r="C793" t="str">
        <f t="shared" si="24"/>
        <v>ロナセンテープ４０ｍｇ</v>
      </c>
      <c r="D793">
        <f t="shared" si="25"/>
        <v>429.1</v>
      </c>
    </row>
    <row r="794" spans="1:4" x14ac:dyDescent="0.15">
      <c r="A794" t="s">
        <v>1164</v>
      </c>
      <c r="B794">
        <v>9.8000000000000007</v>
      </c>
      <c r="C794" t="str">
        <f t="shared" si="24"/>
        <v>ロペミンカプセル１ｍｇ</v>
      </c>
      <c r="D794">
        <f t="shared" si="25"/>
        <v>9.8000000000000007</v>
      </c>
    </row>
    <row r="795" spans="1:4" x14ac:dyDescent="0.15">
      <c r="A795" t="s">
        <v>1166</v>
      </c>
      <c r="B795">
        <v>5.3</v>
      </c>
      <c r="C795" t="str">
        <f t="shared" si="24"/>
        <v>ロラゼパム錠０．５ｍｇ「サワイ」</v>
      </c>
      <c r="D795">
        <f t="shared" si="25"/>
        <v>5.3</v>
      </c>
    </row>
    <row r="796" spans="1:4" x14ac:dyDescent="0.15">
      <c r="A796" t="s">
        <v>1167</v>
      </c>
      <c r="B796">
        <v>13.8</v>
      </c>
      <c r="C796" t="str">
        <f t="shared" si="24"/>
        <v>ロラメット錠１．０（アスカ）</v>
      </c>
      <c r="D796">
        <f t="shared" si="25"/>
        <v>13.8</v>
      </c>
    </row>
    <row r="797" spans="1:4" x14ac:dyDescent="0.15">
      <c r="A797" t="s">
        <v>1167</v>
      </c>
      <c r="B797">
        <v>13.8</v>
      </c>
      <c r="C797" t="str">
        <f t="shared" si="24"/>
        <v>ロラメット錠１．０（アスカ）</v>
      </c>
      <c r="D797">
        <f t="shared" si="25"/>
        <v>13.8</v>
      </c>
    </row>
    <row r="798" spans="1:4" x14ac:dyDescent="0.15">
      <c r="A798" t="s">
        <v>1168</v>
      </c>
      <c r="B798">
        <v>10.4</v>
      </c>
      <c r="C798" t="str">
        <f t="shared" si="24"/>
        <v>ワーファリン錠１ｍｇ</v>
      </c>
      <c r="D798">
        <f t="shared" si="25"/>
        <v>10.4</v>
      </c>
    </row>
    <row r="799" spans="1:4" x14ac:dyDescent="0.15">
      <c r="A799" t="s">
        <v>1169</v>
      </c>
      <c r="B799">
        <v>100</v>
      </c>
      <c r="C799" t="str">
        <f t="shared" si="24"/>
        <v>ワゴスチグミン注　０．５ｍｇ</v>
      </c>
      <c r="D799">
        <f t="shared" si="25"/>
        <v>100</v>
      </c>
    </row>
    <row r="800" spans="1:4" x14ac:dyDescent="0.15">
      <c r="A800" t="s">
        <v>1171</v>
      </c>
      <c r="B800">
        <v>7.4</v>
      </c>
      <c r="C800" t="str">
        <f t="shared" si="24"/>
        <v>ワソラン錠４０ｍｇ</v>
      </c>
      <c r="D800">
        <f t="shared" si="25"/>
        <v>7.4</v>
      </c>
    </row>
    <row r="801" spans="1:4" x14ac:dyDescent="0.15">
      <c r="A801" t="s">
        <v>1172</v>
      </c>
      <c r="B801">
        <v>206</v>
      </c>
      <c r="C801" t="str">
        <f t="shared" si="24"/>
        <v>ワソラン静注５ｍｇ</v>
      </c>
      <c r="D801">
        <f t="shared" si="25"/>
        <v>206</v>
      </c>
    </row>
    <row r="802" spans="1:4" x14ac:dyDescent="0.15">
      <c r="A802" t="s">
        <v>1174</v>
      </c>
      <c r="B802">
        <v>1399</v>
      </c>
      <c r="C802" t="str">
        <f t="shared" si="24"/>
        <v>ワンパル２号輸液（１）</v>
      </c>
      <c r="D802">
        <f t="shared" si="25"/>
        <v>1399</v>
      </c>
    </row>
    <row r="803" spans="1:4" x14ac:dyDescent="0.15">
      <c r="A803" t="s">
        <v>1176</v>
      </c>
      <c r="B803">
        <v>1825</v>
      </c>
      <c r="C803" t="str">
        <f t="shared" si="24"/>
        <v>ワンパル２号輸液１２００ｍｌ</v>
      </c>
      <c r="D803">
        <f t="shared" si="25"/>
        <v>1825</v>
      </c>
    </row>
    <row r="804" spans="1:4" x14ac:dyDescent="0.15">
      <c r="A804" t="s">
        <v>1244</v>
      </c>
      <c r="B804">
        <v>33</v>
      </c>
      <c r="C804" t="str">
        <f t="shared" si="24"/>
        <v>亜鉛華軟膏「ニッコー」　</v>
      </c>
      <c r="D804">
        <f t="shared" si="25"/>
        <v>33</v>
      </c>
    </row>
    <row r="805" spans="1:4" x14ac:dyDescent="0.15">
      <c r="A805" t="s">
        <v>1178</v>
      </c>
      <c r="B805">
        <v>7.8</v>
      </c>
      <c r="C805" t="str">
        <f t="shared" si="24"/>
        <v>塩化カリウム</v>
      </c>
      <c r="D805">
        <f t="shared" si="25"/>
        <v>7.8</v>
      </c>
    </row>
    <row r="806" spans="1:4" x14ac:dyDescent="0.15">
      <c r="A806" t="s">
        <v>1179</v>
      </c>
      <c r="B806">
        <v>9.1</v>
      </c>
      <c r="C806" t="str">
        <f t="shared" si="24"/>
        <v>塩化ナトリウム</v>
      </c>
      <c r="D806">
        <f t="shared" si="25"/>
        <v>9.1</v>
      </c>
    </row>
    <row r="807" spans="1:4" x14ac:dyDescent="0.15">
      <c r="A807" t="s">
        <v>1180</v>
      </c>
      <c r="B807">
        <v>61</v>
      </c>
      <c r="C807" t="str">
        <f t="shared" si="24"/>
        <v>塩酸メトクロプラミド注射液１０ｍｇ「タカタ」</v>
      </c>
      <c r="D807">
        <f t="shared" si="25"/>
        <v>61</v>
      </c>
    </row>
    <row r="808" spans="1:4" x14ac:dyDescent="0.15">
      <c r="A808" t="s">
        <v>1181</v>
      </c>
      <c r="B808">
        <v>6.7</v>
      </c>
      <c r="C808" t="str">
        <f t="shared" si="24"/>
        <v>逆性石ケン液１０％「ヨシダ」</v>
      </c>
      <c r="D808">
        <f t="shared" si="25"/>
        <v>6.7</v>
      </c>
    </row>
    <row r="809" spans="1:4" x14ac:dyDescent="0.15">
      <c r="A809" t="s">
        <v>1183</v>
      </c>
      <c r="B809">
        <v>16.5</v>
      </c>
      <c r="C809" t="str">
        <f t="shared" si="24"/>
        <v>重カマ「ヨシダ」（細粒状）</v>
      </c>
      <c r="D809">
        <f t="shared" si="25"/>
        <v>16.5</v>
      </c>
    </row>
    <row r="810" spans="1:4" x14ac:dyDescent="0.15">
      <c r="A810" t="s">
        <v>1184</v>
      </c>
      <c r="B810">
        <v>6.1</v>
      </c>
      <c r="C810" t="str">
        <f t="shared" si="24"/>
        <v>硝酸イソソルビド徐放カプセル２０ｍｇ「Ｓｔ」</v>
      </c>
      <c r="D810">
        <f t="shared" si="25"/>
        <v>6.1</v>
      </c>
    </row>
    <row r="811" spans="1:4" x14ac:dyDescent="0.15">
      <c r="A811" t="s">
        <v>1186</v>
      </c>
      <c r="B811">
        <v>73.7</v>
      </c>
      <c r="C811" t="str">
        <f t="shared" si="24"/>
        <v>新レシカルボン坐剤　　　　　　　　　　　</v>
      </c>
      <c r="D811">
        <f t="shared" si="25"/>
        <v>73.7</v>
      </c>
    </row>
    <row r="812" spans="1:4" x14ac:dyDescent="0.15">
      <c r="A812" t="s">
        <v>1188</v>
      </c>
      <c r="B812">
        <v>495</v>
      </c>
      <c r="C812" t="str">
        <f t="shared" si="24"/>
        <v>水溶性ハイドロコートン注射１００ｍｇ</v>
      </c>
      <c r="D812">
        <f t="shared" si="25"/>
        <v>495</v>
      </c>
    </row>
    <row r="813" spans="1:4" x14ac:dyDescent="0.15">
      <c r="A813" t="s">
        <v>1191</v>
      </c>
      <c r="B813">
        <v>205</v>
      </c>
      <c r="C813" t="str">
        <f t="shared" si="24"/>
        <v>水溶性プレドニン１０ｍｇ</v>
      </c>
      <c r="D813">
        <f t="shared" si="25"/>
        <v>205</v>
      </c>
    </row>
    <row r="814" spans="1:4" x14ac:dyDescent="0.15">
      <c r="A814" t="s">
        <v>1192</v>
      </c>
      <c r="B814">
        <v>100</v>
      </c>
      <c r="C814" t="str">
        <f t="shared" si="24"/>
        <v>生食注シリンジ「ＮＰ」中口１０ｍｌ</v>
      </c>
      <c r="D814">
        <f t="shared" si="25"/>
        <v>100</v>
      </c>
    </row>
    <row r="815" spans="1:4" x14ac:dyDescent="0.15">
      <c r="A815" t="s">
        <v>1193</v>
      </c>
      <c r="B815">
        <v>212</v>
      </c>
      <c r="C815" t="str">
        <f t="shared" si="24"/>
        <v>生食溶解液キットＨ（１）</v>
      </c>
      <c r="D815">
        <f t="shared" si="25"/>
        <v>212</v>
      </c>
    </row>
    <row r="816" spans="1:4" x14ac:dyDescent="0.15">
      <c r="A816" t="s">
        <v>1195</v>
      </c>
      <c r="B816">
        <v>147</v>
      </c>
      <c r="C816" t="str">
        <f t="shared" si="24"/>
        <v>生理食塩液「ＶＴＲＳ」１００ｍｌ</v>
      </c>
      <c r="D816">
        <f t="shared" si="25"/>
        <v>147</v>
      </c>
    </row>
    <row r="817" spans="1:4" x14ac:dyDescent="0.15">
      <c r="A817" t="s">
        <v>1245</v>
      </c>
      <c r="B817">
        <v>100</v>
      </c>
      <c r="C817" t="str">
        <f t="shared" si="24"/>
        <v>生理食塩液「ＶＴＲＳ」２０ｍｌ</v>
      </c>
      <c r="D817">
        <f t="shared" si="25"/>
        <v>100</v>
      </c>
    </row>
    <row r="818" spans="1:4" x14ac:dyDescent="0.15">
      <c r="A818" t="s">
        <v>1198</v>
      </c>
      <c r="B818">
        <v>2.5</v>
      </c>
      <c r="C818" t="str">
        <f t="shared" si="24"/>
        <v>精製水「ケンエー」</v>
      </c>
      <c r="D818">
        <f t="shared" si="25"/>
        <v>2.5</v>
      </c>
    </row>
    <row r="819" spans="1:4" x14ac:dyDescent="0.15">
      <c r="A819" t="s">
        <v>1200</v>
      </c>
      <c r="B819">
        <v>119</v>
      </c>
      <c r="C819" t="str">
        <f t="shared" si="24"/>
        <v>静注用キシロカイン２％</v>
      </c>
      <c r="D819">
        <f t="shared" si="25"/>
        <v>119</v>
      </c>
    </row>
    <row r="820" spans="1:4" x14ac:dyDescent="0.15">
      <c r="A820" t="s">
        <v>1246</v>
      </c>
      <c r="B820">
        <v>236</v>
      </c>
      <c r="C820" t="str">
        <f t="shared" si="24"/>
        <v>大塚生食注　　プラ細口　</v>
      </c>
      <c r="D820">
        <f t="shared" si="25"/>
        <v>236</v>
      </c>
    </row>
    <row r="821" spans="1:4" x14ac:dyDescent="0.15">
      <c r="A821" t="s">
        <v>1247</v>
      </c>
      <c r="B821">
        <v>236</v>
      </c>
      <c r="C821" t="str">
        <f t="shared" si="24"/>
        <v>大塚生食注　ソフトバッグ</v>
      </c>
      <c r="D821">
        <f t="shared" si="25"/>
        <v>236</v>
      </c>
    </row>
    <row r="822" spans="1:4" x14ac:dyDescent="0.15">
      <c r="A822" t="s">
        <v>1204</v>
      </c>
      <c r="B822">
        <v>332</v>
      </c>
      <c r="C822" t="str">
        <f t="shared" si="24"/>
        <v>大塚糖液５％　　　　　　　　　　　　　</v>
      </c>
      <c r="D822">
        <f t="shared" si="25"/>
        <v>332</v>
      </c>
    </row>
    <row r="823" spans="1:4" x14ac:dyDescent="0.15">
      <c r="A823" t="s">
        <v>1204</v>
      </c>
      <c r="B823">
        <v>151</v>
      </c>
      <c r="C823" t="str">
        <f t="shared" si="24"/>
        <v>大塚糖液５％　　　　　　　　　　　　　</v>
      </c>
      <c r="D823">
        <f t="shared" si="25"/>
        <v>151</v>
      </c>
    </row>
    <row r="824" spans="1:4" x14ac:dyDescent="0.15">
      <c r="A824" t="s">
        <v>1207</v>
      </c>
      <c r="B824">
        <v>8.9</v>
      </c>
      <c r="C824" t="str">
        <f t="shared" si="24"/>
        <v>炭酸リチウム錠１００ｍｇ「大正」</v>
      </c>
      <c r="D824">
        <f t="shared" si="25"/>
        <v>8.9</v>
      </c>
    </row>
    <row r="825" spans="1:4" x14ac:dyDescent="0.15">
      <c r="A825" t="s">
        <v>1207</v>
      </c>
      <c r="B825">
        <v>8.9</v>
      </c>
      <c r="C825" t="str">
        <f t="shared" si="24"/>
        <v>炭酸リチウム錠１００ｍｇ「大正」</v>
      </c>
      <c r="D825">
        <f t="shared" si="25"/>
        <v>8.9</v>
      </c>
    </row>
    <row r="826" spans="1:4" x14ac:dyDescent="0.15">
      <c r="A826" t="s">
        <v>1210</v>
      </c>
      <c r="B826">
        <v>12.6</v>
      </c>
      <c r="C826" t="str">
        <f t="shared" si="24"/>
        <v>炭酸リチウム錠２００ｍｇ「大正」</v>
      </c>
      <c r="D826">
        <f t="shared" si="25"/>
        <v>12.6</v>
      </c>
    </row>
    <row r="827" spans="1:4" x14ac:dyDescent="0.15">
      <c r="A827" t="s">
        <v>1210</v>
      </c>
      <c r="B827">
        <v>12.6</v>
      </c>
      <c r="C827" t="str">
        <f t="shared" si="24"/>
        <v>炭酸リチウム錠２００ｍｇ「大正」</v>
      </c>
      <c r="D827">
        <f t="shared" si="25"/>
        <v>12.6</v>
      </c>
    </row>
    <row r="828" spans="1:4" x14ac:dyDescent="0.15">
      <c r="A828" t="s">
        <v>1211</v>
      </c>
      <c r="B828">
        <v>7.7</v>
      </c>
      <c r="C828" t="str">
        <f t="shared" si="24"/>
        <v>炭酸水素ナトリウム</v>
      </c>
      <c r="D828">
        <f t="shared" si="25"/>
        <v>7.7</v>
      </c>
    </row>
    <row r="829" spans="1:4" x14ac:dyDescent="0.15">
      <c r="A829" t="s">
        <v>1248</v>
      </c>
      <c r="B829">
        <v>147</v>
      </c>
      <c r="C829" t="str">
        <f t="shared" si="24"/>
        <v>注射用水ＰＬ「フソー」１００ｍｌ（スタンタフル）</v>
      </c>
      <c r="D829">
        <f t="shared" si="25"/>
        <v>147</v>
      </c>
    </row>
    <row r="830" spans="1:4" x14ac:dyDescent="0.15">
      <c r="A830" t="s">
        <v>1249</v>
      </c>
      <c r="B830">
        <v>100</v>
      </c>
      <c r="C830" t="str">
        <f t="shared" si="24"/>
        <v>注射用水ＰＬ「フソー」２０ｍｌ（スノープル）</v>
      </c>
      <c r="D830">
        <f t="shared" si="25"/>
        <v>100</v>
      </c>
    </row>
    <row r="831" spans="1:4" x14ac:dyDescent="0.15">
      <c r="A831" t="s">
        <v>1214</v>
      </c>
      <c r="B831">
        <v>14.9</v>
      </c>
      <c r="C831" t="str">
        <f t="shared" si="24"/>
        <v>乳糖水和物「ケンエー」粒状</v>
      </c>
      <c r="D831">
        <f t="shared" si="25"/>
        <v>14.9</v>
      </c>
    </row>
    <row r="832" spans="1:4" x14ac:dyDescent="0.15">
      <c r="A832" t="s">
        <v>1217</v>
      </c>
      <c r="B832">
        <v>2.9</v>
      </c>
      <c r="C832" t="str">
        <f t="shared" si="24"/>
        <v>尿素クリーム１０％「日医工」</v>
      </c>
      <c r="D832">
        <f t="shared" si="25"/>
        <v>2.9</v>
      </c>
    </row>
    <row r="833" spans="1:4" x14ac:dyDescent="0.15">
      <c r="A833" t="s">
        <v>1219</v>
      </c>
      <c r="B833">
        <v>24.3</v>
      </c>
      <c r="C833" t="str">
        <f t="shared" si="24"/>
        <v>白色ワセリン「ケンエー」</v>
      </c>
      <c r="D833">
        <f t="shared" si="25"/>
        <v>24.3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3"/>
  <sheetViews>
    <sheetView topLeftCell="A658" workbookViewId="0">
      <selection activeCell="B690" sqref="B690"/>
    </sheetView>
  </sheetViews>
  <sheetFormatPr defaultRowHeight="13.5" x14ac:dyDescent="0.15"/>
  <cols>
    <col min="1" max="1" width="57.5" bestFit="1" customWidth="1"/>
    <col min="2" max="2" width="8.5" bestFit="1" customWidth="1"/>
  </cols>
  <sheetData>
    <row r="1" spans="1:4" x14ac:dyDescent="0.15">
      <c r="A1" t="s">
        <v>1251</v>
      </c>
      <c r="B1">
        <v>3.3</v>
      </c>
      <c r="C1" t="str">
        <f>DBCS(A1)</f>
        <v>亜鉛華軟膏「ニッコー」</v>
      </c>
      <c r="D1">
        <f>B1</f>
        <v>3.3</v>
      </c>
    </row>
    <row r="2" spans="1:4" x14ac:dyDescent="0.15">
      <c r="A2" t="s">
        <v>1253</v>
      </c>
      <c r="B2">
        <v>61</v>
      </c>
      <c r="C2" t="str">
        <f t="shared" ref="C2:C65" si="0">DBCS(A2)</f>
        <v>アキネトン注射液５ｍｇ</v>
      </c>
      <c r="D2">
        <f t="shared" ref="D2:D65" si="1">B2</f>
        <v>61</v>
      </c>
    </row>
    <row r="3" spans="1:4" x14ac:dyDescent="0.15">
      <c r="A3" t="s">
        <v>1254</v>
      </c>
      <c r="B3">
        <v>20.7</v>
      </c>
      <c r="C3" t="str">
        <f t="shared" si="0"/>
        <v>アクアチムクリーム１％</v>
      </c>
      <c r="D3">
        <f t="shared" si="1"/>
        <v>20.7</v>
      </c>
    </row>
    <row r="4" spans="1:4" x14ac:dyDescent="0.15">
      <c r="A4" t="s">
        <v>1255</v>
      </c>
      <c r="B4">
        <v>341</v>
      </c>
      <c r="C4" t="str">
        <f t="shared" si="0"/>
        <v>アクチット輸液</v>
      </c>
      <c r="D4">
        <f t="shared" si="1"/>
        <v>341</v>
      </c>
    </row>
    <row r="5" spans="1:4" x14ac:dyDescent="0.15">
      <c r="A5" t="s">
        <v>99</v>
      </c>
      <c r="B5">
        <v>50</v>
      </c>
      <c r="C5" t="str">
        <f t="shared" si="0"/>
        <v>アクトシン軟膏３％</v>
      </c>
      <c r="D5">
        <f t="shared" si="1"/>
        <v>50</v>
      </c>
    </row>
    <row r="6" spans="1:4" x14ac:dyDescent="0.15">
      <c r="A6" t="s">
        <v>1256</v>
      </c>
      <c r="B6">
        <v>25.9</v>
      </c>
      <c r="C6" t="str">
        <f t="shared" si="0"/>
        <v>アザルフィジンＥＮ錠５００ｍｇ</v>
      </c>
      <c r="D6">
        <f t="shared" si="1"/>
        <v>25.9</v>
      </c>
    </row>
    <row r="7" spans="1:4" x14ac:dyDescent="0.15">
      <c r="A7" t="s">
        <v>1257</v>
      </c>
      <c r="B7">
        <v>368</v>
      </c>
      <c r="C7" t="str">
        <f t="shared" si="0"/>
        <v>アシクロビル点滴静注用２５０ｍｇ「サワイ」</v>
      </c>
      <c r="D7">
        <f t="shared" si="1"/>
        <v>368</v>
      </c>
    </row>
    <row r="8" spans="1:4" x14ac:dyDescent="0.15">
      <c r="A8" t="s">
        <v>1258</v>
      </c>
      <c r="B8">
        <v>60.7</v>
      </c>
      <c r="C8" t="str">
        <f t="shared" si="0"/>
        <v>アジスロマイシン錠２５０ｍｇ「トーワ」</v>
      </c>
      <c r="D8">
        <f t="shared" si="1"/>
        <v>60.7</v>
      </c>
    </row>
    <row r="9" spans="1:4" x14ac:dyDescent="0.15">
      <c r="A9" t="s">
        <v>1259</v>
      </c>
      <c r="B9">
        <v>27.4</v>
      </c>
      <c r="C9" t="str">
        <f t="shared" si="0"/>
        <v>アジルサルタンＯＤ錠２０ｍｇ「サワイ」</v>
      </c>
      <c r="D9">
        <f t="shared" si="1"/>
        <v>27.4</v>
      </c>
    </row>
    <row r="10" spans="1:4" x14ac:dyDescent="0.15">
      <c r="A10" t="s">
        <v>1260</v>
      </c>
      <c r="B10">
        <v>100</v>
      </c>
      <c r="C10" t="str">
        <f t="shared" si="0"/>
        <v>アスコルビン酸注５００ｍｇ「イセイ」</v>
      </c>
      <c r="D10">
        <f t="shared" si="1"/>
        <v>100</v>
      </c>
    </row>
    <row r="11" spans="1:4" x14ac:dyDescent="0.15">
      <c r="A11" t="s">
        <v>1261</v>
      </c>
      <c r="B11">
        <v>8.0299999999999994</v>
      </c>
      <c r="C11" t="str">
        <f t="shared" si="0"/>
        <v>アズノール軟膏０．０３３％</v>
      </c>
      <c r="D11">
        <f t="shared" si="1"/>
        <v>8.0299999999999994</v>
      </c>
    </row>
    <row r="12" spans="1:4" x14ac:dyDescent="0.15">
      <c r="A12" t="s">
        <v>1262</v>
      </c>
      <c r="B12">
        <v>5.9</v>
      </c>
      <c r="C12" t="str">
        <f t="shared" si="0"/>
        <v>アスパラ－ＣＡ錠２００</v>
      </c>
      <c r="D12">
        <f t="shared" si="1"/>
        <v>5.9</v>
      </c>
    </row>
    <row r="13" spans="1:4" x14ac:dyDescent="0.15">
      <c r="A13" t="s">
        <v>1263</v>
      </c>
      <c r="B13">
        <v>6.1</v>
      </c>
      <c r="C13" t="str">
        <f t="shared" si="0"/>
        <v>アスパラカリウム錠３００ｍｇ</v>
      </c>
      <c r="D13">
        <f t="shared" si="1"/>
        <v>6.1</v>
      </c>
    </row>
    <row r="14" spans="1:4" x14ac:dyDescent="0.15">
      <c r="A14" t="s">
        <v>1264</v>
      </c>
      <c r="B14">
        <v>6.7</v>
      </c>
      <c r="C14" t="str">
        <f t="shared" si="0"/>
        <v>アスパラカリウム散５０％</v>
      </c>
      <c r="D14">
        <f t="shared" si="1"/>
        <v>6.7</v>
      </c>
    </row>
    <row r="15" spans="1:4" x14ac:dyDescent="0.15">
      <c r="A15" t="s">
        <v>1265</v>
      </c>
      <c r="B15">
        <v>181</v>
      </c>
      <c r="C15" t="str">
        <f t="shared" si="0"/>
        <v>アスパラギン酸カリウム注１０ｍＥｑキット「テルモ」</v>
      </c>
      <c r="D15">
        <f t="shared" si="1"/>
        <v>181</v>
      </c>
    </row>
    <row r="16" spans="1:4" x14ac:dyDescent="0.15">
      <c r="A16" t="s">
        <v>1266</v>
      </c>
      <c r="B16">
        <v>91.6</v>
      </c>
      <c r="C16" t="str">
        <f t="shared" si="0"/>
        <v>アズレン点眼液０．０２％「ニットー」</v>
      </c>
      <c r="D16">
        <f t="shared" si="1"/>
        <v>91.6</v>
      </c>
    </row>
    <row r="17" spans="1:4" x14ac:dyDescent="0.15">
      <c r="A17" t="s">
        <v>1267</v>
      </c>
      <c r="B17">
        <v>298</v>
      </c>
      <c r="C17" t="str">
        <f t="shared" si="0"/>
        <v>アセリオ静注液１０００ｍｇバッグ</v>
      </c>
      <c r="D17">
        <f t="shared" si="1"/>
        <v>298</v>
      </c>
    </row>
    <row r="18" spans="1:4" x14ac:dyDescent="0.15">
      <c r="A18" t="s">
        <v>1268</v>
      </c>
      <c r="B18">
        <v>1646</v>
      </c>
      <c r="C18" t="str">
        <f t="shared" si="0"/>
        <v>アセレンド注１００μｇ</v>
      </c>
      <c r="D18">
        <f t="shared" si="1"/>
        <v>1646</v>
      </c>
    </row>
    <row r="19" spans="1:4" x14ac:dyDescent="0.15">
      <c r="A19" t="s">
        <v>1269</v>
      </c>
      <c r="B19">
        <v>10.4</v>
      </c>
      <c r="C19" t="str">
        <f t="shared" si="0"/>
        <v>アゾセミド錠３０ｍｇ「ＤＳＥＰ」</v>
      </c>
      <c r="D19">
        <f t="shared" si="1"/>
        <v>10.4</v>
      </c>
    </row>
    <row r="20" spans="1:4" x14ac:dyDescent="0.15">
      <c r="A20" t="s">
        <v>1271</v>
      </c>
      <c r="B20">
        <v>6.1</v>
      </c>
      <c r="C20" t="str">
        <f t="shared" si="0"/>
        <v>アタラックス錠２５ｍｇ</v>
      </c>
      <c r="D20">
        <f t="shared" si="1"/>
        <v>6.1</v>
      </c>
    </row>
    <row r="21" spans="1:4" x14ac:dyDescent="0.15">
      <c r="A21" t="s">
        <v>1272</v>
      </c>
      <c r="B21">
        <v>13.2</v>
      </c>
      <c r="C21" t="str">
        <f t="shared" si="0"/>
        <v>アダラートＣＲ錠２０ｍｇ</v>
      </c>
      <c r="D21">
        <f t="shared" si="1"/>
        <v>13.2</v>
      </c>
    </row>
    <row r="22" spans="1:4" x14ac:dyDescent="0.15">
      <c r="A22" t="s">
        <v>1273</v>
      </c>
      <c r="B22">
        <v>10.4</v>
      </c>
      <c r="C22" t="str">
        <f t="shared" si="0"/>
        <v>アーチスト錠１．２５ｍｇ</v>
      </c>
      <c r="D22">
        <f t="shared" si="1"/>
        <v>10.4</v>
      </c>
    </row>
    <row r="23" spans="1:4" x14ac:dyDescent="0.15">
      <c r="A23" t="s">
        <v>1274</v>
      </c>
      <c r="B23">
        <v>3952.1</v>
      </c>
      <c r="C23" t="str">
        <f t="shared" si="0"/>
        <v>アドエア５００ディスカス６０吸入用</v>
      </c>
      <c r="D23">
        <f t="shared" si="1"/>
        <v>3952.1</v>
      </c>
    </row>
    <row r="24" spans="1:4" x14ac:dyDescent="0.15">
      <c r="A24" t="s">
        <v>1275</v>
      </c>
      <c r="B24">
        <v>7.7</v>
      </c>
      <c r="C24" t="str">
        <f t="shared" si="0"/>
        <v>アドナ錠３０ｍｇ</v>
      </c>
      <c r="D24">
        <f t="shared" si="1"/>
        <v>7.7</v>
      </c>
    </row>
    <row r="25" spans="1:4" x14ac:dyDescent="0.15">
      <c r="A25" t="s">
        <v>1276</v>
      </c>
      <c r="B25">
        <v>89</v>
      </c>
      <c r="C25" t="str">
        <f t="shared" si="0"/>
        <v>アドナ注（静脈用）５０ｍｇ</v>
      </c>
      <c r="D25">
        <f t="shared" si="1"/>
        <v>89</v>
      </c>
    </row>
    <row r="26" spans="1:4" x14ac:dyDescent="0.15">
      <c r="A26" t="s">
        <v>1277</v>
      </c>
      <c r="B26">
        <v>32.5</v>
      </c>
      <c r="C26" t="str">
        <f t="shared" si="0"/>
        <v>アドナ散１０％</v>
      </c>
      <c r="D26">
        <f t="shared" si="1"/>
        <v>32.5</v>
      </c>
    </row>
    <row r="27" spans="1:4" x14ac:dyDescent="0.15">
      <c r="A27" t="s">
        <v>1278</v>
      </c>
      <c r="B27">
        <v>17.600000000000001</v>
      </c>
      <c r="C27" t="str">
        <f t="shared" si="0"/>
        <v>アドフィードパップ４０ｍｇ</v>
      </c>
      <c r="D27">
        <f t="shared" si="1"/>
        <v>17.600000000000001</v>
      </c>
    </row>
    <row r="28" spans="1:4" x14ac:dyDescent="0.15">
      <c r="A28" t="s">
        <v>1279</v>
      </c>
      <c r="B28">
        <v>50.3</v>
      </c>
      <c r="C28" t="str">
        <f t="shared" si="0"/>
        <v>アトモキセチンカプセル１０ｍｇ「サワイ」</v>
      </c>
      <c r="D28">
        <f t="shared" si="1"/>
        <v>50.3</v>
      </c>
    </row>
    <row r="29" spans="1:4" x14ac:dyDescent="0.15">
      <c r="A29" t="s">
        <v>1280</v>
      </c>
      <c r="B29">
        <v>64.7</v>
      </c>
      <c r="C29" t="str">
        <f t="shared" si="0"/>
        <v>アトモキセチンカプセル４０ｍｇ「ＶＴＲＳ」</v>
      </c>
      <c r="D29">
        <f t="shared" si="1"/>
        <v>64.7</v>
      </c>
    </row>
    <row r="30" spans="1:4" x14ac:dyDescent="0.15">
      <c r="A30" t="s">
        <v>1281</v>
      </c>
      <c r="B30">
        <v>13.9</v>
      </c>
      <c r="C30" t="str">
        <f t="shared" si="0"/>
        <v>アトルバスタチンＯＤ錠１０ｍｇ「トーワ」</v>
      </c>
      <c r="D30">
        <f t="shared" si="1"/>
        <v>13.9</v>
      </c>
    </row>
    <row r="31" spans="1:4" x14ac:dyDescent="0.15">
      <c r="A31" t="s">
        <v>1282</v>
      </c>
      <c r="B31">
        <v>100</v>
      </c>
      <c r="C31" t="str">
        <f t="shared" si="0"/>
        <v>アトロピン硫酸塩注０．５ｍｇ「ニプロ」</v>
      </c>
      <c r="D31">
        <f t="shared" si="1"/>
        <v>100</v>
      </c>
    </row>
    <row r="32" spans="1:4" x14ac:dyDescent="0.15">
      <c r="A32" t="s">
        <v>1283</v>
      </c>
      <c r="B32">
        <v>58.5</v>
      </c>
      <c r="C32" t="str">
        <f t="shared" si="0"/>
        <v>アナストロゾール錠１ｍｇ「サワイ」</v>
      </c>
      <c r="D32">
        <f t="shared" si="1"/>
        <v>58.5</v>
      </c>
    </row>
    <row r="33" spans="1:4" x14ac:dyDescent="0.15">
      <c r="A33" t="s">
        <v>1284</v>
      </c>
      <c r="B33">
        <v>225</v>
      </c>
      <c r="C33" t="str">
        <f t="shared" si="0"/>
        <v>アナフラニール点滴静注液２５ｍｇ</v>
      </c>
      <c r="D33">
        <f t="shared" si="1"/>
        <v>225</v>
      </c>
    </row>
    <row r="34" spans="1:4" x14ac:dyDescent="0.15">
      <c r="A34" t="s">
        <v>1285</v>
      </c>
      <c r="B34">
        <v>2001</v>
      </c>
      <c r="C34" t="str">
        <f t="shared" si="0"/>
        <v>アネキセート注射液０．５ｍｇ</v>
      </c>
      <c r="D34">
        <f t="shared" si="1"/>
        <v>2001</v>
      </c>
    </row>
    <row r="35" spans="1:4" x14ac:dyDescent="0.15">
      <c r="A35" t="s">
        <v>1287</v>
      </c>
      <c r="B35">
        <v>6.1</v>
      </c>
      <c r="C35" t="str">
        <f t="shared" si="0"/>
        <v>アマンタジン塩酸塩錠５０ｍｇ「杏林」</v>
      </c>
      <c r="D35">
        <f t="shared" si="1"/>
        <v>6.1</v>
      </c>
    </row>
    <row r="36" spans="1:4" x14ac:dyDescent="0.15">
      <c r="A36" t="s">
        <v>1288</v>
      </c>
      <c r="B36">
        <v>44.1</v>
      </c>
      <c r="C36" t="str">
        <f t="shared" si="0"/>
        <v>アミオダロン塩酸塩速崩錠５０ｍｇ「ＴＥ」</v>
      </c>
      <c r="D36">
        <f t="shared" si="1"/>
        <v>44.1</v>
      </c>
    </row>
    <row r="37" spans="1:4" x14ac:dyDescent="0.15">
      <c r="A37" t="s">
        <v>1289</v>
      </c>
      <c r="B37">
        <v>96.9</v>
      </c>
      <c r="C37" t="str">
        <f t="shared" si="0"/>
        <v>アミティーザカプセル２４μｇ</v>
      </c>
      <c r="D37">
        <f t="shared" si="1"/>
        <v>96.9</v>
      </c>
    </row>
    <row r="38" spans="1:4" x14ac:dyDescent="0.15">
      <c r="A38" t="s">
        <v>1290</v>
      </c>
      <c r="B38">
        <v>8.8800000000000008</v>
      </c>
      <c r="C38" t="str">
        <f t="shared" si="0"/>
        <v>アミノレバンＥＮ配合散</v>
      </c>
      <c r="D38">
        <f t="shared" si="1"/>
        <v>8.8800000000000008</v>
      </c>
    </row>
    <row r="39" spans="1:4" x14ac:dyDescent="0.15">
      <c r="A39" t="s">
        <v>1291</v>
      </c>
      <c r="B39">
        <v>715</v>
      </c>
      <c r="C39" t="str">
        <f t="shared" si="0"/>
        <v>アミノレバン点滴静注（用時購入）</v>
      </c>
      <c r="D39">
        <f t="shared" si="1"/>
        <v>715</v>
      </c>
    </row>
    <row r="40" spans="1:4" x14ac:dyDescent="0.15">
      <c r="A40" t="s">
        <v>1292</v>
      </c>
      <c r="B40">
        <v>10.4</v>
      </c>
      <c r="C40" t="str">
        <f t="shared" si="0"/>
        <v>アムロジピンＯＤ錠２．５ｍｇ「明治」</v>
      </c>
      <c r="D40">
        <f t="shared" si="1"/>
        <v>10.4</v>
      </c>
    </row>
    <row r="41" spans="1:4" x14ac:dyDescent="0.15">
      <c r="A41" t="s">
        <v>1293</v>
      </c>
      <c r="B41">
        <v>286.39999999999998</v>
      </c>
      <c r="C41" t="str">
        <f t="shared" si="0"/>
        <v>アリドネパッチ２７．５ｍｇ</v>
      </c>
      <c r="D41">
        <f t="shared" si="1"/>
        <v>286.39999999999998</v>
      </c>
    </row>
    <row r="42" spans="1:4" x14ac:dyDescent="0.15">
      <c r="A42" t="s">
        <v>1294</v>
      </c>
      <c r="B42">
        <v>437.6</v>
      </c>
      <c r="C42" t="str">
        <f t="shared" si="0"/>
        <v>アリドネパッチ５５ｍｇ</v>
      </c>
      <c r="D42">
        <f t="shared" si="1"/>
        <v>437.6</v>
      </c>
    </row>
    <row r="43" spans="1:4" x14ac:dyDescent="0.15">
      <c r="A43" t="s">
        <v>1295</v>
      </c>
      <c r="B43">
        <v>6.1</v>
      </c>
      <c r="C43" t="str">
        <f t="shared" si="0"/>
        <v>２５ｍｇアリナミンＦ糖衣錠</v>
      </c>
      <c r="D43">
        <f t="shared" si="1"/>
        <v>6.1</v>
      </c>
    </row>
    <row r="44" spans="1:4" x14ac:dyDescent="0.15">
      <c r="A44" t="s">
        <v>1296</v>
      </c>
      <c r="B44">
        <v>6.4</v>
      </c>
      <c r="C44" t="str">
        <f t="shared" si="0"/>
        <v>アリピプラゾールＯＤ錠３ｍｇ「ニプロ」</v>
      </c>
      <c r="D44">
        <f t="shared" si="1"/>
        <v>6.4</v>
      </c>
    </row>
    <row r="45" spans="1:4" x14ac:dyDescent="0.15">
      <c r="A45" t="s">
        <v>1297</v>
      </c>
      <c r="B45">
        <v>22.7</v>
      </c>
      <c r="C45" t="str">
        <f t="shared" si="0"/>
        <v>アリピプラゾールＯＤ錠１２ｍｇ「ニプロ」</v>
      </c>
      <c r="D45">
        <f t="shared" si="1"/>
        <v>22.7</v>
      </c>
    </row>
    <row r="46" spans="1:4" x14ac:dyDescent="0.15">
      <c r="A46" t="s">
        <v>1298</v>
      </c>
      <c r="B46">
        <v>11.8</v>
      </c>
      <c r="C46" t="str">
        <f t="shared" si="0"/>
        <v>アリピプラゾールＯＤ錠６ｍｇ「ニプロ」</v>
      </c>
      <c r="D46">
        <f t="shared" si="1"/>
        <v>11.8</v>
      </c>
    </row>
    <row r="47" spans="1:4" x14ac:dyDescent="0.15">
      <c r="A47" t="s">
        <v>1299</v>
      </c>
      <c r="B47">
        <v>18.600000000000001</v>
      </c>
      <c r="C47" t="str">
        <f t="shared" si="0"/>
        <v>アリピプラゾール散１％「ニプロ」</v>
      </c>
      <c r="D47">
        <f t="shared" si="1"/>
        <v>18.600000000000001</v>
      </c>
    </row>
    <row r="48" spans="1:4" x14ac:dyDescent="0.15">
      <c r="A48" t="s">
        <v>1300</v>
      </c>
      <c r="B48">
        <v>6.1</v>
      </c>
      <c r="C48" t="str">
        <f t="shared" si="0"/>
        <v>アリピプラゾール錠１ｍｇ「サワイ」</v>
      </c>
      <c r="D48">
        <f t="shared" si="1"/>
        <v>6.1</v>
      </c>
    </row>
    <row r="49" spans="1:4" x14ac:dyDescent="0.15">
      <c r="A49" t="s">
        <v>1301</v>
      </c>
      <c r="B49">
        <v>13.1</v>
      </c>
      <c r="C49" t="str">
        <f t="shared" si="0"/>
        <v>アルダクトンＡ錠２５ｍｇ</v>
      </c>
      <c r="D49">
        <f t="shared" si="1"/>
        <v>13.1</v>
      </c>
    </row>
    <row r="50" spans="1:4" x14ac:dyDescent="0.15">
      <c r="A50" t="s">
        <v>1302</v>
      </c>
      <c r="B50">
        <v>4436</v>
      </c>
      <c r="C50" t="str">
        <f t="shared" si="0"/>
        <v>アルブミナー２５％静注１２．５ｇ／５０ｍＬ</v>
      </c>
      <c r="D50">
        <f t="shared" si="1"/>
        <v>4436</v>
      </c>
    </row>
    <row r="51" spans="1:4" x14ac:dyDescent="0.15">
      <c r="A51" t="s">
        <v>1303</v>
      </c>
      <c r="B51">
        <v>6.1</v>
      </c>
      <c r="C51" t="str">
        <f t="shared" si="0"/>
        <v>アルファカルシドールカプセル０．５μｇ「フソー」</v>
      </c>
      <c r="D51">
        <f t="shared" si="1"/>
        <v>6.1</v>
      </c>
    </row>
    <row r="52" spans="1:4" x14ac:dyDescent="0.15">
      <c r="A52" t="s">
        <v>245</v>
      </c>
      <c r="B52">
        <v>12.1</v>
      </c>
      <c r="C52" t="str">
        <f t="shared" si="0"/>
        <v>アレビアチン散１０％</v>
      </c>
      <c r="D52">
        <f t="shared" si="1"/>
        <v>12.1</v>
      </c>
    </row>
    <row r="53" spans="1:4" x14ac:dyDescent="0.15">
      <c r="A53" t="s">
        <v>248</v>
      </c>
      <c r="B53">
        <v>123</v>
      </c>
      <c r="C53" t="str">
        <f t="shared" si="0"/>
        <v>アレビアチン注２５０ｍｇ</v>
      </c>
      <c r="D53">
        <f t="shared" si="1"/>
        <v>123</v>
      </c>
    </row>
    <row r="54" spans="1:4" x14ac:dyDescent="0.15">
      <c r="A54" t="s">
        <v>1304</v>
      </c>
      <c r="B54">
        <v>8</v>
      </c>
      <c r="C54" t="str">
        <f t="shared" si="0"/>
        <v>アロプリノール錠１００ｍｇ「サワイ」</v>
      </c>
      <c r="D54">
        <f t="shared" si="1"/>
        <v>8</v>
      </c>
    </row>
    <row r="55" spans="1:4" x14ac:dyDescent="0.15">
      <c r="A55" t="s">
        <v>1306</v>
      </c>
      <c r="B55">
        <v>12.5</v>
      </c>
      <c r="C55" t="str">
        <f t="shared" si="0"/>
        <v>イコサペント酸エチルカプセル３００ｍｇ「日医工」</v>
      </c>
      <c r="D55">
        <f t="shared" si="1"/>
        <v>12.5</v>
      </c>
    </row>
    <row r="56" spans="1:4" x14ac:dyDescent="0.15">
      <c r="A56" t="s">
        <v>1307</v>
      </c>
      <c r="B56">
        <v>0</v>
      </c>
      <c r="C56" t="str">
        <f t="shared" si="0"/>
        <v>胃散（院内製剤）</v>
      </c>
      <c r="D56">
        <f t="shared" si="1"/>
        <v>0</v>
      </c>
    </row>
    <row r="57" spans="1:4" x14ac:dyDescent="0.15">
      <c r="A57" t="s">
        <v>263</v>
      </c>
      <c r="B57">
        <v>1.44</v>
      </c>
      <c r="C57" t="str">
        <f t="shared" si="0"/>
        <v>イノソリッド配合経腸用半固形剤</v>
      </c>
      <c r="D57">
        <f t="shared" si="1"/>
        <v>1.44</v>
      </c>
    </row>
    <row r="58" spans="1:4" x14ac:dyDescent="0.15">
      <c r="A58" t="s">
        <v>1308</v>
      </c>
      <c r="B58">
        <v>1588</v>
      </c>
      <c r="C58" t="str">
        <f t="shared" si="0"/>
        <v>イバンドロン酸静注１ｍｇシリンジ「トーワ」</v>
      </c>
      <c r="D58">
        <f t="shared" si="1"/>
        <v>1588</v>
      </c>
    </row>
    <row r="59" spans="1:4" x14ac:dyDescent="0.15">
      <c r="A59" t="s">
        <v>1309</v>
      </c>
      <c r="B59">
        <v>6.1</v>
      </c>
      <c r="C59" t="str">
        <f t="shared" si="0"/>
        <v>ＥＰＬカプセル２５０ｍｇ</v>
      </c>
      <c r="D59">
        <f t="shared" si="1"/>
        <v>6.1</v>
      </c>
    </row>
    <row r="60" spans="1:4" x14ac:dyDescent="0.15">
      <c r="A60" t="s">
        <v>1310</v>
      </c>
      <c r="B60">
        <v>101.9</v>
      </c>
      <c r="C60" t="str">
        <f t="shared" si="0"/>
        <v>イフェクサーＳＲカプセル３７．５ｍｇ</v>
      </c>
      <c r="D60">
        <f t="shared" si="1"/>
        <v>101.9</v>
      </c>
    </row>
    <row r="61" spans="1:4" x14ac:dyDescent="0.15">
      <c r="A61" t="s">
        <v>1311</v>
      </c>
      <c r="B61">
        <v>167.6</v>
      </c>
      <c r="C61" t="str">
        <f t="shared" si="0"/>
        <v>イフェクサーＳＲカプセル７５ｍｇ</v>
      </c>
      <c r="D61">
        <f t="shared" si="1"/>
        <v>167.6</v>
      </c>
    </row>
    <row r="62" spans="1:4" x14ac:dyDescent="0.15">
      <c r="A62" t="s">
        <v>1312</v>
      </c>
      <c r="B62">
        <v>25061</v>
      </c>
      <c r="C62" t="str">
        <f t="shared" si="0"/>
        <v>イベニティ皮下注１０５ｍｇシリンジ</v>
      </c>
      <c r="D62">
        <f t="shared" si="1"/>
        <v>25061</v>
      </c>
    </row>
    <row r="63" spans="1:4" x14ac:dyDescent="0.15">
      <c r="A63" t="s">
        <v>276</v>
      </c>
      <c r="B63">
        <v>61</v>
      </c>
      <c r="C63" t="str">
        <f t="shared" si="0"/>
        <v>イリボー錠５μｇ</v>
      </c>
      <c r="D63">
        <f t="shared" si="1"/>
        <v>61</v>
      </c>
    </row>
    <row r="64" spans="1:4" x14ac:dyDescent="0.15">
      <c r="A64" t="s">
        <v>1313</v>
      </c>
      <c r="B64">
        <v>10.4</v>
      </c>
      <c r="C64" t="str">
        <f t="shared" si="0"/>
        <v>イルベサルタン錠５０ｍｇ「サワイ」</v>
      </c>
      <c r="D64">
        <f t="shared" si="1"/>
        <v>10.4</v>
      </c>
    </row>
    <row r="65" spans="1:4" x14ac:dyDescent="0.15">
      <c r="A65" t="s">
        <v>278</v>
      </c>
      <c r="B65">
        <v>227.8</v>
      </c>
      <c r="C65" t="str">
        <f t="shared" si="0"/>
        <v>インヴェガ錠３ｍｇ</v>
      </c>
      <c r="D65">
        <f t="shared" si="1"/>
        <v>227.8</v>
      </c>
    </row>
    <row r="66" spans="1:4" x14ac:dyDescent="0.15">
      <c r="A66" t="s">
        <v>280</v>
      </c>
      <c r="B66">
        <v>419.7</v>
      </c>
      <c r="C66" t="str">
        <f t="shared" ref="C66:C129" si="2">DBCS(A66)</f>
        <v>インヴェガ錠６ｍｇ</v>
      </c>
      <c r="D66">
        <f t="shared" ref="D66:D129" si="3">B66</f>
        <v>419.7</v>
      </c>
    </row>
    <row r="67" spans="1:4" x14ac:dyDescent="0.15">
      <c r="A67" t="s">
        <v>1314</v>
      </c>
      <c r="B67">
        <v>398.8</v>
      </c>
      <c r="C67" t="str">
        <f t="shared" si="2"/>
        <v>インチュニブ錠１ｍｇ</v>
      </c>
      <c r="D67">
        <f t="shared" si="3"/>
        <v>398.8</v>
      </c>
    </row>
    <row r="68" spans="1:4" x14ac:dyDescent="0.15">
      <c r="A68" t="s">
        <v>1315</v>
      </c>
      <c r="B68">
        <v>3.3</v>
      </c>
      <c r="C68" t="str">
        <f t="shared" si="2"/>
        <v>インテバン外用液１％</v>
      </c>
      <c r="D68">
        <f t="shared" si="3"/>
        <v>3.3</v>
      </c>
    </row>
    <row r="69" spans="1:4" x14ac:dyDescent="0.15">
      <c r="A69" t="s">
        <v>1316</v>
      </c>
      <c r="B69">
        <v>10.4</v>
      </c>
      <c r="C69" t="str">
        <f t="shared" si="2"/>
        <v>インデラル錠１０ｍｇ</v>
      </c>
      <c r="D69">
        <f t="shared" si="3"/>
        <v>10.4</v>
      </c>
    </row>
    <row r="70" spans="1:4" x14ac:dyDescent="0.15">
      <c r="A70" t="s">
        <v>1317</v>
      </c>
      <c r="B70">
        <v>3.3</v>
      </c>
      <c r="C70" t="str">
        <f t="shared" si="2"/>
        <v>インテバンクリーム１％</v>
      </c>
      <c r="D70">
        <f t="shared" si="3"/>
        <v>3.3</v>
      </c>
    </row>
    <row r="71" spans="1:4" x14ac:dyDescent="0.15">
      <c r="A71" t="s">
        <v>1318</v>
      </c>
      <c r="B71">
        <v>1182</v>
      </c>
      <c r="C71" t="str">
        <f t="shared" si="2"/>
        <v>イントラリポス輸液２０％</v>
      </c>
      <c r="D71">
        <f t="shared" si="3"/>
        <v>1182</v>
      </c>
    </row>
    <row r="72" spans="1:4" x14ac:dyDescent="0.15">
      <c r="A72" t="s">
        <v>1319</v>
      </c>
      <c r="B72">
        <v>10.4</v>
      </c>
      <c r="C72" t="str">
        <f t="shared" si="2"/>
        <v>ウルソデオキシコール酸錠１００ｍｇ「サワイ」</v>
      </c>
      <c r="D72">
        <f t="shared" si="3"/>
        <v>10.4</v>
      </c>
    </row>
    <row r="73" spans="1:4" x14ac:dyDescent="0.15">
      <c r="A73" t="s">
        <v>1320</v>
      </c>
      <c r="B73">
        <v>170.3</v>
      </c>
      <c r="C73" t="str">
        <f t="shared" si="2"/>
        <v>エイゾプト懸濁性点眼液１％</v>
      </c>
      <c r="D73">
        <f t="shared" si="3"/>
        <v>170.3</v>
      </c>
    </row>
    <row r="74" spans="1:4" x14ac:dyDescent="0.15">
      <c r="A74" t="s">
        <v>1321</v>
      </c>
      <c r="B74">
        <v>51.9</v>
      </c>
      <c r="C74" t="str">
        <f t="shared" si="2"/>
        <v>エスシタロプラムＯＤ錠１０ｍｇ「トーワ」</v>
      </c>
      <c r="D74">
        <f t="shared" si="3"/>
        <v>51.9</v>
      </c>
    </row>
    <row r="75" spans="1:4" x14ac:dyDescent="0.15">
      <c r="A75" t="s">
        <v>1322</v>
      </c>
      <c r="B75">
        <v>7.7</v>
      </c>
      <c r="C75" t="str">
        <f t="shared" si="2"/>
        <v>エスゾピクロン錠１ｍｇ「トーワ」</v>
      </c>
      <c r="D75">
        <f t="shared" si="3"/>
        <v>7.7</v>
      </c>
    </row>
    <row r="76" spans="1:4" x14ac:dyDescent="0.15">
      <c r="A76" t="s">
        <v>1323</v>
      </c>
      <c r="B76">
        <v>5.9</v>
      </c>
      <c r="C76" t="str">
        <f t="shared" si="2"/>
        <v>ＳＰトローチ０．２５ｍｇ「明治」</v>
      </c>
      <c r="D76">
        <f t="shared" si="3"/>
        <v>5.9</v>
      </c>
    </row>
    <row r="77" spans="1:4" x14ac:dyDescent="0.15">
      <c r="A77" t="s">
        <v>1324</v>
      </c>
      <c r="B77">
        <v>30.7</v>
      </c>
      <c r="C77" t="str">
        <f t="shared" si="2"/>
        <v>エゼチミブＯＤ錠１０ｍｇ「トーワ」</v>
      </c>
      <c r="D77">
        <f t="shared" si="3"/>
        <v>30.7</v>
      </c>
    </row>
    <row r="78" spans="1:4" x14ac:dyDescent="0.15">
      <c r="A78" t="s">
        <v>1325</v>
      </c>
      <c r="B78">
        <v>37.799999999999997</v>
      </c>
      <c r="C78" t="str">
        <f t="shared" si="2"/>
        <v>エソメプラゾールカプセル２０ｍｇ「ニプロ」</v>
      </c>
      <c r="D78">
        <f t="shared" si="3"/>
        <v>37.799999999999997</v>
      </c>
    </row>
    <row r="79" spans="1:4" x14ac:dyDescent="0.15">
      <c r="A79" t="s">
        <v>1326</v>
      </c>
      <c r="B79">
        <v>6.6</v>
      </c>
      <c r="C79" t="str">
        <f t="shared" si="2"/>
        <v>エチゾラム錠０．５ｍｇ「アメル」</v>
      </c>
      <c r="D79">
        <f t="shared" si="3"/>
        <v>6.6</v>
      </c>
    </row>
    <row r="80" spans="1:4" x14ac:dyDescent="0.15">
      <c r="A80" t="s">
        <v>1327</v>
      </c>
      <c r="B80">
        <v>10.1</v>
      </c>
      <c r="C80" t="str">
        <f t="shared" si="2"/>
        <v>エチゾラム錠１ｍｇ「アメル」</v>
      </c>
      <c r="D80">
        <f t="shared" si="3"/>
        <v>10.1</v>
      </c>
    </row>
    <row r="81" spans="1:4" x14ac:dyDescent="0.15">
      <c r="A81" t="s">
        <v>1328</v>
      </c>
      <c r="B81">
        <v>10.4</v>
      </c>
      <c r="C81" t="str">
        <f t="shared" si="2"/>
        <v>エナラプリルマレイン酸塩錠５ｍｇ「サワイ」</v>
      </c>
      <c r="D81">
        <f t="shared" si="3"/>
        <v>10.4</v>
      </c>
    </row>
    <row r="82" spans="1:4" x14ac:dyDescent="0.15">
      <c r="A82" t="s">
        <v>1329</v>
      </c>
      <c r="B82">
        <v>17.399999999999999</v>
      </c>
      <c r="C82" t="str">
        <f t="shared" si="2"/>
        <v>エバスチンＯＤ錠５ｍｇ「サワイ」</v>
      </c>
      <c r="D82">
        <f t="shared" si="3"/>
        <v>17.399999999999999</v>
      </c>
    </row>
    <row r="83" spans="1:4" x14ac:dyDescent="0.15">
      <c r="A83" t="s">
        <v>1330</v>
      </c>
      <c r="B83">
        <v>51.4</v>
      </c>
      <c r="C83" t="str">
        <f t="shared" si="2"/>
        <v>エビスタ錠６０ｍｇ</v>
      </c>
      <c r="D83">
        <f t="shared" si="3"/>
        <v>51.4</v>
      </c>
    </row>
    <row r="84" spans="1:4" x14ac:dyDescent="0.15">
      <c r="A84" t="s">
        <v>1331</v>
      </c>
      <c r="B84">
        <v>18.2</v>
      </c>
      <c r="C84" t="str">
        <f t="shared" si="2"/>
        <v>エピナスチン塩酸塩錠２０ｍｇ「トーワ」</v>
      </c>
      <c r="D84">
        <f t="shared" si="3"/>
        <v>18.2</v>
      </c>
    </row>
    <row r="85" spans="1:4" x14ac:dyDescent="0.15">
      <c r="A85" t="s">
        <v>1332</v>
      </c>
      <c r="B85">
        <v>34376</v>
      </c>
      <c r="C85" t="str">
        <f t="shared" si="2"/>
        <v>エビリファイ持続性水懸筋注用３００ｍｇシリンジ</v>
      </c>
      <c r="D85">
        <f t="shared" si="3"/>
        <v>34376</v>
      </c>
    </row>
    <row r="86" spans="1:4" x14ac:dyDescent="0.15">
      <c r="A86" t="s">
        <v>1333</v>
      </c>
      <c r="B86">
        <v>41300</v>
      </c>
      <c r="C86" t="str">
        <f t="shared" si="2"/>
        <v>エビリファイ持続性水懸筋注用４００ｍｇシリンジ外来用</v>
      </c>
      <c r="D86">
        <f t="shared" si="3"/>
        <v>41300</v>
      </c>
    </row>
    <row r="87" spans="1:4" x14ac:dyDescent="0.15">
      <c r="A87" t="s">
        <v>1334</v>
      </c>
      <c r="B87">
        <v>33</v>
      </c>
      <c r="C87" t="str">
        <f t="shared" si="2"/>
        <v>エビリファイ内用液０．１％　３ｍｌ</v>
      </c>
      <c r="D87">
        <f t="shared" si="3"/>
        <v>33</v>
      </c>
    </row>
    <row r="88" spans="1:4" x14ac:dyDescent="0.15">
      <c r="A88" t="s">
        <v>1335</v>
      </c>
      <c r="B88">
        <v>0</v>
      </c>
      <c r="C88" t="str">
        <f t="shared" si="2"/>
        <v>エビリファイ内用液０．１％　６ｍｌ</v>
      </c>
      <c r="D88">
        <f t="shared" si="3"/>
        <v>0</v>
      </c>
    </row>
    <row r="89" spans="1:4" x14ac:dyDescent="0.15">
      <c r="A89" t="s">
        <v>1336</v>
      </c>
      <c r="B89">
        <v>178</v>
      </c>
      <c r="C89" t="str">
        <f t="shared" si="2"/>
        <v>エフィエント錠２．５ｍｇ</v>
      </c>
      <c r="D89">
        <f t="shared" si="3"/>
        <v>178</v>
      </c>
    </row>
    <row r="90" spans="1:4" x14ac:dyDescent="0.15">
      <c r="A90" t="s">
        <v>1337</v>
      </c>
      <c r="B90">
        <v>676.3</v>
      </c>
      <c r="C90" t="str">
        <f t="shared" si="2"/>
        <v>エフィナコナゾール爪外用液１０％「サワイ」</v>
      </c>
      <c r="D90">
        <f t="shared" si="3"/>
        <v>676.3</v>
      </c>
    </row>
    <row r="91" spans="1:4" x14ac:dyDescent="0.15">
      <c r="A91" t="s">
        <v>1338</v>
      </c>
      <c r="B91">
        <v>15.8</v>
      </c>
      <c r="C91" t="str">
        <f t="shared" si="2"/>
        <v>エブランチルカプセル１５ｍｇ</v>
      </c>
      <c r="D91">
        <f t="shared" si="3"/>
        <v>15.8</v>
      </c>
    </row>
    <row r="92" spans="1:4" x14ac:dyDescent="0.15">
      <c r="A92" t="s">
        <v>1340</v>
      </c>
      <c r="B92">
        <v>61</v>
      </c>
      <c r="C92" t="str">
        <f t="shared" si="2"/>
        <v>エホチール注１０ｍｇ</v>
      </c>
      <c r="D92">
        <f t="shared" si="3"/>
        <v>61</v>
      </c>
    </row>
    <row r="93" spans="1:4" x14ac:dyDescent="0.15">
      <c r="A93" t="s">
        <v>1341</v>
      </c>
      <c r="B93">
        <v>114.7</v>
      </c>
      <c r="C93" t="str">
        <f t="shared" si="2"/>
        <v>エリキュース錠２．５ｍｇ</v>
      </c>
      <c r="D93">
        <f t="shared" si="3"/>
        <v>114.7</v>
      </c>
    </row>
    <row r="94" spans="1:4" x14ac:dyDescent="0.15">
      <c r="A94" t="s">
        <v>1342</v>
      </c>
      <c r="B94">
        <v>8.6999999999999993</v>
      </c>
      <c r="C94" t="str">
        <f t="shared" si="2"/>
        <v>エリスロシン錠２００ｍｇ</v>
      </c>
      <c r="D94">
        <f t="shared" si="3"/>
        <v>8.6999999999999993</v>
      </c>
    </row>
    <row r="95" spans="1:4" x14ac:dyDescent="0.15">
      <c r="A95" t="s">
        <v>1343</v>
      </c>
      <c r="B95">
        <v>160.30000000000001</v>
      </c>
      <c r="C95" t="str">
        <f t="shared" si="2"/>
        <v>エルカルチンＦＦ錠２５０ｍｇ</v>
      </c>
      <c r="D95">
        <f t="shared" si="3"/>
        <v>160.30000000000001</v>
      </c>
    </row>
    <row r="96" spans="1:4" x14ac:dyDescent="0.15">
      <c r="A96" t="s">
        <v>1178</v>
      </c>
      <c r="B96">
        <v>0.78</v>
      </c>
      <c r="C96" t="str">
        <f t="shared" si="2"/>
        <v>塩化カリウム</v>
      </c>
      <c r="D96">
        <f t="shared" si="3"/>
        <v>0.78</v>
      </c>
    </row>
    <row r="97" spans="1:4" x14ac:dyDescent="0.15">
      <c r="A97" t="s">
        <v>1179</v>
      </c>
      <c r="B97">
        <v>0.77</v>
      </c>
      <c r="C97" t="str">
        <f t="shared" si="2"/>
        <v>塩化ナトリウム</v>
      </c>
      <c r="D97">
        <f t="shared" si="3"/>
        <v>0.77</v>
      </c>
    </row>
    <row r="98" spans="1:4" x14ac:dyDescent="0.15">
      <c r="A98" t="s">
        <v>1344</v>
      </c>
      <c r="B98">
        <v>100</v>
      </c>
      <c r="C98" t="str">
        <f t="shared" si="2"/>
        <v>１０％塩化ナトリウム注射液</v>
      </c>
      <c r="D98">
        <f t="shared" si="3"/>
        <v>100</v>
      </c>
    </row>
    <row r="99" spans="1:4" x14ac:dyDescent="0.15">
      <c r="A99" t="s">
        <v>1347</v>
      </c>
      <c r="B99">
        <v>106.9</v>
      </c>
      <c r="C99" t="str">
        <f t="shared" si="2"/>
        <v>エンレスト錠１００ｍｇ</v>
      </c>
      <c r="D99">
        <f t="shared" si="3"/>
        <v>106.9</v>
      </c>
    </row>
    <row r="100" spans="1:4" x14ac:dyDescent="0.15">
      <c r="A100" t="s">
        <v>1348</v>
      </c>
      <c r="B100">
        <v>5.81</v>
      </c>
      <c r="C100" t="str">
        <f t="shared" si="2"/>
        <v>オイラックスクリーム１０％</v>
      </c>
      <c r="D100">
        <f t="shared" si="3"/>
        <v>5.81</v>
      </c>
    </row>
    <row r="101" spans="1:4" x14ac:dyDescent="0.15">
      <c r="A101" t="s">
        <v>1349</v>
      </c>
      <c r="B101">
        <v>50.2</v>
      </c>
      <c r="C101" t="str">
        <f t="shared" si="2"/>
        <v>オキサロール軟膏２５μｇ／ｇ</v>
      </c>
      <c r="D101">
        <f t="shared" si="3"/>
        <v>50.2</v>
      </c>
    </row>
    <row r="102" spans="1:4" x14ac:dyDescent="0.15">
      <c r="A102" t="s">
        <v>1350</v>
      </c>
      <c r="B102">
        <v>45.7</v>
      </c>
      <c r="C102" t="str">
        <f t="shared" si="2"/>
        <v>オーグメンチン配合錠２５０ＲＳ</v>
      </c>
      <c r="D102">
        <f t="shared" si="3"/>
        <v>45.7</v>
      </c>
    </row>
    <row r="103" spans="1:4" x14ac:dyDescent="0.15">
      <c r="A103" t="s">
        <v>1351</v>
      </c>
      <c r="B103">
        <v>111.6</v>
      </c>
      <c r="C103" t="str">
        <f t="shared" si="2"/>
        <v>オセルタミビルカプセル７５ｍｇ「サワイ」</v>
      </c>
      <c r="D103">
        <f t="shared" si="3"/>
        <v>111.6</v>
      </c>
    </row>
    <row r="104" spans="1:4" x14ac:dyDescent="0.15">
      <c r="A104" t="s">
        <v>1352</v>
      </c>
      <c r="B104">
        <v>989.6</v>
      </c>
      <c r="C104" t="str">
        <f t="shared" si="2"/>
        <v>オテズラ錠３０ｍｇ</v>
      </c>
      <c r="D104">
        <f t="shared" si="3"/>
        <v>989.6</v>
      </c>
    </row>
    <row r="105" spans="1:4" x14ac:dyDescent="0.15">
      <c r="A105" t="s">
        <v>1353</v>
      </c>
      <c r="B105">
        <v>107.4</v>
      </c>
      <c r="C105" t="str">
        <f t="shared" si="2"/>
        <v>オフロキサシン点眼液０．３％「ＪＧ」</v>
      </c>
      <c r="D105">
        <f t="shared" si="3"/>
        <v>107.4</v>
      </c>
    </row>
    <row r="106" spans="1:4" x14ac:dyDescent="0.15">
      <c r="A106" t="s">
        <v>1354</v>
      </c>
      <c r="B106">
        <v>17</v>
      </c>
      <c r="C106" t="str">
        <f t="shared" si="2"/>
        <v>オランザピンＯＤ錠５ｍｇ「ニプロ」</v>
      </c>
      <c r="D106">
        <f t="shared" si="3"/>
        <v>17</v>
      </c>
    </row>
    <row r="107" spans="1:4" x14ac:dyDescent="0.15">
      <c r="A107" t="s">
        <v>1355</v>
      </c>
      <c r="B107">
        <v>30.7</v>
      </c>
      <c r="C107" t="str">
        <f t="shared" si="2"/>
        <v>オランザピンＯＤ錠１０ｍｇ「ニプロ」</v>
      </c>
      <c r="D107">
        <f t="shared" si="3"/>
        <v>30.7</v>
      </c>
    </row>
    <row r="108" spans="1:4" x14ac:dyDescent="0.15">
      <c r="A108" t="s">
        <v>1356</v>
      </c>
      <c r="B108">
        <v>38.6</v>
      </c>
      <c r="C108" t="str">
        <f t="shared" si="2"/>
        <v>オランザピン細粒１％「ニプロ」</v>
      </c>
      <c r="D108">
        <f t="shared" si="3"/>
        <v>38.6</v>
      </c>
    </row>
    <row r="109" spans="1:4" x14ac:dyDescent="0.15">
      <c r="A109" t="s">
        <v>1357</v>
      </c>
      <c r="B109">
        <v>8.1999999999999993</v>
      </c>
      <c r="C109" t="str">
        <f t="shared" si="2"/>
        <v>オランザピン錠２．５ｍｇ「ニプロ」</v>
      </c>
      <c r="D109">
        <f t="shared" si="3"/>
        <v>8.1999999999999993</v>
      </c>
    </row>
    <row r="110" spans="1:4" x14ac:dyDescent="0.15">
      <c r="A110" t="s">
        <v>1358</v>
      </c>
      <c r="B110">
        <v>17.5</v>
      </c>
      <c r="C110" t="str">
        <f t="shared" si="2"/>
        <v>オルメテックＯＤ錠１０ｍｇ</v>
      </c>
      <c r="D110">
        <f t="shared" si="3"/>
        <v>17.5</v>
      </c>
    </row>
    <row r="111" spans="1:4" x14ac:dyDescent="0.15">
      <c r="A111" t="s">
        <v>1359</v>
      </c>
      <c r="B111">
        <v>10.4</v>
      </c>
      <c r="C111" t="str">
        <f t="shared" si="2"/>
        <v>オロパタジン塩酸塩ＯＤ錠５ｍｇ「トーワ」</v>
      </c>
      <c r="D111">
        <f t="shared" si="3"/>
        <v>10.4</v>
      </c>
    </row>
    <row r="112" spans="1:4" x14ac:dyDescent="0.15">
      <c r="A112" t="s">
        <v>1360</v>
      </c>
      <c r="B112">
        <v>0</v>
      </c>
      <c r="C112" t="str">
        <f t="shared" si="2"/>
        <v>風邪Ⅲ（院内製剤）</v>
      </c>
      <c r="D112">
        <f t="shared" si="3"/>
        <v>0</v>
      </c>
    </row>
    <row r="113" spans="1:4" x14ac:dyDescent="0.15">
      <c r="A113" t="s">
        <v>1361</v>
      </c>
      <c r="B113">
        <v>0</v>
      </c>
      <c r="C113" t="str">
        <f t="shared" si="2"/>
        <v>風邪Ⅱ（院内製剤）</v>
      </c>
      <c r="D113">
        <f t="shared" si="3"/>
        <v>0</v>
      </c>
    </row>
    <row r="114" spans="1:4" x14ac:dyDescent="0.15">
      <c r="A114" t="s">
        <v>1362</v>
      </c>
      <c r="B114">
        <v>10</v>
      </c>
      <c r="C114" t="str">
        <f t="shared" si="2"/>
        <v>カモスタットメシル酸塩錠１００ｍｇ「サワイ」</v>
      </c>
      <c r="D114">
        <f t="shared" si="3"/>
        <v>10</v>
      </c>
    </row>
    <row r="115" spans="1:4" x14ac:dyDescent="0.15">
      <c r="A115" t="s">
        <v>1363</v>
      </c>
      <c r="B115">
        <v>18.399999999999999</v>
      </c>
      <c r="C115" t="str">
        <f t="shared" si="2"/>
        <v>ガランタミンＯＤ錠４ｍｇ「日医工」</v>
      </c>
      <c r="D115">
        <f t="shared" si="3"/>
        <v>18.399999999999999</v>
      </c>
    </row>
    <row r="116" spans="1:4" x14ac:dyDescent="0.15">
      <c r="A116" t="s">
        <v>1364</v>
      </c>
      <c r="B116">
        <v>27.6</v>
      </c>
      <c r="C116" t="str">
        <f t="shared" si="2"/>
        <v>ガランタミンＯＤ錠１２ｍｇ「日医工」</v>
      </c>
      <c r="D116">
        <f t="shared" si="3"/>
        <v>27.6</v>
      </c>
    </row>
    <row r="117" spans="1:4" x14ac:dyDescent="0.15">
      <c r="A117" t="s">
        <v>1365</v>
      </c>
      <c r="B117">
        <v>9.6</v>
      </c>
      <c r="C117" t="str">
        <f t="shared" si="2"/>
        <v>カリメートドライシロップ９２．５９％</v>
      </c>
      <c r="D117">
        <f t="shared" si="3"/>
        <v>9.6</v>
      </c>
    </row>
    <row r="118" spans="1:4" x14ac:dyDescent="0.15">
      <c r="A118" t="s">
        <v>1366</v>
      </c>
      <c r="B118">
        <v>5.9</v>
      </c>
      <c r="C118" t="str">
        <f t="shared" si="2"/>
        <v>カルバマゼピン錠１００ｍｇ「アメル」</v>
      </c>
      <c r="D118">
        <f t="shared" si="3"/>
        <v>5.9</v>
      </c>
    </row>
    <row r="119" spans="1:4" x14ac:dyDescent="0.15">
      <c r="A119" t="s">
        <v>1367</v>
      </c>
      <c r="B119">
        <v>10</v>
      </c>
      <c r="C119" t="str">
        <f t="shared" si="2"/>
        <v>カルバマゼピン錠２００ｍｇ「アメル」</v>
      </c>
      <c r="D119">
        <f t="shared" si="3"/>
        <v>10</v>
      </c>
    </row>
    <row r="120" spans="1:4" x14ac:dyDescent="0.15">
      <c r="A120" t="s">
        <v>1368</v>
      </c>
      <c r="B120">
        <v>22.2</v>
      </c>
      <c r="C120" t="str">
        <f t="shared" si="2"/>
        <v>カルバマゼピン細粒５０％「アメル」</v>
      </c>
      <c r="D120">
        <f t="shared" si="3"/>
        <v>22.2</v>
      </c>
    </row>
    <row r="121" spans="1:4" x14ac:dyDescent="0.15">
      <c r="A121" t="s">
        <v>1369</v>
      </c>
      <c r="B121">
        <v>10.4</v>
      </c>
      <c r="C121" t="str">
        <f t="shared" si="2"/>
        <v>カルベジロール錠１０ｍｇ「ＤＳＥＰ」</v>
      </c>
      <c r="D121">
        <f t="shared" si="3"/>
        <v>10.4</v>
      </c>
    </row>
    <row r="122" spans="1:4" x14ac:dyDescent="0.15">
      <c r="A122" t="s">
        <v>1370</v>
      </c>
      <c r="B122">
        <v>10.4</v>
      </c>
      <c r="C122" t="str">
        <f t="shared" si="2"/>
        <v>カルボシステイン錠２５０ｍｇ「トーワ」</v>
      </c>
      <c r="D122">
        <f t="shared" si="3"/>
        <v>10.4</v>
      </c>
    </row>
    <row r="123" spans="1:4" x14ac:dyDescent="0.15">
      <c r="A123" t="s">
        <v>1371</v>
      </c>
      <c r="B123">
        <v>12.2</v>
      </c>
      <c r="C123" t="str">
        <f t="shared" si="2"/>
        <v>カロナール細粒２０％</v>
      </c>
      <c r="D123">
        <f t="shared" si="3"/>
        <v>12.2</v>
      </c>
    </row>
    <row r="124" spans="1:4" x14ac:dyDescent="0.15">
      <c r="A124" t="s">
        <v>1372</v>
      </c>
      <c r="B124">
        <v>6.7</v>
      </c>
      <c r="C124" t="str">
        <f t="shared" si="2"/>
        <v>カロナール錠２００</v>
      </c>
      <c r="D124">
        <f t="shared" si="3"/>
        <v>6.7</v>
      </c>
    </row>
    <row r="125" spans="1:4" x14ac:dyDescent="0.15">
      <c r="A125" t="s">
        <v>1373</v>
      </c>
      <c r="B125">
        <v>31.4</v>
      </c>
      <c r="C125" t="str">
        <f t="shared" si="2"/>
        <v>カロナール坐剤２００</v>
      </c>
      <c r="D125">
        <f t="shared" si="3"/>
        <v>31.4</v>
      </c>
    </row>
    <row r="126" spans="1:4" x14ac:dyDescent="0.15">
      <c r="A126" t="s">
        <v>1374</v>
      </c>
      <c r="B126">
        <v>210</v>
      </c>
      <c r="C126" t="str">
        <f t="shared" si="2"/>
        <v>キシロカイン注シリンジ０．５％</v>
      </c>
      <c r="D126">
        <f t="shared" si="3"/>
        <v>210</v>
      </c>
    </row>
    <row r="127" spans="1:4" x14ac:dyDescent="0.15">
      <c r="A127" t="s">
        <v>1375</v>
      </c>
      <c r="B127">
        <v>27.7</v>
      </c>
      <c r="C127" t="str">
        <f t="shared" si="2"/>
        <v>キシロカインポンプスプレー８％</v>
      </c>
      <c r="D127">
        <f t="shared" si="3"/>
        <v>27.7</v>
      </c>
    </row>
    <row r="128" spans="1:4" x14ac:dyDescent="0.15">
      <c r="A128" t="s">
        <v>1376</v>
      </c>
      <c r="B128">
        <v>1732.2</v>
      </c>
      <c r="C128" t="str">
        <f t="shared" si="2"/>
        <v>キュバール１００エアゾール</v>
      </c>
      <c r="D128">
        <f t="shared" si="3"/>
        <v>1732.2</v>
      </c>
    </row>
    <row r="129" spans="1:4" x14ac:dyDescent="0.15">
      <c r="A129" t="s">
        <v>1377</v>
      </c>
      <c r="B129">
        <v>21.7</v>
      </c>
      <c r="C129" t="str">
        <f t="shared" si="2"/>
        <v>クアゼパム錠１５ｍｇ「アメル」</v>
      </c>
      <c r="D129">
        <f t="shared" si="3"/>
        <v>21.7</v>
      </c>
    </row>
    <row r="130" spans="1:4" x14ac:dyDescent="0.15">
      <c r="A130" t="s">
        <v>1378</v>
      </c>
      <c r="B130">
        <v>10.4</v>
      </c>
      <c r="C130" t="str">
        <f t="shared" ref="C130:C193" si="4">DBCS(A130)</f>
        <v>クエチアピン錠１２．５ｍｇ「アメル」</v>
      </c>
      <c r="D130">
        <f t="shared" ref="D130:D193" si="5">B130</f>
        <v>10.4</v>
      </c>
    </row>
    <row r="131" spans="1:4" x14ac:dyDescent="0.15">
      <c r="A131" t="s">
        <v>1379</v>
      </c>
      <c r="B131">
        <v>10.4</v>
      </c>
      <c r="C131" t="str">
        <f t="shared" si="4"/>
        <v>クエチアピン錠２５ｍｇ「アメル」</v>
      </c>
      <c r="D131">
        <f t="shared" si="5"/>
        <v>10.4</v>
      </c>
    </row>
    <row r="132" spans="1:4" x14ac:dyDescent="0.15">
      <c r="A132" t="s">
        <v>1380</v>
      </c>
      <c r="B132">
        <v>16.8</v>
      </c>
      <c r="C132" t="str">
        <f t="shared" si="4"/>
        <v>クエチアピン錠１００ｍｇ「アメル」</v>
      </c>
      <c r="D132">
        <f t="shared" si="5"/>
        <v>16.8</v>
      </c>
    </row>
    <row r="133" spans="1:4" x14ac:dyDescent="0.15">
      <c r="A133" t="s">
        <v>1381</v>
      </c>
      <c r="B133">
        <v>29.3</v>
      </c>
      <c r="C133" t="str">
        <f t="shared" si="4"/>
        <v>クエチアピン錠２００ｍｇ「アメル」</v>
      </c>
      <c r="D133">
        <f t="shared" si="5"/>
        <v>29.3</v>
      </c>
    </row>
    <row r="134" spans="1:4" x14ac:dyDescent="0.15">
      <c r="A134" t="s">
        <v>1382</v>
      </c>
      <c r="B134">
        <v>134.9</v>
      </c>
      <c r="C134" t="str">
        <f t="shared" si="4"/>
        <v>クエチアピン細粒５０％「アメル」</v>
      </c>
      <c r="D134">
        <f t="shared" si="5"/>
        <v>134.9</v>
      </c>
    </row>
    <row r="135" spans="1:4" x14ac:dyDescent="0.15">
      <c r="A135" t="s">
        <v>1384</v>
      </c>
      <c r="B135">
        <v>57.3</v>
      </c>
      <c r="C135" t="str">
        <f t="shared" si="4"/>
        <v>クービビック錠２５ｍｇ</v>
      </c>
      <c r="D135">
        <f t="shared" si="5"/>
        <v>57.3</v>
      </c>
    </row>
    <row r="136" spans="1:4" x14ac:dyDescent="0.15">
      <c r="A136" t="s">
        <v>1385</v>
      </c>
      <c r="B136">
        <v>80.2</v>
      </c>
      <c r="C136" t="str">
        <f t="shared" si="4"/>
        <v>グーフィス錠５ｍｇ</v>
      </c>
      <c r="D136">
        <f t="shared" si="5"/>
        <v>80.2</v>
      </c>
    </row>
    <row r="137" spans="1:4" x14ac:dyDescent="0.15">
      <c r="A137" t="s">
        <v>404</v>
      </c>
      <c r="B137">
        <v>505.4</v>
      </c>
      <c r="C137" t="str">
        <f t="shared" si="4"/>
        <v>グラアルファ配合点眼液</v>
      </c>
      <c r="D137">
        <f t="shared" si="5"/>
        <v>505.4</v>
      </c>
    </row>
    <row r="138" spans="1:4" x14ac:dyDescent="0.15">
      <c r="A138" t="s">
        <v>1386</v>
      </c>
      <c r="B138">
        <v>85.2</v>
      </c>
      <c r="C138" t="str">
        <f t="shared" si="4"/>
        <v>グラクティブ錠５０ｍｇ</v>
      </c>
      <c r="D138">
        <f t="shared" si="5"/>
        <v>85.2</v>
      </c>
    </row>
    <row r="139" spans="1:4" x14ac:dyDescent="0.15">
      <c r="A139" t="s">
        <v>1387</v>
      </c>
      <c r="B139">
        <v>10.199999999999999</v>
      </c>
      <c r="C139" t="str">
        <f t="shared" si="4"/>
        <v>クラシエ葛根湯エキス細粒</v>
      </c>
      <c r="D139">
        <f t="shared" si="5"/>
        <v>10.199999999999999</v>
      </c>
    </row>
    <row r="140" spans="1:4" x14ac:dyDescent="0.15">
      <c r="A140" t="s">
        <v>1388</v>
      </c>
      <c r="B140">
        <v>13.3</v>
      </c>
      <c r="C140" t="str">
        <f t="shared" si="4"/>
        <v>クラシエ黄連解毒湯エキス細粒</v>
      </c>
      <c r="D140">
        <f t="shared" si="5"/>
        <v>13.3</v>
      </c>
    </row>
    <row r="141" spans="1:4" x14ac:dyDescent="0.15">
      <c r="A141" t="s">
        <v>1389</v>
      </c>
      <c r="B141">
        <v>18.3</v>
      </c>
      <c r="C141" t="str">
        <f t="shared" si="4"/>
        <v>クラシエ加味逍遙散料エキス細粒</v>
      </c>
      <c r="D141">
        <f t="shared" si="5"/>
        <v>18.3</v>
      </c>
    </row>
    <row r="142" spans="1:4" x14ac:dyDescent="0.15">
      <c r="A142" t="s">
        <v>1390</v>
      </c>
      <c r="B142">
        <v>14.8</v>
      </c>
      <c r="C142" t="str">
        <f t="shared" si="4"/>
        <v>クラシエ猪苓湯エキス細粒</v>
      </c>
      <c r="D142">
        <f t="shared" si="5"/>
        <v>14.8</v>
      </c>
    </row>
    <row r="143" spans="1:4" x14ac:dyDescent="0.15">
      <c r="A143" t="s">
        <v>1391</v>
      </c>
      <c r="B143">
        <v>20.399999999999999</v>
      </c>
      <c r="C143" t="str">
        <f t="shared" si="4"/>
        <v>クラシエ補中益気湯エキス細粒</v>
      </c>
      <c r="D143">
        <f t="shared" si="5"/>
        <v>20.399999999999999</v>
      </c>
    </row>
    <row r="144" spans="1:4" x14ac:dyDescent="0.15">
      <c r="A144" t="s">
        <v>1392</v>
      </c>
      <c r="B144">
        <v>46.8</v>
      </c>
      <c r="C144" t="str">
        <f t="shared" si="4"/>
        <v>クラシエ柴苓湯エキス細粒</v>
      </c>
      <c r="D144">
        <f t="shared" si="5"/>
        <v>46.8</v>
      </c>
    </row>
    <row r="145" spans="1:4" x14ac:dyDescent="0.15">
      <c r="A145" t="s">
        <v>1394</v>
      </c>
      <c r="B145">
        <v>12.5</v>
      </c>
      <c r="C145" t="str">
        <f t="shared" si="4"/>
        <v>グラマリール錠２５ｍｇ</v>
      </c>
      <c r="D145">
        <f t="shared" si="5"/>
        <v>12.5</v>
      </c>
    </row>
    <row r="146" spans="1:4" x14ac:dyDescent="0.15">
      <c r="A146" t="s">
        <v>1395</v>
      </c>
      <c r="B146">
        <v>16.100000000000001</v>
      </c>
      <c r="C146" t="str">
        <f t="shared" si="4"/>
        <v>グラマリール錠５０ｍｇ</v>
      </c>
      <c r="D146">
        <f t="shared" si="5"/>
        <v>16.100000000000001</v>
      </c>
    </row>
    <row r="147" spans="1:4" x14ac:dyDescent="0.15">
      <c r="A147" t="s">
        <v>1396</v>
      </c>
      <c r="B147">
        <v>19.8</v>
      </c>
      <c r="C147" t="str">
        <f t="shared" si="4"/>
        <v>グラマリール細粒１０％</v>
      </c>
      <c r="D147">
        <f t="shared" si="5"/>
        <v>19.8</v>
      </c>
    </row>
    <row r="148" spans="1:4" x14ac:dyDescent="0.15">
      <c r="A148" t="s">
        <v>1397</v>
      </c>
      <c r="B148">
        <v>31.7</v>
      </c>
      <c r="C148" t="str">
        <f t="shared" si="4"/>
        <v>クラリチン錠１０ｍｇ</v>
      </c>
      <c r="D148">
        <f t="shared" si="5"/>
        <v>31.7</v>
      </c>
    </row>
    <row r="149" spans="1:4" x14ac:dyDescent="0.15">
      <c r="A149" t="s">
        <v>1398</v>
      </c>
      <c r="B149">
        <v>24.9</v>
      </c>
      <c r="C149" t="str">
        <f t="shared" si="4"/>
        <v>クラリシッド錠２００ｍｇ</v>
      </c>
      <c r="D149">
        <f t="shared" si="5"/>
        <v>24.9</v>
      </c>
    </row>
    <row r="150" spans="1:4" x14ac:dyDescent="0.15">
      <c r="A150" t="s">
        <v>1399</v>
      </c>
      <c r="B150">
        <v>8.1999999999999993</v>
      </c>
      <c r="C150" t="str">
        <f t="shared" si="4"/>
        <v>グランダキシン錠５０</v>
      </c>
      <c r="D150">
        <f t="shared" si="5"/>
        <v>8.1999999999999993</v>
      </c>
    </row>
    <row r="151" spans="1:4" x14ac:dyDescent="0.15">
      <c r="A151" t="s">
        <v>416</v>
      </c>
      <c r="B151">
        <v>302</v>
      </c>
      <c r="C151" t="str">
        <f t="shared" si="4"/>
        <v>グリセオール注</v>
      </c>
      <c r="D151">
        <f t="shared" si="5"/>
        <v>302</v>
      </c>
    </row>
    <row r="152" spans="1:4" x14ac:dyDescent="0.15">
      <c r="A152" t="s">
        <v>1400</v>
      </c>
      <c r="B152">
        <v>124.2</v>
      </c>
      <c r="C152" t="str">
        <f t="shared" si="4"/>
        <v>グリセリン浣腸液５０％「ムネ」６０ｍＬ</v>
      </c>
      <c r="D152">
        <f t="shared" si="5"/>
        <v>124.2</v>
      </c>
    </row>
    <row r="153" spans="1:4" x14ac:dyDescent="0.15">
      <c r="A153" t="s">
        <v>421</v>
      </c>
      <c r="B153">
        <v>5.9</v>
      </c>
      <c r="C153" t="str">
        <f t="shared" si="4"/>
        <v>グリチロン配合錠</v>
      </c>
      <c r="D153">
        <f t="shared" si="5"/>
        <v>5.9</v>
      </c>
    </row>
    <row r="154" spans="1:4" x14ac:dyDescent="0.15">
      <c r="A154" t="s">
        <v>1401</v>
      </c>
      <c r="B154">
        <v>10.4</v>
      </c>
      <c r="C154" t="str">
        <f t="shared" si="4"/>
        <v>グリメピリドＯＤ錠１ｍｇ「トーワ」</v>
      </c>
      <c r="D154">
        <f t="shared" si="5"/>
        <v>10.4</v>
      </c>
    </row>
    <row r="155" spans="1:4" x14ac:dyDescent="0.15">
      <c r="A155" t="s">
        <v>1402</v>
      </c>
      <c r="B155">
        <v>333</v>
      </c>
      <c r="C155" t="str">
        <f t="shared" si="4"/>
        <v>クリンダマイシンリン酸エステル６００ｍｇ注射液</v>
      </c>
      <c r="D155">
        <f t="shared" si="5"/>
        <v>333</v>
      </c>
    </row>
    <row r="156" spans="1:4" x14ac:dyDescent="0.15">
      <c r="A156" t="s">
        <v>1403</v>
      </c>
      <c r="B156">
        <v>48.3</v>
      </c>
      <c r="C156" t="str">
        <f t="shared" si="4"/>
        <v>クレメジン細粒分包２ｇ</v>
      </c>
      <c r="D156">
        <f t="shared" si="5"/>
        <v>48.3</v>
      </c>
    </row>
    <row r="157" spans="1:4" x14ac:dyDescent="0.15">
      <c r="A157" t="s">
        <v>1404</v>
      </c>
      <c r="B157">
        <v>12.7</v>
      </c>
      <c r="C157" t="str">
        <f t="shared" si="4"/>
        <v>クロピドグレル錠２５ｍｇ「ＪＧ」</v>
      </c>
      <c r="D157">
        <f t="shared" si="5"/>
        <v>12.7</v>
      </c>
    </row>
    <row r="158" spans="1:4" x14ac:dyDescent="0.15">
      <c r="A158" t="s">
        <v>1405</v>
      </c>
      <c r="B158">
        <v>31.9</v>
      </c>
      <c r="C158" t="str">
        <f t="shared" si="4"/>
        <v>クロピドグレル錠７５ｍｇ「ＪＧ」</v>
      </c>
      <c r="D158">
        <f t="shared" si="5"/>
        <v>31.9</v>
      </c>
    </row>
    <row r="159" spans="1:4" x14ac:dyDescent="0.15">
      <c r="A159" t="s">
        <v>1406</v>
      </c>
      <c r="B159">
        <v>16.100000000000001</v>
      </c>
      <c r="C159" t="str">
        <f t="shared" si="4"/>
        <v>クロフェクトン錠２５ｍｇ</v>
      </c>
      <c r="D159">
        <f t="shared" si="5"/>
        <v>16.100000000000001</v>
      </c>
    </row>
    <row r="160" spans="1:4" x14ac:dyDescent="0.15">
      <c r="A160" t="s">
        <v>1407</v>
      </c>
      <c r="B160">
        <v>11.7</v>
      </c>
      <c r="C160" t="str">
        <f t="shared" si="4"/>
        <v>クロベタゾールプロピオン酸エステル軟膏０．０５％「イワキ」</v>
      </c>
      <c r="D160">
        <f t="shared" si="5"/>
        <v>11.7</v>
      </c>
    </row>
    <row r="161" spans="1:4" x14ac:dyDescent="0.15">
      <c r="A161" t="s">
        <v>1408</v>
      </c>
      <c r="B161">
        <v>71.7</v>
      </c>
      <c r="C161" t="str">
        <f t="shared" si="4"/>
        <v>クロマイ腟錠１００ｍｇ</v>
      </c>
      <c r="D161">
        <f t="shared" si="5"/>
        <v>71.7</v>
      </c>
    </row>
    <row r="162" spans="1:4" x14ac:dyDescent="0.15">
      <c r="A162" t="s">
        <v>1409</v>
      </c>
      <c r="B162">
        <v>187.8</v>
      </c>
      <c r="C162" t="str">
        <f t="shared" si="4"/>
        <v>クロモグリク酸Ｎａ点眼液２％「ニットー」</v>
      </c>
      <c r="D162">
        <f t="shared" si="5"/>
        <v>187.8</v>
      </c>
    </row>
    <row r="163" spans="1:4" x14ac:dyDescent="0.15">
      <c r="A163" t="s">
        <v>445</v>
      </c>
      <c r="B163">
        <v>61</v>
      </c>
      <c r="C163" t="str">
        <f t="shared" si="4"/>
        <v>ケイツーＮ静注１０ｍｇ</v>
      </c>
      <c r="D163">
        <f t="shared" si="5"/>
        <v>61</v>
      </c>
    </row>
    <row r="164" spans="1:4" x14ac:dyDescent="0.15">
      <c r="A164" t="s">
        <v>1411</v>
      </c>
      <c r="B164">
        <v>231</v>
      </c>
      <c r="C164" t="str">
        <f t="shared" si="4"/>
        <v>ケトチフェン点鼻液０．０５％「サワイ」</v>
      </c>
      <c r="D164">
        <f t="shared" si="5"/>
        <v>231</v>
      </c>
    </row>
    <row r="165" spans="1:4" x14ac:dyDescent="0.15">
      <c r="A165" t="s">
        <v>1412</v>
      </c>
      <c r="B165">
        <v>12.3</v>
      </c>
      <c r="C165" t="str">
        <f t="shared" si="4"/>
        <v>ケトプロフェンパップ３０ｍｇ「三和」</v>
      </c>
      <c r="D165">
        <f t="shared" si="5"/>
        <v>12.3</v>
      </c>
    </row>
    <row r="166" spans="1:4" x14ac:dyDescent="0.15">
      <c r="A166" t="s">
        <v>1413</v>
      </c>
      <c r="B166">
        <v>54.7</v>
      </c>
      <c r="C166" t="str">
        <f t="shared" si="4"/>
        <v>ケフラールカプセル２５０ｍｇ</v>
      </c>
      <c r="D166">
        <f t="shared" si="5"/>
        <v>54.7</v>
      </c>
    </row>
    <row r="167" spans="1:4" x14ac:dyDescent="0.15">
      <c r="A167" t="s">
        <v>1415</v>
      </c>
      <c r="B167">
        <v>12.8</v>
      </c>
      <c r="C167" t="str">
        <f t="shared" si="4"/>
        <v>ゲーベンクリーム１％</v>
      </c>
      <c r="D167">
        <f t="shared" si="5"/>
        <v>12.8</v>
      </c>
    </row>
    <row r="168" spans="1:4" x14ac:dyDescent="0.15">
      <c r="A168" t="s">
        <v>459</v>
      </c>
      <c r="B168">
        <v>45.9</v>
      </c>
      <c r="C168" t="str">
        <f t="shared" si="4"/>
        <v>ケルロング錠１０ｍｇ</v>
      </c>
      <c r="D168">
        <f t="shared" si="5"/>
        <v>45.9</v>
      </c>
    </row>
    <row r="169" spans="1:4" x14ac:dyDescent="0.15">
      <c r="A169" t="s">
        <v>1416</v>
      </c>
      <c r="B169">
        <v>8.6999999999999993</v>
      </c>
      <c r="C169" t="str">
        <f t="shared" si="4"/>
        <v>ゲンタマイシン硫酸塩軟膏０．１％「イワキ」</v>
      </c>
      <c r="D169">
        <f t="shared" si="5"/>
        <v>8.6999999999999993</v>
      </c>
    </row>
    <row r="170" spans="1:4" x14ac:dyDescent="0.15">
      <c r="A170" t="s">
        <v>1417</v>
      </c>
      <c r="B170">
        <v>10.1</v>
      </c>
      <c r="C170" t="str">
        <f t="shared" si="4"/>
        <v>アイトロール錠１０ｍｇ</v>
      </c>
      <c r="D170">
        <f t="shared" si="5"/>
        <v>10.1</v>
      </c>
    </row>
    <row r="171" spans="1:4" x14ac:dyDescent="0.15">
      <c r="A171" t="s">
        <v>1418</v>
      </c>
      <c r="B171">
        <v>0</v>
      </c>
      <c r="C171" t="str">
        <f t="shared" si="4"/>
        <v>塩化リゾチーム１０ｍｇ錠</v>
      </c>
      <c r="D171">
        <f t="shared" si="5"/>
        <v>0</v>
      </c>
    </row>
    <row r="172" spans="1:4" x14ac:dyDescent="0.15">
      <c r="A172" t="s">
        <v>467</v>
      </c>
      <c r="B172">
        <v>326</v>
      </c>
      <c r="C172" t="str">
        <f t="shared" si="4"/>
        <v>コソプト配合点眼液</v>
      </c>
      <c r="D172">
        <f t="shared" si="5"/>
        <v>326</v>
      </c>
    </row>
    <row r="173" spans="1:4" x14ac:dyDescent="0.15">
      <c r="A173" t="s">
        <v>464</v>
      </c>
      <c r="B173">
        <v>7.5</v>
      </c>
      <c r="C173" t="str">
        <f t="shared" si="4"/>
        <v>コールタイジン点鼻液</v>
      </c>
      <c r="D173">
        <f t="shared" si="5"/>
        <v>7.5</v>
      </c>
    </row>
    <row r="174" spans="1:4" x14ac:dyDescent="0.15">
      <c r="A174" t="s">
        <v>1420</v>
      </c>
      <c r="B174">
        <v>235.8</v>
      </c>
      <c r="C174" t="str">
        <f t="shared" si="4"/>
        <v>コンサータ錠１８ｍｇ</v>
      </c>
      <c r="D174">
        <f t="shared" si="5"/>
        <v>235.8</v>
      </c>
    </row>
    <row r="175" spans="1:4" x14ac:dyDescent="0.15">
      <c r="A175" t="s">
        <v>474</v>
      </c>
      <c r="B175">
        <v>9.6999999999999993</v>
      </c>
      <c r="C175" t="str">
        <f t="shared" si="4"/>
        <v>コントミン糖衣錠２５ｍｇ</v>
      </c>
      <c r="D175">
        <f t="shared" si="5"/>
        <v>9.6999999999999993</v>
      </c>
    </row>
    <row r="176" spans="1:4" x14ac:dyDescent="0.15">
      <c r="A176" t="s">
        <v>475</v>
      </c>
      <c r="B176">
        <v>9.6999999999999993</v>
      </c>
      <c r="C176" t="str">
        <f t="shared" si="4"/>
        <v>コントミン糖衣錠５０ｍｇ</v>
      </c>
      <c r="D176">
        <f t="shared" si="5"/>
        <v>9.6999999999999993</v>
      </c>
    </row>
    <row r="177" spans="1:4" x14ac:dyDescent="0.15">
      <c r="A177" t="s">
        <v>473</v>
      </c>
      <c r="B177">
        <v>9.6999999999999993</v>
      </c>
      <c r="C177" t="str">
        <f t="shared" si="4"/>
        <v>コントミン糖衣錠１００ｍｇ</v>
      </c>
      <c r="D177">
        <f t="shared" si="5"/>
        <v>9.6999999999999993</v>
      </c>
    </row>
    <row r="178" spans="1:4" x14ac:dyDescent="0.15">
      <c r="A178" t="s">
        <v>1421</v>
      </c>
      <c r="B178">
        <v>4.2</v>
      </c>
      <c r="C178" t="str">
        <f t="shared" si="4"/>
        <v>５％サリチル酸ワセリン軟膏東豊</v>
      </c>
      <c r="D178">
        <f t="shared" si="5"/>
        <v>4.2</v>
      </c>
    </row>
    <row r="179" spans="1:4" x14ac:dyDescent="0.15">
      <c r="A179" t="s">
        <v>479</v>
      </c>
      <c r="B179">
        <v>15.3</v>
      </c>
      <c r="C179" t="str">
        <f t="shared" si="4"/>
        <v>サワシリン錠２５０</v>
      </c>
      <c r="D179">
        <f t="shared" si="5"/>
        <v>15.3</v>
      </c>
    </row>
    <row r="180" spans="1:4" x14ac:dyDescent="0.15">
      <c r="A180" t="s">
        <v>1422</v>
      </c>
      <c r="B180">
        <v>0.93</v>
      </c>
      <c r="C180" t="str">
        <f t="shared" si="4"/>
        <v>酸化マグネシウム</v>
      </c>
      <c r="D180">
        <f t="shared" si="5"/>
        <v>0.93</v>
      </c>
    </row>
    <row r="181" spans="1:4" x14ac:dyDescent="0.15">
      <c r="A181" t="s">
        <v>1423</v>
      </c>
      <c r="B181">
        <v>21.2</v>
      </c>
      <c r="C181" t="str">
        <f t="shared" si="4"/>
        <v>サンリズムカプセル２５ｍｇ</v>
      </c>
      <c r="D181">
        <f t="shared" si="5"/>
        <v>21.2</v>
      </c>
    </row>
    <row r="182" spans="1:4" x14ac:dyDescent="0.15">
      <c r="A182" t="s">
        <v>483</v>
      </c>
      <c r="B182">
        <v>5.9</v>
      </c>
      <c r="C182" t="str">
        <f t="shared" si="4"/>
        <v>ジアゼパム錠２ｍｇ「アメル」</v>
      </c>
      <c r="D182">
        <f t="shared" si="5"/>
        <v>5.9</v>
      </c>
    </row>
    <row r="183" spans="1:4" x14ac:dyDescent="0.15">
      <c r="A183" t="s">
        <v>484</v>
      </c>
      <c r="B183">
        <v>6</v>
      </c>
      <c r="C183" t="str">
        <f t="shared" si="4"/>
        <v>ジアゼパム錠５ｍｇ「アメル」</v>
      </c>
      <c r="D183">
        <f t="shared" si="5"/>
        <v>6</v>
      </c>
    </row>
    <row r="184" spans="1:4" x14ac:dyDescent="0.15">
      <c r="A184" t="s">
        <v>1424</v>
      </c>
      <c r="B184">
        <v>120</v>
      </c>
      <c r="C184" t="str">
        <f t="shared" si="4"/>
        <v>ジアゼパム注射液５ｍｇ「ＮＩＧ」</v>
      </c>
      <c r="D184">
        <f t="shared" si="5"/>
        <v>120</v>
      </c>
    </row>
    <row r="185" spans="1:4" x14ac:dyDescent="0.15">
      <c r="A185" t="s">
        <v>1425</v>
      </c>
      <c r="B185">
        <v>5.0999999999999996</v>
      </c>
      <c r="C185" t="str">
        <f t="shared" si="4"/>
        <v>シアナマイド内用液１％「タナベ」</v>
      </c>
      <c r="D185">
        <f t="shared" si="5"/>
        <v>5.0999999999999996</v>
      </c>
    </row>
    <row r="186" spans="1:4" x14ac:dyDescent="0.15">
      <c r="A186" t="s">
        <v>1426</v>
      </c>
      <c r="B186">
        <v>89.2</v>
      </c>
      <c r="C186" t="str">
        <f t="shared" si="4"/>
        <v>シアノコバラミン点眼液０．０２％「日点」</v>
      </c>
      <c r="D186">
        <f t="shared" si="5"/>
        <v>89.2</v>
      </c>
    </row>
    <row r="187" spans="1:4" x14ac:dyDescent="0.15">
      <c r="A187" t="s">
        <v>1427</v>
      </c>
      <c r="B187">
        <v>139.4</v>
      </c>
      <c r="C187" t="str">
        <f t="shared" si="4"/>
        <v>ジェニナック錠２００ｍｇ</v>
      </c>
      <c r="D187">
        <f t="shared" si="5"/>
        <v>139.4</v>
      </c>
    </row>
    <row r="188" spans="1:4" x14ac:dyDescent="0.15">
      <c r="A188" t="s">
        <v>1428</v>
      </c>
      <c r="B188">
        <v>139</v>
      </c>
      <c r="C188" t="str">
        <f t="shared" si="4"/>
        <v>ジギラノゲン注０．４ｍｇ</v>
      </c>
      <c r="D188">
        <f t="shared" si="5"/>
        <v>139</v>
      </c>
    </row>
    <row r="189" spans="1:4" x14ac:dyDescent="0.15">
      <c r="A189" t="s">
        <v>1429</v>
      </c>
      <c r="B189">
        <v>529.70000000000005</v>
      </c>
      <c r="C189" t="str">
        <f t="shared" si="4"/>
        <v>ジクアス点眼液３％</v>
      </c>
      <c r="D189">
        <f t="shared" si="5"/>
        <v>529.70000000000005</v>
      </c>
    </row>
    <row r="190" spans="1:4" x14ac:dyDescent="0.15">
      <c r="A190" t="s">
        <v>1430</v>
      </c>
      <c r="B190">
        <v>199.6</v>
      </c>
      <c r="C190" t="str">
        <f t="shared" si="4"/>
        <v>シクレスト舌下錠５ｍｇ</v>
      </c>
      <c r="D190">
        <f t="shared" si="5"/>
        <v>199.6</v>
      </c>
    </row>
    <row r="191" spans="1:4" x14ac:dyDescent="0.15">
      <c r="A191" t="s">
        <v>1431</v>
      </c>
      <c r="B191">
        <v>307</v>
      </c>
      <c r="C191" t="str">
        <f t="shared" si="4"/>
        <v>シクレスト舌下錠１０ｍｇ</v>
      </c>
      <c r="D191">
        <f t="shared" si="5"/>
        <v>307</v>
      </c>
    </row>
    <row r="192" spans="1:4" x14ac:dyDescent="0.15">
      <c r="A192" t="s">
        <v>1432</v>
      </c>
      <c r="B192">
        <v>20.9</v>
      </c>
      <c r="C192" t="str">
        <f t="shared" si="4"/>
        <v>ジクロフェナクナトリウム坐剤２５ｍｇ「ＪＧ」</v>
      </c>
      <c r="D192">
        <f t="shared" si="5"/>
        <v>20.9</v>
      </c>
    </row>
    <row r="193" spans="1:4" x14ac:dyDescent="0.15">
      <c r="A193" t="s">
        <v>1433</v>
      </c>
      <c r="B193">
        <v>76</v>
      </c>
      <c r="C193" t="str">
        <f t="shared" si="4"/>
        <v>シクロスポリンカプセル５０ｍｇ「トーワ」</v>
      </c>
      <c r="D193">
        <f t="shared" si="5"/>
        <v>76</v>
      </c>
    </row>
    <row r="194" spans="1:4" x14ac:dyDescent="0.15">
      <c r="A194" t="s">
        <v>1434</v>
      </c>
      <c r="B194">
        <v>10.4</v>
      </c>
      <c r="C194" t="str">
        <f t="shared" ref="C194:C257" si="6">DBCS(A194)</f>
        <v>ジスチグミン臭化物錠５ｍｇ「ＮＩＧ」</v>
      </c>
      <c r="D194">
        <f t="shared" ref="D194:D257" si="7">B194</f>
        <v>10.4</v>
      </c>
    </row>
    <row r="195" spans="1:4" x14ac:dyDescent="0.15">
      <c r="A195" t="s">
        <v>492</v>
      </c>
      <c r="B195">
        <v>6.5</v>
      </c>
      <c r="C195" t="str">
        <f t="shared" si="6"/>
        <v>シーピー配合顆粒</v>
      </c>
      <c r="D195">
        <f t="shared" si="7"/>
        <v>6.5</v>
      </c>
    </row>
    <row r="196" spans="1:4" x14ac:dyDescent="0.15">
      <c r="A196" t="s">
        <v>1436</v>
      </c>
      <c r="B196">
        <v>5.9</v>
      </c>
      <c r="C196" t="str">
        <f t="shared" si="6"/>
        <v>ジフェニドール塩酸塩錠２５ｍｇ「ＮＩＧ」</v>
      </c>
      <c r="D196">
        <f t="shared" si="7"/>
        <v>5.9</v>
      </c>
    </row>
    <row r="197" spans="1:4" x14ac:dyDescent="0.15">
      <c r="A197" t="s">
        <v>1437</v>
      </c>
      <c r="B197">
        <v>44.4</v>
      </c>
      <c r="C197" t="str">
        <f t="shared" si="6"/>
        <v>ジプレキサザイディス錠２．５ｍｇ</v>
      </c>
      <c r="D197">
        <f t="shared" si="7"/>
        <v>44.4</v>
      </c>
    </row>
    <row r="198" spans="1:4" x14ac:dyDescent="0.15">
      <c r="A198" t="s">
        <v>1438</v>
      </c>
      <c r="B198">
        <v>89.1</v>
      </c>
      <c r="C198" t="str">
        <f t="shared" si="6"/>
        <v>ジプレキサザイディス錠５ｍｇ</v>
      </c>
      <c r="D198">
        <f t="shared" si="7"/>
        <v>89.1</v>
      </c>
    </row>
    <row r="199" spans="1:4" x14ac:dyDescent="0.15">
      <c r="A199" t="s">
        <v>1439</v>
      </c>
      <c r="B199">
        <v>178.5</v>
      </c>
      <c r="C199" t="str">
        <f t="shared" si="6"/>
        <v>ジプレキサザイディス錠１０ｍｇ</v>
      </c>
      <c r="D199">
        <f t="shared" si="7"/>
        <v>178.5</v>
      </c>
    </row>
    <row r="200" spans="1:4" x14ac:dyDescent="0.15">
      <c r="A200" t="s">
        <v>1440</v>
      </c>
      <c r="B200">
        <v>1572</v>
      </c>
      <c r="C200" t="str">
        <f t="shared" si="6"/>
        <v>ジプレキサ筋注用１０ｍｇ</v>
      </c>
      <c r="D200">
        <f t="shared" si="7"/>
        <v>1572</v>
      </c>
    </row>
    <row r="201" spans="1:4" x14ac:dyDescent="0.15">
      <c r="A201" t="s">
        <v>1441</v>
      </c>
      <c r="B201">
        <v>15.9</v>
      </c>
      <c r="C201" t="str">
        <f t="shared" si="6"/>
        <v>シベンゾリンコハク酸塩錠１００ｍｇ「サワイ」</v>
      </c>
      <c r="D201">
        <f t="shared" si="7"/>
        <v>15.9</v>
      </c>
    </row>
    <row r="202" spans="1:4" x14ac:dyDescent="0.15">
      <c r="A202" t="s">
        <v>1442</v>
      </c>
      <c r="B202">
        <v>5.9</v>
      </c>
      <c r="C202" t="str">
        <f t="shared" si="6"/>
        <v>ジメチコン錠４０ｍｇ「ＹＤ」</v>
      </c>
      <c r="D202">
        <f t="shared" si="7"/>
        <v>5.9</v>
      </c>
    </row>
    <row r="203" spans="1:4" x14ac:dyDescent="0.15">
      <c r="A203" t="s">
        <v>1443</v>
      </c>
      <c r="B203">
        <v>6.1</v>
      </c>
      <c r="C203" t="str">
        <f t="shared" si="6"/>
        <v>硝酸イソソルビド徐放カプセル２０ｍｇ「Ｓｔ」</v>
      </c>
      <c r="D203">
        <f t="shared" si="7"/>
        <v>6.1</v>
      </c>
    </row>
    <row r="204" spans="1:4" x14ac:dyDescent="0.15">
      <c r="A204" t="s">
        <v>1444</v>
      </c>
      <c r="B204">
        <v>18132</v>
      </c>
      <c r="C204" t="str">
        <f t="shared" si="6"/>
        <v>照射赤血球液－ＬＲ「日赤」</v>
      </c>
      <c r="D204">
        <f t="shared" si="7"/>
        <v>18132</v>
      </c>
    </row>
    <row r="205" spans="1:4" x14ac:dyDescent="0.15">
      <c r="A205" t="s">
        <v>1445</v>
      </c>
      <c r="B205">
        <v>24.4</v>
      </c>
      <c r="C205" t="str">
        <f t="shared" si="6"/>
        <v>シロスタゾールＯＤ錠１００ｍｇ「タカタ」</v>
      </c>
      <c r="D205">
        <f t="shared" si="7"/>
        <v>24.4</v>
      </c>
    </row>
    <row r="206" spans="1:4" x14ac:dyDescent="0.15">
      <c r="A206" t="s">
        <v>1446</v>
      </c>
      <c r="B206">
        <v>13.2</v>
      </c>
      <c r="C206" t="str">
        <f t="shared" si="6"/>
        <v>シロドシンＯＤ錠４ｍｇ「ＫＭＰ」</v>
      </c>
      <c r="D206">
        <f t="shared" si="7"/>
        <v>13.2</v>
      </c>
    </row>
    <row r="207" spans="1:4" x14ac:dyDescent="0.15">
      <c r="A207" t="s">
        <v>526</v>
      </c>
      <c r="B207">
        <v>60.9</v>
      </c>
      <c r="C207" t="str">
        <f t="shared" si="6"/>
        <v>シングレア錠１０ｍｇ</v>
      </c>
      <c r="D207">
        <f t="shared" si="7"/>
        <v>60.9</v>
      </c>
    </row>
    <row r="208" spans="1:4" x14ac:dyDescent="0.15">
      <c r="A208" t="s">
        <v>1447</v>
      </c>
      <c r="B208">
        <v>73.7</v>
      </c>
      <c r="C208" t="str">
        <f t="shared" si="6"/>
        <v>新レシカルボン坐剤</v>
      </c>
      <c r="D208">
        <f t="shared" si="7"/>
        <v>73.7</v>
      </c>
    </row>
    <row r="209" spans="1:4" x14ac:dyDescent="0.15">
      <c r="A209" t="s">
        <v>1448</v>
      </c>
      <c r="B209">
        <v>495</v>
      </c>
      <c r="C209" t="str">
        <f t="shared" si="6"/>
        <v>水溶性ハイドロコートン注射液１００ｍｇ</v>
      </c>
      <c r="D209">
        <f t="shared" si="7"/>
        <v>495</v>
      </c>
    </row>
    <row r="210" spans="1:4" x14ac:dyDescent="0.15">
      <c r="A210" t="s">
        <v>528</v>
      </c>
      <c r="B210">
        <v>9.6999999999999993</v>
      </c>
      <c r="C210" t="str">
        <f t="shared" si="6"/>
        <v>スクロードパスタ</v>
      </c>
      <c r="D210">
        <f t="shared" si="7"/>
        <v>9.6999999999999993</v>
      </c>
    </row>
    <row r="211" spans="1:4" x14ac:dyDescent="0.15">
      <c r="A211" t="s">
        <v>1449</v>
      </c>
      <c r="B211">
        <v>11.1</v>
      </c>
      <c r="C211" t="str">
        <f t="shared" si="6"/>
        <v>スタデルムクリーム５％</v>
      </c>
      <c r="D211">
        <f t="shared" si="7"/>
        <v>11.1</v>
      </c>
    </row>
    <row r="212" spans="1:4" x14ac:dyDescent="0.15">
      <c r="A212" t="s">
        <v>1450</v>
      </c>
      <c r="B212">
        <v>574.79999999999995</v>
      </c>
      <c r="C212" t="str">
        <f t="shared" si="6"/>
        <v>ストロメクトール錠３ｍｇ</v>
      </c>
      <c r="D212">
        <f t="shared" si="7"/>
        <v>574.79999999999995</v>
      </c>
    </row>
    <row r="213" spans="1:4" x14ac:dyDescent="0.15">
      <c r="A213" t="s">
        <v>1452</v>
      </c>
      <c r="B213">
        <v>70.599999999999994</v>
      </c>
      <c r="C213" t="str">
        <f t="shared" si="6"/>
        <v>スピール膏Ｍ</v>
      </c>
      <c r="D213">
        <f t="shared" si="7"/>
        <v>70.599999999999994</v>
      </c>
    </row>
    <row r="214" spans="1:4" x14ac:dyDescent="0.15">
      <c r="A214" t="s">
        <v>1453</v>
      </c>
      <c r="B214">
        <v>7.3</v>
      </c>
      <c r="C214" t="str">
        <f t="shared" si="6"/>
        <v>スピロペント錠１０μｇ</v>
      </c>
      <c r="D214">
        <f t="shared" si="7"/>
        <v>7.3</v>
      </c>
    </row>
    <row r="215" spans="1:4" x14ac:dyDescent="0.15">
      <c r="A215" t="s">
        <v>1454</v>
      </c>
      <c r="B215">
        <v>72.5</v>
      </c>
      <c r="C215" t="str">
        <f t="shared" si="6"/>
        <v>スミスリンローション５％</v>
      </c>
      <c r="D215">
        <f t="shared" si="7"/>
        <v>72.5</v>
      </c>
    </row>
    <row r="216" spans="1:4" x14ac:dyDescent="0.15">
      <c r="A216" t="s">
        <v>1455</v>
      </c>
      <c r="B216">
        <v>597</v>
      </c>
      <c r="C216" t="str">
        <f t="shared" si="6"/>
        <v>スルバシリン静注用１．５ｇ</v>
      </c>
      <c r="D216">
        <f t="shared" si="7"/>
        <v>597</v>
      </c>
    </row>
    <row r="217" spans="1:4" x14ac:dyDescent="0.15">
      <c r="A217" t="s">
        <v>1456</v>
      </c>
      <c r="B217">
        <v>6.6</v>
      </c>
      <c r="C217" t="str">
        <f t="shared" si="6"/>
        <v>スルピリド錠１００ｍｇ「アメル」</v>
      </c>
      <c r="D217">
        <f t="shared" si="7"/>
        <v>6.6</v>
      </c>
    </row>
    <row r="218" spans="1:4" x14ac:dyDescent="0.15">
      <c r="A218" t="s">
        <v>1457</v>
      </c>
      <c r="B218">
        <v>8.3000000000000007</v>
      </c>
      <c r="C218" t="str">
        <f t="shared" si="6"/>
        <v>スルピリド錠２００ｍｇ「アメル」</v>
      </c>
      <c r="D218">
        <f t="shared" si="7"/>
        <v>8.3000000000000007</v>
      </c>
    </row>
    <row r="219" spans="1:4" x14ac:dyDescent="0.15">
      <c r="A219" t="s">
        <v>1458</v>
      </c>
      <c r="B219">
        <v>6.6</v>
      </c>
      <c r="C219" t="str">
        <f t="shared" si="6"/>
        <v>スルピリド錠５０ｍｇ「アメル」</v>
      </c>
      <c r="D219">
        <f t="shared" si="7"/>
        <v>6.6</v>
      </c>
    </row>
    <row r="220" spans="1:4" x14ac:dyDescent="0.15">
      <c r="A220" t="s">
        <v>1459</v>
      </c>
      <c r="B220">
        <v>236</v>
      </c>
      <c r="C220" t="str">
        <f t="shared" si="6"/>
        <v>大塚生食注</v>
      </c>
      <c r="D220">
        <f t="shared" si="7"/>
        <v>236</v>
      </c>
    </row>
    <row r="221" spans="1:4" x14ac:dyDescent="0.15">
      <c r="A221" t="s">
        <v>1459</v>
      </c>
      <c r="B221">
        <v>236</v>
      </c>
      <c r="C221" t="str">
        <f t="shared" si="6"/>
        <v>大塚生食注</v>
      </c>
      <c r="D221">
        <f t="shared" si="7"/>
        <v>236</v>
      </c>
    </row>
    <row r="222" spans="1:4" x14ac:dyDescent="0.15">
      <c r="A222" t="s">
        <v>1460</v>
      </c>
      <c r="B222">
        <v>212</v>
      </c>
      <c r="C222" t="str">
        <f t="shared" si="6"/>
        <v>生食溶解液キットＨ</v>
      </c>
      <c r="D222">
        <f t="shared" si="7"/>
        <v>212</v>
      </c>
    </row>
    <row r="223" spans="1:4" x14ac:dyDescent="0.15">
      <c r="A223" t="s">
        <v>1461</v>
      </c>
      <c r="B223">
        <v>100</v>
      </c>
      <c r="C223" t="str">
        <f t="shared" si="6"/>
        <v>生食注シリンジ「ＮＰ」</v>
      </c>
      <c r="D223">
        <f t="shared" si="7"/>
        <v>100</v>
      </c>
    </row>
    <row r="224" spans="1:4" x14ac:dyDescent="0.15">
      <c r="A224" t="s">
        <v>1462</v>
      </c>
      <c r="B224">
        <v>147</v>
      </c>
      <c r="C224" t="str">
        <f t="shared" si="6"/>
        <v>生理食塩液「ＶＴＲＳ」</v>
      </c>
      <c r="D224">
        <f t="shared" si="7"/>
        <v>147</v>
      </c>
    </row>
    <row r="225" spans="1:4" x14ac:dyDescent="0.15">
      <c r="A225" t="s">
        <v>1462</v>
      </c>
      <c r="B225">
        <v>100</v>
      </c>
      <c r="C225" t="str">
        <f t="shared" si="6"/>
        <v>生理食塩液「ＶＴＲＳ」</v>
      </c>
      <c r="D225">
        <f t="shared" si="7"/>
        <v>100</v>
      </c>
    </row>
    <row r="226" spans="1:4" x14ac:dyDescent="0.15">
      <c r="A226" t="s">
        <v>1463</v>
      </c>
      <c r="B226">
        <v>15.5</v>
      </c>
      <c r="C226" t="str">
        <f t="shared" si="6"/>
        <v>セディール錠１０ｍｇ</v>
      </c>
      <c r="D226">
        <f t="shared" si="7"/>
        <v>15.5</v>
      </c>
    </row>
    <row r="227" spans="1:4" x14ac:dyDescent="0.15">
      <c r="A227" t="s">
        <v>557</v>
      </c>
      <c r="B227">
        <v>5.9</v>
      </c>
      <c r="C227" t="str">
        <f t="shared" si="6"/>
        <v>セパゾン錠１</v>
      </c>
      <c r="D227">
        <f t="shared" si="7"/>
        <v>5.9</v>
      </c>
    </row>
    <row r="228" spans="1:4" x14ac:dyDescent="0.15">
      <c r="A228" t="s">
        <v>558</v>
      </c>
      <c r="B228">
        <v>6</v>
      </c>
      <c r="C228" t="str">
        <f t="shared" si="6"/>
        <v>セパゾン錠２</v>
      </c>
      <c r="D228">
        <f t="shared" si="7"/>
        <v>6</v>
      </c>
    </row>
    <row r="229" spans="1:4" x14ac:dyDescent="0.15">
      <c r="A229" t="s">
        <v>1464</v>
      </c>
      <c r="B229">
        <v>13.4</v>
      </c>
      <c r="C229" t="str">
        <f t="shared" si="6"/>
        <v>セパミット細粒１％</v>
      </c>
      <c r="D229">
        <f t="shared" si="7"/>
        <v>13.4</v>
      </c>
    </row>
    <row r="230" spans="1:4" x14ac:dyDescent="0.15">
      <c r="A230" t="s">
        <v>1465</v>
      </c>
      <c r="B230">
        <v>522</v>
      </c>
      <c r="C230" t="str">
        <f t="shared" si="6"/>
        <v>セフェピム塩酸塩静注用１ｇ「サンド」</v>
      </c>
      <c r="D230">
        <f t="shared" si="7"/>
        <v>522</v>
      </c>
    </row>
    <row r="231" spans="1:4" x14ac:dyDescent="0.15">
      <c r="A231" t="s">
        <v>1466</v>
      </c>
      <c r="B231">
        <v>686</v>
      </c>
      <c r="C231" t="str">
        <f t="shared" si="6"/>
        <v>セフタジジム静注用１ｇ「ＶＴＲＳ」</v>
      </c>
      <c r="D231">
        <f t="shared" si="7"/>
        <v>686</v>
      </c>
    </row>
    <row r="232" spans="1:4" x14ac:dyDescent="0.15">
      <c r="A232" t="s">
        <v>1467</v>
      </c>
      <c r="B232">
        <v>422</v>
      </c>
      <c r="C232" t="str">
        <f t="shared" si="6"/>
        <v>セフトリアキソンナトリウム静注用１ｇ「日医工」</v>
      </c>
      <c r="D232">
        <f t="shared" si="7"/>
        <v>422</v>
      </c>
    </row>
    <row r="233" spans="1:4" x14ac:dyDescent="0.15">
      <c r="A233" t="s">
        <v>1468</v>
      </c>
      <c r="B233">
        <v>17160</v>
      </c>
      <c r="C233" t="str">
        <f t="shared" si="6"/>
        <v>ゼプリオン水懸筋注２５ｍｇシリンジ</v>
      </c>
      <c r="D233">
        <f t="shared" si="7"/>
        <v>17160</v>
      </c>
    </row>
    <row r="234" spans="1:4" x14ac:dyDescent="0.15">
      <c r="A234" t="s">
        <v>1469</v>
      </c>
      <c r="B234">
        <v>27994</v>
      </c>
      <c r="C234" t="str">
        <f t="shared" si="6"/>
        <v>ゼプリオン水懸筋注５０ｍｇシリンジ</v>
      </c>
      <c r="D234">
        <f t="shared" si="7"/>
        <v>27994</v>
      </c>
    </row>
    <row r="235" spans="1:4" x14ac:dyDescent="0.15">
      <c r="A235" t="s">
        <v>1470</v>
      </c>
      <c r="B235">
        <v>36826</v>
      </c>
      <c r="C235" t="str">
        <f t="shared" si="6"/>
        <v>ゼプリオン水懸筋注７５ｍｇシリンジ</v>
      </c>
      <c r="D235">
        <f t="shared" si="7"/>
        <v>36826</v>
      </c>
    </row>
    <row r="236" spans="1:4" x14ac:dyDescent="0.15">
      <c r="A236" t="s">
        <v>1471</v>
      </c>
      <c r="B236">
        <v>44680</v>
      </c>
      <c r="C236" t="str">
        <f t="shared" si="6"/>
        <v>ゼプリオン水懸筋注１００ｍｇシリンジ</v>
      </c>
      <c r="D236">
        <f t="shared" si="7"/>
        <v>44680</v>
      </c>
    </row>
    <row r="237" spans="1:4" x14ac:dyDescent="0.15">
      <c r="A237" t="s">
        <v>1472</v>
      </c>
      <c r="B237">
        <v>57335</v>
      </c>
      <c r="C237" t="str">
        <f t="shared" si="6"/>
        <v>ゼプリオン水懸筋注１５０ｍｇシリンジ</v>
      </c>
      <c r="D237">
        <f t="shared" si="7"/>
        <v>57335</v>
      </c>
    </row>
    <row r="238" spans="1:4" x14ac:dyDescent="0.15">
      <c r="A238" t="s">
        <v>1473</v>
      </c>
      <c r="B238">
        <v>40.200000000000003</v>
      </c>
      <c r="C238" t="str">
        <f t="shared" si="6"/>
        <v>セララ錠５０ｍｇ</v>
      </c>
      <c r="D238">
        <f t="shared" si="7"/>
        <v>40.200000000000003</v>
      </c>
    </row>
    <row r="239" spans="1:4" x14ac:dyDescent="0.15">
      <c r="A239" t="s">
        <v>1474</v>
      </c>
      <c r="B239">
        <v>14.4</v>
      </c>
      <c r="C239" t="str">
        <f t="shared" si="6"/>
        <v>セルトラリン錠２５ｍｇ「明治」</v>
      </c>
      <c r="D239">
        <f t="shared" si="7"/>
        <v>14.4</v>
      </c>
    </row>
    <row r="240" spans="1:4" x14ac:dyDescent="0.15">
      <c r="A240" t="s">
        <v>1475</v>
      </c>
      <c r="B240">
        <v>6.1</v>
      </c>
      <c r="C240" t="str">
        <f t="shared" si="6"/>
        <v>セレコキシブ錠１００ｍｇ「ＤＳＥＰ」</v>
      </c>
      <c r="D240">
        <f t="shared" si="7"/>
        <v>6.1</v>
      </c>
    </row>
    <row r="241" spans="1:4" x14ac:dyDescent="0.15">
      <c r="A241" t="s">
        <v>575</v>
      </c>
      <c r="B241">
        <v>8</v>
      </c>
      <c r="C241" t="str">
        <f t="shared" si="6"/>
        <v>セレスタミン配合錠</v>
      </c>
      <c r="D241">
        <f t="shared" si="7"/>
        <v>8</v>
      </c>
    </row>
    <row r="242" spans="1:4" x14ac:dyDescent="0.15">
      <c r="A242" t="s">
        <v>1476</v>
      </c>
      <c r="B242">
        <v>36.700000000000003</v>
      </c>
      <c r="C242" t="str">
        <f t="shared" si="6"/>
        <v>セレニカＲ顆粒４０％</v>
      </c>
      <c r="D242">
        <f t="shared" si="7"/>
        <v>36.700000000000003</v>
      </c>
    </row>
    <row r="243" spans="1:4" x14ac:dyDescent="0.15">
      <c r="A243" t="s">
        <v>578</v>
      </c>
      <c r="B243">
        <v>100</v>
      </c>
      <c r="C243" t="str">
        <f t="shared" si="6"/>
        <v>セレネース注５ｍｇ</v>
      </c>
      <c r="D243">
        <f t="shared" si="7"/>
        <v>100</v>
      </c>
    </row>
    <row r="244" spans="1:4" x14ac:dyDescent="0.15">
      <c r="A244" t="s">
        <v>580</v>
      </c>
      <c r="B244">
        <v>15.1</v>
      </c>
      <c r="C244" t="str">
        <f t="shared" si="6"/>
        <v>セレネース内服液０．２％</v>
      </c>
      <c r="D244">
        <f t="shared" si="7"/>
        <v>15.1</v>
      </c>
    </row>
    <row r="245" spans="1:4" x14ac:dyDescent="0.15">
      <c r="A245" t="s">
        <v>1477</v>
      </c>
      <c r="B245">
        <v>5.3</v>
      </c>
      <c r="C245" t="str">
        <f t="shared" si="6"/>
        <v>センノシド錠１２ｍｇ「クニヒロ」</v>
      </c>
      <c r="D245">
        <f t="shared" si="7"/>
        <v>5.3</v>
      </c>
    </row>
    <row r="246" spans="1:4" x14ac:dyDescent="0.15">
      <c r="A246" t="s">
        <v>1478</v>
      </c>
      <c r="B246">
        <v>7.7</v>
      </c>
      <c r="C246" t="str">
        <f t="shared" si="6"/>
        <v>センブリ・重曹散「ヨシダ」</v>
      </c>
      <c r="D246">
        <f t="shared" si="7"/>
        <v>7.7</v>
      </c>
    </row>
    <row r="247" spans="1:4" x14ac:dyDescent="0.15">
      <c r="A247" t="s">
        <v>1479</v>
      </c>
      <c r="B247">
        <v>1144</v>
      </c>
      <c r="C247" t="str">
        <f t="shared" si="6"/>
        <v>ゾシン静注用４．５</v>
      </c>
      <c r="D247">
        <f t="shared" si="7"/>
        <v>1144</v>
      </c>
    </row>
    <row r="248" spans="1:4" x14ac:dyDescent="0.15">
      <c r="A248" t="s">
        <v>1480</v>
      </c>
      <c r="B248">
        <v>60.3</v>
      </c>
      <c r="C248" t="str">
        <f t="shared" si="6"/>
        <v>ソタロール塩酸塩錠８０ｍｇ「ＴＥ」</v>
      </c>
      <c r="D248">
        <f t="shared" si="7"/>
        <v>60.3</v>
      </c>
    </row>
    <row r="249" spans="1:4" x14ac:dyDescent="0.15">
      <c r="A249" t="s">
        <v>1481</v>
      </c>
      <c r="B249">
        <v>11.7</v>
      </c>
      <c r="C249" t="str">
        <f t="shared" si="6"/>
        <v>ゾニサミド錠１００ｍｇ「アメル」</v>
      </c>
      <c r="D249">
        <f t="shared" si="7"/>
        <v>11.7</v>
      </c>
    </row>
    <row r="250" spans="1:4" x14ac:dyDescent="0.15">
      <c r="A250" t="s">
        <v>1482</v>
      </c>
      <c r="B250">
        <v>275</v>
      </c>
      <c r="C250" t="str">
        <f t="shared" si="6"/>
        <v>ゾニサミドＯＤ錠２５ｍｇＴＲＥ「ＤＳＥＰ」</v>
      </c>
      <c r="D250">
        <f t="shared" si="7"/>
        <v>275</v>
      </c>
    </row>
    <row r="251" spans="1:4" x14ac:dyDescent="0.15">
      <c r="A251" t="s">
        <v>594</v>
      </c>
      <c r="B251">
        <v>6.7</v>
      </c>
      <c r="C251" t="str">
        <f t="shared" si="6"/>
        <v>ゾピクロン錠７．５ｍｇ「トーワ」</v>
      </c>
      <c r="D251">
        <f t="shared" si="7"/>
        <v>6.7</v>
      </c>
    </row>
    <row r="252" spans="1:4" x14ac:dyDescent="0.15">
      <c r="A252" t="s">
        <v>1483</v>
      </c>
      <c r="B252">
        <v>2438.8000000000002</v>
      </c>
      <c r="C252" t="str">
        <f t="shared" si="6"/>
        <v>ゾフルーザ錠２０ｍｇ</v>
      </c>
      <c r="D252">
        <f t="shared" si="7"/>
        <v>2438.8000000000002</v>
      </c>
    </row>
    <row r="253" spans="1:4" x14ac:dyDescent="0.15">
      <c r="A253" t="s">
        <v>1484</v>
      </c>
      <c r="B253">
        <v>6.1</v>
      </c>
      <c r="C253" t="str">
        <f t="shared" si="6"/>
        <v>ソラナックス０．４ｍｇ錠</v>
      </c>
      <c r="D253">
        <f t="shared" si="7"/>
        <v>6.1</v>
      </c>
    </row>
    <row r="254" spans="1:4" x14ac:dyDescent="0.15">
      <c r="A254" t="s">
        <v>1485</v>
      </c>
      <c r="B254">
        <v>7.6</v>
      </c>
      <c r="C254" t="str">
        <f t="shared" si="6"/>
        <v>ソラナックス０．８ｍｇ錠</v>
      </c>
      <c r="D254">
        <f t="shared" si="7"/>
        <v>7.6</v>
      </c>
    </row>
    <row r="255" spans="1:4" x14ac:dyDescent="0.15">
      <c r="A255" t="s">
        <v>1486</v>
      </c>
      <c r="B255">
        <v>33</v>
      </c>
      <c r="C255" t="str">
        <f t="shared" si="6"/>
        <v>ソリフェナシンコハク酸塩ＯＤ錠５ｍｇ「トーワ」</v>
      </c>
      <c r="D255">
        <f t="shared" si="7"/>
        <v>33</v>
      </c>
    </row>
    <row r="256" spans="1:4" x14ac:dyDescent="0.15">
      <c r="A256" t="s">
        <v>1487</v>
      </c>
      <c r="B256">
        <v>216</v>
      </c>
      <c r="C256" t="str">
        <f t="shared" si="6"/>
        <v>ソルダクトン静注用１００ｍｇ</v>
      </c>
      <c r="D256">
        <f t="shared" si="7"/>
        <v>216</v>
      </c>
    </row>
    <row r="257" spans="1:4" x14ac:dyDescent="0.15">
      <c r="A257" t="s">
        <v>1488</v>
      </c>
      <c r="B257">
        <v>184</v>
      </c>
      <c r="C257" t="str">
        <f t="shared" si="6"/>
        <v>ソルデム１輸液</v>
      </c>
      <c r="D257">
        <f t="shared" si="7"/>
        <v>184</v>
      </c>
    </row>
    <row r="258" spans="1:4" x14ac:dyDescent="0.15">
      <c r="A258" t="s">
        <v>1488</v>
      </c>
      <c r="B258">
        <v>145</v>
      </c>
      <c r="C258" t="str">
        <f t="shared" ref="C258:C321" si="8">DBCS(A258)</f>
        <v>ソルデム１輸液</v>
      </c>
      <c r="D258">
        <f t="shared" ref="D258:D321" si="9">B258</f>
        <v>145</v>
      </c>
    </row>
    <row r="259" spans="1:4" x14ac:dyDescent="0.15">
      <c r="A259" t="s">
        <v>607</v>
      </c>
      <c r="B259">
        <v>50.7</v>
      </c>
      <c r="C259" t="str">
        <f t="shared" si="8"/>
        <v>ダイアップ坐剤４</v>
      </c>
      <c r="D259">
        <f t="shared" si="9"/>
        <v>50.7</v>
      </c>
    </row>
    <row r="260" spans="1:4" x14ac:dyDescent="0.15">
      <c r="A260" t="s">
        <v>609</v>
      </c>
      <c r="B260">
        <v>61</v>
      </c>
      <c r="C260" t="str">
        <f t="shared" si="8"/>
        <v>ダイビタミックス注</v>
      </c>
      <c r="D260">
        <f t="shared" si="9"/>
        <v>61</v>
      </c>
    </row>
    <row r="261" spans="1:4" x14ac:dyDescent="0.15">
      <c r="A261" t="s">
        <v>612</v>
      </c>
      <c r="B261">
        <v>15.1</v>
      </c>
      <c r="C261" t="str">
        <f t="shared" si="8"/>
        <v>ダイフェン配合錠</v>
      </c>
      <c r="D261">
        <f t="shared" si="9"/>
        <v>15.1</v>
      </c>
    </row>
    <row r="262" spans="1:4" x14ac:dyDescent="0.15">
      <c r="A262" t="s">
        <v>1489</v>
      </c>
      <c r="B262">
        <v>153.5</v>
      </c>
      <c r="C262" t="str">
        <f t="shared" si="8"/>
        <v>タクロリムスカプセル１ｍｇ「ニプロ」</v>
      </c>
      <c r="D262">
        <f t="shared" si="9"/>
        <v>153.5</v>
      </c>
    </row>
    <row r="263" spans="1:4" x14ac:dyDescent="0.15">
      <c r="A263" t="s">
        <v>1490</v>
      </c>
      <c r="B263">
        <v>94.3</v>
      </c>
      <c r="C263" t="str">
        <f t="shared" si="8"/>
        <v>タケキャブＯＤ錠１０ｍｇ</v>
      </c>
      <c r="D263">
        <f t="shared" si="9"/>
        <v>94.3</v>
      </c>
    </row>
    <row r="264" spans="1:4" x14ac:dyDescent="0.15">
      <c r="A264" t="s">
        <v>1491</v>
      </c>
      <c r="B264">
        <v>141</v>
      </c>
      <c r="C264" t="str">
        <f t="shared" si="8"/>
        <v>タケキャブＯＤ錠２０ｍｇ</v>
      </c>
      <c r="D264">
        <f t="shared" si="9"/>
        <v>141</v>
      </c>
    </row>
    <row r="265" spans="1:4" x14ac:dyDescent="0.15">
      <c r="A265" t="s">
        <v>1492</v>
      </c>
      <c r="B265">
        <v>452</v>
      </c>
      <c r="C265" t="str">
        <f t="shared" si="8"/>
        <v>タケプロン静注用３０ｍｇ</v>
      </c>
      <c r="D265">
        <f t="shared" si="9"/>
        <v>452</v>
      </c>
    </row>
    <row r="266" spans="1:4" x14ac:dyDescent="0.15">
      <c r="A266" t="s">
        <v>1493</v>
      </c>
      <c r="B266">
        <v>7.2</v>
      </c>
      <c r="C266" t="str">
        <f t="shared" si="8"/>
        <v>タチオン錠５０ｍｇ</v>
      </c>
      <c r="D266">
        <f t="shared" si="9"/>
        <v>7.2</v>
      </c>
    </row>
    <row r="267" spans="1:4" x14ac:dyDescent="0.15">
      <c r="A267" t="s">
        <v>1494</v>
      </c>
      <c r="B267">
        <v>541.70000000000005</v>
      </c>
      <c r="C267" t="str">
        <f t="shared" si="8"/>
        <v>タプロス点眼液０．００１５％</v>
      </c>
      <c r="D267">
        <f t="shared" si="9"/>
        <v>541.70000000000005</v>
      </c>
    </row>
    <row r="268" spans="1:4" x14ac:dyDescent="0.15">
      <c r="A268" t="s">
        <v>1495</v>
      </c>
      <c r="B268">
        <v>157.4</v>
      </c>
      <c r="C268" t="str">
        <f t="shared" si="8"/>
        <v>ダーブロック錠２ｍｇ</v>
      </c>
      <c r="D268">
        <f t="shared" si="9"/>
        <v>157.4</v>
      </c>
    </row>
    <row r="269" spans="1:4" x14ac:dyDescent="0.15">
      <c r="A269" t="s">
        <v>1496</v>
      </c>
      <c r="B269">
        <v>18.5</v>
      </c>
      <c r="C269" t="str">
        <f t="shared" si="8"/>
        <v>タムスロシン塩酸塩ＯＤ錠０．２ｍｇ「サワイ」</v>
      </c>
      <c r="D269">
        <f t="shared" si="9"/>
        <v>18.5</v>
      </c>
    </row>
    <row r="270" spans="1:4" x14ac:dyDescent="0.15">
      <c r="A270" t="s">
        <v>1497</v>
      </c>
      <c r="B270">
        <v>23.8</v>
      </c>
      <c r="C270" t="str">
        <f t="shared" si="8"/>
        <v>ダラシンカプセル１５０ｍｇ</v>
      </c>
      <c r="D270">
        <f t="shared" si="9"/>
        <v>23.8</v>
      </c>
    </row>
    <row r="271" spans="1:4" x14ac:dyDescent="0.15">
      <c r="A271" t="s">
        <v>1498</v>
      </c>
      <c r="B271">
        <v>92.5</v>
      </c>
      <c r="C271" t="str">
        <f t="shared" si="8"/>
        <v>タリージェ錠５ｍｇ</v>
      </c>
      <c r="D271">
        <f t="shared" si="9"/>
        <v>92.5</v>
      </c>
    </row>
    <row r="272" spans="1:4" x14ac:dyDescent="0.15">
      <c r="A272" t="s">
        <v>1499</v>
      </c>
      <c r="B272">
        <v>113.5</v>
      </c>
      <c r="C272" t="str">
        <f t="shared" si="8"/>
        <v>タリビッド眼軟膏０．３％</v>
      </c>
      <c r="D272">
        <f t="shared" si="9"/>
        <v>113.5</v>
      </c>
    </row>
    <row r="273" spans="1:4" x14ac:dyDescent="0.15">
      <c r="A273" t="s">
        <v>1500</v>
      </c>
      <c r="B273">
        <v>111.2</v>
      </c>
      <c r="C273" t="str">
        <f t="shared" si="8"/>
        <v>タリビッド耳科用液０．３％</v>
      </c>
      <c r="D273">
        <f t="shared" si="9"/>
        <v>111.2</v>
      </c>
    </row>
    <row r="274" spans="1:4" x14ac:dyDescent="0.15">
      <c r="A274" t="s">
        <v>1501</v>
      </c>
      <c r="B274">
        <v>6155</v>
      </c>
      <c r="C274" t="str">
        <f t="shared" si="8"/>
        <v>ダルベポエチン　アルファＢＳ注１２０μｇシリンジ「三和」</v>
      </c>
      <c r="D274">
        <f t="shared" si="9"/>
        <v>6155</v>
      </c>
    </row>
    <row r="275" spans="1:4" x14ac:dyDescent="0.15">
      <c r="A275" t="s">
        <v>1502</v>
      </c>
      <c r="B275">
        <v>1976</v>
      </c>
      <c r="C275" t="str">
        <f t="shared" si="8"/>
        <v>ダルベポエチン　アルファＢＳ注３０μｇシリンジ「三和」</v>
      </c>
      <c r="D275">
        <f t="shared" si="9"/>
        <v>1976</v>
      </c>
    </row>
    <row r="276" spans="1:4" x14ac:dyDescent="0.15">
      <c r="A276" t="s">
        <v>1503</v>
      </c>
      <c r="B276">
        <v>3424</v>
      </c>
      <c r="C276" t="str">
        <f t="shared" si="8"/>
        <v>ダルベポエチン　アルファＢＳ注６０μｇシリンジ「三和」</v>
      </c>
      <c r="D276">
        <f t="shared" si="9"/>
        <v>3424</v>
      </c>
    </row>
    <row r="277" spans="1:4" x14ac:dyDescent="0.15">
      <c r="A277" t="s">
        <v>1504</v>
      </c>
      <c r="B277">
        <v>1061</v>
      </c>
      <c r="C277" t="str">
        <f t="shared" si="8"/>
        <v>ダルベポエチン　アルファＢＳ注１５μｇシリンジ「三和」</v>
      </c>
      <c r="D277">
        <f t="shared" si="9"/>
        <v>1061</v>
      </c>
    </row>
    <row r="278" spans="1:4" x14ac:dyDescent="0.15">
      <c r="A278" t="s">
        <v>1505</v>
      </c>
      <c r="B278">
        <v>0.77</v>
      </c>
      <c r="C278" t="str">
        <f t="shared" si="8"/>
        <v>炭酸水素ナトリウム</v>
      </c>
      <c r="D278">
        <f t="shared" si="9"/>
        <v>0.77</v>
      </c>
    </row>
    <row r="279" spans="1:4" x14ac:dyDescent="0.15">
      <c r="A279" t="s">
        <v>1506</v>
      </c>
      <c r="B279">
        <v>12.6</v>
      </c>
      <c r="C279" t="str">
        <f t="shared" si="8"/>
        <v>炭酸リチウム錠２００ｍｇ「大正」</v>
      </c>
      <c r="D279">
        <f t="shared" si="9"/>
        <v>12.6</v>
      </c>
    </row>
    <row r="280" spans="1:4" x14ac:dyDescent="0.15">
      <c r="A280" t="s">
        <v>1507</v>
      </c>
      <c r="B280">
        <v>8.9</v>
      </c>
      <c r="C280" t="str">
        <f t="shared" si="8"/>
        <v>炭酸リチウム錠１００ｍｇ「大正」</v>
      </c>
      <c r="D280">
        <f t="shared" si="9"/>
        <v>8.9</v>
      </c>
    </row>
    <row r="281" spans="1:4" x14ac:dyDescent="0.15">
      <c r="A281" t="s">
        <v>1508</v>
      </c>
      <c r="B281">
        <v>17.600000000000001</v>
      </c>
      <c r="C281" t="str">
        <f t="shared" si="8"/>
        <v>ダントリウムカプセル２５ｍｇ</v>
      </c>
      <c r="D281">
        <f t="shared" si="9"/>
        <v>17.600000000000001</v>
      </c>
    </row>
    <row r="282" spans="1:4" x14ac:dyDescent="0.15">
      <c r="A282" t="s">
        <v>1509</v>
      </c>
      <c r="B282">
        <v>9039</v>
      </c>
      <c r="C282" t="str">
        <f t="shared" si="8"/>
        <v>ダントリウム静注用２０ｍｇ</v>
      </c>
      <c r="D282">
        <f t="shared" si="9"/>
        <v>9039</v>
      </c>
    </row>
    <row r="283" spans="1:4" x14ac:dyDescent="0.15">
      <c r="A283" t="s">
        <v>1510</v>
      </c>
      <c r="B283">
        <v>7.2</v>
      </c>
      <c r="C283" t="str">
        <f t="shared" si="8"/>
        <v>タンニン酸アルブミン「ＶＴＲＳ」原末</v>
      </c>
      <c r="D283">
        <f t="shared" si="9"/>
        <v>7.2</v>
      </c>
    </row>
    <row r="284" spans="1:4" x14ac:dyDescent="0.15">
      <c r="A284" t="s">
        <v>1511</v>
      </c>
      <c r="B284">
        <v>40.5</v>
      </c>
      <c r="C284" t="str">
        <f t="shared" si="8"/>
        <v>タンボコール錠５０ｍｇ</v>
      </c>
      <c r="D284">
        <f t="shared" si="9"/>
        <v>40.5</v>
      </c>
    </row>
    <row r="285" spans="1:4" x14ac:dyDescent="0.15">
      <c r="A285" t="s">
        <v>1512</v>
      </c>
      <c r="B285">
        <v>960</v>
      </c>
      <c r="C285" t="str">
        <f t="shared" si="8"/>
        <v>チエナム点滴静注用０．５ｇ</v>
      </c>
      <c r="D285">
        <f t="shared" si="9"/>
        <v>960</v>
      </c>
    </row>
    <row r="286" spans="1:4" x14ac:dyDescent="0.15">
      <c r="A286" t="s">
        <v>1513</v>
      </c>
      <c r="B286">
        <v>6.1</v>
      </c>
      <c r="C286" t="str">
        <f t="shared" si="8"/>
        <v>チザニジン錠１ｍｇ「トーワ」</v>
      </c>
      <c r="D286">
        <f t="shared" si="9"/>
        <v>6.1</v>
      </c>
    </row>
    <row r="287" spans="1:4" x14ac:dyDescent="0.15">
      <c r="A287" t="s">
        <v>1514</v>
      </c>
      <c r="B287">
        <v>52.3</v>
      </c>
      <c r="C287" t="str">
        <f t="shared" si="8"/>
        <v>チモロール点眼液０．５％「ニッテン」</v>
      </c>
      <c r="D287">
        <f t="shared" si="9"/>
        <v>52.3</v>
      </c>
    </row>
    <row r="288" spans="1:4" x14ac:dyDescent="0.15">
      <c r="A288" t="s">
        <v>1515</v>
      </c>
      <c r="B288">
        <v>147</v>
      </c>
      <c r="C288" t="str">
        <f t="shared" si="8"/>
        <v>注射用水ＰＬ「フソー」</v>
      </c>
      <c r="D288">
        <f t="shared" si="9"/>
        <v>147</v>
      </c>
    </row>
    <row r="289" spans="1:4" x14ac:dyDescent="0.15">
      <c r="A289" t="s">
        <v>1515</v>
      </c>
      <c r="B289">
        <v>100</v>
      </c>
      <c r="C289" t="str">
        <f t="shared" si="8"/>
        <v>注射用水ＰＬ「フソー」</v>
      </c>
      <c r="D289">
        <f t="shared" si="9"/>
        <v>100</v>
      </c>
    </row>
    <row r="290" spans="1:4" x14ac:dyDescent="0.15">
      <c r="A290" t="s">
        <v>1516</v>
      </c>
      <c r="B290">
        <v>0</v>
      </c>
      <c r="C290" t="str">
        <f t="shared" si="8"/>
        <v>腸散Ⅱ（院内製剤）</v>
      </c>
      <c r="D290">
        <f t="shared" si="9"/>
        <v>0</v>
      </c>
    </row>
    <row r="291" spans="1:4" x14ac:dyDescent="0.15">
      <c r="A291" t="s">
        <v>1517</v>
      </c>
      <c r="B291">
        <v>10.4</v>
      </c>
      <c r="C291" t="str">
        <f t="shared" si="8"/>
        <v>チラーヂンＳ錠２５μｇ</v>
      </c>
      <c r="D291">
        <f t="shared" si="9"/>
        <v>10.4</v>
      </c>
    </row>
    <row r="292" spans="1:4" x14ac:dyDescent="0.15">
      <c r="A292" t="s">
        <v>1518</v>
      </c>
      <c r="B292">
        <v>10.4</v>
      </c>
      <c r="C292" t="str">
        <f t="shared" si="8"/>
        <v>チラーヂンＳ錠５０μｇ</v>
      </c>
      <c r="D292">
        <f t="shared" si="9"/>
        <v>10.4</v>
      </c>
    </row>
    <row r="293" spans="1:4" x14ac:dyDescent="0.15">
      <c r="A293" t="s">
        <v>1519</v>
      </c>
      <c r="B293">
        <v>20192</v>
      </c>
      <c r="C293" t="str">
        <f t="shared" si="8"/>
        <v>チラーヂンＳ静注液２００μｇ</v>
      </c>
      <c r="D293">
        <f t="shared" si="9"/>
        <v>20192</v>
      </c>
    </row>
    <row r="294" spans="1:4" x14ac:dyDescent="0.15">
      <c r="A294" t="s">
        <v>1520</v>
      </c>
      <c r="B294">
        <v>34.1</v>
      </c>
      <c r="C294" t="str">
        <f t="shared" si="8"/>
        <v>ツイミーグ錠５００ｍｇ</v>
      </c>
      <c r="D294">
        <f t="shared" si="9"/>
        <v>34.1</v>
      </c>
    </row>
    <row r="295" spans="1:4" x14ac:dyDescent="0.15">
      <c r="A295" t="s">
        <v>1521</v>
      </c>
      <c r="B295">
        <v>9.8000000000000007</v>
      </c>
      <c r="C295" t="str">
        <f t="shared" si="8"/>
        <v>ツムラ八味地黄丸エキス顆粒（医療用）</v>
      </c>
      <c r="D295">
        <f t="shared" si="9"/>
        <v>9.8000000000000007</v>
      </c>
    </row>
    <row r="296" spans="1:4" x14ac:dyDescent="0.15">
      <c r="A296" t="s">
        <v>1522</v>
      </c>
      <c r="B296">
        <v>20.3</v>
      </c>
      <c r="C296" t="str">
        <f t="shared" si="8"/>
        <v>ツムラ柴胡加竜骨牡蛎湯エキス顆粒（医療用）</v>
      </c>
      <c r="D296">
        <f t="shared" si="9"/>
        <v>20.3</v>
      </c>
    </row>
    <row r="297" spans="1:4" x14ac:dyDescent="0.15">
      <c r="A297" t="s">
        <v>1523</v>
      </c>
      <c r="B297">
        <v>14.6</v>
      </c>
      <c r="C297" t="str">
        <f t="shared" si="8"/>
        <v>ツムラ半夏厚朴湯エキス顆粒（医療用）</v>
      </c>
      <c r="D297">
        <f t="shared" si="9"/>
        <v>14.6</v>
      </c>
    </row>
    <row r="298" spans="1:4" x14ac:dyDescent="0.15">
      <c r="A298" t="s">
        <v>1524</v>
      </c>
      <c r="B298">
        <v>13.6</v>
      </c>
      <c r="C298" t="str">
        <f t="shared" si="8"/>
        <v>ツムラ五苓散エキス顆粒（医療用）</v>
      </c>
      <c r="D298">
        <f t="shared" si="9"/>
        <v>13.6</v>
      </c>
    </row>
    <row r="299" spans="1:4" x14ac:dyDescent="0.15">
      <c r="A299" t="s">
        <v>1525</v>
      </c>
      <c r="B299">
        <v>12.8</v>
      </c>
      <c r="C299" t="str">
        <f t="shared" si="8"/>
        <v>ツムラ小青竜湯エキス顆粒（医療用）</v>
      </c>
      <c r="D299">
        <f t="shared" si="9"/>
        <v>12.8</v>
      </c>
    </row>
    <row r="300" spans="1:4" x14ac:dyDescent="0.15">
      <c r="A300" t="s">
        <v>1526</v>
      </c>
      <c r="B300">
        <v>14.9</v>
      </c>
      <c r="C300" t="str">
        <f t="shared" si="8"/>
        <v>ツムラ当帰芍薬散エキス顆粒（医療用）</v>
      </c>
      <c r="D300">
        <f t="shared" si="9"/>
        <v>14.9</v>
      </c>
    </row>
    <row r="301" spans="1:4" x14ac:dyDescent="0.15">
      <c r="A301" t="s">
        <v>1527</v>
      </c>
      <c r="B301">
        <v>18</v>
      </c>
      <c r="C301" t="str">
        <f t="shared" si="8"/>
        <v>ツムラ六君子湯エキス顆粒（医療用）</v>
      </c>
      <c r="D301">
        <f t="shared" si="9"/>
        <v>18</v>
      </c>
    </row>
    <row r="302" spans="1:4" x14ac:dyDescent="0.15">
      <c r="A302" t="s">
        <v>1528</v>
      </c>
      <c r="B302">
        <v>16.100000000000001</v>
      </c>
      <c r="C302" t="str">
        <f t="shared" si="8"/>
        <v>ツムラ抑肝散エキス顆粒（医療用）</v>
      </c>
      <c r="D302">
        <f t="shared" si="9"/>
        <v>16.100000000000001</v>
      </c>
    </row>
    <row r="303" spans="1:4" x14ac:dyDescent="0.15">
      <c r="A303" t="s">
        <v>1529</v>
      </c>
      <c r="B303">
        <v>13.8</v>
      </c>
      <c r="C303" t="str">
        <f t="shared" si="8"/>
        <v>ツムラ防風通聖散エキス顆粒（医療用）</v>
      </c>
      <c r="D303">
        <f t="shared" si="9"/>
        <v>13.8</v>
      </c>
    </row>
    <row r="304" spans="1:4" x14ac:dyDescent="0.15">
      <c r="A304" t="s">
        <v>1530</v>
      </c>
      <c r="B304">
        <v>10.4</v>
      </c>
      <c r="C304" t="str">
        <f t="shared" si="8"/>
        <v>ツムラ芍薬甘草湯エキス顆粒（医療用）</v>
      </c>
      <c r="D304">
        <f t="shared" si="9"/>
        <v>10.4</v>
      </c>
    </row>
    <row r="305" spans="1:4" x14ac:dyDescent="0.15">
      <c r="A305" t="s">
        <v>1531</v>
      </c>
      <c r="B305">
        <v>14.4</v>
      </c>
      <c r="C305" t="str">
        <f t="shared" si="8"/>
        <v>ツムラ抑肝散加陳皮半夏エキス顆粒（医療用）</v>
      </c>
      <c r="D305">
        <f t="shared" si="9"/>
        <v>14.4</v>
      </c>
    </row>
    <row r="306" spans="1:4" x14ac:dyDescent="0.15">
      <c r="A306" t="s">
        <v>1532</v>
      </c>
      <c r="B306">
        <v>13.7</v>
      </c>
      <c r="C306" t="str">
        <f t="shared" si="8"/>
        <v>ツムラ大建中湯エキス顆粒（医療用）</v>
      </c>
      <c r="D306">
        <f t="shared" si="9"/>
        <v>13.7</v>
      </c>
    </row>
    <row r="307" spans="1:4" x14ac:dyDescent="0.15">
      <c r="A307" t="s">
        <v>1533</v>
      </c>
      <c r="B307">
        <v>20.100000000000001</v>
      </c>
      <c r="C307" t="str">
        <f t="shared" si="8"/>
        <v>ツムラ人参養栄湯エキス顆粒（医療用）</v>
      </c>
      <c r="D307">
        <f t="shared" si="9"/>
        <v>20.100000000000001</v>
      </c>
    </row>
    <row r="308" spans="1:4" x14ac:dyDescent="0.15">
      <c r="A308" t="s">
        <v>1534</v>
      </c>
      <c r="B308">
        <v>22.9</v>
      </c>
      <c r="C308" t="str">
        <f t="shared" si="8"/>
        <v>ツムラ猪苓湯合四物湯エキス顆粒（医療用）</v>
      </c>
      <c r="D308">
        <f t="shared" si="9"/>
        <v>22.9</v>
      </c>
    </row>
    <row r="309" spans="1:4" x14ac:dyDescent="0.15">
      <c r="A309" t="s">
        <v>1535</v>
      </c>
      <c r="B309">
        <v>22.8</v>
      </c>
      <c r="C309" t="str">
        <f t="shared" si="8"/>
        <v>ツロブテロールテープ１ｍｇ「サワイ」</v>
      </c>
      <c r="D309">
        <f t="shared" si="9"/>
        <v>22.8</v>
      </c>
    </row>
    <row r="310" spans="1:4" x14ac:dyDescent="0.15">
      <c r="A310" t="s">
        <v>1410</v>
      </c>
      <c r="B310">
        <v>5.7</v>
      </c>
      <c r="C310" t="str">
        <f t="shared" si="8"/>
        <v>ｄ－クロルフェニラミンマレイン酸塩徐放錠６ｍｇ「武田テバ」</v>
      </c>
      <c r="D310">
        <f t="shared" si="9"/>
        <v>5.7</v>
      </c>
    </row>
    <row r="311" spans="1:4" x14ac:dyDescent="0.15">
      <c r="A311" t="s">
        <v>1536</v>
      </c>
      <c r="B311">
        <v>44.9</v>
      </c>
      <c r="C311" t="str">
        <f t="shared" si="8"/>
        <v>デエビゴ錠２．５ｍｇ</v>
      </c>
      <c r="D311">
        <f t="shared" si="9"/>
        <v>44.9</v>
      </c>
    </row>
    <row r="312" spans="1:4" x14ac:dyDescent="0.15">
      <c r="A312" t="s">
        <v>1537</v>
      </c>
      <c r="B312">
        <v>71.3</v>
      </c>
      <c r="C312" t="str">
        <f t="shared" si="8"/>
        <v>デエビゴ錠５ｍｇ</v>
      </c>
      <c r="D312">
        <f t="shared" si="9"/>
        <v>71.3</v>
      </c>
    </row>
    <row r="313" spans="1:4" x14ac:dyDescent="0.15">
      <c r="A313" t="s">
        <v>1538</v>
      </c>
      <c r="B313">
        <v>6.1</v>
      </c>
      <c r="C313" t="str">
        <f t="shared" si="8"/>
        <v>テオフィリン徐放Ｕ錠２００ｍｇ「トーワ」</v>
      </c>
      <c r="D313">
        <f t="shared" si="9"/>
        <v>6.1</v>
      </c>
    </row>
    <row r="314" spans="1:4" x14ac:dyDescent="0.15">
      <c r="A314" t="s">
        <v>1539</v>
      </c>
      <c r="B314">
        <v>173</v>
      </c>
      <c r="C314" t="str">
        <f t="shared" si="8"/>
        <v>デカドロン注射液３．３ｍｇ</v>
      </c>
      <c r="D314">
        <f t="shared" si="9"/>
        <v>173</v>
      </c>
    </row>
    <row r="315" spans="1:4" x14ac:dyDescent="0.15">
      <c r="A315" t="s">
        <v>1540</v>
      </c>
      <c r="B315">
        <v>39</v>
      </c>
      <c r="C315" t="str">
        <f t="shared" si="8"/>
        <v>デキサメタゾン口腔用軟膏０．１％「日医工」</v>
      </c>
      <c r="D315">
        <f t="shared" si="9"/>
        <v>39</v>
      </c>
    </row>
    <row r="316" spans="1:4" x14ac:dyDescent="0.15">
      <c r="A316" t="s">
        <v>1541</v>
      </c>
      <c r="B316">
        <v>5.9</v>
      </c>
      <c r="C316" t="str">
        <f t="shared" si="8"/>
        <v>デキストロメトルファン臭化水素酸塩錠１５ｍｇ「トーワ」</v>
      </c>
      <c r="D316">
        <f t="shared" si="9"/>
        <v>5.9</v>
      </c>
    </row>
    <row r="317" spans="1:4" x14ac:dyDescent="0.15">
      <c r="A317" t="s">
        <v>1542</v>
      </c>
      <c r="B317">
        <v>19.2</v>
      </c>
      <c r="C317" t="str">
        <f t="shared" si="8"/>
        <v>テクスメテン　ユニバーサル　クリーム０．１％</v>
      </c>
      <c r="D317">
        <f t="shared" si="9"/>
        <v>19.2</v>
      </c>
    </row>
    <row r="318" spans="1:4" x14ac:dyDescent="0.15">
      <c r="A318" t="s">
        <v>1543</v>
      </c>
      <c r="B318">
        <v>0</v>
      </c>
      <c r="C318" t="str">
        <f t="shared" si="8"/>
        <v>テストヤクヒン９９９９９９９９９９９９９９９９９９９</v>
      </c>
      <c r="D318">
        <f t="shared" si="9"/>
        <v>0</v>
      </c>
    </row>
    <row r="319" spans="1:4" x14ac:dyDescent="0.15">
      <c r="A319" t="s">
        <v>1417</v>
      </c>
      <c r="B319">
        <v>10.1</v>
      </c>
      <c r="C319" t="str">
        <f t="shared" si="8"/>
        <v>アイトロール錠１０ｍｇ</v>
      </c>
      <c r="D319">
        <f t="shared" si="9"/>
        <v>10.1</v>
      </c>
    </row>
    <row r="320" spans="1:4" x14ac:dyDescent="0.15">
      <c r="A320" t="s">
        <v>665</v>
      </c>
      <c r="B320">
        <v>9.1</v>
      </c>
      <c r="C320" t="str">
        <f t="shared" si="8"/>
        <v>テトラミド錠１０ｍｇ</v>
      </c>
      <c r="D320">
        <f t="shared" si="9"/>
        <v>9.1</v>
      </c>
    </row>
    <row r="321" spans="1:4" x14ac:dyDescent="0.15">
      <c r="A321" t="s">
        <v>1544</v>
      </c>
      <c r="B321">
        <v>25</v>
      </c>
      <c r="C321" t="str">
        <f t="shared" si="8"/>
        <v>テトラミド錠３０ｍｇ</v>
      </c>
      <c r="D321">
        <f t="shared" si="9"/>
        <v>25</v>
      </c>
    </row>
    <row r="322" spans="1:4" x14ac:dyDescent="0.15">
      <c r="A322" t="s">
        <v>670</v>
      </c>
      <c r="B322">
        <v>11.3</v>
      </c>
      <c r="C322" t="str">
        <f t="shared" ref="C322:C385" si="10">DBCS(A322)</f>
        <v>デパケンＲ錠２００ｍｇ</v>
      </c>
      <c r="D322">
        <f t="shared" ref="D322:D385" si="11">B322</f>
        <v>11.3</v>
      </c>
    </row>
    <row r="323" spans="1:4" x14ac:dyDescent="0.15">
      <c r="A323" t="s">
        <v>1545</v>
      </c>
      <c r="B323">
        <v>34</v>
      </c>
      <c r="C323" t="str">
        <f t="shared" si="10"/>
        <v>デパス細粒１％</v>
      </c>
      <c r="D323">
        <f t="shared" si="11"/>
        <v>34</v>
      </c>
    </row>
    <row r="324" spans="1:4" x14ac:dyDescent="0.15">
      <c r="A324" t="s">
        <v>1546</v>
      </c>
      <c r="B324">
        <v>9.4</v>
      </c>
      <c r="C324" t="str">
        <f t="shared" si="10"/>
        <v>テプレノン細粒１０％「ＹＤ」</v>
      </c>
      <c r="D324">
        <f t="shared" si="11"/>
        <v>9.4</v>
      </c>
    </row>
    <row r="325" spans="1:4" x14ac:dyDescent="0.15">
      <c r="A325" t="s">
        <v>1547</v>
      </c>
      <c r="B325">
        <v>6.5</v>
      </c>
      <c r="C325" t="str">
        <f t="shared" si="10"/>
        <v>テプレノンカプセル５０ｍｇ「ＹＤ」</v>
      </c>
      <c r="D325">
        <f t="shared" si="11"/>
        <v>6.5</v>
      </c>
    </row>
    <row r="326" spans="1:4" x14ac:dyDescent="0.15">
      <c r="A326" t="s">
        <v>1548</v>
      </c>
      <c r="B326">
        <v>18.3</v>
      </c>
      <c r="C326" t="str">
        <f t="shared" si="10"/>
        <v>デプロメール錠２５</v>
      </c>
      <c r="D326">
        <f t="shared" si="11"/>
        <v>18.3</v>
      </c>
    </row>
    <row r="327" spans="1:4" x14ac:dyDescent="0.15">
      <c r="A327" t="s">
        <v>1549</v>
      </c>
      <c r="B327">
        <v>26.8</v>
      </c>
      <c r="C327" t="str">
        <f t="shared" si="10"/>
        <v>デュタステリドカプセル０．５ｍｇＡＶ「サワイ」</v>
      </c>
      <c r="D327">
        <f t="shared" si="11"/>
        <v>26.8</v>
      </c>
    </row>
    <row r="328" spans="1:4" x14ac:dyDescent="0.15">
      <c r="A328" t="s">
        <v>1550</v>
      </c>
      <c r="B328">
        <v>25.7</v>
      </c>
      <c r="C328" t="str">
        <f t="shared" si="10"/>
        <v>デュロキセチンカプセル２０ｍｇ「ＤＳＥＰ」</v>
      </c>
      <c r="D328">
        <f t="shared" si="11"/>
        <v>25.7</v>
      </c>
    </row>
    <row r="329" spans="1:4" x14ac:dyDescent="0.15">
      <c r="A329" t="s">
        <v>1551</v>
      </c>
      <c r="B329">
        <v>10045</v>
      </c>
      <c r="C329" t="str">
        <f t="shared" si="10"/>
        <v>テリボン皮下注用５６．５μｇ</v>
      </c>
      <c r="D329">
        <f t="shared" si="11"/>
        <v>10045</v>
      </c>
    </row>
    <row r="330" spans="1:4" x14ac:dyDescent="0.15">
      <c r="A330" t="s">
        <v>1552</v>
      </c>
      <c r="B330">
        <v>9.5</v>
      </c>
      <c r="C330" t="str">
        <f t="shared" si="10"/>
        <v>テルビナフィン塩酸塩クリーム１％「サワイ」</v>
      </c>
      <c r="D330">
        <f t="shared" si="11"/>
        <v>9.5</v>
      </c>
    </row>
    <row r="331" spans="1:4" x14ac:dyDescent="0.15">
      <c r="A331" t="s">
        <v>1553</v>
      </c>
      <c r="B331">
        <v>9.5</v>
      </c>
      <c r="C331" t="str">
        <f t="shared" si="10"/>
        <v>テルビナフィン塩酸塩外用液１％「サワイ」</v>
      </c>
      <c r="D331">
        <f t="shared" si="11"/>
        <v>9.5</v>
      </c>
    </row>
    <row r="332" spans="1:4" x14ac:dyDescent="0.15">
      <c r="A332" t="s">
        <v>1554</v>
      </c>
      <c r="B332">
        <v>10.4</v>
      </c>
      <c r="C332" t="str">
        <f t="shared" si="10"/>
        <v>テルミサルタンＯＤ錠２０ｍｇ「トーワ」</v>
      </c>
      <c r="D332">
        <f t="shared" si="11"/>
        <v>10.4</v>
      </c>
    </row>
    <row r="333" spans="1:4" x14ac:dyDescent="0.15">
      <c r="A333" t="s">
        <v>1556</v>
      </c>
      <c r="B333">
        <v>27.7</v>
      </c>
      <c r="C333" t="str">
        <f t="shared" si="10"/>
        <v>デルモゾールＧ軟膏</v>
      </c>
      <c r="D333">
        <f t="shared" si="11"/>
        <v>27.7</v>
      </c>
    </row>
    <row r="334" spans="1:4" x14ac:dyDescent="0.15">
      <c r="A334" t="s">
        <v>690</v>
      </c>
      <c r="B334">
        <v>7.2</v>
      </c>
      <c r="C334" t="str">
        <f t="shared" si="10"/>
        <v>トアラセット配合錠「オーハラ」</v>
      </c>
      <c r="D334">
        <f t="shared" si="11"/>
        <v>7.2</v>
      </c>
    </row>
    <row r="335" spans="1:4" x14ac:dyDescent="0.15">
      <c r="A335" t="s">
        <v>1557</v>
      </c>
      <c r="B335">
        <v>332</v>
      </c>
      <c r="C335" t="str">
        <f t="shared" si="10"/>
        <v>大塚糖液５％</v>
      </c>
      <c r="D335">
        <f t="shared" si="11"/>
        <v>332</v>
      </c>
    </row>
    <row r="336" spans="1:4" x14ac:dyDescent="0.15">
      <c r="A336" t="s">
        <v>1558</v>
      </c>
      <c r="B336">
        <v>50.4</v>
      </c>
      <c r="C336" t="str">
        <f t="shared" si="10"/>
        <v>トスキサシン錠１５０ｍｇ</v>
      </c>
      <c r="D336">
        <f t="shared" si="11"/>
        <v>50.4</v>
      </c>
    </row>
    <row r="337" spans="1:4" x14ac:dyDescent="0.15">
      <c r="A337" t="s">
        <v>1559</v>
      </c>
      <c r="B337">
        <v>29.1</v>
      </c>
      <c r="C337" t="str">
        <f t="shared" si="10"/>
        <v>ドネペジル塩酸塩ＯＤ錠３ｍｇ「トーワ」</v>
      </c>
      <c r="D337">
        <f t="shared" si="11"/>
        <v>29.1</v>
      </c>
    </row>
    <row r="338" spans="1:4" x14ac:dyDescent="0.15">
      <c r="A338" t="s">
        <v>1560</v>
      </c>
      <c r="B338">
        <v>43.4</v>
      </c>
      <c r="C338" t="str">
        <f t="shared" si="10"/>
        <v>ドネペジル塩酸塩ＯＤ錠５ｍｇ「トーワ」</v>
      </c>
      <c r="D338">
        <f t="shared" si="11"/>
        <v>43.4</v>
      </c>
    </row>
    <row r="339" spans="1:4" x14ac:dyDescent="0.15">
      <c r="A339" t="s">
        <v>1561</v>
      </c>
      <c r="B339">
        <v>73.099999999999994</v>
      </c>
      <c r="C339" t="str">
        <f t="shared" si="10"/>
        <v>ドネペジル塩酸塩ＯＤ錠１０ｍｇ「トーワ」</v>
      </c>
      <c r="D339">
        <f t="shared" si="11"/>
        <v>73.099999999999994</v>
      </c>
    </row>
    <row r="340" spans="1:4" x14ac:dyDescent="0.15">
      <c r="A340" t="s">
        <v>1562</v>
      </c>
      <c r="B340">
        <v>339</v>
      </c>
      <c r="C340" t="str">
        <f t="shared" si="10"/>
        <v>ドパストン静注５０ｍｇ</v>
      </c>
      <c r="D340">
        <f t="shared" si="11"/>
        <v>339</v>
      </c>
    </row>
    <row r="341" spans="1:4" x14ac:dyDescent="0.15">
      <c r="A341" t="s">
        <v>1563</v>
      </c>
      <c r="B341">
        <v>146</v>
      </c>
      <c r="C341" t="str">
        <f t="shared" si="10"/>
        <v>ドパミン塩酸塩点滴静注１００ｍｇ「ＮＰ」</v>
      </c>
      <c r="D341">
        <f t="shared" si="11"/>
        <v>146</v>
      </c>
    </row>
    <row r="342" spans="1:4" x14ac:dyDescent="0.15">
      <c r="A342" t="s">
        <v>1564</v>
      </c>
      <c r="B342">
        <v>29.7</v>
      </c>
      <c r="C342" t="str">
        <f t="shared" si="10"/>
        <v>トピロリック錠４０ｍｇ</v>
      </c>
      <c r="D342">
        <f t="shared" si="11"/>
        <v>29.7</v>
      </c>
    </row>
    <row r="343" spans="1:4" x14ac:dyDescent="0.15">
      <c r="A343" t="s">
        <v>1565</v>
      </c>
      <c r="B343">
        <v>32.700000000000003</v>
      </c>
      <c r="C343" t="str">
        <f t="shared" si="10"/>
        <v>ドプスＯＤ錠１００ｍｇ</v>
      </c>
      <c r="D343">
        <f t="shared" si="11"/>
        <v>32.700000000000003</v>
      </c>
    </row>
    <row r="344" spans="1:4" x14ac:dyDescent="0.15">
      <c r="A344" t="s">
        <v>707</v>
      </c>
      <c r="B344">
        <v>10.1</v>
      </c>
      <c r="C344" t="str">
        <f t="shared" si="10"/>
        <v>トフラニール錠１０ｍｇ</v>
      </c>
      <c r="D344">
        <f t="shared" si="11"/>
        <v>10.1</v>
      </c>
    </row>
    <row r="345" spans="1:4" x14ac:dyDescent="0.15">
      <c r="A345" t="s">
        <v>1566</v>
      </c>
      <c r="B345">
        <v>118.9</v>
      </c>
      <c r="C345" t="str">
        <f t="shared" si="10"/>
        <v>トラゼンタ錠５ｍｇ</v>
      </c>
      <c r="D345">
        <f t="shared" si="11"/>
        <v>118.9</v>
      </c>
    </row>
    <row r="346" spans="1:4" x14ac:dyDescent="0.15">
      <c r="A346" t="s">
        <v>1567</v>
      </c>
      <c r="B346">
        <v>6.1</v>
      </c>
      <c r="C346" t="str">
        <f t="shared" si="10"/>
        <v>トラセミド錠４ｍｇ「ＫＯ」</v>
      </c>
      <c r="D346">
        <f t="shared" si="11"/>
        <v>6.1</v>
      </c>
    </row>
    <row r="347" spans="1:4" x14ac:dyDescent="0.15">
      <c r="A347" t="s">
        <v>1568</v>
      </c>
      <c r="B347">
        <v>6.1</v>
      </c>
      <c r="C347" t="str">
        <f t="shared" si="10"/>
        <v>トラゾドン塩酸塩錠２５ｍｇ「アメル」</v>
      </c>
      <c r="D347">
        <f t="shared" si="11"/>
        <v>6.1</v>
      </c>
    </row>
    <row r="348" spans="1:4" x14ac:dyDescent="0.15">
      <c r="A348" t="s">
        <v>1569</v>
      </c>
      <c r="B348">
        <v>17</v>
      </c>
      <c r="C348" t="str">
        <f t="shared" si="10"/>
        <v>トラマールＯＤ錠２５ｍｇ</v>
      </c>
      <c r="D348">
        <f t="shared" si="11"/>
        <v>17</v>
      </c>
    </row>
    <row r="349" spans="1:4" x14ac:dyDescent="0.15">
      <c r="A349" t="s">
        <v>1570</v>
      </c>
      <c r="B349">
        <v>10.4</v>
      </c>
      <c r="C349" t="str">
        <f t="shared" si="10"/>
        <v>トランサミンカプセル２５０ｍｇ</v>
      </c>
      <c r="D349">
        <f t="shared" si="11"/>
        <v>10.4</v>
      </c>
    </row>
    <row r="350" spans="1:4" x14ac:dyDescent="0.15">
      <c r="A350" t="s">
        <v>1571</v>
      </c>
      <c r="B350">
        <v>100</v>
      </c>
      <c r="C350" t="str">
        <f t="shared" si="10"/>
        <v>トランサミン注５％</v>
      </c>
      <c r="D350">
        <f t="shared" si="11"/>
        <v>100</v>
      </c>
    </row>
    <row r="351" spans="1:4" x14ac:dyDescent="0.15">
      <c r="A351" t="s">
        <v>1572</v>
      </c>
      <c r="B351">
        <v>6.1</v>
      </c>
      <c r="C351" t="str">
        <f t="shared" si="10"/>
        <v>トリアゾラム錠０．２５ｍｇ「日医工」</v>
      </c>
      <c r="D351">
        <f t="shared" si="11"/>
        <v>6.1</v>
      </c>
    </row>
    <row r="352" spans="1:4" x14ac:dyDescent="0.15">
      <c r="A352" t="s">
        <v>719</v>
      </c>
      <c r="B352">
        <v>10.1</v>
      </c>
      <c r="C352" t="str">
        <f t="shared" si="10"/>
        <v>トリプタノール錠２５</v>
      </c>
      <c r="D352">
        <f t="shared" si="11"/>
        <v>10.1</v>
      </c>
    </row>
    <row r="353" spans="1:4" x14ac:dyDescent="0.15">
      <c r="A353" t="s">
        <v>1573</v>
      </c>
      <c r="B353">
        <v>256</v>
      </c>
      <c r="C353" t="str">
        <f t="shared" si="10"/>
        <v>トリフリード輸液</v>
      </c>
      <c r="D353">
        <f t="shared" si="11"/>
        <v>256</v>
      </c>
    </row>
    <row r="354" spans="1:4" x14ac:dyDescent="0.15">
      <c r="A354" t="s">
        <v>1574</v>
      </c>
      <c r="B354">
        <v>9</v>
      </c>
      <c r="C354" t="str">
        <f t="shared" si="10"/>
        <v>トリヘキシフェニジル塩酸塩錠２ｍｇ「ＮＩＧ」</v>
      </c>
      <c r="D354">
        <f t="shared" si="11"/>
        <v>9</v>
      </c>
    </row>
    <row r="355" spans="1:4" x14ac:dyDescent="0.15">
      <c r="A355" t="s">
        <v>1575</v>
      </c>
      <c r="B355">
        <v>6.1</v>
      </c>
      <c r="C355" t="str">
        <f t="shared" si="10"/>
        <v>トリメブチンマレイン酸塩錠１００ｍｇ「トーワ」</v>
      </c>
      <c r="D355">
        <f t="shared" si="11"/>
        <v>6.1</v>
      </c>
    </row>
    <row r="356" spans="1:4" x14ac:dyDescent="0.15">
      <c r="A356" t="s">
        <v>1576</v>
      </c>
      <c r="B356">
        <v>161.69999999999999</v>
      </c>
      <c r="C356" t="str">
        <f t="shared" si="10"/>
        <v>トリンテリックス錠１０ｍｇ</v>
      </c>
      <c r="D356">
        <f t="shared" si="11"/>
        <v>161.69999999999999</v>
      </c>
    </row>
    <row r="357" spans="1:4" x14ac:dyDescent="0.15">
      <c r="A357" t="s">
        <v>1577</v>
      </c>
      <c r="B357">
        <v>155.1</v>
      </c>
      <c r="C357" t="str">
        <f t="shared" si="10"/>
        <v>トルソプト点眼液１％</v>
      </c>
      <c r="D357">
        <f t="shared" si="11"/>
        <v>155.1</v>
      </c>
    </row>
    <row r="358" spans="1:4" x14ac:dyDescent="0.15">
      <c r="A358" t="s">
        <v>1578</v>
      </c>
      <c r="B358">
        <v>309</v>
      </c>
      <c r="C358" t="str">
        <f t="shared" si="10"/>
        <v>トルバプタンＯＤ錠７．５ｍｇ「ＴＥ」</v>
      </c>
      <c r="D358">
        <f t="shared" si="11"/>
        <v>309</v>
      </c>
    </row>
    <row r="359" spans="1:4" x14ac:dyDescent="0.15">
      <c r="A359" t="s">
        <v>1579</v>
      </c>
      <c r="B359">
        <v>115</v>
      </c>
      <c r="C359" t="str">
        <f t="shared" si="10"/>
        <v>ドルミカム注射液１０ｍｇ</v>
      </c>
      <c r="D359">
        <f t="shared" si="11"/>
        <v>115</v>
      </c>
    </row>
    <row r="360" spans="1:4" x14ac:dyDescent="0.15">
      <c r="A360" t="s">
        <v>1580</v>
      </c>
      <c r="B360">
        <v>2749</v>
      </c>
      <c r="C360" t="str">
        <f t="shared" si="10"/>
        <v>トルリシティ皮下注０．７５ｍｇアテオス</v>
      </c>
      <c r="D360">
        <f t="shared" si="11"/>
        <v>2749</v>
      </c>
    </row>
    <row r="361" spans="1:4" x14ac:dyDescent="0.15">
      <c r="A361" t="s">
        <v>1581</v>
      </c>
      <c r="B361">
        <v>1841</v>
      </c>
      <c r="C361" t="str">
        <f t="shared" si="10"/>
        <v>トレシーバ注　フレックスタッチ</v>
      </c>
      <c r="D361">
        <f t="shared" si="11"/>
        <v>1841</v>
      </c>
    </row>
    <row r="362" spans="1:4" x14ac:dyDescent="0.15">
      <c r="A362" t="s">
        <v>1582</v>
      </c>
      <c r="B362">
        <v>9.1999999999999993</v>
      </c>
      <c r="C362" t="str">
        <f t="shared" si="10"/>
        <v>トレドミン錠１５ｍｇ</v>
      </c>
      <c r="D362">
        <f t="shared" si="11"/>
        <v>9.1999999999999993</v>
      </c>
    </row>
    <row r="363" spans="1:4" x14ac:dyDescent="0.15">
      <c r="A363" t="s">
        <v>1583</v>
      </c>
      <c r="B363">
        <v>12.8</v>
      </c>
      <c r="C363" t="str">
        <f t="shared" si="10"/>
        <v>トレドミン錠２５ｍｇ</v>
      </c>
      <c r="D363">
        <f t="shared" si="11"/>
        <v>12.8</v>
      </c>
    </row>
    <row r="364" spans="1:4" x14ac:dyDescent="0.15">
      <c r="A364" t="s">
        <v>1585</v>
      </c>
      <c r="B364">
        <v>192</v>
      </c>
      <c r="C364" t="str">
        <f t="shared" si="10"/>
        <v>トロペロン注４ｍｇ</v>
      </c>
      <c r="D364">
        <f t="shared" si="11"/>
        <v>192</v>
      </c>
    </row>
    <row r="365" spans="1:4" x14ac:dyDescent="0.15">
      <c r="A365" t="s">
        <v>692</v>
      </c>
      <c r="B365">
        <v>6.5</v>
      </c>
      <c r="C365" t="str">
        <f t="shared" si="10"/>
        <v>トーワチーム配合顆粒</v>
      </c>
      <c r="D365">
        <f t="shared" si="11"/>
        <v>6.5</v>
      </c>
    </row>
    <row r="366" spans="1:4" x14ac:dyDescent="0.15">
      <c r="A366" t="s">
        <v>1586</v>
      </c>
      <c r="B366">
        <v>6.1</v>
      </c>
      <c r="C366" t="str">
        <f t="shared" si="10"/>
        <v>ドンペリドン錠１０ｍｇ「ＪＧ」</v>
      </c>
      <c r="D366">
        <f t="shared" si="11"/>
        <v>6.1</v>
      </c>
    </row>
    <row r="367" spans="1:4" x14ac:dyDescent="0.15">
      <c r="A367" t="s">
        <v>1587</v>
      </c>
      <c r="B367">
        <v>76.5</v>
      </c>
      <c r="C367" t="str">
        <f t="shared" si="10"/>
        <v>ナウゼリン坐剤６０</v>
      </c>
      <c r="D367">
        <f t="shared" si="11"/>
        <v>76.5</v>
      </c>
    </row>
    <row r="368" spans="1:4" x14ac:dyDescent="0.15">
      <c r="A368" t="s">
        <v>739</v>
      </c>
      <c r="B368">
        <v>10.4</v>
      </c>
      <c r="C368" t="str">
        <f t="shared" si="10"/>
        <v>ナトリックス錠１</v>
      </c>
      <c r="D368">
        <f t="shared" si="11"/>
        <v>10.4</v>
      </c>
    </row>
    <row r="369" spans="1:4" x14ac:dyDescent="0.15">
      <c r="A369" t="s">
        <v>1588</v>
      </c>
      <c r="B369">
        <v>10.7</v>
      </c>
      <c r="C369" t="str">
        <f t="shared" si="10"/>
        <v>ニコチン酸アミド散１０％「ゾンネ」</v>
      </c>
      <c r="D369">
        <f t="shared" si="11"/>
        <v>10.7</v>
      </c>
    </row>
    <row r="370" spans="1:4" x14ac:dyDescent="0.15">
      <c r="A370" t="s">
        <v>1589</v>
      </c>
      <c r="B370">
        <v>6.1</v>
      </c>
      <c r="C370" t="str">
        <f t="shared" si="10"/>
        <v>ニコランジル錠５ｍｇ「トーワ」</v>
      </c>
      <c r="D370">
        <f t="shared" si="11"/>
        <v>6.1</v>
      </c>
    </row>
    <row r="371" spans="1:4" x14ac:dyDescent="0.15">
      <c r="A371" t="s">
        <v>1590</v>
      </c>
      <c r="B371">
        <v>10.1</v>
      </c>
      <c r="C371" t="str">
        <f t="shared" si="10"/>
        <v>ニセルゴリン錠５ｍｇ「トーワ」</v>
      </c>
      <c r="D371">
        <f t="shared" si="11"/>
        <v>10.1</v>
      </c>
    </row>
    <row r="372" spans="1:4" x14ac:dyDescent="0.15">
      <c r="A372" t="s">
        <v>1591</v>
      </c>
      <c r="B372">
        <v>16</v>
      </c>
      <c r="C372" t="str">
        <f t="shared" si="10"/>
        <v>ニゾラールクリーム２％</v>
      </c>
      <c r="D372">
        <f t="shared" si="11"/>
        <v>16</v>
      </c>
    </row>
    <row r="373" spans="1:4" x14ac:dyDescent="0.15">
      <c r="A373" t="s">
        <v>744</v>
      </c>
      <c r="B373">
        <v>22.1</v>
      </c>
      <c r="C373" t="str">
        <f t="shared" si="10"/>
        <v>ニゾラールローション２％</v>
      </c>
      <c r="D373">
        <f t="shared" si="11"/>
        <v>22.1</v>
      </c>
    </row>
    <row r="374" spans="1:4" x14ac:dyDescent="0.15">
      <c r="A374" t="s">
        <v>1592</v>
      </c>
      <c r="B374">
        <v>10</v>
      </c>
      <c r="C374" t="str">
        <f t="shared" si="10"/>
        <v>ニトロペン舌下錠０．３ｍｇ</v>
      </c>
      <c r="D374">
        <f t="shared" si="11"/>
        <v>10</v>
      </c>
    </row>
    <row r="375" spans="1:4" x14ac:dyDescent="0.15">
      <c r="A375" t="s">
        <v>1593</v>
      </c>
      <c r="B375">
        <v>8.3000000000000007</v>
      </c>
      <c r="C375" t="str">
        <f t="shared" si="10"/>
        <v>ニフェジピンカプセル１０ｍｇ「サワイ」</v>
      </c>
      <c r="D375">
        <f t="shared" si="11"/>
        <v>8.3000000000000007</v>
      </c>
    </row>
    <row r="376" spans="1:4" x14ac:dyDescent="0.15">
      <c r="A376" t="s">
        <v>1594</v>
      </c>
      <c r="B376">
        <v>1.47</v>
      </c>
      <c r="C376" t="str">
        <f t="shared" si="10"/>
        <v>乳糖水和物</v>
      </c>
      <c r="D376">
        <f t="shared" si="11"/>
        <v>1.47</v>
      </c>
    </row>
    <row r="377" spans="1:4" x14ac:dyDescent="0.15">
      <c r="A377" t="s">
        <v>1595</v>
      </c>
      <c r="B377">
        <v>296.10000000000002</v>
      </c>
      <c r="C377" t="str">
        <f t="shared" si="10"/>
        <v>ニュープロパッチ４．５ｍｇ</v>
      </c>
      <c r="D377">
        <f t="shared" si="11"/>
        <v>296.10000000000002</v>
      </c>
    </row>
    <row r="378" spans="1:4" x14ac:dyDescent="0.15">
      <c r="A378" t="s">
        <v>1596</v>
      </c>
      <c r="B378">
        <v>4735</v>
      </c>
      <c r="C378" t="str">
        <f t="shared" si="10"/>
        <v>ニューモバックスＮＰシリンジ（用時購入）</v>
      </c>
      <c r="D378">
        <f t="shared" si="11"/>
        <v>4735</v>
      </c>
    </row>
    <row r="379" spans="1:4" x14ac:dyDescent="0.15">
      <c r="A379" t="s">
        <v>1597</v>
      </c>
      <c r="B379">
        <v>6.1</v>
      </c>
      <c r="C379" t="str">
        <f t="shared" si="10"/>
        <v>ニューレプチル錠５ｍｇ</v>
      </c>
      <c r="D379">
        <f t="shared" si="11"/>
        <v>6.1</v>
      </c>
    </row>
    <row r="380" spans="1:4" x14ac:dyDescent="0.15">
      <c r="A380" t="s">
        <v>1598</v>
      </c>
      <c r="B380">
        <v>6.7</v>
      </c>
      <c r="C380" t="str">
        <f t="shared" si="10"/>
        <v>ニューレプチル錠１０ｍｇ</v>
      </c>
      <c r="D380">
        <f t="shared" si="11"/>
        <v>6.7</v>
      </c>
    </row>
    <row r="381" spans="1:4" x14ac:dyDescent="0.15">
      <c r="A381" t="s">
        <v>1599</v>
      </c>
      <c r="B381">
        <v>2.9</v>
      </c>
      <c r="C381" t="str">
        <f t="shared" si="10"/>
        <v>尿素クリーム１０％「日医工」</v>
      </c>
      <c r="D381">
        <f t="shared" si="11"/>
        <v>2.9</v>
      </c>
    </row>
    <row r="382" spans="1:4" x14ac:dyDescent="0.15">
      <c r="A382" t="s">
        <v>1600</v>
      </c>
      <c r="B382">
        <v>10.4</v>
      </c>
      <c r="C382" t="str">
        <f t="shared" si="10"/>
        <v>ニルバジピン錠４ｍｇ「サワイ」</v>
      </c>
      <c r="D382">
        <f t="shared" si="11"/>
        <v>10.4</v>
      </c>
    </row>
    <row r="383" spans="1:4" x14ac:dyDescent="0.15">
      <c r="A383" t="s">
        <v>1601</v>
      </c>
      <c r="B383">
        <v>814.8</v>
      </c>
      <c r="C383" t="str">
        <f t="shared" si="10"/>
        <v>ネイリンカプセル１００ｍｇ（用時購入）</v>
      </c>
      <c r="D383">
        <f t="shared" si="11"/>
        <v>814.8</v>
      </c>
    </row>
    <row r="384" spans="1:4" x14ac:dyDescent="0.15">
      <c r="A384" t="s">
        <v>757</v>
      </c>
      <c r="B384">
        <v>14.7</v>
      </c>
      <c r="C384" t="str">
        <f t="shared" si="10"/>
        <v>ネオドパストン配合錠Ｌ１００</v>
      </c>
      <c r="D384">
        <f t="shared" si="11"/>
        <v>14.7</v>
      </c>
    </row>
    <row r="385" spans="1:4" x14ac:dyDescent="0.15">
      <c r="A385" t="s">
        <v>1602</v>
      </c>
      <c r="B385">
        <v>100</v>
      </c>
      <c r="C385" t="str">
        <f t="shared" si="10"/>
        <v>ネオフィリン注２５０ｍｇ</v>
      </c>
      <c r="D385">
        <f t="shared" si="11"/>
        <v>100</v>
      </c>
    </row>
    <row r="386" spans="1:4" x14ac:dyDescent="0.15">
      <c r="A386" t="s">
        <v>1603</v>
      </c>
      <c r="B386">
        <v>61</v>
      </c>
      <c r="C386" t="str">
        <f t="shared" ref="C386:C449" si="12">DBCS(A386)</f>
        <v>ネオファーゲン静注２０ｍＬ</v>
      </c>
      <c r="D386">
        <f t="shared" ref="D386:D449" si="13">B386</f>
        <v>61</v>
      </c>
    </row>
    <row r="387" spans="1:4" x14ac:dyDescent="0.15">
      <c r="A387" t="s">
        <v>1604</v>
      </c>
      <c r="B387">
        <v>45.5</v>
      </c>
      <c r="C387" t="str">
        <f t="shared" si="12"/>
        <v>ネオメドロールＥＥ軟膏</v>
      </c>
      <c r="D387">
        <f t="shared" si="13"/>
        <v>45.5</v>
      </c>
    </row>
    <row r="388" spans="1:4" x14ac:dyDescent="0.15">
      <c r="A388" t="s">
        <v>1605</v>
      </c>
      <c r="B388">
        <v>28.5</v>
      </c>
      <c r="C388" t="str">
        <f t="shared" si="12"/>
        <v>ノイロトロピン錠４単位</v>
      </c>
      <c r="D388">
        <f t="shared" si="13"/>
        <v>28.5</v>
      </c>
    </row>
    <row r="389" spans="1:4" x14ac:dyDescent="0.15">
      <c r="A389" t="s">
        <v>765</v>
      </c>
      <c r="B389">
        <v>6</v>
      </c>
      <c r="C389" t="str">
        <f t="shared" si="12"/>
        <v>ノイロビタン配合錠</v>
      </c>
      <c r="D389">
        <f t="shared" si="13"/>
        <v>6</v>
      </c>
    </row>
    <row r="390" spans="1:4" x14ac:dyDescent="0.15">
      <c r="A390" t="s">
        <v>1607</v>
      </c>
      <c r="B390">
        <v>201.1</v>
      </c>
      <c r="C390" t="str">
        <f t="shared" si="12"/>
        <v>ノベルジン錠２５ｍｇ</v>
      </c>
      <c r="D390">
        <f t="shared" si="13"/>
        <v>201.1</v>
      </c>
    </row>
    <row r="391" spans="1:4" x14ac:dyDescent="0.15">
      <c r="A391" t="s">
        <v>1608</v>
      </c>
      <c r="B391">
        <v>100</v>
      </c>
      <c r="C391" t="str">
        <f t="shared" si="12"/>
        <v>ノルアドレナリン注射液</v>
      </c>
      <c r="D391">
        <f t="shared" si="13"/>
        <v>100</v>
      </c>
    </row>
    <row r="392" spans="1:4" x14ac:dyDescent="0.15">
      <c r="A392" t="s">
        <v>1609</v>
      </c>
      <c r="B392">
        <v>12.3</v>
      </c>
      <c r="C392" t="str">
        <f t="shared" si="12"/>
        <v>ハイペン錠２００ｍｇ</v>
      </c>
      <c r="D392">
        <f t="shared" si="13"/>
        <v>12.3</v>
      </c>
    </row>
    <row r="393" spans="1:4" x14ac:dyDescent="0.15">
      <c r="A393" t="s">
        <v>1610</v>
      </c>
      <c r="B393">
        <v>33.700000000000003</v>
      </c>
      <c r="C393" t="str">
        <f t="shared" si="12"/>
        <v>パキシルＣＲ錠１２．５ｍｇ</v>
      </c>
      <c r="D393">
        <f t="shared" si="13"/>
        <v>33.700000000000003</v>
      </c>
    </row>
    <row r="394" spans="1:4" x14ac:dyDescent="0.15">
      <c r="A394" t="s">
        <v>1611</v>
      </c>
      <c r="B394">
        <v>12538.6</v>
      </c>
      <c r="C394" t="str">
        <f t="shared" si="12"/>
        <v>パキロビッドパック３００</v>
      </c>
      <c r="D394">
        <f t="shared" si="13"/>
        <v>12538.6</v>
      </c>
    </row>
    <row r="395" spans="1:4" x14ac:dyDescent="0.15">
      <c r="A395" t="s">
        <v>1612</v>
      </c>
      <c r="B395">
        <v>19805.5</v>
      </c>
      <c r="C395" t="str">
        <f t="shared" si="12"/>
        <v>パキロビッドパック６００</v>
      </c>
      <c r="D395">
        <f t="shared" si="13"/>
        <v>19805.5</v>
      </c>
    </row>
    <row r="396" spans="1:4" x14ac:dyDescent="0.15">
      <c r="A396" t="s">
        <v>1613</v>
      </c>
      <c r="B396">
        <v>2.09</v>
      </c>
      <c r="C396" t="str">
        <f t="shared" si="12"/>
        <v>白色ワセリン</v>
      </c>
      <c r="D396">
        <f t="shared" si="13"/>
        <v>2.09</v>
      </c>
    </row>
    <row r="397" spans="1:4" x14ac:dyDescent="0.15">
      <c r="A397" t="s">
        <v>1614</v>
      </c>
      <c r="B397">
        <v>5.9</v>
      </c>
      <c r="C397" t="str">
        <f t="shared" si="12"/>
        <v>バッサミン配合錠Ａ８１</v>
      </c>
      <c r="D397">
        <f t="shared" si="13"/>
        <v>5.9</v>
      </c>
    </row>
    <row r="398" spans="1:4" x14ac:dyDescent="0.15">
      <c r="A398" t="s">
        <v>1615</v>
      </c>
      <c r="B398">
        <v>42.6</v>
      </c>
      <c r="C398" t="str">
        <f t="shared" si="12"/>
        <v>バナン錠１００ｍｇ</v>
      </c>
      <c r="D398">
        <f t="shared" si="13"/>
        <v>42.6</v>
      </c>
    </row>
    <row r="399" spans="1:4" x14ac:dyDescent="0.15">
      <c r="A399" t="s">
        <v>1616</v>
      </c>
      <c r="B399">
        <v>10.1</v>
      </c>
      <c r="C399" t="str">
        <f t="shared" si="12"/>
        <v>ハーフジゴキシンＫＹ錠０．１２５</v>
      </c>
      <c r="D399">
        <f t="shared" si="13"/>
        <v>10.1</v>
      </c>
    </row>
    <row r="400" spans="1:4" x14ac:dyDescent="0.15">
      <c r="A400" t="s">
        <v>1617</v>
      </c>
      <c r="B400">
        <v>4691</v>
      </c>
      <c r="C400" t="str">
        <f t="shared" si="12"/>
        <v>ハベカシン注射液７５ｍｇ</v>
      </c>
      <c r="D400">
        <f t="shared" si="13"/>
        <v>4691</v>
      </c>
    </row>
    <row r="401" spans="1:4" x14ac:dyDescent="0.15">
      <c r="A401" t="s">
        <v>1618</v>
      </c>
      <c r="B401">
        <v>67.5</v>
      </c>
      <c r="C401" t="str">
        <f t="shared" si="12"/>
        <v>バラシクロビル錠５００ｍｇ「ＳＰＫＫ」</v>
      </c>
      <c r="D401">
        <f t="shared" si="13"/>
        <v>67.5</v>
      </c>
    </row>
    <row r="402" spans="1:4" x14ac:dyDescent="0.15">
      <c r="A402" t="s">
        <v>1619</v>
      </c>
      <c r="B402">
        <v>14.3</v>
      </c>
      <c r="C402" t="str">
        <f t="shared" si="12"/>
        <v>バルプロ酸ナトリウム錠２００ｍｇ「ＤＳＰ」</v>
      </c>
      <c r="D402">
        <f t="shared" si="13"/>
        <v>14.3</v>
      </c>
    </row>
    <row r="403" spans="1:4" x14ac:dyDescent="0.15">
      <c r="A403" t="s">
        <v>782</v>
      </c>
      <c r="B403">
        <v>7</v>
      </c>
      <c r="C403" t="str">
        <f t="shared" si="12"/>
        <v>バルプロ酸ナトリウムシロップ５％「ＤＳＰ」</v>
      </c>
      <c r="D403">
        <f t="shared" si="13"/>
        <v>7</v>
      </c>
    </row>
    <row r="404" spans="1:4" x14ac:dyDescent="0.15">
      <c r="A404" t="s">
        <v>785</v>
      </c>
      <c r="B404">
        <v>554</v>
      </c>
      <c r="C404" t="str">
        <f t="shared" si="12"/>
        <v>パレプラス輸液</v>
      </c>
      <c r="D404">
        <f t="shared" si="13"/>
        <v>554</v>
      </c>
    </row>
    <row r="405" spans="1:4" x14ac:dyDescent="0.15">
      <c r="A405" t="s">
        <v>1620</v>
      </c>
      <c r="B405">
        <v>14.6</v>
      </c>
      <c r="C405" t="str">
        <f t="shared" si="12"/>
        <v>パロキセチンＯＤ錠１０ｍｇ「トーワ」</v>
      </c>
      <c r="D405">
        <f t="shared" si="13"/>
        <v>14.6</v>
      </c>
    </row>
    <row r="406" spans="1:4" x14ac:dyDescent="0.15">
      <c r="A406" t="s">
        <v>1621</v>
      </c>
      <c r="B406">
        <v>6.2</v>
      </c>
      <c r="C406" t="str">
        <f t="shared" si="12"/>
        <v>ハロペリドール錠０．７５ｍｇ「アメル」</v>
      </c>
      <c r="D406">
        <f t="shared" si="13"/>
        <v>6.2</v>
      </c>
    </row>
    <row r="407" spans="1:4" x14ac:dyDescent="0.15">
      <c r="A407" t="s">
        <v>1622</v>
      </c>
      <c r="B407">
        <v>6.3</v>
      </c>
      <c r="C407" t="str">
        <f t="shared" si="12"/>
        <v>ハロペリドール錠１ｍｇ「アメル」</v>
      </c>
      <c r="D407">
        <f t="shared" si="13"/>
        <v>6.3</v>
      </c>
    </row>
    <row r="408" spans="1:4" x14ac:dyDescent="0.15">
      <c r="A408" t="s">
        <v>1623</v>
      </c>
      <c r="B408">
        <v>6.3</v>
      </c>
      <c r="C408" t="str">
        <f t="shared" si="12"/>
        <v>ハロペリドール錠１．５ｍｇ「アメル」</v>
      </c>
      <c r="D408">
        <f t="shared" si="13"/>
        <v>6.3</v>
      </c>
    </row>
    <row r="409" spans="1:4" x14ac:dyDescent="0.15">
      <c r="A409" t="s">
        <v>1624</v>
      </c>
      <c r="B409">
        <v>6.6</v>
      </c>
      <c r="C409" t="str">
        <f t="shared" si="12"/>
        <v>ハロペリドール錠３ｍｇ「アメル」</v>
      </c>
      <c r="D409">
        <f t="shared" si="13"/>
        <v>6.6</v>
      </c>
    </row>
    <row r="410" spans="1:4" x14ac:dyDescent="0.15">
      <c r="A410" t="s">
        <v>1625</v>
      </c>
      <c r="B410">
        <v>10.1</v>
      </c>
      <c r="C410" t="str">
        <f t="shared" si="12"/>
        <v>ハロペリドール細粒１％「ヨシトミ」</v>
      </c>
      <c r="D410">
        <f t="shared" si="13"/>
        <v>10.1</v>
      </c>
    </row>
    <row r="411" spans="1:4" x14ac:dyDescent="0.15">
      <c r="A411" t="s">
        <v>1626</v>
      </c>
      <c r="B411">
        <v>1443</v>
      </c>
      <c r="C411" t="str">
        <f t="shared" si="12"/>
        <v>ハロマンス注５０ｍｇ</v>
      </c>
      <c r="D411">
        <f t="shared" si="13"/>
        <v>1443</v>
      </c>
    </row>
    <row r="412" spans="1:4" x14ac:dyDescent="0.15">
      <c r="A412" t="s">
        <v>1627</v>
      </c>
      <c r="B412">
        <v>2263</v>
      </c>
      <c r="C412" t="str">
        <f t="shared" si="12"/>
        <v>ハロマンス注１００ｍｇ</v>
      </c>
      <c r="D412">
        <f t="shared" si="13"/>
        <v>2263</v>
      </c>
    </row>
    <row r="413" spans="1:4" x14ac:dyDescent="0.15">
      <c r="A413" t="s">
        <v>1628</v>
      </c>
      <c r="B413">
        <v>754</v>
      </c>
      <c r="C413" t="str">
        <f t="shared" si="12"/>
        <v>バンコマイシン塩酸塩点滴静注用０．５ｇ「ＶＴＲＳ」</v>
      </c>
      <c r="D413">
        <f t="shared" si="13"/>
        <v>754</v>
      </c>
    </row>
    <row r="414" spans="1:4" x14ac:dyDescent="0.15">
      <c r="A414" t="s">
        <v>1629</v>
      </c>
      <c r="B414">
        <v>11.1</v>
      </c>
      <c r="C414" t="str">
        <f t="shared" si="12"/>
        <v>パントシン散２０％</v>
      </c>
      <c r="D414">
        <f t="shared" si="13"/>
        <v>11.1</v>
      </c>
    </row>
    <row r="415" spans="1:4" x14ac:dyDescent="0.15">
      <c r="A415" t="s">
        <v>1630</v>
      </c>
      <c r="B415">
        <v>10.8</v>
      </c>
      <c r="C415" t="str">
        <f t="shared" si="12"/>
        <v>パントシン錠２００</v>
      </c>
      <c r="D415">
        <f t="shared" si="13"/>
        <v>10.8</v>
      </c>
    </row>
    <row r="416" spans="1:4" x14ac:dyDescent="0.15">
      <c r="A416" t="s">
        <v>1631</v>
      </c>
      <c r="B416">
        <v>61</v>
      </c>
      <c r="C416" t="str">
        <f t="shared" si="12"/>
        <v>パントール注射液５００ｍｇ</v>
      </c>
      <c r="D416">
        <f t="shared" si="13"/>
        <v>61</v>
      </c>
    </row>
    <row r="417" spans="1:4" x14ac:dyDescent="0.15">
      <c r="A417" t="s">
        <v>1632</v>
      </c>
      <c r="B417">
        <v>173.1</v>
      </c>
      <c r="C417" t="str">
        <f t="shared" si="12"/>
        <v>ヒアルロン酸Ｎａ点眼液０．１％「ニットー」</v>
      </c>
      <c r="D417">
        <f t="shared" si="13"/>
        <v>173.1</v>
      </c>
    </row>
    <row r="418" spans="1:4" x14ac:dyDescent="0.15">
      <c r="A418" t="s">
        <v>809</v>
      </c>
      <c r="B418">
        <v>6.5</v>
      </c>
      <c r="C418" t="str">
        <f t="shared" si="12"/>
        <v>ビオフェルミン配合散</v>
      </c>
      <c r="D418">
        <f t="shared" si="13"/>
        <v>6.5</v>
      </c>
    </row>
    <row r="419" spans="1:4" x14ac:dyDescent="0.15">
      <c r="A419" t="s">
        <v>806</v>
      </c>
      <c r="B419">
        <v>5.9</v>
      </c>
      <c r="C419" t="str">
        <f t="shared" si="12"/>
        <v>ビオフェルミン錠剤</v>
      </c>
      <c r="D419">
        <f t="shared" si="13"/>
        <v>5.9</v>
      </c>
    </row>
    <row r="420" spans="1:4" x14ac:dyDescent="0.15">
      <c r="A420" t="s">
        <v>1633</v>
      </c>
      <c r="B420">
        <v>110.9</v>
      </c>
      <c r="C420" t="str">
        <f t="shared" si="12"/>
        <v>ビカルタミド錠８０ｍｇ「オーハラ」</v>
      </c>
      <c r="D420">
        <f t="shared" si="13"/>
        <v>110.9</v>
      </c>
    </row>
    <row r="421" spans="1:4" x14ac:dyDescent="0.15">
      <c r="A421" t="s">
        <v>1634</v>
      </c>
      <c r="B421">
        <v>6.1</v>
      </c>
      <c r="C421" t="str">
        <f t="shared" si="12"/>
        <v>ピコスルファートナトリウム錠２．５ｍｇ「イワキ」</v>
      </c>
      <c r="D421">
        <f t="shared" si="13"/>
        <v>6.1</v>
      </c>
    </row>
    <row r="422" spans="1:4" x14ac:dyDescent="0.15">
      <c r="A422" t="s">
        <v>1635</v>
      </c>
      <c r="B422">
        <v>7.5</v>
      </c>
      <c r="C422" t="str">
        <f t="shared" si="12"/>
        <v>ピコスルファートナトリウム内用液０．７５％「イワキ」</v>
      </c>
      <c r="D422">
        <f t="shared" si="13"/>
        <v>7.5</v>
      </c>
    </row>
    <row r="423" spans="1:4" x14ac:dyDescent="0.15">
      <c r="A423" t="s">
        <v>1636</v>
      </c>
      <c r="B423">
        <v>16.600000000000001</v>
      </c>
      <c r="C423" t="str">
        <f t="shared" si="12"/>
        <v>ビ・シフロール錠０．１２５ｍｇ</v>
      </c>
      <c r="D423">
        <f t="shared" si="13"/>
        <v>16.600000000000001</v>
      </c>
    </row>
    <row r="424" spans="1:4" x14ac:dyDescent="0.15">
      <c r="A424" t="s">
        <v>804</v>
      </c>
      <c r="B424">
        <v>9.6999999999999993</v>
      </c>
      <c r="C424" t="str">
        <f t="shared" si="12"/>
        <v>ピーゼットシー糖衣錠４ｍｇ</v>
      </c>
      <c r="D424">
        <f t="shared" si="13"/>
        <v>9.6999999999999993</v>
      </c>
    </row>
    <row r="425" spans="1:4" x14ac:dyDescent="0.15">
      <c r="A425" t="s">
        <v>1637</v>
      </c>
      <c r="B425">
        <v>57</v>
      </c>
      <c r="C425" t="str">
        <f t="shared" si="12"/>
        <v>ビソノテープ４ｍｇ</v>
      </c>
      <c r="D425">
        <f t="shared" si="13"/>
        <v>57</v>
      </c>
    </row>
    <row r="426" spans="1:4" x14ac:dyDescent="0.15">
      <c r="A426" t="s">
        <v>817</v>
      </c>
      <c r="B426">
        <v>41.5</v>
      </c>
      <c r="C426" t="str">
        <f t="shared" si="12"/>
        <v>ビソノテープ２ｍｇ</v>
      </c>
      <c r="D426">
        <f t="shared" si="13"/>
        <v>41.5</v>
      </c>
    </row>
    <row r="427" spans="1:4" x14ac:dyDescent="0.15">
      <c r="A427" t="s">
        <v>1638</v>
      </c>
      <c r="B427">
        <v>10.4</v>
      </c>
      <c r="C427" t="str">
        <f t="shared" si="12"/>
        <v>ビソプロロールフマル酸塩錠２．５ｍｇ「トーワ」</v>
      </c>
      <c r="D427">
        <f t="shared" si="13"/>
        <v>10.4</v>
      </c>
    </row>
    <row r="428" spans="1:4" x14ac:dyDescent="0.15">
      <c r="A428" t="s">
        <v>1639</v>
      </c>
      <c r="B428">
        <v>10.4</v>
      </c>
      <c r="C428" t="str">
        <f t="shared" si="12"/>
        <v>ビソプロロールフマル酸塩錠０．６２５ｍｇ「トーワ」</v>
      </c>
      <c r="D428">
        <f t="shared" si="13"/>
        <v>10.4</v>
      </c>
    </row>
    <row r="429" spans="1:4" x14ac:dyDescent="0.15">
      <c r="A429" t="s">
        <v>1640</v>
      </c>
      <c r="B429">
        <v>74.099999999999994</v>
      </c>
      <c r="C429" t="str">
        <f t="shared" si="12"/>
        <v>ビダラビン軟膏３％「ＳＷ」</v>
      </c>
      <c r="D429">
        <f t="shared" si="13"/>
        <v>74.099999999999994</v>
      </c>
    </row>
    <row r="430" spans="1:4" x14ac:dyDescent="0.15">
      <c r="A430" t="s">
        <v>1641</v>
      </c>
      <c r="B430">
        <v>12.5</v>
      </c>
      <c r="C430" t="str">
        <f t="shared" si="12"/>
        <v>ビブラマイシン錠５０ｍｇ</v>
      </c>
      <c r="D430">
        <f t="shared" si="13"/>
        <v>12.5</v>
      </c>
    </row>
    <row r="431" spans="1:4" x14ac:dyDescent="0.15">
      <c r="A431" t="s">
        <v>1642</v>
      </c>
      <c r="B431">
        <v>48.7</v>
      </c>
      <c r="C431" t="str">
        <f t="shared" si="12"/>
        <v>ビプレッソ徐放錠５０ｍｇ</v>
      </c>
      <c r="D431">
        <f t="shared" si="13"/>
        <v>48.7</v>
      </c>
    </row>
    <row r="432" spans="1:4" x14ac:dyDescent="0.15">
      <c r="A432" t="s">
        <v>1643</v>
      </c>
      <c r="B432">
        <v>131.30000000000001</v>
      </c>
      <c r="C432" t="str">
        <f t="shared" si="12"/>
        <v>ビプレッソ徐放錠１５０ｍｇ</v>
      </c>
      <c r="D432">
        <f t="shared" si="13"/>
        <v>131.30000000000001</v>
      </c>
    </row>
    <row r="433" spans="1:4" x14ac:dyDescent="0.15">
      <c r="A433" t="s">
        <v>1644</v>
      </c>
      <c r="B433">
        <v>5.9</v>
      </c>
      <c r="C433" t="str">
        <f t="shared" si="12"/>
        <v>ビペリデン塩酸塩錠１ｍｇ「アメル」</v>
      </c>
      <c r="D433">
        <f t="shared" si="13"/>
        <v>5.9</v>
      </c>
    </row>
    <row r="434" spans="1:4" x14ac:dyDescent="0.15">
      <c r="A434" t="s">
        <v>1645</v>
      </c>
      <c r="B434">
        <v>11</v>
      </c>
      <c r="C434" t="str">
        <f t="shared" si="12"/>
        <v>ビペリデン塩酸塩細粒１％「アメル」</v>
      </c>
      <c r="D434">
        <f t="shared" si="13"/>
        <v>11</v>
      </c>
    </row>
    <row r="435" spans="1:4" x14ac:dyDescent="0.15">
      <c r="A435" t="s">
        <v>831</v>
      </c>
      <c r="B435">
        <v>5.9</v>
      </c>
      <c r="C435" t="str">
        <f t="shared" si="12"/>
        <v>ヒベルナ糖衣錠２５ｍｇ</v>
      </c>
      <c r="D435">
        <f t="shared" si="13"/>
        <v>5.9</v>
      </c>
    </row>
    <row r="436" spans="1:4" x14ac:dyDescent="0.15">
      <c r="A436" t="s">
        <v>1648</v>
      </c>
      <c r="B436">
        <v>39.200000000000003</v>
      </c>
      <c r="C436" t="str">
        <f t="shared" si="12"/>
        <v>ピメノールカプセル５０ｍｇ</v>
      </c>
      <c r="D436">
        <f t="shared" si="13"/>
        <v>39.200000000000003</v>
      </c>
    </row>
    <row r="437" spans="1:4" x14ac:dyDescent="0.15">
      <c r="A437" t="s">
        <v>1649</v>
      </c>
      <c r="B437">
        <v>31.9</v>
      </c>
      <c r="C437" t="str">
        <f t="shared" si="12"/>
        <v>ピモベンダン錠１．２５ｍｇ「ＴＥ」</v>
      </c>
      <c r="D437">
        <f t="shared" si="13"/>
        <v>31.9</v>
      </c>
    </row>
    <row r="438" spans="1:4" x14ac:dyDescent="0.15">
      <c r="A438" t="s">
        <v>1650</v>
      </c>
      <c r="B438">
        <v>232</v>
      </c>
      <c r="C438" t="str">
        <f t="shared" si="12"/>
        <v>ヒューマリンＲ注１００単位／ｍＬ</v>
      </c>
      <c r="D438">
        <f t="shared" si="13"/>
        <v>232</v>
      </c>
    </row>
    <row r="439" spans="1:4" x14ac:dyDescent="0.15">
      <c r="A439" t="s">
        <v>1651</v>
      </c>
      <c r="B439">
        <v>1190</v>
      </c>
      <c r="C439" t="str">
        <f t="shared" si="12"/>
        <v>ヒューマログミックス５０注ミリオペン</v>
      </c>
      <c r="D439">
        <f t="shared" si="13"/>
        <v>1190</v>
      </c>
    </row>
    <row r="440" spans="1:4" x14ac:dyDescent="0.15">
      <c r="A440" t="s">
        <v>1652</v>
      </c>
      <c r="B440">
        <v>49.1</v>
      </c>
      <c r="C440" t="str">
        <f t="shared" si="12"/>
        <v>ビラノアＯＤ錠２０ｍｇ</v>
      </c>
      <c r="D440">
        <f t="shared" si="13"/>
        <v>49.1</v>
      </c>
    </row>
    <row r="441" spans="1:4" x14ac:dyDescent="0.15">
      <c r="A441" t="s">
        <v>1653</v>
      </c>
      <c r="B441">
        <v>18.2</v>
      </c>
      <c r="C441" t="str">
        <f t="shared" si="12"/>
        <v>ヒルドイドソフト軟膏０．３％</v>
      </c>
      <c r="D441">
        <f t="shared" si="13"/>
        <v>18.2</v>
      </c>
    </row>
    <row r="442" spans="1:4" x14ac:dyDescent="0.15">
      <c r="A442" t="s">
        <v>1654</v>
      </c>
      <c r="B442">
        <v>5.9</v>
      </c>
      <c r="C442" t="str">
        <f t="shared" si="12"/>
        <v>ヒルナミン錠（５ｍｇ）</v>
      </c>
      <c r="D442">
        <f t="shared" si="13"/>
        <v>5.9</v>
      </c>
    </row>
    <row r="443" spans="1:4" x14ac:dyDescent="0.15">
      <c r="A443" t="s">
        <v>1655</v>
      </c>
      <c r="B443">
        <v>5.9</v>
      </c>
      <c r="C443" t="str">
        <f t="shared" si="12"/>
        <v>ヒルナミン錠（２５ｍｇ）</v>
      </c>
      <c r="D443">
        <f t="shared" si="13"/>
        <v>5.9</v>
      </c>
    </row>
    <row r="444" spans="1:4" x14ac:dyDescent="0.15">
      <c r="A444" t="s">
        <v>1656</v>
      </c>
      <c r="B444">
        <v>8.9</v>
      </c>
      <c r="C444" t="str">
        <f t="shared" si="12"/>
        <v>ヒルナミン錠（５０ｍｇ）</v>
      </c>
      <c r="D444">
        <f t="shared" si="13"/>
        <v>8.9</v>
      </c>
    </row>
    <row r="445" spans="1:4" x14ac:dyDescent="0.15">
      <c r="A445" t="s">
        <v>1657</v>
      </c>
      <c r="B445">
        <v>14.3</v>
      </c>
      <c r="C445" t="str">
        <f t="shared" si="12"/>
        <v>ヒルナミン細粒１０％</v>
      </c>
      <c r="D445">
        <f t="shared" si="13"/>
        <v>14.3</v>
      </c>
    </row>
    <row r="446" spans="1:4" x14ac:dyDescent="0.15">
      <c r="A446" t="s">
        <v>1658</v>
      </c>
      <c r="B446">
        <v>67</v>
      </c>
      <c r="C446" t="str">
        <f t="shared" si="12"/>
        <v>ピレノキシン懸濁性点眼液０．００５％「参天」</v>
      </c>
      <c r="D446">
        <f t="shared" si="13"/>
        <v>67</v>
      </c>
    </row>
    <row r="447" spans="1:4" x14ac:dyDescent="0.15">
      <c r="A447" t="s">
        <v>1659</v>
      </c>
      <c r="B447">
        <v>10.4</v>
      </c>
      <c r="C447" t="str">
        <f t="shared" si="12"/>
        <v>ファモチジンＤ錠２０ｍｇ「サワイ」</v>
      </c>
      <c r="D447">
        <f t="shared" si="13"/>
        <v>10.4</v>
      </c>
    </row>
    <row r="448" spans="1:4" x14ac:dyDescent="0.15">
      <c r="A448" t="s">
        <v>1660</v>
      </c>
      <c r="B448">
        <v>100</v>
      </c>
      <c r="C448" t="str">
        <f t="shared" si="12"/>
        <v>ファモチジン静注液２０ｍｇ「サワイ」</v>
      </c>
      <c r="D448">
        <f t="shared" si="13"/>
        <v>100</v>
      </c>
    </row>
    <row r="449" spans="1:4" x14ac:dyDescent="0.15">
      <c r="A449" t="s">
        <v>1661</v>
      </c>
      <c r="B449">
        <v>153</v>
      </c>
      <c r="C449" t="str">
        <f t="shared" si="12"/>
        <v>ファロム錠２００ｍｇ</v>
      </c>
      <c r="D449">
        <f t="shared" si="13"/>
        <v>153</v>
      </c>
    </row>
    <row r="450" spans="1:4" x14ac:dyDescent="0.15">
      <c r="A450" t="s">
        <v>1662</v>
      </c>
      <c r="B450">
        <v>54.6</v>
      </c>
      <c r="C450" t="str">
        <f t="shared" ref="C450:C513" si="14">DBCS(A450)</f>
        <v>ファンギゾンシロップ１００ｍｇ／ｍＬ</v>
      </c>
      <c r="D450">
        <f t="shared" ref="D450:D513" si="15">B450</f>
        <v>54.6</v>
      </c>
    </row>
    <row r="451" spans="1:4" x14ac:dyDescent="0.15">
      <c r="A451" t="s">
        <v>1663</v>
      </c>
      <c r="B451">
        <v>195.7</v>
      </c>
      <c r="C451" t="str">
        <f t="shared" si="14"/>
        <v>フィコンパ錠２ｍｇ</v>
      </c>
      <c r="D451">
        <f t="shared" si="15"/>
        <v>195.7</v>
      </c>
    </row>
    <row r="452" spans="1:4" x14ac:dyDescent="0.15">
      <c r="A452" t="s">
        <v>1664</v>
      </c>
      <c r="B452">
        <v>127</v>
      </c>
      <c r="C452" t="str">
        <f t="shared" si="14"/>
        <v>フェジン静注４０ｍｇ</v>
      </c>
      <c r="D452">
        <f t="shared" si="15"/>
        <v>127</v>
      </c>
    </row>
    <row r="453" spans="1:4" x14ac:dyDescent="0.15">
      <c r="A453" t="s">
        <v>1665</v>
      </c>
      <c r="B453">
        <v>7.5</v>
      </c>
      <c r="C453" t="str">
        <f t="shared" si="14"/>
        <v>フェノバルビタール散１０％「ホエイ」</v>
      </c>
      <c r="D453">
        <f t="shared" si="15"/>
        <v>7.5</v>
      </c>
    </row>
    <row r="454" spans="1:4" x14ac:dyDescent="0.15">
      <c r="A454" t="s">
        <v>1666</v>
      </c>
      <c r="B454">
        <v>10.4</v>
      </c>
      <c r="C454" t="str">
        <f t="shared" si="14"/>
        <v>フェノバール錠３０ｍｇ</v>
      </c>
      <c r="D454">
        <f t="shared" si="15"/>
        <v>10.4</v>
      </c>
    </row>
    <row r="455" spans="1:4" x14ac:dyDescent="0.15">
      <c r="A455" t="s">
        <v>1667</v>
      </c>
      <c r="B455">
        <v>70</v>
      </c>
      <c r="C455" t="str">
        <f t="shared" si="14"/>
        <v>フェノバール注射液１００ｍｇ</v>
      </c>
      <c r="D455">
        <f t="shared" si="15"/>
        <v>70</v>
      </c>
    </row>
    <row r="456" spans="1:4" x14ac:dyDescent="0.15">
      <c r="A456" t="s">
        <v>1668</v>
      </c>
      <c r="B456">
        <v>6.1</v>
      </c>
      <c r="C456" t="str">
        <f t="shared" si="14"/>
        <v>フェブキソスタットＯＤ錠１０ｍｇ「サワイ」</v>
      </c>
      <c r="D456">
        <f t="shared" si="15"/>
        <v>6.1</v>
      </c>
    </row>
    <row r="457" spans="1:4" x14ac:dyDescent="0.15">
      <c r="A457" t="s">
        <v>1669</v>
      </c>
      <c r="B457">
        <v>6.1</v>
      </c>
      <c r="C457" t="str">
        <f t="shared" si="14"/>
        <v>フェロミア錠５０ｍｇ</v>
      </c>
      <c r="D457">
        <f t="shared" si="15"/>
        <v>6.1</v>
      </c>
    </row>
    <row r="458" spans="1:4" x14ac:dyDescent="0.15">
      <c r="A458" t="s">
        <v>1670</v>
      </c>
      <c r="B458">
        <v>11.3</v>
      </c>
      <c r="C458" t="str">
        <f t="shared" si="14"/>
        <v>フェロジピン錠５ｍｇ「ＮＩＧ」</v>
      </c>
      <c r="D458">
        <f t="shared" si="15"/>
        <v>11.3</v>
      </c>
    </row>
    <row r="459" spans="1:4" x14ac:dyDescent="0.15">
      <c r="A459" t="s">
        <v>867</v>
      </c>
      <c r="B459">
        <v>149.30000000000001</v>
      </c>
      <c r="C459" t="str">
        <f t="shared" si="14"/>
        <v>フォシーガ錠５ｍｇ</v>
      </c>
      <c r="D459">
        <f t="shared" si="15"/>
        <v>149.30000000000001</v>
      </c>
    </row>
    <row r="460" spans="1:4" x14ac:dyDescent="0.15">
      <c r="A460" t="s">
        <v>1671</v>
      </c>
      <c r="B460">
        <v>10.1</v>
      </c>
      <c r="C460" t="str">
        <f t="shared" si="14"/>
        <v>フォリアミン錠</v>
      </c>
      <c r="D460">
        <f t="shared" si="15"/>
        <v>10.1</v>
      </c>
    </row>
    <row r="461" spans="1:4" x14ac:dyDescent="0.15">
      <c r="A461" t="s">
        <v>1672</v>
      </c>
      <c r="B461">
        <v>715</v>
      </c>
      <c r="C461" t="str">
        <f t="shared" si="14"/>
        <v>注射用フサン５０</v>
      </c>
      <c r="D461">
        <f t="shared" si="15"/>
        <v>715</v>
      </c>
    </row>
    <row r="462" spans="1:4" x14ac:dyDescent="0.15">
      <c r="A462" t="s">
        <v>1673</v>
      </c>
      <c r="B462">
        <v>61</v>
      </c>
      <c r="C462" t="str">
        <f t="shared" si="14"/>
        <v>ブスコパン注２０ｍｇ</v>
      </c>
      <c r="D462">
        <f t="shared" si="15"/>
        <v>61</v>
      </c>
    </row>
    <row r="463" spans="1:4" x14ac:dyDescent="0.15">
      <c r="A463" t="s">
        <v>1674</v>
      </c>
      <c r="B463">
        <v>0.77</v>
      </c>
      <c r="C463" t="str">
        <f t="shared" si="14"/>
        <v>ブドウ糖＊（扶桑）</v>
      </c>
      <c r="D463">
        <f t="shared" si="15"/>
        <v>0.77</v>
      </c>
    </row>
    <row r="464" spans="1:4" x14ac:dyDescent="0.15">
      <c r="A464" t="s">
        <v>1675</v>
      </c>
      <c r="B464">
        <v>100</v>
      </c>
      <c r="C464" t="str">
        <f t="shared" si="14"/>
        <v>ブドウ糖注５％ＰＬ「フソー」</v>
      </c>
      <c r="D464">
        <f t="shared" si="15"/>
        <v>100</v>
      </c>
    </row>
    <row r="465" spans="1:4" x14ac:dyDescent="0.15">
      <c r="A465" t="s">
        <v>1676</v>
      </c>
      <c r="B465">
        <v>100</v>
      </c>
      <c r="C465" t="str">
        <f t="shared" si="14"/>
        <v>ブドウ糖注５０％ＰＬ「フソー」</v>
      </c>
      <c r="D465">
        <f t="shared" si="15"/>
        <v>100</v>
      </c>
    </row>
    <row r="466" spans="1:4" x14ac:dyDescent="0.15">
      <c r="A466" t="s">
        <v>1675</v>
      </c>
      <c r="B466">
        <v>151</v>
      </c>
      <c r="C466" t="str">
        <f t="shared" si="14"/>
        <v>ブドウ糖注５％ＰＬ「フソー」</v>
      </c>
      <c r="D466">
        <f t="shared" si="15"/>
        <v>151</v>
      </c>
    </row>
    <row r="467" spans="1:4" x14ac:dyDescent="0.15">
      <c r="A467" t="s">
        <v>1677</v>
      </c>
      <c r="B467">
        <v>54.3</v>
      </c>
      <c r="C467" t="str">
        <f t="shared" si="14"/>
        <v>フラジール腟錠２５０ｍｇ</v>
      </c>
      <c r="D467">
        <f t="shared" si="15"/>
        <v>54.3</v>
      </c>
    </row>
    <row r="468" spans="1:4" x14ac:dyDescent="0.15">
      <c r="A468" t="s">
        <v>1678</v>
      </c>
      <c r="B468">
        <v>36.200000000000003</v>
      </c>
      <c r="C468" t="str">
        <f t="shared" si="14"/>
        <v>フラジール内服錠２５０ｍｇ</v>
      </c>
      <c r="D468">
        <f t="shared" si="15"/>
        <v>36.200000000000003</v>
      </c>
    </row>
    <row r="469" spans="1:4" x14ac:dyDescent="0.15">
      <c r="A469" t="s">
        <v>1679</v>
      </c>
      <c r="B469">
        <v>0</v>
      </c>
      <c r="C469" t="str">
        <f t="shared" si="14"/>
        <v>プラセボカプセル</v>
      </c>
      <c r="D469">
        <f t="shared" si="15"/>
        <v>0</v>
      </c>
    </row>
    <row r="470" spans="1:4" x14ac:dyDescent="0.15">
      <c r="A470" t="s">
        <v>1680</v>
      </c>
      <c r="B470">
        <v>0</v>
      </c>
      <c r="C470" t="str">
        <f t="shared" si="14"/>
        <v>プラセボ散</v>
      </c>
      <c r="D470">
        <f t="shared" si="15"/>
        <v>0</v>
      </c>
    </row>
    <row r="471" spans="1:4" x14ac:dyDescent="0.15">
      <c r="A471" t="s">
        <v>1681</v>
      </c>
      <c r="B471">
        <v>10.4</v>
      </c>
      <c r="C471" t="str">
        <f t="shared" si="14"/>
        <v>プラバスタチンＮａ錠５ｍｇ「サワイ」</v>
      </c>
      <c r="D471">
        <f t="shared" si="15"/>
        <v>10.4</v>
      </c>
    </row>
    <row r="472" spans="1:4" x14ac:dyDescent="0.15">
      <c r="A472" t="s">
        <v>1682</v>
      </c>
      <c r="B472">
        <v>24939</v>
      </c>
      <c r="C472" t="str">
        <f t="shared" si="14"/>
        <v>プラリアＨＩ皮下注６０ｍｇシリンジ０．５ｍＬ（用時購入）</v>
      </c>
      <c r="D472">
        <f t="shared" si="15"/>
        <v>24939</v>
      </c>
    </row>
    <row r="473" spans="1:4" x14ac:dyDescent="0.15">
      <c r="A473" t="s">
        <v>1683</v>
      </c>
      <c r="B473">
        <v>38.4</v>
      </c>
      <c r="C473" t="str">
        <f t="shared" si="14"/>
        <v>フランドルテープ４０ｍｇ</v>
      </c>
      <c r="D473">
        <f t="shared" si="15"/>
        <v>38.4</v>
      </c>
    </row>
    <row r="474" spans="1:4" x14ac:dyDescent="0.15">
      <c r="A474" t="s">
        <v>1684</v>
      </c>
      <c r="B474">
        <v>12.1</v>
      </c>
      <c r="C474" t="str">
        <f t="shared" si="14"/>
        <v>プリモボラン錠５ｍｇ</v>
      </c>
      <c r="D474">
        <f t="shared" si="15"/>
        <v>12.1</v>
      </c>
    </row>
    <row r="475" spans="1:4" x14ac:dyDescent="0.15">
      <c r="A475" t="s">
        <v>1685</v>
      </c>
      <c r="B475">
        <v>61</v>
      </c>
      <c r="C475" t="str">
        <f t="shared" si="14"/>
        <v>プリンペラン注射液１０ｍｇ</v>
      </c>
      <c r="D475">
        <f t="shared" si="15"/>
        <v>61</v>
      </c>
    </row>
    <row r="476" spans="1:4" x14ac:dyDescent="0.15">
      <c r="A476" t="s">
        <v>890</v>
      </c>
      <c r="B476">
        <v>10.1</v>
      </c>
      <c r="C476" t="str">
        <f t="shared" si="14"/>
        <v>フルイトラン錠２ｍｇ</v>
      </c>
      <c r="D476">
        <f t="shared" si="15"/>
        <v>10.1</v>
      </c>
    </row>
    <row r="477" spans="1:4" x14ac:dyDescent="0.15">
      <c r="A477" t="s">
        <v>1686</v>
      </c>
      <c r="B477">
        <v>17.899999999999999</v>
      </c>
      <c r="C477" t="str">
        <f t="shared" si="14"/>
        <v>フルオロメトロン点眼液０．１％「ＮＩＴ」</v>
      </c>
      <c r="D477">
        <f t="shared" si="15"/>
        <v>17.899999999999999</v>
      </c>
    </row>
    <row r="478" spans="1:4" x14ac:dyDescent="0.15">
      <c r="A478" t="s">
        <v>1687</v>
      </c>
      <c r="B478">
        <v>150</v>
      </c>
      <c r="C478" t="str">
        <f t="shared" si="14"/>
        <v>フルコナゾールカプセル１００ｍｇ「サワイ」</v>
      </c>
      <c r="D478">
        <f t="shared" si="15"/>
        <v>150</v>
      </c>
    </row>
    <row r="479" spans="1:4" x14ac:dyDescent="0.15">
      <c r="A479" t="s">
        <v>892</v>
      </c>
      <c r="B479">
        <v>1416</v>
      </c>
      <c r="C479" t="str">
        <f t="shared" si="14"/>
        <v>フルデカシン筋注２５ｍｇ</v>
      </c>
      <c r="D479">
        <f t="shared" si="15"/>
        <v>1416</v>
      </c>
    </row>
    <row r="480" spans="1:4" x14ac:dyDescent="0.15">
      <c r="A480" t="s">
        <v>1688</v>
      </c>
      <c r="B480">
        <v>5.9</v>
      </c>
      <c r="C480" t="str">
        <f t="shared" si="14"/>
        <v>フルニトラゼパム錠１ｍｇ「アメル」</v>
      </c>
      <c r="D480">
        <f t="shared" si="15"/>
        <v>5.9</v>
      </c>
    </row>
    <row r="481" spans="1:4" x14ac:dyDescent="0.15">
      <c r="A481" t="s">
        <v>1689</v>
      </c>
      <c r="B481">
        <v>6.1</v>
      </c>
      <c r="C481" t="str">
        <f t="shared" si="14"/>
        <v>フルニトラゼパム錠２ｍｇ「アメル」</v>
      </c>
      <c r="D481">
        <f t="shared" si="15"/>
        <v>6.1</v>
      </c>
    </row>
    <row r="482" spans="1:4" x14ac:dyDescent="0.15">
      <c r="A482" t="s">
        <v>1690</v>
      </c>
      <c r="B482">
        <v>11.4</v>
      </c>
      <c r="C482" t="str">
        <f t="shared" si="14"/>
        <v>プレガバリンＯＤ錠２５ｍｇ「サワイ」</v>
      </c>
      <c r="D482">
        <f t="shared" si="15"/>
        <v>11.4</v>
      </c>
    </row>
    <row r="483" spans="1:4" x14ac:dyDescent="0.15">
      <c r="A483" t="s">
        <v>1691</v>
      </c>
      <c r="B483">
        <v>18.3</v>
      </c>
      <c r="C483" t="str">
        <f t="shared" si="14"/>
        <v>プレガバリンＯＤ錠７５ｍｇ「サワイ」</v>
      </c>
      <c r="D483">
        <f t="shared" si="15"/>
        <v>18.3</v>
      </c>
    </row>
    <row r="484" spans="1:4" x14ac:dyDescent="0.15">
      <c r="A484" t="s">
        <v>1692</v>
      </c>
      <c r="B484">
        <v>8.6</v>
      </c>
      <c r="C484" t="str">
        <f t="shared" si="14"/>
        <v>プレドニゾロン錠１ｍｇ「ＶＴＲＳ」</v>
      </c>
      <c r="D484">
        <f t="shared" si="15"/>
        <v>8.6</v>
      </c>
    </row>
    <row r="485" spans="1:4" x14ac:dyDescent="0.15">
      <c r="A485" t="s">
        <v>1693</v>
      </c>
      <c r="B485">
        <v>10.1</v>
      </c>
      <c r="C485" t="str">
        <f t="shared" si="14"/>
        <v>プレドニゾロン錠５ｍｇ「ＶＴＲＳ」</v>
      </c>
      <c r="D485">
        <f t="shared" si="15"/>
        <v>10.1</v>
      </c>
    </row>
    <row r="486" spans="1:4" x14ac:dyDescent="0.15">
      <c r="A486" t="s">
        <v>1694</v>
      </c>
      <c r="B486">
        <v>205</v>
      </c>
      <c r="C486" t="str">
        <f t="shared" si="14"/>
        <v>水溶性プレドニン１０ｍｇ</v>
      </c>
      <c r="D486">
        <f t="shared" si="15"/>
        <v>205</v>
      </c>
    </row>
    <row r="487" spans="1:4" x14ac:dyDescent="0.15">
      <c r="A487" t="s">
        <v>1695</v>
      </c>
      <c r="B487">
        <v>34.299999999999997</v>
      </c>
      <c r="C487" t="str">
        <f t="shared" si="14"/>
        <v>プロスタンディン軟膏０．００３％</v>
      </c>
      <c r="D487">
        <f t="shared" si="15"/>
        <v>34.299999999999997</v>
      </c>
    </row>
    <row r="488" spans="1:4" x14ac:dyDescent="0.15">
      <c r="A488" t="s">
        <v>1696</v>
      </c>
      <c r="B488">
        <v>6.3</v>
      </c>
      <c r="C488" t="str">
        <f t="shared" si="14"/>
        <v>フロセミド錠２０ｍｇ「ＮＩＧ」</v>
      </c>
      <c r="D488">
        <f t="shared" si="15"/>
        <v>6.3</v>
      </c>
    </row>
    <row r="489" spans="1:4" x14ac:dyDescent="0.15">
      <c r="A489" t="s">
        <v>1697</v>
      </c>
      <c r="B489">
        <v>27.4</v>
      </c>
      <c r="C489" t="str">
        <f t="shared" si="14"/>
        <v>フロセミド細粒４％「ＥＭＥＣ」</v>
      </c>
      <c r="D489">
        <f t="shared" si="15"/>
        <v>27.4</v>
      </c>
    </row>
    <row r="490" spans="1:4" x14ac:dyDescent="0.15">
      <c r="A490" t="s">
        <v>1698</v>
      </c>
      <c r="B490">
        <v>60</v>
      </c>
      <c r="C490" t="str">
        <f t="shared" si="14"/>
        <v>フロセミド注２０ｍｇ「トーワ」</v>
      </c>
      <c r="D490">
        <f t="shared" si="15"/>
        <v>60</v>
      </c>
    </row>
    <row r="491" spans="1:4" x14ac:dyDescent="0.15">
      <c r="A491" t="s">
        <v>1699</v>
      </c>
      <c r="B491">
        <v>10.4</v>
      </c>
      <c r="C491" t="str">
        <f t="shared" si="14"/>
        <v>ブロチゾラム錠０．２５ｍｇ「ヨシトミ」</v>
      </c>
      <c r="D491">
        <f t="shared" si="15"/>
        <v>10.4</v>
      </c>
    </row>
    <row r="492" spans="1:4" x14ac:dyDescent="0.15">
      <c r="A492" t="s">
        <v>1700</v>
      </c>
      <c r="B492">
        <v>9.3000000000000007</v>
      </c>
      <c r="C492" t="str">
        <f t="shared" si="14"/>
        <v>ブロナンセリン錠２ｍｇ「ＤＳＰＢ」</v>
      </c>
      <c r="D492">
        <f t="shared" si="15"/>
        <v>9.3000000000000007</v>
      </c>
    </row>
    <row r="493" spans="1:4" x14ac:dyDescent="0.15">
      <c r="A493" t="s">
        <v>1701</v>
      </c>
      <c r="B493">
        <v>18</v>
      </c>
      <c r="C493" t="str">
        <f t="shared" si="14"/>
        <v>ブロナンセリン錠４ｍｇ「ＤＳＰＢ」</v>
      </c>
      <c r="D493">
        <f t="shared" si="15"/>
        <v>18</v>
      </c>
    </row>
    <row r="494" spans="1:4" x14ac:dyDescent="0.15">
      <c r="A494" t="s">
        <v>1702</v>
      </c>
      <c r="B494">
        <v>32</v>
      </c>
      <c r="C494" t="str">
        <f t="shared" si="14"/>
        <v>ブロナンセリン錠８ｍｇ「ＤＳＰＢ」</v>
      </c>
      <c r="D494">
        <f t="shared" si="15"/>
        <v>32</v>
      </c>
    </row>
    <row r="495" spans="1:4" x14ac:dyDescent="0.15">
      <c r="A495" t="s">
        <v>1703</v>
      </c>
      <c r="B495">
        <v>99.2</v>
      </c>
      <c r="C495" t="str">
        <f t="shared" si="14"/>
        <v>ブロナンセリン散２％「ＤＳＰＢ」</v>
      </c>
      <c r="D495">
        <f t="shared" si="15"/>
        <v>99.2</v>
      </c>
    </row>
    <row r="496" spans="1:4" x14ac:dyDescent="0.15">
      <c r="A496" t="s">
        <v>1704</v>
      </c>
      <c r="B496">
        <v>64.3</v>
      </c>
      <c r="C496" t="str">
        <f t="shared" si="14"/>
        <v>ブロナック点眼液０．１％</v>
      </c>
      <c r="D496">
        <f t="shared" si="15"/>
        <v>64.3</v>
      </c>
    </row>
    <row r="497" spans="1:4" x14ac:dyDescent="0.15">
      <c r="A497" t="s">
        <v>1705</v>
      </c>
      <c r="B497">
        <v>12</v>
      </c>
      <c r="C497" t="str">
        <f t="shared" si="14"/>
        <v>プロピベリン塩酸塩錠１０ｍｇ「ＮＩＧ」</v>
      </c>
      <c r="D497">
        <f t="shared" si="15"/>
        <v>12</v>
      </c>
    </row>
    <row r="498" spans="1:4" x14ac:dyDescent="0.15">
      <c r="A498" t="s">
        <v>1706</v>
      </c>
      <c r="B498">
        <v>15.6</v>
      </c>
      <c r="C498" t="str">
        <f t="shared" si="14"/>
        <v>プロマックＤ錠７５</v>
      </c>
      <c r="D498">
        <f t="shared" si="15"/>
        <v>15.6</v>
      </c>
    </row>
    <row r="499" spans="1:4" x14ac:dyDescent="0.15">
      <c r="A499" t="s">
        <v>1707</v>
      </c>
      <c r="B499">
        <v>6.7</v>
      </c>
      <c r="C499" t="str">
        <f t="shared" si="14"/>
        <v>ブロムペリドール錠３ｍｇ「アメル」</v>
      </c>
      <c r="D499">
        <f t="shared" si="15"/>
        <v>6.7</v>
      </c>
    </row>
    <row r="500" spans="1:4" x14ac:dyDescent="0.15">
      <c r="A500" t="s">
        <v>1240</v>
      </c>
      <c r="B500">
        <v>5.3</v>
      </c>
      <c r="C500" t="str">
        <f t="shared" si="14"/>
        <v>ブロムヘキシン塩酸塩錠４ｍｇ「トーワ」</v>
      </c>
      <c r="D500">
        <f t="shared" si="15"/>
        <v>5.3</v>
      </c>
    </row>
    <row r="501" spans="1:4" x14ac:dyDescent="0.15">
      <c r="A501" t="s">
        <v>1708</v>
      </c>
      <c r="B501">
        <v>27.7</v>
      </c>
      <c r="C501" t="str">
        <f t="shared" si="14"/>
        <v>ブロムペリドール細粒１％「アメル」</v>
      </c>
      <c r="D501">
        <f t="shared" si="15"/>
        <v>27.7</v>
      </c>
    </row>
    <row r="502" spans="1:4" x14ac:dyDescent="0.15">
      <c r="A502" t="s">
        <v>1709</v>
      </c>
      <c r="B502">
        <v>5.6</v>
      </c>
      <c r="C502" t="str">
        <f t="shared" si="14"/>
        <v>ブロムヘキシン塩酸塩０．２％吸入液</v>
      </c>
      <c r="D502">
        <f t="shared" si="15"/>
        <v>5.6</v>
      </c>
    </row>
    <row r="503" spans="1:4" x14ac:dyDescent="0.15">
      <c r="A503" t="s">
        <v>1710</v>
      </c>
      <c r="B503">
        <v>59</v>
      </c>
      <c r="C503" t="str">
        <f t="shared" si="14"/>
        <v>ブロムヘキシン塩酸塩注射液４ｍｇ「タイヨー」</v>
      </c>
      <c r="D503">
        <f t="shared" si="15"/>
        <v>59</v>
      </c>
    </row>
    <row r="504" spans="1:4" x14ac:dyDescent="0.15">
      <c r="A504" t="s">
        <v>1711</v>
      </c>
      <c r="B504">
        <v>16.600000000000001</v>
      </c>
      <c r="C504" t="str">
        <f t="shared" si="14"/>
        <v>ブロメライン軟膏５万単位／ｇ＊（ジェイドルフ）</v>
      </c>
      <c r="D504">
        <f t="shared" si="15"/>
        <v>16.600000000000001</v>
      </c>
    </row>
    <row r="505" spans="1:4" x14ac:dyDescent="0.15">
      <c r="A505" t="s">
        <v>1712</v>
      </c>
      <c r="B505">
        <v>146.1</v>
      </c>
      <c r="C505" t="str">
        <f t="shared" si="14"/>
        <v>ベオーバ錠５０ｍｇ</v>
      </c>
      <c r="D505">
        <f t="shared" si="15"/>
        <v>146.1</v>
      </c>
    </row>
    <row r="506" spans="1:4" x14ac:dyDescent="0.15">
      <c r="A506" t="s">
        <v>1713</v>
      </c>
      <c r="B506">
        <v>46498</v>
      </c>
      <c r="C506" t="str">
        <f t="shared" si="14"/>
        <v>ベクルリー点滴静注用１００ｍｇ</v>
      </c>
      <c r="D506">
        <f t="shared" si="15"/>
        <v>46498</v>
      </c>
    </row>
    <row r="507" spans="1:4" x14ac:dyDescent="0.15">
      <c r="A507" t="s">
        <v>926</v>
      </c>
      <c r="B507">
        <v>8.8000000000000007</v>
      </c>
      <c r="C507" t="str">
        <f t="shared" si="14"/>
        <v>ベサコリン散５％</v>
      </c>
      <c r="D507">
        <f t="shared" si="15"/>
        <v>8.8000000000000007</v>
      </c>
    </row>
    <row r="508" spans="1:4" x14ac:dyDescent="0.15">
      <c r="A508" t="s">
        <v>1714</v>
      </c>
      <c r="B508">
        <v>10.4</v>
      </c>
      <c r="C508" t="str">
        <f t="shared" si="14"/>
        <v>ベザフィブラートＳＲ錠２００ｍｇ「日医工」</v>
      </c>
      <c r="D508">
        <f t="shared" si="15"/>
        <v>10.4</v>
      </c>
    </row>
    <row r="509" spans="1:4" x14ac:dyDescent="0.15">
      <c r="A509" t="s">
        <v>1715</v>
      </c>
      <c r="B509">
        <v>6.8</v>
      </c>
      <c r="C509" t="str">
        <f t="shared" si="14"/>
        <v>ベタナミン錠１０ｍｇ</v>
      </c>
      <c r="D509">
        <f t="shared" si="15"/>
        <v>6.8</v>
      </c>
    </row>
    <row r="510" spans="1:4" x14ac:dyDescent="0.15">
      <c r="A510" t="s">
        <v>1717</v>
      </c>
      <c r="B510">
        <v>8.5</v>
      </c>
      <c r="C510" t="str">
        <f t="shared" si="14"/>
        <v>ベタメタゾン吉草酸エステルローション０．１２％「イワキ」</v>
      </c>
      <c r="D510">
        <f t="shared" si="15"/>
        <v>8.5</v>
      </c>
    </row>
    <row r="511" spans="1:4" x14ac:dyDescent="0.15">
      <c r="A511" t="s">
        <v>1718</v>
      </c>
      <c r="B511">
        <v>28172</v>
      </c>
      <c r="C511" t="str">
        <f t="shared" si="14"/>
        <v>献血ベニロン－Ｉ静注用２５００ｍｇ</v>
      </c>
      <c r="D511">
        <f t="shared" si="15"/>
        <v>28172</v>
      </c>
    </row>
    <row r="512" spans="1:4" x14ac:dyDescent="0.15">
      <c r="A512" t="s">
        <v>1719</v>
      </c>
      <c r="B512">
        <v>165</v>
      </c>
      <c r="C512" t="str">
        <f t="shared" si="14"/>
        <v>ヘパリンＮａ注５千単位／５ｍＬ「モチダ」</v>
      </c>
      <c r="D512">
        <f t="shared" si="15"/>
        <v>165</v>
      </c>
    </row>
    <row r="513" spans="1:4" x14ac:dyDescent="0.15">
      <c r="A513" t="s">
        <v>1720</v>
      </c>
      <c r="B513">
        <v>126</v>
      </c>
      <c r="C513" t="str">
        <f t="shared" si="14"/>
        <v>ヘパリンＮａロック用１０単位／ｍＬシリンジ「オーツカ」１０ｍＬ</v>
      </c>
      <c r="D513">
        <f t="shared" si="15"/>
        <v>126</v>
      </c>
    </row>
    <row r="514" spans="1:4" x14ac:dyDescent="0.15">
      <c r="A514" t="s">
        <v>1721</v>
      </c>
      <c r="B514">
        <v>7.4</v>
      </c>
      <c r="C514" t="str">
        <f t="shared" ref="C514:C577" si="16">DBCS(A514)</f>
        <v>ヘパリン類似物質外用泡状スプレー０．３％「日本臓器」</v>
      </c>
      <c r="D514">
        <f t="shared" ref="D514:D577" si="17">B514</f>
        <v>7.4</v>
      </c>
    </row>
    <row r="515" spans="1:4" x14ac:dyDescent="0.15">
      <c r="A515" t="s">
        <v>1722</v>
      </c>
      <c r="B515">
        <v>7.4</v>
      </c>
      <c r="C515" t="str">
        <f t="shared" si="16"/>
        <v>ヘパリン類似物質外用スプレー０．３％「サトウ」</v>
      </c>
      <c r="D515">
        <f t="shared" si="17"/>
        <v>7.4</v>
      </c>
    </row>
    <row r="516" spans="1:4" x14ac:dyDescent="0.15">
      <c r="A516" t="s">
        <v>1723</v>
      </c>
      <c r="B516">
        <v>3.7</v>
      </c>
      <c r="C516" t="str">
        <f t="shared" si="16"/>
        <v>ヘパリン類似物質油性クリーム０．３％「日医工」</v>
      </c>
      <c r="D516">
        <f t="shared" si="17"/>
        <v>3.7</v>
      </c>
    </row>
    <row r="517" spans="1:4" x14ac:dyDescent="0.15">
      <c r="A517" t="s">
        <v>1724</v>
      </c>
      <c r="B517">
        <v>35976</v>
      </c>
      <c r="C517" t="str">
        <f t="shared" si="16"/>
        <v>ヘブスブリンＩＨ静注１０００単位</v>
      </c>
      <c r="D517">
        <f t="shared" si="17"/>
        <v>35976</v>
      </c>
    </row>
    <row r="518" spans="1:4" x14ac:dyDescent="0.15">
      <c r="A518" t="s">
        <v>1725</v>
      </c>
      <c r="B518">
        <v>33.6</v>
      </c>
      <c r="C518" t="str">
        <f t="shared" si="16"/>
        <v>ベプリコール錠５０ｍｇ</v>
      </c>
      <c r="D518">
        <f t="shared" si="17"/>
        <v>33.6</v>
      </c>
    </row>
    <row r="519" spans="1:4" x14ac:dyDescent="0.15">
      <c r="A519" t="s">
        <v>1726</v>
      </c>
      <c r="B519">
        <v>201.4</v>
      </c>
      <c r="C519" t="str">
        <f t="shared" si="16"/>
        <v>ペミロラストＫ点眼液０．１％「ＴＳ」</v>
      </c>
      <c r="D519">
        <f t="shared" si="17"/>
        <v>201.4</v>
      </c>
    </row>
    <row r="520" spans="1:4" x14ac:dyDescent="0.15">
      <c r="A520" t="s">
        <v>945</v>
      </c>
      <c r="B520">
        <v>21.3</v>
      </c>
      <c r="C520" t="str">
        <f t="shared" si="16"/>
        <v>ヘモレックス軟膏</v>
      </c>
      <c r="D520">
        <f t="shared" si="17"/>
        <v>21.3</v>
      </c>
    </row>
    <row r="521" spans="1:4" x14ac:dyDescent="0.15">
      <c r="A521" t="s">
        <v>1727</v>
      </c>
      <c r="B521">
        <v>90.8</v>
      </c>
      <c r="C521" t="str">
        <f t="shared" si="16"/>
        <v>ベルソムラ錠１５ｍｇ</v>
      </c>
      <c r="D521">
        <f t="shared" si="17"/>
        <v>90.8</v>
      </c>
    </row>
    <row r="522" spans="1:4" x14ac:dyDescent="0.15">
      <c r="A522" t="s">
        <v>1728</v>
      </c>
      <c r="B522">
        <v>109.9</v>
      </c>
      <c r="C522" t="str">
        <f t="shared" si="16"/>
        <v>ベルソムラ錠２０ｍｇ</v>
      </c>
      <c r="D522">
        <f t="shared" si="17"/>
        <v>109.9</v>
      </c>
    </row>
    <row r="523" spans="1:4" x14ac:dyDescent="0.15">
      <c r="A523" t="s">
        <v>1729</v>
      </c>
      <c r="B523">
        <v>7.3</v>
      </c>
      <c r="C523" t="str">
        <f t="shared" si="16"/>
        <v>ヘルベッサー錠３０</v>
      </c>
      <c r="D523">
        <f t="shared" si="17"/>
        <v>7.3</v>
      </c>
    </row>
    <row r="524" spans="1:4" x14ac:dyDescent="0.15">
      <c r="A524" t="s">
        <v>1730</v>
      </c>
      <c r="B524">
        <v>561</v>
      </c>
      <c r="C524" t="str">
        <f t="shared" si="16"/>
        <v>ヘルベッサー注射用５０</v>
      </c>
      <c r="D524">
        <f t="shared" si="17"/>
        <v>561</v>
      </c>
    </row>
    <row r="525" spans="1:4" x14ac:dyDescent="0.15">
      <c r="A525" t="s">
        <v>1731</v>
      </c>
      <c r="B525">
        <v>7.8</v>
      </c>
      <c r="C525" t="str">
        <f t="shared" si="16"/>
        <v>ベンザリン錠５</v>
      </c>
      <c r="D525">
        <f t="shared" si="17"/>
        <v>7.8</v>
      </c>
    </row>
    <row r="526" spans="1:4" x14ac:dyDescent="0.15">
      <c r="A526" t="s">
        <v>1732</v>
      </c>
      <c r="B526">
        <v>16.2</v>
      </c>
      <c r="C526" t="str">
        <f t="shared" si="16"/>
        <v>ベンザリン細粒１％</v>
      </c>
      <c r="D526">
        <f t="shared" si="17"/>
        <v>16.2</v>
      </c>
    </row>
    <row r="527" spans="1:4" x14ac:dyDescent="0.15">
      <c r="A527" t="s">
        <v>1733</v>
      </c>
      <c r="B527">
        <v>100.1</v>
      </c>
      <c r="C527" t="str">
        <f t="shared" si="16"/>
        <v>ペンタサ顆粒９４％</v>
      </c>
      <c r="D527">
        <f t="shared" si="17"/>
        <v>100.1</v>
      </c>
    </row>
    <row r="528" spans="1:4" x14ac:dyDescent="0.15">
      <c r="A528" t="s">
        <v>1734</v>
      </c>
      <c r="B528">
        <v>329</v>
      </c>
      <c r="C528" t="str">
        <f t="shared" si="16"/>
        <v>ペントシリン注射用１ｇ</v>
      </c>
      <c r="D528">
        <f t="shared" si="17"/>
        <v>329</v>
      </c>
    </row>
    <row r="529" spans="1:4" x14ac:dyDescent="0.15">
      <c r="A529" t="s">
        <v>1735</v>
      </c>
      <c r="B529">
        <v>11.3</v>
      </c>
      <c r="C529" t="str">
        <f t="shared" si="16"/>
        <v>ボアラ軟膏０．１２％</v>
      </c>
      <c r="D529">
        <f t="shared" si="17"/>
        <v>11.3</v>
      </c>
    </row>
    <row r="530" spans="1:4" x14ac:dyDescent="0.15">
      <c r="A530" t="s">
        <v>1736</v>
      </c>
      <c r="B530">
        <v>10.4</v>
      </c>
      <c r="C530" t="str">
        <f t="shared" si="16"/>
        <v>ボグリボースＯＤ錠０．２ｍｇ「トーワ」</v>
      </c>
      <c r="D530">
        <f t="shared" si="17"/>
        <v>10.4</v>
      </c>
    </row>
    <row r="531" spans="1:4" x14ac:dyDescent="0.15">
      <c r="A531" t="s">
        <v>966</v>
      </c>
      <c r="B531">
        <v>863</v>
      </c>
      <c r="C531" t="str">
        <f t="shared" si="16"/>
        <v>ホスホマイシンナトリウム静注用２ｇ「日医工」</v>
      </c>
      <c r="D531">
        <f t="shared" si="17"/>
        <v>863</v>
      </c>
    </row>
    <row r="532" spans="1:4" x14ac:dyDescent="0.15">
      <c r="A532" t="s">
        <v>1737</v>
      </c>
      <c r="B532">
        <v>188</v>
      </c>
      <c r="C532" t="str">
        <f t="shared" si="16"/>
        <v>ボスミン注１ｍｇ</v>
      </c>
      <c r="D532">
        <f t="shared" si="17"/>
        <v>188</v>
      </c>
    </row>
    <row r="533" spans="1:4" x14ac:dyDescent="0.15">
      <c r="A533" t="s">
        <v>970</v>
      </c>
      <c r="B533">
        <v>71.099999999999994</v>
      </c>
      <c r="C533" t="str">
        <f t="shared" si="16"/>
        <v>ホスリボン配合顆粒</v>
      </c>
      <c r="D533">
        <f t="shared" si="17"/>
        <v>71.099999999999994</v>
      </c>
    </row>
    <row r="534" spans="1:4" x14ac:dyDescent="0.15">
      <c r="A534" t="s">
        <v>1738</v>
      </c>
      <c r="B534">
        <v>251</v>
      </c>
      <c r="C534" t="str">
        <f t="shared" si="16"/>
        <v>ポタコールＲ輸液２５０？</v>
      </c>
      <c r="D534">
        <f t="shared" si="17"/>
        <v>251</v>
      </c>
    </row>
    <row r="535" spans="1:4" x14ac:dyDescent="0.15">
      <c r="A535" t="s">
        <v>1739</v>
      </c>
      <c r="B535">
        <v>279</v>
      </c>
      <c r="C535" t="str">
        <f t="shared" si="16"/>
        <v>ポタコールＲ輸液５００？</v>
      </c>
      <c r="D535">
        <f t="shared" si="17"/>
        <v>279</v>
      </c>
    </row>
    <row r="536" spans="1:4" x14ac:dyDescent="0.15">
      <c r="A536" t="s">
        <v>1740</v>
      </c>
      <c r="B536">
        <v>3.2</v>
      </c>
      <c r="C536" t="str">
        <f t="shared" si="16"/>
        <v>ポビドンヨードガーグル液７％「ケンエー」</v>
      </c>
      <c r="D536">
        <f t="shared" si="17"/>
        <v>3.2</v>
      </c>
    </row>
    <row r="537" spans="1:4" x14ac:dyDescent="0.15">
      <c r="A537" t="s">
        <v>1741</v>
      </c>
      <c r="B537">
        <v>0</v>
      </c>
      <c r="C537" t="str">
        <f t="shared" si="16"/>
        <v>ポビドンヨードゲル１０％</v>
      </c>
      <c r="D537">
        <f t="shared" si="17"/>
        <v>0</v>
      </c>
    </row>
    <row r="538" spans="1:4" x14ac:dyDescent="0.15">
      <c r="A538" t="s">
        <v>1742</v>
      </c>
      <c r="B538">
        <v>69</v>
      </c>
      <c r="C538" t="str">
        <f t="shared" si="16"/>
        <v>ポララミン注５ｍｇ</v>
      </c>
      <c r="D538">
        <f t="shared" si="17"/>
        <v>69</v>
      </c>
    </row>
    <row r="539" spans="1:4" x14ac:dyDescent="0.15">
      <c r="A539" t="s">
        <v>1743</v>
      </c>
      <c r="B539">
        <v>77.8</v>
      </c>
      <c r="C539" t="str">
        <f t="shared" si="16"/>
        <v>ポリスチレンスルホン酸Ｃａ経口ゼリー２０％分包２５ｇ「三和」</v>
      </c>
      <c r="D539">
        <f t="shared" si="17"/>
        <v>77.8</v>
      </c>
    </row>
    <row r="540" spans="1:4" x14ac:dyDescent="0.15">
      <c r="A540" t="s">
        <v>1744</v>
      </c>
      <c r="B540">
        <v>22.9</v>
      </c>
      <c r="C540" t="str">
        <f t="shared" si="16"/>
        <v>ホーリンＶ腟用錠１ｍｇ</v>
      </c>
      <c r="D540">
        <f t="shared" si="17"/>
        <v>22.9</v>
      </c>
    </row>
    <row r="541" spans="1:4" x14ac:dyDescent="0.15">
      <c r="A541" t="s">
        <v>1745</v>
      </c>
      <c r="B541">
        <v>71.3</v>
      </c>
      <c r="C541" t="str">
        <f t="shared" si="16"/>
        <v>ボルズィ錠５ｍｇ</v>
      </c>
      <c r="D541">
        <f t="shared" si="17"/>
        <v>71.3</v>
      </c>
    </row>
    <row r="542" spans="1:4" x14ac:dyDescent="0.15">
      <c r="A542" t="s">
        <v>1746</v>
      </c>
      <c r="B542">
        <v>7.3</v>
      </c>
      <c r="C542" t="str">
        <f t="shared" si="16"/>
        <v>ボルタレン錠２５ｍｇ</v>
      </c>
      <c r="D542">
        <f t="shared" si="17"/>
        <v>7.3</v>
      </c>
    </row>
    <row r="543" spans="1:4" x14ac:dyDescent="0.15">
      <c r="A543" t="s">
        <v>1747</v>
      </c>
      <c r="B543">
        <v>12</v>
      </c>
      <c r="C543" t="str">
        <f t="shared" si="16"/>
        <v>マイザー軟膏０．０５％</v>
      </c>
      <c r="D543">
        <f t="shared" si="17"/>
        <v>12</v>
      </c>
    </row>
    <row r="544" spans="1:4" x14ac:dyDescent="0.15">
      <c r="A544" t="s">
        <v>992</v>
      </c>
      <c r="B544">
        <v>17.5</v>
      </c>
      <c r="C544" t="str">
        <f t="shared" si="16"/>
        <v>マイスリー錠５ｍｇ</v>
      </c>
      <c r="D544">
        <f t="shared" si="17"/>
        <v>17.5</v>
      </c>
    </row>
    <row r="545" spans="1:4" x14ac:dyDescent="0.15">
      <c r="A545" t="s">
        <v>991</v>
      </c>
      <c r="B545">
        <v>14</v>
      </c>
      <c r="C545" t="str">
        <f t="shared" si="16"/>
        <v>マイスタン錠５ｍｇ</v>
      </c>
      <c r="D545">
        <f t="shared" si="17"/>
        <v>14</v>
      </c>
    </row>
    <row r="546" spans="1:4" x14ac:dyDescent="0.15">
      <c r="A546" t="s">
        <v>1748</v>
      </c>
      <c r="B546">
        <v>5.9</v>
      </c>
      <c r="C546" t="str">
        <f t="shared" si="16"/>
        <v>マグミット錠３３０ｍｇ</v>
      </c>
      <c r="D546">
        <f t="shared" si="17"/>
        <v>5.9</v>
      </c>
    </row>
    <row r="547" spans="1:4" x14ac:dyDescent="0.15">
      <c r="A547" t="s">
        <v>1749</v>
      </c>
      <c r="B547">
        <v>5.9</v>
      </c>
      <c r="C547" t="str">
        <f t="shared" si="16"/>
        <v>マグミット錠５００ｍｇ</v>
      </c>
      <c r="D547">
        <f t="shared" si="17"/>
        <v>5.9</v>
      </c>
    </row>
    <row r="548" spans="1:4" x14ac:dyDescent="0.15">
      <c r="A548" t="s">
        <v>987</v>
      </c>
      <c r="B548">
        <v>9.6</v>
      </c>
      <c r="C548" t="str">
        <f t="shared" si="16"/>
        <v>マーズレンＳ配合顆粒</v>
      </c>
      <c r="D548">
        <f t="shared" si="17"/>
        <v>9.6</v>
      </c>
    </row>
    <row r="549" spans="1:4" x14ac:dyDescent="0.15">
      <c r="A549" t="s">
        <v>1751</v>
      </c>
      <c r="B549">
        <v>6.1</v>
      </c>
      <c r="C549" t="str">
        <f t="shared" si="16"/>
        <v>マプロチリン塩酸塩錠１０ｍｇ「アメル」</v>
      </c>
      <c r="D549">
        <f t="shared" si="17"/>
        <v>6.1</v>
      </c>
    </row>
    <row r="550" spans="1:4" x14ac:dyDescent="0.15">
      <c r="A550" t="s">
        <v>1752</v>
      </c>
      <c r="B550">
        <v>8.6999999999999993</v>
      </c>
      <c r="C550" t="str">
        <f t="shared" si="16"/>
        <v>マプロチリン塩酸塩錠２５ｍｇ「アメル」</v>
      </c>
      <c r="D550">
        <f t="shared" si="17"/>
        <v>8.6999999999999993</v>
      </c>
    </row>
    <row r="551" spans="1:4" x14ac:dyDescent="0.15">
      <c r="A551" t="s">
        <v>1753</v>
      </c>
      <c r="B551">
        <v>1924</v>
      </c>
      <c r="C551" t="str">
        <f t="shared" si="16"/>
        <v>マンジャロ皮下注２．５ｍｇアテオス</v>
      </c>
      <c r="D551">
        <f t="shared" si="17"/>
        <v>1924</v>
      </c>
    </row>
    <row r="552" spans="1:4" x14ac:dyDescent="0.15">
      <c r="A552" t="s">
        <v>999</v>
      </c>
      <c r="B552">
        <v>552.20000000000005</v>
      </c>
      <c r="C552" t="str">
        <f t="shared" si="16"/>
        <v>ミケルナ配合点眼液</v>
      </c>
      <c r="D552">
        <f t="shared" si="17"/>
        <v>552.20000000000005</v>
      </c>
    </row>
    <row r="553" spans="1:4" x14ac:dyDescent="0.15">
      <c r="A553" t="s">
        <v>1754</v>
      </c>
      <c r="B553">
        <v>8.3000000000000007</v>
      </c>
      <c r="C553" t="str">
        <f t="shared" si="16"/>
        <v>ミチグリニドＣａ・ＯＤ錠１０ｍｇ「三和」</v>
      </c>
      <c r="D553">
        <f t="shared" si="17"/>
        <v>8.3000000000000007</v>
      </c>
    </row>
    <row r="554" spans="1:4" x14ac:dyDescent="0.15">
      <c r="A554" t="s">
        <v>1002</v>
      </c>
      <c r="B554">
        <v>8.1</v>
      </c>
      <c r="C554" t="str">
        <f t="shared" si="16"/>
        <v>ミドドリン塩酸塩錠２ｍｇ「トーワ」</v>
      </c>
      <c r="D554">
        <f t="shared" si="17"/>
        <v>8.1</v>
      </c>
    </row>
    <row r="555" spans="1:4" x14ac:dyDescent="0.15">
      <c r="A555" t="s">
        <v>1755</v>
      </c>
      <c r="B555">
        <v>27.6</v>
      </c>
      <c r="C555" t="str">
        <f t="shared" si="16"/>
        <v>ミドリンＰ点眼液（用時購入）</v>
      </c>
      <c r="D555">
        <f t="shared" si="17"/>
        <v>27.6</v>
      </c>
    </row>
    <row r="556" spans="1:4" x14ac:dyDescent="0.15">
      <c r="A556" t="s">
        <v>1756</v>
      </c>
      <c r="B556">
        <v>328</v>
      </c>
      <c r="C556" t="str">
        <f t="shared" si="16"/>
        <v>ミノサイクリン塩酸塩点滴静注用１００ｍｇ「日医工」</v>
      </c>
      <c r="D556">
        <f t="shared" si="17"/>
        <v>328</v>
      </c>
    </row>
    <row r="557" spans="1:4" x14ac:dyDescent="0.15">
      <c r="A557" t="s">
        <v>1757</v>
      </c>
      <c r="B557">
        <v>513.1</v>
      </c>
      <c r="C557" t="str">
        <f t="shared" si="16"/>
        <v>ミノドロン酸錠５０ｍｇ「ＪＧ」</v>
      </c>
      <c r="D557">
        <f t="shared" si="17"/>
        <v>513.1</v>
      </c>
    </row>
    <row r="558" spans="1:4" x14ac:dyDescent="0.15">
      <c r="A558" t="s">
        <v>1758</v>
      </c>
      <c r="B558">
        <v>15.7</v>
      </c>
      <c r="C558" t="str">
        <f t="shared" si="16"/>
        <v>ミルタザピンＯＤ錠１５ｍｇ「サワイ」</v>
      </c>
      <c r="D558">
        <f t="shared" si="17"/>
        <v>15.7</v>
      </c>
    </row>
    <row r="559" spans="1:4" x14ac:dyDescent="0.15">
      <c r="A559" t="s">
        <v>1759</v>
      </c>
      <c r="B559">
        <v>15.9</v>
      </c>
      <c r="C559" t="str">
        <f t="shared" si="16"/>
        <v>ムコスタ点眼液ＵＤ２％</v>
      </c>
      <c r="D559">
        <f t="shared" si="17"/>
        <v>15.9</v>
      </c>
    </row>
    <row r="560" spans="1:4" x14ac:dyDescent="0.15">
      <c r="A560" t="s">
        <v>1760</v>
      </c>
      <c r="B560">
        <v>10.4</v>
      </c>
      <c r="C560" t="str">
        <f t="shared" si="16"/>
        <v>メイラックス錠１ｍｇ</v>
      </c>
      <c r="D560">
        <f t="shared" si="17"/>
        <v>10.4</v>
      </c>
    </row>
    <row r="561" spans="1:4" x14ac:dyDescent="0.15">
      <c r="A561" t="s">
        <v>1761</v>
      </c>
      <c r="B561">
        <v>100</v>
      </c>
      <c r="C561" t="str">
        <f t="shared" si="16"/>
        <v>メイロン静注７％</v>
      </c>
      <c r="D561">
        <f t="shared" si="17"/>
        <v>100</v>
      </c>
    </row>
    <row r="562" spans="1:4" x14ac:dyDescent="0.15">
      <c r="A562" t="s">
        <v>1762</v>
      </c>
      <c r="B562">
        <v>8.8000000000000007</v>
      </c>
      <c r="C562" t="str">
        <f t="shared" si="16"/>
        <v>メキシチールカプセル５０ｍｇ</v>
      </c>
      <c r="D562">
        <f t="shared" si="17"/>
        <v>8.8000000000000007</v>
      </c>
    </row>
    <row r="563" spans="1:4" x14ac:dyDescent="0.15">
      <c r="A563" t="s">
        <v>1014</v>
      </c>
      <c r="B563">
        <v>5.9</v>
      </c>
      <c r="C563" t="str">
        <f t="shared" si="16"/>
        <v>メコバラミン錠５００「トーワ」</v>
      </c>
      <c r="D563">
        <f t="shared" si="17"/>
        <v>5.9</v>
      </c>
    </row>
    <row r="564" spans="1:4" x14ac:dyDescent="0.15">
      <c r="A564" t="s">
        <v>1763</v>
      </c>
      <c r="B564">
        <v>77.400000000000006</v>
      </c>
      <c r="C564" t="str">
        <f t="shared" si="16"/>
        <v>メトトレキサート錠２ｍｇ「あゆみ」</v>
      </c>
      <c r="D564">
        <f t="shared" si="17"/>
        <v>77.400000000000006</v>
      </c>
    </row>
    <row r="565" spans="1:4" x14ac:dyDescent="0.15">
      <c r="A565" t="s">
        <v>1764</v>
      </c>
      <c r="B565">
        <v>10.4</v>
      </c>
      <c r="C565" t="str">
        <f t="shared" si="16"/>
        <v>メトホルミン塩酸塩錠２５０ｍｇＭＴ「ＤＳＰＢ」</v>
      </c>
      <c r="D565">
        <f t="shared" si="17"/>
        <v>10.4</v>
      </c>
    </row>
    <row r="566" spans="1:4" x14ac:dyDescent="0.15">
      <c r="A566" t="s">
        <v>1765</v>
      </c>
      <c r="B566">
        <v>1060.9000000000001</v>
      </c>
      <c r="C566" t="str">
        <f t="shared" si="16"/>
        <v>メプチンエアー１０μｇ吸入１００回</v>
      </c>
      <c r="D566">
        <f t="shared" si="17"/>
        <v>1060.9000000000001</v>
      </c>
    </row>
    <row r="567" spans="1:4" x14ac:dyDescent="0.15">
      <c r="A567" t="s">
        <v>1766</v>
      </c>
      <c r="B567">
        <v>21.5</v>
      </c>
      <c r="C567" t="str">
        <f t="shared" si="16"/>
        <v>メマンチン塩酸塩ＯＤ錠５ｍｇ「ＤＳＥＰ」</v>
      </c>
      <c r="D567">
        <f t="shared" si="17"/>
        <v>21.5</v>
      </c>
    </row>
    <row r="568" spans="1:4" x14ac:dyDescent="0.15">
      <c r="A568" t="s">
        <v>1767</v>
      </c>
      <c r="B568">
        <v>66</v>
      </c>
      <c r="C568" t="str">
        <f t="shared" si="16"/>
        <v>メマンチン塩酸塩ＯＤ錠２０ｍｇ「ＤＳＥＰ」</v>
      </c>
      <c r="D568">
        <f t="shared" si="17"/>
        <v>66</v>
      </c>
    </row>
    <row r="569" spans="1:4" x14ac:dyDescent="0.15">
      <c r="A569" t="s">
        <v>1768</v>
      </c>
      <c r="B569">
        <v>9</v>
      </c>
      <c r="C569" t="str">
        <f t="shared" si="16"/>
        <v>メリスロン錠６ｍｇ</v>
      </c>
      <c r="D569">
        <f t="shared" si="17"/>
        <v>9</v>
      </c>
    </row>
    <row r="570" spans="1:4" x14ac:dyDescent="0.15">
      <c r="A570" t="s">
        <v>1022</v>
      </c>
      <c r="B570">
        <v>10.1</v>
      </c>
      <c r="C570" t="str">
        <f t="shared" si="16"/>
        <v>メルカゾール錠５ｍｇ</v>
      </c>
      <c r="D570">
        <f t="shared" si="17"/>
        <v>10.1</v>
      </c>
    </row>
    <row r="571" spans="1:4" x14ac:dyDescent="0.15">
      <c r="A571" t="s">
        <v>1769</v>
      </c>
      <c r="B571">
        <v>656</v>
      </c>
      <c r="C571" t="str">
        <f t="shared" si="16"/>
        <v>メロペネム点滴静注用０．５ｇ「サワイ」</v>
      </c>
      <c r="D571">
        <f t="shared" si="17"/>
        <v>656</v>
      </c>
    </row>
    <row r="572" spans="1:4" x14ac:dyDescent="0.15">
      <c r="A572" t="s">
        <v>1770</v>
      </c>
      <c r="B572">
        <v>26.3</v>
      </c>
      <c r="C572" t="str">
        <f t="shared" si="16"/>
        <v>モキシフロキサシン点眼液０．５％「サンド」</v>
      </c>
      <c r="D572">
        <f t="shared" si="17"/>
        <v>26.3</v>
      </c>
    </row>
    <row r="573" spans="1:4" x14ac:dyDescent="0.15">
      <c r="A573" t="s">
        <v>1771</v>
      </c>
      <c r="B573">
        <v>10.4</v>
      </c>
      <c r="C573" t="str">
        <f t="shared" si="16"/>
        <v>モサプリドクエン酸塩錠５ｍｇ「日医工」</v>
      </c>
      <c r="D573">
        <f t="shared" si="17"/>
        <v>10.4</v>
      </c>
    </row>
    <row r="574" spans="1:4" x14ac:dyDescent="0.15">
      <c r="A574" t="s">
        <v>1025</v>
      </c>
      <c r="B574">
        <v>9.6</v>
      </c>
      <c r="C574" t="str">
        <f t="shared" si="16"/>
        <v>モサプリドクエン酸塩散１％「日医工」</v>
      </c>
      <c r="D574">
        <f t="shared" si="17"/>
        <v>9.6</v>
      </c>
    </row>
    <row r="575" spans="1:4" x14ac:dyDescent="0.15">
      <c r="A575" t="s">
        <v>1772</v>
      </c>
      <c r="B575">
        <v>303.60000000000002</v>
      </c>
      <c r="C575" t="str">
        <f t="shared" si="16"/>
        <v>モディオダール錠１００ｍｇ</v>
      </c>
      <c r="D575">
        <f t="shared" si="17"/>
        <v>303.60000000000002</v>
      </c>
    </row>
    <row r="576" spans="1:4" x14ac:dyDescent="0.15">
      <c r="A576" t="s">
        <v>1773</v>
      </c>
      <c r="B576">
        <v>61.4</v>
      </c>
      <c r="C576" t="str">
        <f t="shared" si="16"/>
        <v>モビコール配合内用剤ＬＤ</v>
      </c>
      <c r="D576">
        <f t="shared" si="17"/>
        <v>61.4</v>
      </c>
    </row>
    <row r="577" spans="1:4" x14ac:dyDescent="0.15">
      <c r="A577" t="s">
        <v>1774</v>
      </c>
      <c r="B577">
        <v>6.8</v>
      </c>
      <c r="C577" t="str">
        <f t="shared" si="16"/>
        <v>ユベラＮソフトカプセル２００ｍｇ</v>
      </c>
      <c r="D577">
        <f t="shared" si="17"/>
        <v>6.8</v>
      </c>
    </row>
    <row r="578" spans="1:4" x14ac:dyDescent="0.15">
      <c r="A578" t="s">
        <v>1776</v>
      </c>
      <c r="B578">
        <v>75.599999999999994</v>
      </c>
      <c r="C578" t="str">
        <f t="shared" ref="C578:C641" si="18">DBCS(A578)</f>
        <v>ユリス錠２ｍｇ</v>
      </c>
      <c r="D578">
        <f t="shared" ref="D578:D641" si="19">B578</f>
        <v>75.599999999999994</v>
      </c>
    </row>
    <row r="579" spans="1:4" x14ac:dyDescent="0.15">
      <c r="A579" t="s">
        <v>1777</v>
      </c>
      <c r="B579">
        <v>8.4</v>
      </c>
      <c r="C579" t="str">
        <f t="shared" si="18"/>
        <v>ユーロジン２ｍｇ錠</v>
      </c>
      <c r="D579">
        <f t="shared" si="19"/>
        <v>8.4</v>
      </c>
    </row>
    <row r="580" spans="1:4" x14ac:dyDescent="0.15">
      <c r="A580" t="s">
        <v>1778</v>
      </c>
      <c r="B580">
        <v>5.9</v>
      </c>
      <c r="C580" t="str">
        <f t="shared" si="18"/>
        <v>ヨウ化カリウム丸５０ｍｇ「日医工」</v>
      </c>
      <c r="D580">
        <f t="shared" si="19"/>
        <v>5.9</v>
      </c>
    </row>
    <row r="581" spans="1:4" x14ac:dyDescent="0.15">
      <c r="A581" t="s">
        <v>1779</v>
      </c>
      <c r="B581">
        <v>6.5</v>
      </c>
      <c r="C581" t="str">
        <f t="shared" si="18"/>
        <v>ヨクイニンエキス錠「コタロー」</v>
      </c>
      <c r="D581">
        <f t="shared" si="19"/>
        <v>6.5</v>
      </c>
    </row>
    <row r="582" spans="1:4" x14ac:dyDescent="0.15">
      <c r="A582" t="s">
        <v>1780</v>
      </c>
      <c r="B582">
        <v>6.9</v>
      </c>
      <c r="C582" t="str">
        <f t="shared" si="18"/>
        <v>ラクツロースシロップ６５％「タカタ」</v>
      </c>
      <c r="D582">
        <f t="shared" si="19"/>
        <v>6.9</v>
      </c>
    </row>
    <row r="583" spans="1:4" x14ac:dyDescent="0.15">
      <c r="A583" t="s">
        <v>1781</v>
      </c>
      <c r="B583">
        <v>2164.9</v>
      </c>
      <c r="C583" t="str">
        <f t="shared" si="18"/>
        <v>ラゲブリオカプセル２００ｍｇ</v>
      </c>
      <c r="D583">
        <f t="shared" si="19"/>
        <v>2164.9</v>
      </c>
    </row>
    <row r="584" spans="1:4" x14ac:dyDescent="0.15">
      <c r="A584" t="s">
        <v>1782</v>
      </c>
      <c r="B584">
        <v>76.3</v>
      </c>
      <c r="C584" t="str">
        <f t="shared" si="18"/>
        <v>ラコサミド錠５０ｍｇ「ＪＧ」</v>
      </c>
      <c r="D584">
        <f t="shared" si="19"/>
        <v>76.3</v>
      </c>
    </row>
    <row r="585" spans="1:4" x14ac:dyDescent="0.15">
      <c r="A585" t="s">
        <v>1783</v>
      </c>
      <c r="B585">
        <v>1.07</v>
      </c>
      <c r="C585" t="str">
        <f t="shared" si="18"/>
        <v>ラコールＮＦ配合経腸用液【ミルク】</v>
      </c>
      <c r="D585">
        <f t="shared" si="19"/>
        <v>1.07</v>
      </c>
    </row>
    <row r="586" spans="1:4" x14ac:dyDescent="0.15">
      <c r="A586" t="s">
        <v>1784</v>
      </c>
      <c r="B586">
        <v>1.07</v>
      </c>
      <c r="C586" t="str">
        <f t="shared" si="18"/>
        <v>ラコールＮＦ配合経腸用液【コーヒー】</v>
      </c>
      <c r="D586">
        <f t="shared" si="19"/>
        <v>1.07</v>
      </c>
    </row>
    <row r="587" spans="1:4" x14ac:dyDescent="0.15">
      <c r="A587" t="s">
        <v>1785</v>
      </c>
      <c r="B587">
        <v>2744</v>
      </c>
      <c r="C587" t="str">
        <f t="shared" si="18"/>
        <v>ラジカット内用懸濁液２．１％</v>
      </c>
      <c r="D587">
        <f t="shared" si="19"/>
        <v>2744</v>
      </c>
    </row>
    <row r="588" spans="1:4" x14ac:dyDescent="0.15">
      <c r="A588" t="s">
        <v>1786</v>
      </c>
      <c r="B588">
        <v>3962</v>
      </c>
      <c r="C588" t="str">
        <f t="shared" si="18"/>
        <v>ラスビック点滴静注キット１５０ｍｇ</v>
      </c>
      <c r="D588">
        <f t="shared" si="19"/>
        <v>3962</v>
      </c>
    </row>
    <row r="589" spans="1:4" x14ac:dyDescent="0.15">
      <c r="A589" t="s">
        <v>1787</v>
      </c>
      <c r="B589">
        <v>151</v>
      </c>
      <c r="C589" t="str">
        <f t="shared" si="18"/>
        <v>ラタノプロスト点眼液０．００５％「センジュ」</v>
      </c>
      <c r="D589">
        <f t="shared" si="19"/>
        <v>151</v>
      </c>
    </row>
    <row r="590" spans="1:4" x14ac:dyDescent="0.15">
      <c r="A590" t="s">
        <v>1788</v>
      </c>
      <c r="B590">
        <v>159.1</v>
      </c>
      <c r="C590" t="str">
        <f t="shared" si="18"/>
        <v>ラツーダ錠２０ｍｇ</v>
      </c>
      <c r="D590">
        <f t="shared" si="19"/>
        <v>159.1</v>
      </c>
    </row>
    <row r="591" spans="1:4" x14ac:dyDescent="0.15">
      <c r="A591" t="s">
        <v>1789</v>
      </c>
      <c r="B591">
        <v>295.8</v>
      </c>
      <c r="C591" t="str">
        <f t="shared" si="18"/>
        <v>ラツーダ錠４０ｍｇ</v>
      </c>
      <c r="D591">
        <f t="shared" si="19"/>
        <v>295.8</v>
      </c>
    </row>
    <row r="592" spans="1:4" x14ac:dyDescent="0.15">
      <c r="A592" t="s">
        <v>1790</v>
      </c>
      <c r="B592">
        <v>6197</v>
      </c>
      <c r="C592" t="str">
        <f t="shared" si="18"/>
        <v>ラピアクタ点滴静注液バッグ３００ｍｇ</v>
      </c>
      <c r="D592">
        <f t="shared" si="19"/>
        <v>6197</v>
      </c>
    </row>
    <row r="593" spans="1:4" x14ac:dyDescent="0.15">
      <c r="A593" t="s">
        <v>1791</v>
      </c>
      <c r="B593">
        <v>18.899999999999999</v>
      </c>
      <c r="C593" t="str">
        <f t="shared" si="18"/>
        <v>ラメルテオン錠８ｍｇ「トーワ」</v>
      </c>
      <c r="D593">
        <f t="shared" si="19"/>
        <v>18.899999999999999</v>
      </c>
    </row>
    <row r="594" spans="1:4" x14ac:dyDescent="0.15">
      <c r="A594" t="s">
        <v>1792</v>
      </c>
      <c r="B594">
        <v>11.7</v>
      </c>
      <c r="C594" t="str">
        <f t="shared" si="18"/>
        <v>ラモトリギン錠２５ｍｇ「トーワ」</v>
      </c>
      <c r="D594">
        <f t="shared" si="19"/>
        <v>11.7</v>
      </c>
    </row>
    <row r="595" spans="1:4" x14ac:dyDescent="0.15">
      <c r="A595" t="s">
        <v>1793</v>
      </c>
      <c r="B595">
        <v>28.7</v>
      </c>
      <c r="C595" t="str">
        <f t="shared" si="18"/>
        <v>ラモトリギン錠１００ｍｇ「トーワ」</v>
      </c>
      <c r="D595">
        <f t="shared" si="19"/>
        <v>28.7</v>
      </c>
    </row>
    <row r="596" spans="1:4" x14ac:dyDescent="0.15">
      <c r="A596" t="s">
        <v>1794</v>
      </c>
      <c r="B596">
        <v>11.3</v>
      </c>
      <c r="C596" t="str">
        <f t="shared" si="18"/>
        <v>ランソプラゾールＯＤ錠１５ｍｇ「トーワ」</v>
      </c>
      <c r="D596">
        <f t="shared" si="19"/>
        <v>11.3</v>
      </c>
    </row>
    <row r="597" spans="1:4" x14ac:dyDescent="0.15">
      <c r="A597" t="s">
        <v>1795</v>
      </c>
      <c r="B597">
        <v>1049</v>
      </c>
      <c r="C597" t="str">
        <f t="shared" si="18"/>
        <v>ランタス注ソロスター</v>
      </c>
      <c r="D597">
        <f t="shared" si="19"/>
        <v>1049</v>
      </c>
    </row>
    <row r="598" spans="1:4" x14ac:dyDescent="0.15">
      <c r="A598" t="s">
        <v>1796</v>
      </c>
      <c r="B598">
        <v>10.4</v>
      </c>
      <c r="C598" t="str">
        <f t="shared" si="18"/>
        <v>リオレサール錠５ｍｇ</v>
      </c>
      <c r="D598">
        <f t="shared" si="19"/>
        <v>10.4</v>
      </c>
    </row>
    <row r="599" spans="1:4" x14ac:dyDescent="0.15">
      <c r="A599" t="s">
        <v>1797</v>
      </c>
      <c r="B599">
        <v>411.3</v>
      </c>
      <c r="C599" t="str">
        <f t="shared" si="18"/>
        <v>リクシアナＯＤ錠３０ｍｇ</v>
      </c>
      <c r="D599">
        <f t="shared" si="19"/>
        <v>411.3</v>
      </c>
    </row>
    <row r="600" spans="1:4" x14ac:dyDescent="0.15">
      <c r="A600" t="s">
        <v>1798</v>
      </c>
      <c r="B600">
        <v>33070</v>
      </c>
      <c r="C600" t="str">
        <f t="shared" si="18"/>
        <v>リクラスト点滴静注液５ｍｇ（用時購入）</v>
      </c>
      <c r="D600">
        <f t="shared" si="19"/>
        <v>33070</v>
      </c>
    </row>
    <row r="601" spans="1:4" x14ac:dyDescent="0.15">
      <c r="A601" t="s">
        <v>1799</v>
      </c>
      <c r="B601">
        <v>33347</v>
      </c>
      <c r="C601" t="str">
        <f t="shared" si="18"/>
        <v>リコモジュリン点滴静注用１２８００（用時購入）</v>
      </c>
      <c r="D601">
        <f t="shared" si="19"/>
        <v>33347</v>
      </c>
    </row>
    <row r="602" spans="1:4" x14ac:dyDescent="0.15">
      <c r="A602" t="s">
        <v>1800</v>
      </c>
      <c r="B602">
        <v>11.9</v>
      </c>
      <c r="C602" t="str">
        <f t="shared" si="18"/>
        <v>リスパダール錠１ｍｇ</v>
      </c>
      <c r="D602">
        <f t="shared" si="19"/>
        <v>11.9</v>
      </c>
    </row>
    <row r="603" spans="1:4" x14ac:dyDescent="0.15">
      <c r="A603" t="s">
        <v>1801</v>
      </c>
      <c r="B603">
        <v>31.5</v>
      </c>
      <c r="C603" t="str">
        <f t="shared" si="18"/>
        <v>リスパダール内用液１ｍｇ／ｍＬ分包品</v>
      </c>
      <c r="D603">
        <f t="shared" si="19"/>
        <v>31.5</v>
      </c>
    </row>
    <row r="604" spans="1:4" x14ac:dyDescent="0.15">
      <c r="A604" t="s">
        <v>1802</v>
      </c>
      <c r="B604">
        <v>31.5</v>
      </c>
      <c r="C604" t="str">
        <f t="shared" si="18"/>
        <v>リスパダール内用液１ｍｇ／ｍＬ</v>
      </c>
      <c r="D604">
        <f t="shared" si="19"/>
        <v>31.5</v>
      </c>
    </row>
    <row r="605" spans="1:4" x14ac:dyDescent="0.15">
      <c r="A605" t="s">
        <v>1803</v>
      </c>
      <c r="B605">
        <v>31.5</v>
      </c>
      <c r="C605" t="str">
        <f t="shared" si="18"/>
        <v>リスパダール内用液０．５ｍｇ／０．５ｍＬ分包品</v>
      </c>
      <c r="D605">
        <f t="shared" si="19"/>
        <v>31.5</v>
      </c>
    </row>
    <row r="606" spans="1:4" x14ac:dyDescent="0.15">
      <c r="A606" t="s">
        <v>1804</v>
      </c>
      <c r="B606">
        <v>19.3</v>
      </c>
      <c r="C606" t="str">
        <f t="shared" si="18"/>
        <v>リスパダール錠２ｍｇ</v>
      </c>
      <c r="D606">
        <f t="shared" si="19"/>
        <v>19.3</v>
      </c>
    </row>
    <row r="607" spans="1:4" x14ac:dyDescent="0.15">
      <c r="A607" t="s">
        <v>1076</v>
      </c>
      <c r="B607">
        <v>26.2</v>
      </c>
      <c r="C607" t="str">
        <f t="shared" si="18"/>
        <v>リスパダール錠３ｍｇ</v>
      </c>
      <c r="D607">
        <f t="shared" si="19"/>
        <v>26.2</v>
      </c>
    </row>
    <row r="608" spans="1:4" x14ac:dyDescent="0.15">
      <c r="A608" t="s">
        <v>1073</v>
      </c>
      <c r="B608">
        <v>84.2</v>
      </c>
      <c r="C608" t="str">
        <f t="shared" si="18"/>
        <v>リスパダール細粒１％</v>
      </c>
      <c r="D608">
        <f t="shared" si="19"/>
        <v>84.2</v>
      </c>
    </row>
    <row r="609" spans="1:4" x14ac:dyDescent="0.15">
      <c r="A609" t="s">
        <v>1805</v>
      </c>
      <c r="B609">
        <v>13032</v>
      </c>
      <c r="C609" t="str">
        <f t="shared" si="18"/>
        <v>リスパダール　コンスタ筋注用２５ｍｇ</v>
      </c>
      <c r="D609">
        <f t="shared" si="19"/>
        <v>13032</v>
      </c>
    </row>
    <row r="610" spans="1:4" x14ac:dyDescent="0.15">
      <c r="A610" t="s">
        <v>1806</v>
      </c>
      <c r="B610">
        <v>16654</v>
      </c>
      <c r="C610" t="str">
        <f t="shared" si="18"/>
        <v>リスパダール　コンスタ筋注用３７．５ｍｇ</v>
      </c>
      <c r="D610">
        <f t="shared" si="19"/>
        <v>16654</v>
      </c>
    </row>
    <row r="611" spans="1:4" x14ac:dyDescent="0.15">
      <c r="A611" t="s">
        <v>1807</v>
      </c>
      <c r="B611">
        <v>19680</v>
      </c>
      <c r="C611" t="str">
        <f t="shared" si="18"/>
        <v>リスパダール　コンスタ筋注用５０ｍｇ</v>
      </c>
      <c r="D611">
        <f t="shared" si="19"/>
        <v>19680</v>
      </c>
    </row>
    <row r="612" spans="1:4" x14ac:dyDescent="0.15">
      <c r="A612" t="s">
        <v>1809</v>
      </c>
      <c r="B612">
        <v>15</v>
      </c>
      <c r="C612" t="str">
        <f t="shared" si="18"/>
        <v>リスペリドン内用液分包０．５ｍｇ「アメル」</v>
      </c>
      <c r="D612">
        <f t="shared" si="19"/>
        <v>15</v>
      </c>
    </row>
    <row r="613" spans="1:4" x14ac:dyDescent="0.15">
      <c r="A613" t="s">
        <v>1811</v>
      </c>
      <c r="B613">
        <v>29.7</v>
      </c>
      <c r="C613" t="str">
        <f t="shared" si="18"/>
        <v>リスペリドン内用液分包１ｍｇ「アメル」</v>
      </c>
      <c r="D613">
        <f t="shared" si="19"/>
        <v>29.7</v>
      </c>
    </row>
    <row r="614" spans="1:4" x14ac:dyDescent="0.15">
      <c r="A614" t="s">
        <v>1813</v>
      </c>
      <c r="B614">
        <v>10.4</v>
      </c>
      <c r="C614" t="str">
        <f t="shared" si="18"/>
        <v>リスペリドンＯＤ錠０．５ｍｇ「アメル」</v>
      </c>
      <c r="D614">
        <f t="shared" si="19"/>
        <v>10.4</v>
      </c>
    </row>
    <row r="615" spans="1:4" x14ac:dyDescent="0.15">
      <c r="A615" t="s">
        <v>1814</v>
      </c>
      <c r="B615">
        <v>10.4</v>
      </c>
      <c r="C615" t="str">
        <f t="shared" si="18"/>
        <v>リスペリドンＯＤ錠１ｍｇ「アメル」</v>
      </c>
      <c r="D615">
        <f t="shared" si="19"/>
        <v>10.4</v>
      </c>
    </row>
    <row r="616" spans="1:4" x14ac:dyDescent="0.15">
      <c r="A616" t="s">
        <v>1815</v>
      </c>
      <c r="B616">
        <v>10.4</v>
      </c>
      <c r="C616" t="str">
        <f t="shared" si="18"/>
        <v>リスペリドンＯＤ錠２ｍｇ「アメル」</v>
      </c>
      <c r="D616">
        <f t="shared" si="19"/>
        <v>10.4</v>
      </c>
    </row>
    <row r="617" spans="1:4" x14ac:dyDescent="0.15">
      <c r="A617" t="s">
        <v>1816</v>
      </c>
      <c r="B617">
        <v>10.9</v>
      </c>
      <c r="C617" t="str">
        <f t="shared" si="18"/>
        <v>リスペリドンＯＤ錠３ｍｇ「アメル」</v>
      </c>
      <c r="D617">
        <f t="shared" si="19"/>
        <v>10.9</v>
      </c>
    </row>
    <row r="618" spans="1:4" x14ac:dyDescent="0.15">
      <c r="A618" t="s">
        <v>1817</v>
      </c>
      <c r="B618">
        <v>16.2</v>
      </c>
      <c r="C618" t="str">
        <f t="shared" si="18"/>
        <v>リスミー錠２ｍｇ</v>
      </c>
      <c r="D618">
        <f t="shared" si="19"/>
        <v>16.2</v>
      </c>
    </row>
    <row r="619" spans="1:4" x14ac:dyDescent="0.15">
      <c r="A619" t="s">
        <v>1065</v>
      </c>
      <c r="B619">
        <v>6.6</v>
      </c>
      <c r="C619" t="str">
        <f t="shared" si="18"/>
        <v>リーゼ錠５ｍｇ</v>
      </c>
      <c r="D619">
        <f t="shared" si="19"/>
        <v>6.6</v>
      </c>
    </row>
    <row r="620" spans="1:4" x14ac:dyDescent="0.15">
      <c r="A620" t="s">
        <v>1818</v>
      </c>
      <c r="B620">
        <v>14.7</v>
      </c>
      <c r="C620" t="str">
        <f t="shared" si="18"/>
        <v>リドメックスコーワ軟膏０．３％</v>
      </c>
      <c r="D620">
        <f t="shared" si="19"/>
        <v>14.7</v>
      </c>
    </row>
    <row r="621" spans="1:4" x14ac:dyDescent="0.15">
      <c r="A621" t="s">
        <v>1819</v>
      </c>
      <c r="B621">
        <v>71.2</v>
      </c>
      <c r="C621" t="str">
        <f t="shared" si="18"/>
        <v>リバスチグミンテープ４．５ｍｇ「トーワ」</v>
      </c>
      <c r="D621">
        <f t="shared" si="19"/>
        <v>71.2</v>
      </c>
    </row>
    <row r="622" spans="1:4" x14ac:dyDescent="0.15">
      <c r="A622" t="s">
        <v>1820</v>
      </c>
      <c r="B622">
        <v>80.400000000000006</v>
      </c>
      <c r="C622" t="str">
        <f t="shared" si="18"/>
        <v>リバスチグミンテープ９ｍｇ「トーワ」</v>
      </c>
      <c r="D622">
        <f t="shared" si="19"/>
        <v>80.400000000000006</v>
      </c>
    </row>
    <row r="623" spans="1:4" x14ac:dyDescent="0.15">
      <c r="A623" t="s">
        <v>1821</v>
      </c>
      <c r="B623">
        <v>84</v>
      </c>
      <c r="C623" t="str">
        <f t="shared" si="18"/>
        <v>リバスチグミンテープ１３．５ｍｇ「トーワ」</v>
      </c>
      <c r="D623">
        <f t="shared" si="19"/>
        <v>84</v>
      </c>
    </row>
    <row r="624" spans="1:4" x14ac:dyDescent="0.15">
      <c r="A624" t="s">
        <v>1822</v>
      </c>
      <c r="B624">
        <v>89.5</v>
      </c>
      <c r="C624" t="str">
        <f t="shared" si="18"/>
        <v>リバスチグミンテープ１８ｍｇ「トーワ」</v>
      </c>
      <c r="D624">
        <f t="shared" si="19"/>
        <v>89.5</v>
      </c>
    </row>
    <row r="625" spans="1:4" x14ac:dyDescent="0.15">
      <c r="A625" t="s">
        <v>1823</v>
      </c>
      <c r="B625">
        <v>161.30000000000001</v>
      </c>
      <c r="C625" t="str">
        <f t="shared" si="18"/>
        <v>リバーロキサバンＯＤ錠１０ｍｇ「バイエル」</v>
      </c>
      <c r="D625">
        <f t="shared" si="19"/>
        <v>161.30000000000001</v>
      </c>
    </row>
    <row r="626" spans="1:4" x14ac:dyDescent="0.15">
      <c r="A626" t="s">
        <v>1825</v>
      </c>
      <c r="B626">
        <v>9.6</v>
      </c>
      <c r="C626" t="str">
        <f t="shared" si="18"/>
        <v>リボトリール錠０．５ｍｇ</v>
      </c>
      <c r="D626">
        <f t="shared" si="19"/>
        <v>9.6</v>
      </c>
    </row>
    <row r="627" spans="1:4" x14ac:dyDescent="0.15">
      <c r="A627" t="s">
        <v>1826</v>
      </c>
      <c r="B627">
        <v>10.4</v>
      </c>
      <c r="C627" t="str">
        <f t="shared" si="18"/>
        <v>リボトリール錠１ｍｇ</v>
      </c>
      <c r="D627">
        <f t="shared" si="19"/>
        <v>10.4</v>
      </c>
    </row>
    <row r="628" spans="1:4" x14ac:dyDescent="0.15">
      <c r="A628" t="s">
        <v>1827</v>
      </c>
      <c r="B628">
        <v>29</v>
      </c>
      <c r="C628" t="str">
        <f t="shared" si="18"/>
        <v>リマチル錠１００ｍｇ</v>
      </c>
      <c r="D628">
        <f t="shared" si="19"/>
        <v>29</v>
      </c>
    </row>
    <row r="629" spans="1:4" x14ac:dyDescent="0.15">
      <c r="A629" t="s">
        <v>1828</v>
      </c>
      <c r="B629">
        <v>9.9</v>
      </c>
      <c r="C629" t="str">
        <f t="shared" si="18"/>
        <v>リマプロストアルファデクス錠５μｇ「サワイ」</v>
      </c>
      <c r="D629">
        <f t="shared" si="19"/>
        <v>9.9</v>
      </c>
    </row>
    <row r="630" spans="1:4" x14ac:dyDescent="0.15">
      <c r="A630" t="s">
        <v>1829</v>
      </c>
      <c r="B630">
        <v>17611</v>
      </c>
      <c r="C630" t="str">
        <f t="shared" si="18"/>
        <v>リュープロレリン酢酸塩注射用キット３．７５ｍｇ「あすか」</v>
      </c>
      <c r="D630">
        <f t="shared" si="19"/>
        <v>17611</v>
      </c>
    </row>
    <row r="631" spans="1:4" x14ac:dyDescent="0.15">
      <c r="A631" t="s">
        <v>1830</v>
      </c>
      <c r="B631">
        <v>383.5</v>
      </c>
      <c r="C631" t="str">
        <f t="shared" si="18"/>
        <v>リルゾール錠５０ｍｇ「ニプロ」</v>
      </c>
      <c r="D631">
        <f t="shared" si="19"/>
        <v>383.5</v>
      </c>
    </row>
    <row r="632" spans="1:4" x14ac:dyDescent="0.15">
      <c r="A632" t="s">
        <v>1831</v>
      </c>
      <c r="B632">
        <v>64.5</v>
      </c>
      <c r="C632" t="str">
        <f t="shared" si="18"/>
        <v>リンゼス錠０．２５ｍｇ</v>
      </c>
      <c r="D632">
        <f t="shared" si="19"/>
        <v>64.5</v>
      </c>
    </row>
    <row r="633" spans="1:4" x14ac:dyDescent="0.15">
      <c r="A633" t="s">
        <v>1832</v>
      </c>
      <c r="B633">
        <v>49.1</v>
      </c>
      <c r="C633" t="str">
        <f t="shared" si="18"/>
        <v>リンデロン点眼・点耳・点鼻液０．１％</v>
      </c>
      <c r="D633">
        <f t="shared" si="19"/>
        <v>49.1</v>
      </c>
    </row>
    <row r="634" spans="1:4" x14ac:dyDescent="0.15">
      <c r="A634" t="s">
        <v>1833</v>
      </c>
      <c r="B634">
        <v>16.899999999999999</v>
      </c>
      <c r="C634" t="str">
        <f t="shared" si="18"/>
        <v>リンデロン－Ｖクリーム０．１２％</v>
      </c>
      <c r="D634">
        <f t="shared" si="19"/>
        <v>16.899999999999999</v>
      </c>
    </row>
    <row r="635" spans="1:4" x14ac:dyDescent="0.15">
      <c r="A635" t="s">
        <v>1834</v>
      </c>
      <c r="B635">
        <v>16.899999999999999</v>
      </c>
      <c r="C635" t="str">
        <f t="shared" si="18"/>
        <v>リンデロン－Ｖ軟膏０．１２％</v>
      </c>
      <c r="D635">
        <f t="shared" si="19"/>
        <v>16.899999999999999</v>
      </c>
    </row>
    <row r="636" spans="1:4" x14ac:dyDescent="0.15">
      <c r="A636" t="s">
        <v>1835</v>
      </c>
      <c r="B636">
        <v>208</v>
      </c>
      <c r="C636" t="str">
        <f t="shared" si="18"/>
        <v>リンデロン懸濁注</v>
      </c>
      <c r="D636">
        <f t="shared" si="19"/>
        <v>208</v>
      </c>
    </row>
    <row r="637" spans="1:4" x14ac:dyDescent="0.15">
      <c r="A637" t="s">
        <v>1836</v>
      </c>
      <c r="B637">
        <v>9.6</v>
      </c>
      <c r="C637" t="str">
        <f t="shared" si="18"/>
        <v>ルーラン錠４ｍｇ</v>
      </c>
      <c r="D637">
        <f t="shared" si="19"/>
        <v>9.6</v>
      </c>
    </row>
    <row r="638" spans="1:4" x14ac:dyDescent="0.15">
      <c r="A638" t="s">
        <v>1118</v>
      </c>
      <c r="B638">
        <v>18.7</v>
      </c>
      <c r="C638" t="str">
        <f t="shared" si="18"/>
        <v>ルーラン錠８ｍｇ</v>
      </c>
      <c r="D638">
        <f t="shared" si="19"/>
        <v>18.7</v>
      </c>
    </row>
    <row r="639" spans="1:4" x14ac:dyDescent="0.15">
      <c r="A639" t="s">
        <v>1837</v>
      </c>
      <c r="B639">
        <v>241.8</v>
      </c>
      <c r="C639" t="str">
        <f t="shared" si="18"/>
        <v>レキサルティＯＤ錠１ｍｇ</v>
      </c>
      <c r="D639">
        <f t="shared" si="19"/>
        <v>241.8</v>
      </c>
    </row>
    <row r="640" spans="1:4" x14ac:dyDescent="0.15">
      <c r="A640" t="s">
        <v>1838</v>
      </c>
      <c r="B640">
        <v>461.9</v>
      </c>
      <c r="C640" t="str">
        <f t="shared" si="18"/>
        <v>レキサルティＯＤ錠２ｍｇ</v>
      </c>
      <c r="D640">
        <f t="shared" si="19"/>
        <v>461.9</v>
      </c>
    </row>
    <row r="641" spans="1:4" x14ac:dyDescent="0.15">
      <c r="A641" t="s">
        <v>1839</v>
      </c>
      <c r="B641">
        <v>128.69999999999999</v>
      </c>
      <c r="C641" t="str">
        <f t="shared" si="18"/>
        <v>レキサルティＯＤ錠０．５ｍｇ</v>
      </c>
      <c r="D641">
        <f t="shared" si="19"/>
        <v>128.69999999999999</v>
      </c>
    </row>
    <row r="642" spans="1:4" x14ac:dyDescent="0.15">
      <c r="A642" t="s">
        <v>1124</v>
      </c>
      <c r="B642">
        <v>6.1</v>
      </c>
      <c r="C642" t="str">
        <f t="shared" ref="C642:C683" si="20">DBCS(A642)</f>
        <v>レキソタン錠２</v>
      </c>
      <c r="D642">
        <f t="shared" ref="D642:D683" si="21">B642</f>
        <v>6.1</v>
      </c>
    </row>
    <row r="643" spans="1:4" x14ac:dyDescent="0.15">
      <c r="A643" t="s">
        <v>1126</v>
      </c>
      <c r="B643">
        <v>7</v>
      </c>
      <c r="C643" t="str">
        <f t="shared" si="20"/>
        <v>レキソタン錠５</v>
      </c>
      <c r="D643">
        <f t="shared" si="21"/>
        <v>7</v>
      </c>
    </row>
    <row r="644" spans="1:4" x14ac:dyDescent="0.15">
      <c r="A644" t="s">
        <v>1840</v>
      </c>
      <c r="B644">
        <v>76.3</v>
      </c>
      <c r="C644" t="str">
        <f t="shared" si="20"/>
        <v>レクチゾール錠２５ｍｇ</v>
      </c>
      <c r="D644">
        <f t="shared" si="21"/>
        <v>76.3</v>
      </c>
    </row>
    <row r="645" spans="1:4" x14ac:dyDescent="0.15">
      <c r="A645" t="s">
        <v>1841</v>
      </c>
      <c r="B645">
        <v>34.200000000000003</v>
      </c>
      <c r="C645" t="str">
        <f t="shared" si="20"/>
        <v>レグテクト錠３３３ｍｇ</v>
      </c>
      <c r="D645">
        <f t="shared" si="21"/>
        <v>34.200000000000003</v>
      </c>
    </row>
    <row r="646" spans="1:4" x14ac:dyDescent="0.15">
      <c r="A646" t="s">
        <v>1842</v>
      </c>
      <c r="B646">
        <v>2.13</v>
      </c>
      <c r="C646" t="str">
        <f t="shared" si="20"/>
        <v>レスタミンコーワクリーム１％</v>
      </c>
      <c r="D646">
        <f t="shared" si="21"/>
        <v>2.13</v>
      </c>
    </row>
    <row r="647" spans="1:4" x14ac:dyDescent="0.15">
      <c r="A647" t="s">
        <v>1843</v>
      </c>
      <c r="B647">
        <v>10.8</v>
      </c>
      <c r="C647" t="str">
        <f t="shared" si="20"/>
        <v>レスプレン錠２０ｍｇ</v>
      </c>
      <c r="D647">
        <f t="shared" si="21"/>
        <v>10.8</v>
      </c>
    </row>
    <row r="648" spans="1:4" x14ac:dyDescent="0.15">
      <c r="A648" t="s">
        <v>1844</v>
      </c>
      <c r="B648">
        <v>52.4</v>
      </c>
      <c r="C648" t="str">
        <f t="shared" si="20"/>
        <v>レトロゾール錠２．５ｍｇ「サワイ」</v>
      </c>
      <c r="D648">
        <f t="shared" si="21"/>
        <v>52.4</v>
      </c>
    </row>
    <row r="649" spans="1:4" x14ac:dyDescent="0.15">
      <c r="A649" t="s">
        <v>1845</v>
      </c>
      <c r="B649">
        <v>10.4</v>
      </c>
      <c r="C649" t="str">
        <f t="shared" si="20"/>
        <v>レバミピド錠１００ｍｇ「オーツカ」</v>
      </c>
      <c r="D649">
        <f t="shared" si="21"/>
        <v>10.4</v>
      </c>
    </row>
    <row r="650" spans="1:4" x14ac:dyDescent="0.15">
      <c r="A650" t="s">
        <v>1846</v>
      </c>
      <c r="B650">
        <v>111.8</v>
      </c>
      <c r="C650" t="str">
        <f t="shared" si="20"/>
        <v>レペタン坐剤０．２ｍｇ</v>
      </c>
      <c r="D650">
        <f t="shared" si="21"/>
        <v>111.8</v>
      </c>
    </row>
    <row r="651" spans="1:4" x14ac:dyDescent="0.15">
      <c r="A651" t="s">
        <v>1847</v>
      </c>
      <c r="B651">
        <v>669</v>
      </c>
      <c r="C651" t="str">
        <f t="shared" si="20"/>
        <v>レベチラセタム点滴静注５００ｍｇ「明治」</v>
      </c>
      <c r="D651">
        <f t="shared" si="21"/>
        <v>669</v>
      </c>
    </row>
    <row r="652" spans="1:4" x14ac:dyDescent="0.15">
      <c r="A652" t="s">
        <v>1848</v>
      </c>
      <c r="B652">
        <v>25.4</v>
      </c>
      <c r="C652" t="str">
        <f t="shared" si="20"/>
        <v>レベチラセタム錠２５０ｍｇ「トーワ」</v>
      </c>
      <c r="D652">
        <f t="shared" si="21"/>
        <v>25.4</v>
      </c>
    </row>
    <row r="653" spans="1:4" x14ac:dyDescent="0.15">
      <c r="A653" t="s">
        <v>1849</v>
      </c>
      <c r="B653">
        <v>63.7</v>
      </c>
      <c r="C653" t="str">
        <f t="shared" si="20"/>
        <v>レベチラセタムＤＳ５０％「トーワ」</v>
      </c>
      <c r="D653">
        <f t="shared" si="21"/>
        <v>63.7</v>
      </c>
    </row>
    <row r="654" spans="1:4" x14ac:dyDescent="0.15">
      <c r="A654" t="s">
        <v>1850</v>
      </c>
      <c r="B654">
        <v>75.900000000000006</v>
      </c>
      <c r="C654" t="str">
        <f t="shared" si="20"/>
        <v>レボカルニチンＦＦ錠２５０ｍｇ「アメル」</v>
      </c>
      <c r="D654">
        <f t="shared" si="21"/>
        <v>75.900000000000006</v>
      </c>
    </row>
    <row r="655" spans="1:4" x14ac:dyDescent="0.15">
      <c r="A655" t="s">
        <v>1851</v>
      </c>
      <c r="B655">
        <v>27.7</v>
      </c>
      <c r="C655" t="str">
        <f t="shared" si="20"/>
        <v>レボフロキサシン細粒１０％「ＤＳＥＰ」</v>
      </c>
      <c r="D655">
        <f t="shared" si="21"/>
        <v>27.7</v>
      </c>
    </row>
    <row r="656" spans="1:4" x14ac:dyDescent="0.15">
      <c r="A656" t="s">
        <v>1852</v>
      </c>
      <c r="B656">
        <v>32.9</v>
      </c>
      <c r="C656" t="str">
        <f t="shared" si="20"/>
        <v>レボフロキサシン錠２５０ｍｇ「ＤＳＥＰ」</v>
      </c>
      <c r="D656">
        <f t="shared" si="21"/>
        <v>32.9</v>
      </c>
    </row>
    <row r="657" spans="1:4" x14ac:dyDescent="0.15">
      <c r="A657" t="s">
        <v>1853</v>
      </c>
      <c r="B657">
        <v>1044</v>
      </c>
      <c r="C657" t="str">
        <f t="shared" si="20"/>
        <v>レボフロキサシン点滴静注バッグ５００ｍｇ／１００ｍＬ「ＤＳＥＰ」</v>
      </c>
      <c r="D657">
        <f t="shared" si="21"/>
        <v>1044</v>
      </c>
    </row>
    <row r="658" spans="1:4" x14ac:dyDescent="0.15">
      <c r="A658" t="s">
        <v>1854</v>
      </c>
      <c r="B658">
        <v>26.6</v>
      </c>
      <c r="C658" t="str">
        <f t="shared" si="20"/>
        <v>レボフロキサシン点眼液１．５％「ニットー」</v>
      </c>
      <c r="D658">
        <f t="shared" si="21"/>
        <v>26.6</v>
      </c>
    </row>
    <row r="659" spans="1:4" x14ac:dyDescent="0.15">
      <c r="A659" t="s">
        <v>1855</v>
      </c>
      <c r="B659">
        <v>2377.3000000000002</v>
      </c>
      <c r="C659" t="str">
        <f t="shared" si="20"/>
        <v>レボレード錠１２．５ｍｇ</v>
      </c>
      <c r="D659">
        <f t="shared" si="21"/>
        <v>2377.3000000000002</v>
      </c>
    </row>
    <row r="660" spans="1:4" x14ac:dyDescent="0.15">
      <c r="A660" t="s">
        <v>1856</v>
      </c>
      <c r="B660">
        <v>346.9</v>
      </c>
      <c r="C660" t="str">
        <f t="shared" si="20"/>
        <v>レルパックス錠２０ｍｇ</v>
      </c>
      <c r="D660">
        <f t="shared" si="21"/>
        <v>346.9</v>
      </c>
    </row>
    <row r="661" spans="1:4" x14ac:dyDescent="0.15">
      <c r="A661" t="s">
        <v>1857</v>
      </c>
      <c r="B661">
        <v>5220.8</v>
      </c>
      <c r="C661" t="str">
        <f t="shared" si="20"/>
        <v>レルベア２００エリプタ３０吸入用</v>
      </c>
      <c r="D661">
        <f t="shared" si="21"/>
        <v>5220.8</v>
      </c>
    </row>
    <row r="662" spans="1:4" x14ac:dyDescent="0.15">
      <c r="A662" t="s">
        <v>1858</v>
      </c>
      <c r="B662">
        <v>4829.8999999999996</v>
      </c>
      <c r="C662" t="str">
        <f t="shared" si="20"/>
        <v>レルベア１００エリプタ３０吸入用</v>
      </c>
      <c r="D662">
        <f t="shared" si="21"/>
        <v>4829.8999999999996</v>
      </c>
    </row>
    <row r="663" spans="1:4" x14ac:dyDescent="0.15">
      <c r="A663" t="s">
        <v>1859</v>
      </c>
      <c r="B663">
        <v>10.1</v>
      </c>
      <c r="C663" t="str">
        <f t="shared" si="20"/>
        <v>ロキソプロフェンナトリウム錠６０ｍｇ「日医工」</v>
      </c>
      <c r="D663">
        <f t="shared" si="21"/>
        <v>10.1</v>
      </c>
    </row>
    <row r="664" spans="1:4" x14ac:dyDescent="0.15">
      <c r="A664" t="s">
        <v>1860</v>
      </c>
      <c r="B664">
        <v>13.8</v>
      </c>
      <c r="C664" t="str">
        <f t="shared" si="20"/>
        <v>ロキソニン細粒１０％</v>
      </c>
      <c r="D664">
        <f t="shared" si="21"/>
        <v>13.8</v>
      </c>
    </row>
    <row r="665" spans="1:4" x14ac:dyDescent="0.15">
      <c r="A665" t="s">
        <v>1861</v>
      </c>
      <c r="B665">
        <v>17.600000000000001</v>
      </c>
      <c r="C665" t="str">
        <f t="shared" si="20"/>
        <v>ロキソプロフェンＮａテープ１００ｍｇ「ＤＳＥＰ」</v>
      </c>
      <c r="D665">
        <f t="shared" si="21"/>
        <v>17.600000000000001</v>
      </c>
    </row>
    <row r="666" spans="1:4" x14ac:dyDescent="0.15">
      <c r="A666" t="s">
        <v>1862</v>
      </c>
      <c r="B666">
        <v>1024.3</v>
      </c>
      <c r="C666" t="str">
        <f t="shared" si="20"/>
        <v>ロケルマ懸濁用散分包５ｇ</v>
      </c>
      <c r="D666">
        <f t="shared" si="21"/>
        <v>1024.3</v>
      </c>
    </row>
    <row r="667" spans="1:4" x14ac:dyDescent="0.15">
      <c r="A667" t="s">
        <v>1863</v>
      </c>
      <c r="B667">
        <v>14.9</v>
      </c>
      <c r="C667" t="str">
        <f t="shared" si="20"/>
        <v>ロコイド軟膏０．１％</v>
      </c>
      <c r="D667">
        <f t="shared" si="21"/>
        <v>14.9</v>
      </c>
    </row>
    <row r="668" spans="1:4" x14ac:dyDescent="0.15">
      <c r="A668" t="s">
        <v>1864</v>
      </c>
      <c r="B668">
        <v>10.4</v>
      </c>
      <c r="C668" t="str">
        <f t="shared" si="20"/>
        <v>ロスバスタチン錠２．５ｍｇ「トーワ」</v>
      </c>
      <c r="D668">
        <f t="shared" si="21"/>
        <v>10.4</v>
      </c>
    </row>
    <row r="669" spans="1:4" x14ac:dyDescent="0.15">
      <c r="A669" t="s">
        <v>1865</v>
      </c>
      <c r="B669">
        <v>41.1</v>
      </c>
      <c r="C669" t="str">
        <f t="shared" si="20"/>
        <v>ロゼレム錠８ｍｇ</v>
      </c>
      <c r="D669">
        <f t="shared" si="21"/>
        <v>41.1</v>
      </c>
    </row>
    <row r="670" spans="1:4" x14ac:dyDescent="0.15">
      <c r="A670" t="s">
        <v>1866</v>
      </c>
      <c r="B670">
        <v>10.199999999999999</v>
      </c>
      <c r="C670" t="str">
        <f t="shared" si="20"/>
        <v>ロドピン錠２５ｍｇ</v>
      </c>
      <c r="D670">
        <f t="shared" si="21"/>
        <v>10.199999999999999</v>
      </c>
    </row>
    <row r="671" spans="1:4" x14ac:dyDescent="0.15">
      <c r="A671" t="s">
        <v>1867</v>
      </c>
      <c r="B671">
        <v>18.899999999999999</v>
      </c>
      <c r="C671" t="str">
        <f t="shared" si="20"/>
        <v>ロドピン錠５０ｍｇ</v>
      </c>
      <c r="D671">
        <f t="shared" si="21"/>
        <v>18.899999999999999</v>
      </c>
    </row>
    <row r="672" spans="1:4" x14ac:dyDescent="0.15">
      <c r="A672" t="s">
        <v>1868</v>
      </c>
      <c r="B672">
        <v>202.6</v>
      </c>
      <c r="C672" t="str">
        <f t="shared" si="20"/>
        <v>ロドピン細粒５０％</v>
      </c>
      <c r="D672">
        <f t="shared" si="21"/>
        <v>202.6</v>
      </c>
    </row>
    <row r="673" spans="1:4" x14ac:dyDescent="0.15">
      <c r="A673" t="s">
        <v>1869</v>
      </c>
      <c r="B673">
        <v>229</v>
      </c>
      <c r="C673" t="str">
        <f t="shared" si="20"/>
        <v>ロナセンテープ２０ｍｇ</v>
      </c>
      <c r="D673">
        <f t="shared" si="21"/>
        <v>229</v>
      </c>
    </row>
    <row r="674" spans="1:4" x14ac:dyDescent="0.15">
      <c r="A674" t="s">
        <v>1870</v>
      </c>
      <c r="B674">
        <v>429.1</v>
      </c>
      <c r="C674" t="str">
        <f t="shared" si="20"/>
        <v>ロナセンテープ４０ｍｇ</v>
      </c>
      <c r="D674">
        <f t="shared" si="21"/>
        <v>429.1</v>
      </c>
    </row>
    <row r="675" spans="1:4" x14ac:dyDescent="0.15">
      <c r="A675" t="s">
        <v>1164</v>
      </c>
      <c r="B675">
        <v>9.8000000000000007</v>
      </c>
      <c r="C675" t="str">
        <f t="shared" si="20"/>
        <v>ロペミンカプセル１ｍｇ</v>
      </c>
      <c r="D675">
        <f t="shared" si="21"/>
        <v>9.8000000000000007</v>
      </c>
    </row>
    <row r="676" spans="1:4" x14ac:dyDescent="0.15">
      <c r="A676" t="s">
        <v>1871</v>
      </c>
      <c r="B676">
        <v>5.3</v>
      </c>
      <c r="C676" t="str">
        <f t="shared" si="20"/>
        <v>ロラゼパム錠０．５ｍｇ「サワイ」</v>
      </c>
      <c r="D676">
        <f t="shared" si="21"/>
        <v>5.3</v>
      </c>
    </row>
    <row r="677" spans="1:4" x14ac:dyDescent="0.15">
      <c r="A677" t="s">
        <v>1872</v>
      </c>
      <c r="B677">
        <v>13.8</v>
      </c>
      <c r="C677" t="str">
        <f t="shared" si="20"/>
        <v>ロラメット錠１．０</v>
      </c>
      <c r="D677">
        <f t="shared" si="21"/>
        <v>13.8</v>
      </c>
    </row>
    <row r="678" spans="1:4" x14ac:dyDescent="0.15">
      <c r="A678" t="s">
        <v>1873</v>
      </c>
      <c r="B678">
        <v>100</v>
      </c>
      <c r="C678" t="str">
        <f t="shared" si="20"/>
        <v>ワゴスチグミン注０．５ｍｇ</v>
      </c>
      <c r="D678">
        <f t="shared" si="21"/>
        <v>100</v>
      </c>
    </row>
    <row r="679" spans="1:4" x14ac:dyDescent="0.15">
      <c r="A679" t="s">
        <v>1874</v>
      </c>
      <c r="B679">
        <v>206</v>
      </c>
      <c r="C679" t="str">
        <f t="shared" si="20"/>
        <v>ワソラン静注５ｍｇ</v>
      </c>
      <c r="D679">
        <f t="shared" si="21"/>
        <v>206</v>
      </c>
    </row>
    <row r="680" spans="1:4" x14ac:dyDescent="0.15">
      <c r="A680" t="s">
        <v>1875</v>
      </c>
      <c r="B680">
        <v>7.4</v>
      </c>
      <c r="C680" t="str">
        <f t="shared" si="20"/>
        <v>ワソラン錠４０ｍｇ</v>
      </c>
      <c r="D680">
        <f t="shared" si="21"/>
        <v>7.4</v>
      </c>
    </row>
    <row r="681" spans="1:4" x14ac:dyDescent="0.15">
      <c r="A681" t="s">
        <v>1168</v>
      </c>
      <c r="B681">
        <v>10.4</v>
      </c>
      <c r="C681" t="str">
        <f t="shared" si="20"/>
        <v>ワーファリン錠１ｍｇ</v>
      </c>
      <c r="D681">
        <f t="shared" si="21"/>
        <v>10.4</v>
      </c>
    </row>
    <row r="682" spans="1:4" x14ac:dyDescent="0.15">
      <c r="A682" t="s">
        <v>1876</v>
      </c>
      <c r="B682">
        <v>1825</v>
      </c>
      <c r="C682" t="str">
        <f t="shared" si="20"/>
        <v>ワンパル２号輸液１２００</v>
      </c>
      <c r="D682">
        <f t="shared" si="21"/>
        <v>1825</v>
      </c>
    </row>
    <row r="683" spans="1:4" x14ac:dyDescent="0.15">
      <c r="A683" t="s">
        <v>1877</v>
      </c>
      <c r="B683">
        <v>1399</v>
      </c>
      <c r="C683" t="str">
        <f t="shared" si="20"/>
        <v>ワンパル２号輸液</v>
      </c>
      <c r="D683">
        <f t="shared" si="21"/>
        <v>1399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3"/>
  <sheetViews>
    <sheetView workbookViewId="0">
      <selection activeCell="L30" sqref="L30"/>
    </sheetView>
  </sheetViews>
  <sheetFormatPr defaultRowHeight="13.5" x14ac:dyDescent="0.15"/>
  <cols>
    <col min="2" max="2" width="42.875" bestFit="1" customWidth="1"/>
    <col min="3" max="3" width="13" bestFit="1" customWidth="1"/>
    <col min="4" max="4" width="45.375" bestFit="1" customWidth="1"/>
  </cols>
  <sheetData>
    <row r="1" spans="1:5" x14ac:dyDescent="0.15">
      <c r="A1" t="s">
        <v>3782</v>
      </c>
      <c r="B1" t="s">
        <v>3783</v>
      </c>
      <c r="C1" t="s">
        <v>3784</v>
      </c>
      <c r="D1" t="s">
        <v>3785</v>
      </c>
      <c r="E1" t="s">
        <v>3786</v>
      </c>
    </row>
    <row r="2" spans="1:5" x14ac:dyDescent="0.15">
      <c r="A2">
        <v>8</v>
      </c>
      <c r="B2" t="s">
        <v>239</v>
      </c>
      <c r="C2" t="s">
        <v>3889</v>
      </c>
      <c r="D2" t="s">
        <v>239</v>
      </c>
      <c r="E2">
        <v>32</v>
      </c>
    </row>
    <row r="3" spans="1:5" x14ac:dyDescent="0.15">
      <c r="A3">
        <v>18</v>
      </c>
      <c r="B3" t="s">
        <v>476</v>
      </c>
      <c r="C3" t="s">
        <v>3889</v>
      </c>
      <c r="D3" t="s">
        <v>476</v>
      </c>
      <c r="E3">
        <v>122</v>
      </c>
    </row>
    <row r="4" spans="1:5" x14ac:dyDescent="0.15">
      <c r="A4">
        <v>38</v>
      </c>
      <c r="B4" t="s">
        <v>1200</v>
      </c>
      <c r="C4" t="s">
        <v>3889</v>
      </c>
      <c r="D4" t="s">
        <v>1200</v>
      </c>
      <c r="E4">
        <v>94</v>
      </c>
    </row>
    <row r="5" spans="1:5" x14ac:dyDescent="0.15">
      <c r="A5">
        <v>5</v>
      </c>
      <c r="B5" t="s">
        <v>124</v>
      </c>
      <c r="C5" t="s">
        <v>3884</v>
      </c>
    </row>
    <row r="6" spans="1:5" x14ac:dyDescent="0.15">
      <c r="A6">
        <v>7</v>
      </c>
      <c r="B6" s="26" t="s">
        <v>214</v>
      </c>
      <c r="C6" t="s">
        <v>3884</v>
      </c>
    </row>
    <row r="7" spans="1:5" x14ac:dyDescent="0.15">
      <c r="A7">
        <v>10</v>
      </c>
      <c r="B7" s="26" t="s">
        <v>247</v>
      </c>
      <c r="C7" t="s">
        <v>3884</v>
      </c>
    </row>
    <row r="8" spans="1:5" x14ac:dyDescent="0.15">
      <c r="A8">
        <v>12</v>
      </c>
      <c r="B8" s="26" t="s">
        <v>318</v>
      </c>
      <c r="C8" t="s">
        <v>3884</v>
      </c>
    </row>
    <row r="9" spans="1:5" s="29" customFormat="1" x14ac:dyDescent="0.15">
      <c r="A9" s="29">
        <v>14</v>
      </c>
      <c r="B9" s="29" t="s">
        <v>349</v>
      </c>
      <c r="C9" s="29" t="s">
        <v>3884</v>
      </c>
    </row>
    <row r="10" spans="1:5" x14ac:dyDescent="0.15">
      <c r="A10">
        <v>15</v>
      </c>
      <c r="B10" s="26" t="s">
        <v>365</v>
      </c>
      <c r="C10" t="s">
        <v>3884</v>
      </c>
    </row>
    <row r="11" spans="1:5" s="29" customFormat="1" x14ac:dyDescent="0.15">
      <c r="A11" s="29">
        <v>19</v>
      </c>
      <c r="B11" s="29" t="s">
        <v>499</v>
      </c>
      <c r="C11" s="29" t="s">
        <v>3884</v>
      </c>
    </row>
    <row r="12" spans="1:5" s="28" customFormat="1" x14ac:dyDescent="0.15">
      <c r="A12" s="28">
        <v>22</v>
      </c>
      <c r="B12" s="33" t="s">
        <v>656</v>
      </c>
      <c r="C12" s="28" t="s">
        <v>3884</v>
      </c>
    </row>
    <row r="13" spans="1:5" s="29" customFormat="1" x14ac:dyDescent="0.15">
      <c r="A13" s="29">
        <v>24</v>
      </c>
      <c r="B13" s="29" t="s">
        <v>761</v>
      </c>
      <c r="C13" s="29" t="s">
        <v>3884</v>
      </c>
    </row>
    <row r="14" spans="1:5" s="29" customFormat="1" x14ac:dyDescent="0.15">
      <c r="A14" s="29">
        <v>26</v>
      </c>
      <c r="B14" s="29" t="s">
        <v>803</v>
      </c>
      <c r="C14" s="29" t="s">
        <v>3884</v>
      </c>
    </row>
    <row r="15" spans="1:5" x14ac:dyDescent="0.15">
      <c r="A15">
        <v>35</v>
      </c>
      <c r="B15" s="26" t="s">
        <v>1148</v>
      </c>
      <c r="C15" t="s">
        <v>3884</v>
      </c>
    </row>
    <row r="16" spans="1:5" s="29" customFormat="1" x14ac:dyDescent="0.15">
      <c r="A16" s="29">
        <v>36</v>
      </c>
      <c r="B16" s="29" t="s">
        <v>1183</v>
      </c>
      <c r="C16" s="29" t="s">
        <v>3884</v>
      </c>
    </row>
    <row r="17" spans="1:5" x14ac:dyDescent="0.15">
      <c r="A17">
        <v>37</v>
      </c>
      <c r="B17" t="s">
        <v>1198</v>
      </c>
      <c r="C17" t="s">
        <v>3884</v>
      </c>
    </row>
    <row r="18" spans="1:5" s="29" customFormat="1" x14ac:dyDescent="0.15">
      <c r="A18" s="29">
        <v>39</v>
      </c>
      <c r="B18" s="29" t="s">
        <v>1219</v>
      </c>
      <c r="C18" s="29" t="s">
        <v>3884</v>
      </c>
    </row>
    <row r="19" spans="1:5" x14ac:dyDescent="0.15">
      <c r="A19">
        <v>1</v>
      </c>
      <c r="B19" s="28" t="s">
        <v>49</v>
      </c>
      <c r="C19" t="s">
        <v>3866</v>
      </c>
      <c r="D19" t="s">
        <v>4049</v>
      </c>
      <c r="E19">
        <v>98</v>
      </c>
    </row>
    <row r="20" spans="1:5" x14ac:dyDescent="0.15">
      <c r="A20">
        <v>2</v>
      </c>
      <c r="B20" s="28" t="s">
        <v>73</v>
      </c>
      <c r="C20" t="s">
        <v>3866</v>
      </c>
      <c r="D20" t="s">
        <v>1250</v>
      </c>
      <c r="E20">
        <v>1</v>
      </c>
    </row>
    <row r="21" spans="1:5" x14ac:dyDescent="0.15">
      <c r="A21">
        <v>3</v>
      </c>
      <c r="B21" t="s">
        <v>77</v>
      </c>
      <c r="C21" t="s">
        <v>3866</v>
      </c>
      <c r="D21" t="s">
        <v>4048</v>
      </c>
      <c r="E21">
        <v>2</v>
      </c>
    </row>
    <row r="22" spans="1:5" x14ac:dyDescent="0.15">
      <c r="A22">
        <v>4</v>
      </c>
      <c r="B22" t="s">
        <v>82</v>
      </c>
      <c r="C22" t="s">
        <v>3866</v>
      </c>
      <c r="D22" t="s">
        <v>1252</v>
      </c>
      <c r="E22">
        <v>3</v>
      </c>
    </row>
    <row r="23" spans="1:5" x14ac:dyDescent="0.15">
      <c r="A23">
        <v>6</v>
      </c>
      <c r="B23" t="s">
        <v>204</v>
      </c>
      <c r="C23" t="s">
        <v>3866</v>
      </c>
      <c r="D23" t="s">
        <v>1286</v>
      </c>
      <c r="E23">
        <v>19</v>
      </c>
    </row>
    <row r="24" spans="1:5" x14ac:dyDescent="0.15">
      <c r="A24">
        <v>9</v>
      </c>
      <c r="B24" t="s">
        <v>242</v>
      </c>
      <c r="C24" t="s">
        <v>3866</v>
      </c>
      <c r="D24" t="s">
        <v>4047</v>
      </c>
      <c r="E24">
        <v>33</v>
      </c>
    </row>
    <row r="25" spans="1:5" x14ac:dyDescent="0.15">
      <c r="A25">
        <v>11</v>
      </c>
      <c r="B25" t="s">
        <v>265</v>
      </c>
      <c r="C25" t="s">
        <v>3866</v>
      </c>
      <c r="D25" t="s">
        <v>4046</v>
      </c>
      <c r="E25">
        <v>335</v>
      </c>
    </row>
    <row r="26" spans="1:5" x14ac:dyDescent="0.15">
      <c r="A26">
        <v>13</v>
      </c>
      <c r="B26" t="s">
        <v>345</v>
      </c>
      <c r="C26" t="s">
        <v>3866</v>
      </c>
      <c r="D26" t="s">
        <v>1346</v>
      </c>
      <c r="E26">
        <v>68</v>
      </c>
    </row>
    <row r="27" spans="1:5" x14ac:dyDescent="0.15">
      <c r="A27">
        <v>16</v>
      </c>
      <c r="B27" t="s">
        <v>408</v>
      </c>
      <c r="C27" t="s">
        <v>3866</v>
      </c>
      <c r="D27" t="s">
        <v>1393</v>
      </c>
      <c r="E27">
        <v>101</v>
      </c>
    </row>
    <row r="28" spans="1:5" x14ac:dyDescent="0.15">
      <c r="A28">
        <v>17</v>
      </c>
      <c r="B28" t="s">
        <v>428</v>
      </c>
      <c r="C28" t="s">
        <v>3866</v>
      </c>
      <c r="D28" t="s">
        <v>4045</v>
      </c>
      <c r="E28">
        <v>106</v>
      </c>
    </row>
    <row r="29" spans="1:5" x14ac:dyDescent="0.15">
      <c r="A29">
        <v>20</v>
      </c>
      <c r="B29" t="s">
        <v>509</v>
      </c>
      <c r="C29" t="s">
        <v>3866</v>
      </c>
      <c r="D29" t="s">
        <v>1435</v>
      </c>
      <c r="E29">
        <v>124</v>
      </c>
    </row>
    <row r="30" spans="1:5" x14ac:dyDescent="0.15">
      <c r="A30">
        <v>21</v>
      </c>
      <c r="B30" t="s">
        <v>538</v>
      </c>
      <c r="C30" t="s">
        <v>3866</v>
      </c>
      <c r="D30" t="s">
        <v>1451</v>
      </c>
      <c r="E30">
        <v>131</v>
      </c>
    </row>
    <row r="31" spans="1:5" x14ac:dyDescent="0.15">
      <c r="A31">
        <v>23</v>
      </c>
      <c r="B31" t="s">
        <v>735</v>
      </c>
      <c r="C31" t="s">
        <v>3866</v>
      </c>
      <c r="D31" t="s">
        <v>1584</v>
      </c>
      <c r="E31">
        <v>209</v>
      </c>
    </row>
    <row r="32" spans="1:5" x14ac:dyDescent="0.15">
      <c r="A32">
        <v>25</v>
      </c>
      <c r="B32" t="s">
        <v>766</v>
      </c>
      <c r="C32" t="s">
        <v>3866</v>
      </c>
      <c r="D32" t="s">
        <v>1606</v>
      </c>
      <c r="E32">
        <v>226</v>
      </c>
    </row>
    <row r="33" spans="1:5" x14ac:dyDescent="0.15">
      <c r="A33">
        <v>27</v>
      </c>
      <c r="B33" t="s">
        <v>832</v>
      </c>
      <c r="C33" t="s">
        <v>3866</v>
      </c>
      <c r="D33" t="s">
        <v>1647</v>
      </c>
      <c r="E33">
        <v>249</v>
      </c>
    </row>
    <row r="34" spans="1:5" x14ac:dyDescent="0.15">
      <c r="A34">
        <v>28</v>
      </c>
      <c r="B34" t="s">
        <v>833</v>
      </c>
      <c r="C34" t="s">
        <v>3866</v>
      </c>
      <c r="D34" t="s">
        <v>4044</v>
      </c>
      <c r="E34">
        <v>248</v>
      </c>
    </row>
    <row r="35" spans="1:5" x14ac:dyDescent="0.15">
      <c r="A35">
        <v>29</v>
      </c>
      <c r="B35" t="s">
        <v>839</v>
      </c>
      <c r="C35" t="s">
        <v>3866</v>
      </c>
      <c r="D35" t="s">
        <v>4043</v>
      </c>
      <c r="E35">
        <v>251</v>
      </c>
    </row>
    <row r="36" spans="1:5" x14ac:dyDescent="0.15">
      <c r="A36">
        <v>30</v>
      </c>
      <c r="B36" t="s">
        <v>929</v>
      </c>
      <c r="C36" t="s">
        <v>3866</v>
      </c>
      <c r="D36" t="s">
        <v>1716</v>
      </c>
      <c r="E36">
        <v>284</v>
      </c>
    </row>
    <row r="37" spans="1:5" x14ac:dyDescent="0.15">
      <c r="A37">
        <v>31</v>
      </c>
      <c r="B37" t="s">
        <v>1034</v>
      </c>
      <c r="C37" t="s">
        <v>3866</v>
      </c>
      <c r="D37" t="s">
        <v>1775</v>
      </c>
      <c r="E37">
        <v>309</v>
      </c>
    </row>
    <row r="38" spans="1:5" x14ac:dyDescent="0.15">
      <c r="A38">
        <v>32</v>
      </c>
      <c r="B38" t="s">
        <v>1061</v>
      </c>
      <c r="C38" t="s">
        <v>3866</v>
      </c>
      <c r="D38" t="s">
        <v>4042</v>
      </c>
      <c r="E38">
        <v>314</v>
      </c>
    </row>
    <row r="39" spans="1:5" x14ac:dyDescent="0.15">
      <c r="A39">
        <v>33</v>
      </c>
      <c r="B39" t="s">
        <v>1086</v>
      </c>
      <c r="C39" t="s">
        <v>3866</v>
      </c>
      <c r="D39" t="s">
        <v>1812</v>
      </c>
      <c r="E39">
        <v>321</v>
      </c>
    </row>
    <row r="40" spans="1:5" x14ac:dyDescent="0.15">
      <c r="A40">
        <v>34</v>
      </c>
      <c r="B40" t="s">
        <v>1100</v>
      </c>
      <c r="C40" t="s">
        <v>3866</v>
      </c>
      <c r="D40" t="s">
        <v>1824</v>
      </c>
      <c r="E40">
        <v>329</v>
      </c>
    </row>
    <row r="41" spans="1:5" x14ac:dyDescent="0.15">
      <c r="A41">
        <v>40</v>
      </c>
    </row>
    <row r="42" spans="1:5" x14ac:dyDescent="0.15">
      <c r="A42">
        <v>41</v>
      </c>
    </row>
    <row r="43" spans="1:5" x14ac:dyDescent="0.15">
      <c r="A43">
        <v>42</v>
      </c>
    </row>
    <row r="44" spans="1:5" x14ac:dyDescent="0.15">
      <c r="A44">
        <v>43</v>
      </c>
    </row>
    <row r="45" spans="1:5" x14ac:dyDescent="0.15">
      <c r="A45">
        <v>44</v>
      </c>
    </row>
    <row r="46" spans="1:5" x14ac:dyDescent="0.15">
      <c r="A46">
        <v>45</v>
      </c>
    </row>
    <row r="47" spans="1:5" x14ac:dyDescent="0.15">
      <c r="A47">
        <v>46</v>
      </c>
    </row>
    <row r="48" spans="1:5" x14ac:dyDescent="0.15">
      <c r="A48">
        <v>47</v>
      </c>
    </row>
    <row r="49" spans="1:1" x14ac:dyDescent="0.15">
      <c r="A49">
        <v>48</v>
      </c>
    </row>
    <row r="50" spans="1:1" x14ac:dyDescent="0.15">
      <c r="A50">
        <v>49</v>
      </c>
    </row>
    <row r="51" spans="1:1" x14ac:dyDescent="0.15">
      <c r="A51">
        <v>50</v>
      </c>
    </row>
    <row r="52" spans="1:1" x14ac:dyDescent="0.15">
      <c r="A52">
        <v>51</v>
      </c>
    </row>
    <row r="53" spans="1:1" x14ac:dyDescent="0.15">
      <c r="A53">
        <v>52</v>
      </c>
    </row>
    <row r="54" spans="1:1" x14ac:dyDescent="0.15">
      <c r="A54">
        <v>53</v>
      </c>
    </row>
    <row r="55" spans="1:1" x14ac:dyDescent="0.15">
      <c r="A55">
        <v>54</v>
      </c>
    </row>
    <row r="56" spans="1:1" x14ac:dyDescent="0.15">
      <c r="A56">
        <v>55</v>
      </c>
    </row>
    <row r="57" spans="1:1" x14ac:dyDescent="0.15">
      <c r="A57">
        <v>56</v>
      </c>
    </row>
    <row r="58" spans="1:1" x14ac:dyDescent="0.15">
      <c r="A58">
        <v>57</v>
      </c>
    </row>
    <row r="59" spans="1:1" x14ac:dyDescent="0.15">
      <c r="A59">
        <v>58</v>
      </c>
    </row>
    <row r="60" spans="1:1" x14ac:dyDescent="0.15">
      <c r="A60">
        <v>59</v>
      </c>
    </row>
    <row r="61" spans="1:1" x14ac:dyDescent="0.15">
      <c r="A61">
        <v>60</v>
      </c>
    </row>
    <row r="62" spans="1:1" x14ac:dyDescent="0.15">
      <c r="A62">
        <v>61</v>
      </c>
    </row>
    <row r="63" spans="1:1" x14ac:dyDescent="0.15">
      <c r="A63">
        <v>62</v>
      </c>
    </row>
    <row r="64" spans="1:1" x14ac:dyDescent="0.15">
      <c r="A64">
        <v>63</v>
      </c>
    </row>
    <row r="65" spans="1:1" x14ac:dyDescent="0.15">
      <c r="A65">
        <v>64</v>
      </c>
    </row>
    <row r="66" spans="1:1" x14ac:dyDescent="0.15">
      <c r="A66">
        <v>65</v>
      </c>
    </row>
    <row r="67" spans="1:1" x14ac:dyDescent="0.15">
      <c r="A67">
        <v>66</v>
      </c>
    </row>
    <row r="68" spans="1:1" x14ac:dyDescent="0.15">
      <c r="A68">
        <v>67</v>
      </c>
    </row>
    <row r="69" spans="1:1" x14ac:dyDescent="0.15">
      <c r="A69">
        <v>68</v>
      </c>
    </row>
    <row r="70" spans="1:1" x14ac:dyDescent="0.15">
      <c r="A70">
        <v>69</v>
      </c>
    </row>
    <row r="71" spans="1:1" x14ac:dyDescent="0.15">
      <c r="A71">
        <v>70</v>
      </c>
    </row>
    <row r="72" spans="1:1" x14ac:dyDescent="0.15">
      <c r="A72">
        <v>71</v>
      </c>
    </row>
    <row r="73" spans="1:1" x14ac:dyDescent="0.15">
      <c r="A73">
        <v>72</v>
      </c>
    </row>
    <row r="74" spans="1:1" x14ac:dyDescent="0.15">
      <c r="A74">
        <v>73</v>
      </c>
    </row>
    <row r="75" spans="1:1" x14ac:dyDescent="0.15">
      <c r="A75">
        <v>74</v>
      </c>
    </row>
    <row r="76" spans="1:1" x14ac:dyDescent="0.15">
      <c r="A76">
        <v>75</v>
      </c>
    </row>
    <row r="77" spans="1:1" x14ac:dyDescent="0.15">
      <c r="A77">
        <v>76</v>
      </c>
    </row>
    <row r="78" spans="1:1" x14ac:dyDescent="0.15">
      <c r="A78">
        <v>77</v>
      </c>
    </row>
    <row r="79" spans="1:1" x14ac:dyDescent="0.15">
      <c r="A79">
        <v>78</v>
      </c>
    </row>
    <row r="80" spans="1:1" x14ac:dyDescent="0.15">
      <c r="A80">
        <v>79</v>
      </c>
    </row>
    <row r="81" spans="1:1" x14ac:dyDescent="0.15">
      <c r="A81">
        <v>80</v>
      </c>
    </row>
    <row r="82" spans="1:1" x14ac:dyDescent="0.15">
      <c r="A82">
        <v>81</v>
      </c>
    </row>
    <row r="83" spans="1:1" x14ac:dyDescent="0.15">
      <c r="A83">
        <v>82</v>
      </c>
    </row>
    <row r="84" spans="1:1" x14ac:dyDescent="0.15">
      <c r="A84">
        <v>83</v>
      </c>
    </row>
    <row r="85" spans="1:1" x14ac:dyDescent="0.15">
      <c r="A85">
        <v>84</v>
      </c>
    </row>
    <row r="86" spans="1:1" x14ac:dyDescent="0.15">
      <c r="A86">
        <v>85</v>
      </c>
    </row>
    <row r="87" spans="1:1" x14ac:dyDescent="0.15">
      <c r="A87">
        <v>86</v>
      </c>
    </row>
    <row r="88" spans="1:1" x14ac:dyDescent="0.15">
      <c r="A88">
        <v>87</v>
      </c>
    </row>
    <row r="89" spans="1:1" x14ac:dyDescent="0.15">
      <c r="A89">
        <v>88</v>
      </c>
    </row>
    <row r="90" spans="1:1" x14ac:dyDescent="0.15">
      <c r="A90">
        <v>89</v>
      </c>
    </row>
    <row r="91" spans="1:1" x14ac:dyDescent="0.15">
      <c r="A91">
        <v>90</v>
      </c>
    </row>
    <row r="92" spans="1:1" x14ac:dyDescent="0.15">
      <c r="A92">
        <v>91</v>
      </c>
    </row>
    <row r="93" spans="1:1" x14ac:dyDescent="0.15">
      <c r="A93">
        <v>92</v>
      </c>
    </row>
    <row r="94" spans="1:1" x14ac:dyDescent="0.15">
      <c r="A94">
        <v>93</v>
      </c>
    </row>
    <row r="95" spans="1:1" x14ac:dyDescent="0.15">
      <c r="A95">
        <v>94</v>
      </c>
    </row>
    <row r="96" spans="1:1" x14ac:dyDescent="0.15">
      <c r="A96">
        <v>95</v>
      </c>
    </row>
    <row r="97" spans="1:1" x14ac:dyDescent="0.15">
      <c r="A97">
        <v>96</v>
      </c>
    </row>
    <row r="98" spans="1:1" x14ac:dyDescent="0.15">
      <c r="A98">
        <v>97</v>
      </c>
    </row>
    <row r="99" spans="1:1" x14ac:dyDescent="0.15">
      <c r="A99">
        <v>98</v>
      </c>
    </row>
    <row r="100" spans="1:1" x14ac:dyDescent="0.15">
      <c r="A100">
        <v>99</v>
      </c>
    </row>
    <row r="101" spans="1:1" x14ac:dyDescent="0.15">
      <c r="A101">
        <v>100</v>
      </c>
    </row>
    <row r="102" spans="1:1" x14ac:dyDescent="0.15">
      <c r="A102">
        <v>101</v>
      </c>
    </row>
    <row r="103" spans="1:1" x14ac:dyDescent="0.15">
      <c r="A103">
        <v>102</v>
      </c>
    </row>
    <row r="104" spans="1:1" x14ac:dyDescent="0.15">
      <c r="A104">
        <v>103</v>
      </c>
    </row>
    <row r="105" spans="1:1" x14ac:dyDescent="0.15">
      <c r="A105">
        <v>104</v>
      </c>
    </row>
    <row r="106" spans="1:1" x14ac:dyDescent="0.15">
      <c r="A106">
        <v>105</v>
      </c>
    </row>
    <row r="107" spans="1:1" x14ac:dyDescent="0.15">
      <c r="A107">
        <v>106</v>
      </c>
    </row>
    <row r="108" spans="1:1" x14ac:dyDescent="0.15">
      <c r="A108">
        <v>107</v>
      </c>
    </row>
    <row r="109" spans="1:1" x14ac:dyDescent="0.15">
      <c r="A109">
        <v>108</v>
      </c>
    </row>
    <row r="110" spans="1:1" x14ac:dyDescent="0.15">
      <c r="A110">
        <v>109</v>
      </c>
    </row>
    <row r="111" spans="1:1" x14ac:dyDescent="0.15">
      <c r="A111">
        <v>110</v>
      </c>
    </row>
    <row r="112" spans="1:1" x14ac:dyDescent="0.15">
      <c r="A112">
        <v>111</v>
      </c>
    </row>
    <row r="113" spans="1:1" x14ac:dyDescent="0.15">
      <c r="A113">
        <v>112</v>
      </c>
    </row>
    <row r="114" spans="1:1" x14ac:dyDescent="0.15">
      <c r="A114">
        <v>113</v>
      </c>
    </row>
    <row r="115" spans="1:1" x14ac:dyDescent="0.15">
      <c r="A115">
        <v>114</v>
      </c>
    </row>
    <row r="116" spans="1:1" x14ac:dyDescent="0.15">
      <c r="A116">
        <v>115</v>
      </c>
    </row>
    <row r="117" spans="1:1" x14ac:dyDescent="0.15">
      <c r="A117">
        <v>116</v>
      </c>
    </row>
    <row r="118" spans="1:1" x14ac:dyDescent="0.15">
      <c r="A118">
        <v>117</v>
      </c>
    </row>
    <row r="119" spans="1:1" x14ac:dyDescent="0.15">
      <c r="A119">
        <v>118</v>
      </c>
    </row>
    <row r="120" spans="1:1" x14ac:dyDescent="0.15">
      <c r="A120">
        <v>119</v>
      </c>
    </row>
    <row r="121" spans="1:1" x14ac:dyDescent="0.15">
      <c r="A121">
        <v>120</v>
      </c>
    </row>
    <row r="122" spans="1:1" x14ac:dyDescent="0.15">
      <c r="A122">
        <v>121</v>
      </c>
    </row>
    <row r="123" spans="1:1" x14ac:dyDescent="0.15">
      <c r="A123">
        <v>122</v>
      </c>
    </row>
    <row r="124" spans="1:1" x14ac:dyDescent="0.15">
      <c r="A124">
        <v>123</v>
      </c>
    </row>
    <row r="125" spans="1:1" x14ac:dyDescent="0.15">
      <c r="A125">
        <v>124</v>
      </c>
    </row>
    <row r="126" spans="1:1" x14ac:dyDescent="0.15">
      <c r="A126">
        <v>125</v>
      </c>
    </row>
    <row r="127" spans="1:1" x14ac:dyDescent="0.15">
      <c r="A127">
        <v>126</v>
      </c>
    </row>
    <row r="128" spans="1:1" x14ac:dyDescent="0.15">
      <c r="A128">
        <v>127</v>
      </c>
    </row>
    <row r="129" spans="1:1" x14ac:dyDescent="0.15">
      <c r="A129">
        <v>128</v>
      </c>
    </row>
    <row r="130" spans="1:1" x14ac:dyDescent="0.15">
      <c r="A130">
        <v>129</v>
      </c>
    </row>
    <row r="131" spans="1:1" x14ac:dyDescent="0.15">
      <c r="A131">
        <v>130</v>
      </c>
    </row>
    <row r="132" spans="1:1" x14ac:dyDescent="0.15">
      <c r="A132">
        <v>131</v>
      </c>
    </row>
    <row r="133" spans="1:1" x14ac:dyDescent="0.15">
      <c r="A133">
        <v>132</v>
      </c>
    </row>
    <row r="134" spans="1:1" x14ac:dyDescent="0.15">
      <c r="A134">
        <v>133</v>
      </c>
    </row>
    <row r="135" spans="1:1" x14ac:dyDescent="0.15">
      <c r="A135">
        <v>134</v>
      </c>
    </row>
    <row r="136" spans="1:1" x14ac:dyDescent="0.15">
      <c r="A136">
        <v>135</v>
      </c>
    </row>
    <row r="137" spans="1:1" x14ac:dyDescent="0.15">
      <c r="A137">
        <v>136</v>
      </c>
    </row>
    <row r="138" spans="1:1" x14ac:dyDescent="0.15">
      <c r="A138">
        <v>137</v>
      </c>
    </row>
    <row r="139" spans="1:1" x14ac:dyDescent="0.15">
      <c r="A139">
        <v>138</v>
      </c>
    </row>
    <row r="140" spans="1:1" x14ac:dyDescent="0.15">
      <c r="A140">
        <v>139</v>
      </c>
    </row>
    <row r="141" spans="1:1" x14ac:dyDescent="0.15">
      <c r="A141">
        <v>140</v>
      </c>
    </row>
    <row r="142" spans="1:1" x14ac:dyDescent="0.15">
      <c r="A142">
        <v>141</v>
      </c>
    </row>
    <row r="143" spans="1:1" x14ac:dyDescent="0.15">
      <c r="A143">
        <v>142</v>
      </c>
    </row>
    <row r="144" spans="1:1" x14ac:dyDescent="0.15">
      <c r="A144">
        <v>143</v>
      </c>
    </row>
    <row r="145" spans="1:1" x14ac:dyDescent="0.15">
      <c r="A145">
        <v>144</v>
      </c>
    </row>
    <row r="146" spans="1:1" x14ac:dyDescent="0.15">
      <c r="A146">
        <v>145</v>
      </c>
    </row>
    <row r="147" spans="1:1" x14ac:dyDescent="0.15">
      <c r="A147">
        <v>146</v>
      </c>
    </row>
    <row r="148" spans="1:1" x14ac:dyDescent="0.15">
      <c r="A148">
        <v>147</v>
      </c>
    </row>
    <row r="149" spans="1:1" x14ac:dyDescent="0.15">
      <c r="A149">
        <v>148</v>
      </c>
    </row>
    <row r="150" spans="1:1" x14ac:dyDescent="0.15">
      <c r="A150">
        <v>149</v>
      </c>
    </row>
    <row r="151" spans="1:1" x14ac:dyDescent="0.15">
      <c r="A151">
        <v>150</v>
      </c>
    </row>
    <row r="152" spans="1:1" x14ac:dyDescent="0.15">
      <c r="A152">
        <v>151</v>
      </c>
    </row>
    <row r="153" spans="1:1" x14ac:dyDescent="0.15">
      <c r="A153">
        <v>152</v>
      </c>
    </row>
    <row r="154" spans="1:1" x14ac:dyDescent="0.15">
      <c r="A154">
        <v>153</v>
      </c>
    </row>
    <row r="155" spans="1:1" x14ac:dyDescent="0.15">
      <c r="A155">
        <v>154</v>
      </c>
    </row>
    <row r="156" spans="1:1" x14ac:dyDescent="0.15">
      <c r="A156">
        <v>155</v>
      </c>
    </row>
    <row r="157" spans="1:1" x14ac:dyDescent="0.15">
      <c r="A157">
        <v>156</v>
      </c>
    </row>
    <row r="158" spans="1:1" x14ac:dyDescent="0.15">
      <c r="A158">
        <v>157</v>
      </c>
    </row>
    <row r="159" spans="1:1" x14ac:dyDescent="0.15">
      <c r="A159">
        <v>158</v>
      </c>
    </row>
    <row r="160" spans="1:1" x14ac:dyDescent="0.15">
      <c r="A160">
        <v>159</v>
      </c>
    </row>
    <row r="161" spans="1:1" x14ac:dyDescent="0.15">
      <c r="A161">
        <v>160</v>
      </c>
    </row>
    <row r="162" spans="1:1" x14ac:dyDescent="0.15">
      <c r="A162">
        <v>161</v>
      </c>
    </row>
    <row r="163" spans="1:1" x14ac:dyDescent="0.15">
      <c r="A163">
        <v>162</v>
      </c>
    </row>
    <row r="164" spans="1:1" x14ac:dyDescent="0.15">
      <c r="A164">
        <v>163</v>
      </c>
    </row>
    <row r="165" spans="1:1" x14ac:dyDescent="0.15">
      <c r="A165">
        <v>164</v>
      </c>
    </row>
    <row r="166" spans="1:1" x14ac:dyDescent="0.15">
      <c r="A166">
        <v>165</v>
      </c>
    </row>
    <row r="167" spans="1:1" x14ac:dyDescent="0.15">
      <c r="A167">
        <v>166</v>
      </c>
    </row>
    <row r="168" spans="1:1" x14ac:dyDescent="0.15">
      <c r="A168">
        <v>167</v>
      </c>
    </row>
    <row r="169" spans="1:1" x14ac:dyDescent="0.15">
      <c r="A169">
        <v>168</v>
      </c>
    </row>
    <row r="170" spans="1:1" x14ac:dyDescent="0.15">
      <c r="A170">
        <v>169</v>
      </c>
    </row>
    <row r="171" spans="1:1" x14ac:dyDescent="0.15">
      <c r="A171">
        <v>170</v>
      </c>
    </row>
    <row r="172" spans="1:1" x14ac:dyDescent="0.15">
      <c r="A172">
        <v>171</v>
      </c>
    </row>
    <row r="173" spans="1:1" x14ac:dyDescent="0.15">
      <c r="A173">
        <v>172</v>
      </c>
    </row>
    <row r="174" spans="1:1" x14ac:dyDescent="0.15">
      <c r="A174">
        <v>173</v>
      </c>
    </row>
    <row r="175" spans="1:1" x14ac:dyDescent="0.15">
      <c r="A175">
        <v>174</v>
      </c>
    </row>
    <row r="176" spans="1:1" x14ac:dyDescent="0.15">
      <c r="A176">
        <v>175</v>
      </c>
    </row>
    <row r="177" spans="1:1" x14ac:dyDescent="0.15">
      <c r="A177">
        <v>176</v>
      </c>
    </row>
    <row r="178" spans="1:1" x14ac:dyDescent="0.15">
      <c r="A178">
        <v>177</v>
      </c>
    </row>
    <row r="179" spans="1:1" x14ac:dyDescent="0.15">
      <c r="A179">
        <v>178</v>
      </c>
    </row>
    <row r="180" spans="1:1" x14ac:dyDescent="0.15">
      <c r="A180">
        <v>179</v>
      </c>
    </row>
    <row r="181" spans="1:1" x14ac:dyDescent="0.15">
      <c r="A181">
        <v>180</v>
      </c>
    </row>
    <row r="182" spans="1:1" x14ac:dyDescent="0.15">
      <c r="A182">
        <v>181</v>
      </c>
    </row>
    <row r="183" spans="1:1" x14ac:dyDescent="0.15">
      <c r="A183">
        <v>182</v>
      </c>
    </row>
    <row r="184" spans="1:1" x14ac:dyDescent="0.15">
      <c r="A184">
        <v>183</v>
      </c>
    </row>
    <row r="185" spans="1:1" x14ac:dyDescent="0.15">
      <c r="A185">
        <v>184</v>
      </c>
    </row>
    <row r="186" spans="1:1" x14ac:dyDescent="0.15">
      <c r="A186">
        <v>185</v>
      </c>
    </row>
    <row r="187" spans="1:1" x14ac:dyDescent="0.15">
      <c r="A187">
        <v>186</v>
      </c>
    </row>
    <row r="188" spans="1:1" x14ac:dyDescent="0.15">
      <c r="A188">
        <v>187</v>
      </c>
    </row>
    <row r="189" spans="1:1" x14ac:dyDescent="0.15">
      <c r="A189">
        <v>188</v>
      </c>
    </row>
    <row r="190" spans="1:1" x14ac:dyDescent="0.15">
      <c r="A190">
        <v>189</v>
      </c>
    </row>
    <row r="191" spans="1:1" x14ac:dyDescent="0.15">
      <c r="A191">
        <v>190</v>
      </c>
    </row>
    <row r="192" spans="1:1" x14ac:dyDescent="0.15">
      <c r="A192">
        <v>191</v>
      </c>
    </row>
    <row r="193" spans="1:1" x14ac:dyDescent="0.15">
      <c r="A193">
        <v>192</v>
      </c>
    </row>
    <row r="194" spans="1:1" x14ac:dyDescent="0.15">
      <c r="A194">
        <v>193</v>
      </c>
    </row>
    <row r="195" spans="1:1" x14ac:dyDescent="0.15">
      <c r="A195">
        <v>194</v>
      </c>
    </row>
    <row r="196" spans="1:1" x14ac:dyDescent="0.15">
      <c r="A196">
        <v>195</v>
      </c>
    </row>
    <row r="197" spans="1:1" x14ac:dyDescent="0.15">
      <c r="A197">
        <v>196</v>
      </c>
    </row>
    <row r="198" spans="1:1" x14ac:dyDescent="0.15">
      <c r="A198">
        <v>197</v>
      </c>
    </row>
    <row r="199" spans="1:1" x14ac:dyDescent="0.15">
      <c r="A199">
        <v>198</v>
      </c>
    </row>
    <row r="200" spans="1:1" x14ac:dyDescent="0.15">
      <c r="A200">
        <v>199</v>
      </c>
    </row>
    <row r="201" spans="1:1" x14ac:dyDescent="0.15">
      <c r="A201">
        <v>200</v>
      </c>
    </row>
    <row r="202" spans="1:1" x14ac:dyDescent="0.15">
      <c r="A202">
        <v>201</v>
      </c>
    </row>
    <row r="203" spans="1:1" x14ac:dyDescent="0.15">
      <c r="A203">
        <v>202</v>
      </c>
    </row>
    <row r="204" spans="1:1" x14ac:dyDescent="0.15">
      <c r="A204">
        <v>203</v>
      </c>
    </row>
    <row r="205" spans="1:1" x14ac:dyDescent="0.15">
      <c r="A205">
        <v>204</v>
      </c>
    </row>
    <row r="206" spans="1:1" x14ac:dyDescent="0.15">
      <c r="A206">
        <v>205</v>
      </c>
    </row>
    <row r="207" spans="1:1" x14ac:dyDescent="0.15">
      <c r="A207">
        <v>206</v>
      </c>
    </row>
    <row r="208" spans="1:1" x14ac:dyDescent="0.15">
      <c r="A208">
        <v>207</v>
      </c>
    </row>
    <row r="209" spans="1:1" x14ac:dyDescent="0.15">
      <c r="A209">
        <v>208</v>
      </c>
    </row>
    <row r="210" spans="1:1" x14ac:dyDescent="0.15">
      <c r="A210">
        <v>209</v>
      </c>
    </row>
    <row r="211" spans="1:1" x14ac:dyDescent="0.15">
      <c r="A211">
        <v>210</v>
      </c>
    </row>
    <row r="212" spans="1:1" x14ac:dyDescent="0.15">
      <c r="A212">
        <v>211</v>
      </c>
    </row>
    <row r="213" spans="1:1" x14ac:dyDescent="0.15">
      <c r="A213">
        <v>212</v>
      </c>
    </row>
    <row r="214" spans="1:1" x14ac:dyDescent="0.15">
      <c r="A214">
        <v>213</v>
      </c>
    </row>
    <row r="215" spans="1:1" x14ac:dyDescent="0.15">
      <c r="A215">
        <v>214</v>
      </c>
    </row>
    <row r="216" spans="1:1" x14ac:dyDescent="0.15">
      <c r="A216">
        <v>215</v>
      </c>
    </row>
    <row r="217" spans="1:1" x14ac:dyDescent="0.15">
      <c r="A217">
        <v>216</v>
      </c>
    </row>
    <row r="218" spans="1:1" x14ac:dyDescent="0.15">
      <c r="A218">
        <v>217</v>
      </c>
    </row>
    <row r="219" spans="1:1" x14ac:dyDescent="0.15">
      <c r="A219">
        <v>218</v>
      </c>
    </row>
    <row r="220" spans="1:1" x14ac:dyDescent="0.15">
      <c r="A220">
        <v>219</v>
      </c>
    </row>
    <row r="221" spans="1:1" x14ac:dyDescent="0.15">
      <c r="A221">
        <v>220</v>
      </c>
    </row>
    <row r="222" spans="1:1" x14ac:dyDescent="0.15">
      <c r="A222">
        <v>221</v>
      </c>
    </row>
    <row r="223" spans="1:1" x14ac:dyDescent="0.15">
      <c r="A223">
        <v>222</v>
      </c>
    </row>
    <row r="224" spans="1:1" x14ac:dyDescent="0.15">
      <c r="A224">
        <v>223</v>
      </c>
    </row>
    <row r="225" spans="1:1" x14ac:dyDescent="0.15">
      <c r="A225">
        <v>224</v>
      </c>
    </row>
    <row r="226" spans="1:1" x14ac:dyDescent="0.15">
      <c r="A226">
        <v>225</v>
      </c>
    </row>
    <row r="227" spans="1:1" x14ac:dyDescent="0.15">
      <c r="A227">
        <v>226</v>
      </c>
    </row>
    <row r="228" spans="1:1" x14ac:dyDescent="0.15">
      <c r="A228">
        <v>227</v>
      </c>
    </row>
    <row r="229" spans="1:1" x14ac:dyDescent="0.15">
      <c r="A229">
        <v>228</v>
      </c>
    </row>
    <row r="230" spans="1:1" x14ac:dyDescent="0.15">
      <c r="A230">
        <v>229</v>
      </c>
    </row>
    <row r="231" spans="1:1" x14ac:dyDescent="0.15">
      <c r="A231">
        <v>230</v>
      </c>
    </row>
    <row r="232" spans="1:1" x14ac:dyDescent="0.15">
      <c r="A232">
        <v>231</v>
      </c>
    </row>
    <row r="233" spans="1:1" x14ac:dyDescent="0.15">
      <c r="A233">
        <v>232</v>
      </c>
    </row>
    <row r="234" spans="1:1" x14ac:dyDescent="0.15">
      <c r="A234">
        <v>233</v>
      </c>
    </row>
    <row r="235" spans="1:1" x14ac:dyDescent="0.15">
      <c r="A235">
        <v>234</v>
      </c>
    </row>
    <row r="236" spans="1:1" x14ac:dyDescent="0.15">
      <c r="A236">
        <v>235</v>
      </c>
    </row>
    <row r="237" spans="1:1" x14ac:dyDescent="0.15">
      <c r="A237">
        <v>236</v>
      </c>
    </row>
    <row r="238" spans="1:1" x14ac:dyDescent="0.15">
      <c r="A238">
        <v>237</v>
      </c>
    </row>
    <row r="239" spans="1:1" x14ac:dyDescent="0.15">
      <c r="A239">
        <v>238</v>
      </c>
    </row>
    <row r="240" spans="1:1" x14ac:dyDescent="0.15">
      <c r="A240">
        <v>239</v>
      </c>
    </row>
    <row r="241" spans="1:1" x14ac:dyDescent="0.15">
      <c r="A241">
        <v>240</v>
      </c>
    </row>
    <row r="242" spans="1:1" x14ac:dyDescent="0.15">
      <c r="A242">
        <v>241</v>
      </c>
    </row>
    <row r="243" spans="1:1" x14ac:dyDescent="0.15">
      <c r="A243">
        <v>242</v>
      </c>
    </row>
    <row r="244" spans="1:1" x14ac:dyDescent="0.15">
      <c r="A244">
        <v>243</v>
      </c>
    </row>
    <row r="245" spans="1:1" x14ac:dyDescent="0.15">
      <c r="A245">
        <v>244</v>
      </c>
    </row>
    <row r="246" spans="1:1" x14ac:dyDescent="0.15">
      <c r="A246">
        <v>245</v>
      </c>
    </row>
    <row r="247" spans="1:1" x14ac:dyDescent="0.15">
      <c r="A247">
        <v>246</v>
      </c>
    </row>
    <row r="248" spans="1:1" x14ac:dyDescent="0.15">
      <c r="A248">
        <v>247</v>
      </c>
    </row>
    <row r="249" spans="1:1" x14ac:dyDescent="0.15">
      <c r="A249">
        <v>248</v>
      </c>
    </row>
    <row r="250" spans="1:1" x14ac:dyDescent="0.15">
      <c r="A250">
        <v>249</v>
      </c>
    </row>
    <row r="251" spans="1:1" x14ac:dyDescent="0.15">
      <c r="A251">
        <v>250</v>
      </c>
    </row>
    <row r="252" spans="1:1" x14ac:dyDescent="0.15">
      <c r="A252">
        <v>251</v>
      </c>
    </row>
    <row r="253" spans="1:1" x14ac:dyDescent="0.15">
      <c r="A253">
        <v>252</v>
      </c>
    </row>
    <row r="254" spans="1:1" x14ac:dyDescent="0.15">
      <c r="A254">
        <v>253</v>
      </c>
    </row>
    <row r="255" spans="1:1" x14ac:dyDescent="0.15">
      <c r="A255">
        <v>254</v>
      </c>
    </row>
    <row r="256" spans="1:1" x14ac:dyDescent="0.15">
      <c r="A256">
        <v>255</v>
      </c>
    </row>
    <row r="257" spans="1:1" x14ac:dyDescent="0.15">
      <c r="A257">
        <v>256</v>
      </c>
    </row>
    <row r="258" spans="1:1" x14ac:dyDescent="0.15">
      <c r="A258">
        <v>257</v>
      </c>
    </row>
    <row r="259" spans="1:1" x14ac:dyDescent="0.15">
      <c r="A259">
        <v>258</v>
      </c>
    </row>
    <row r="260" spans="1:1" x14ac:dyDescent="0.15">
      <c r="A260">
        <v>259</v>
      </c>
    </row>
    <row r="261" spans="1:1" x14ac:dyDescent="0.15">
      <c r="A261">
        <v>260</v>
      </c>
    </row>
    <row r="262" spans="1:1" x14ac:dyDescent="0.15">
      <c r="A262">
        <v>261</v>
      </c>
    </row>
    <row r="263" spans="1:1" x14ac:dyDescent="0.15">
      <c r="A263">
        <v>262</v>
      </c>
    </row>
    <row r="264" spans="1:1" x14ac:dyDescent="0.15">
      <c r="A264">
        <v>263</v>
      </c>
    </row>
    <row r="265" spans="1:1" x14ac:dyDescent="0.15">
      <c r="A265">
        <v>264</v>
      </c>
    </row>
    <row r="266" spans="1:1" x14ac:dyDescent="0.15">
      <c r="A266">
        <v>265</v>
      </c>
    </row>
    <row r="267" spans="1:1" x14ac:dyDescent="0.15">
      <c r="A267">
        <v>266</v>
      </c>
    </row>
    <row r="268" spans="1:1" x14ac:dyDescent="0.15">
      <c r="A268">
        <v>267</v>
      </c>
    </row>
    <row r="269" spans="1:1" x14ac:dyDescent="0.15">
      <c r="A269">
        <v>268</v>
      </c>
    </row>
    <row r="270" spans="1:1" x14ac:dyDescent="0.15">
      <c r="A270">
        <v>269</v>
      </c>
    </row>
    <row r="271" spans="1:1" x14ac:dyDescent="0.15">
      <c r="A271">
        <v>270</v>
      </c>
    </row>
    <row r="272" spans="1:1" x14ac:dyDescent="0.15">
      <c r="A272">
        <v>271</v>
      </c>
    </row>
    <row r="273" spans="1:1" x14ac:dyDescent="0.15">
      <c r="A273">
        <v>272</v>
      </c>
    </row>
    <row r="274" spans="1:1" x14ac:dyDescent="0.15">
      <c r="A274">
        <v>273</v>
      </c>
    </row>
    <row r="275" spans="1:1" x14ac:dyDescent="0.15">
      <c r="A275">
        <v>274</v>
      </c>
    </row>
    <row r="276" spans="1:1" x14ac:dyDescent="0.15">
      <c r="A276">
        <v>275</v>
      </c>
    </row>
    <row r="277" spans="1:1" x14ac:dyDescent="0.15">
      <c r="A277">
        <v>276</v>
      </c>
    </row>
    <row r="278" spans="1:1" x14ac:dyDescent="0.15">
      <c r="A278">
        <v>277</v>
      </c>
    </row>
    <row r="279" spans="1:1" x14ac:dyDescent="0.15">
      <c r="A279">
        <v>278</v>
      </c>
    </row>
    <row r="280" spans="1:1" x14ac:dyDescent="0.15">
      <c r="A280">
        <v>279</v>
      </c>
    </row>
    <row r="281" spans="1:1" x14ac:dyDescent="0.15">
      <c r="A281">
        <v>280</v>
      </c>
    </row>
    <row r="282" spans="1:1" x14ac:dyDescent="0.15">
      <c r="A282">
        <v>281</v>
      </c>
    </row>
    <row r="283" spans="1:1" x14ac:dyDescent="0.15">
      <c r="A283">
        <v>282</v>
      </c>
    </row>
    <row r="284" spans="1:1" x14ac:dyDescent="0.15">
      <c r="A284">
        <v>283</v>
      </c>
    </row>
    <row r="285" spans="1:1" x14ac:dyDescent="0.15">
      <c r="A285">
        <v>284</v>
      </c>
    </row>
    <row r="286" spans="1:1" x14ac:dyDescent="0.15">
      <c r="A286">
        <v>285</v>
      </c>
    </row>
    <row r="287" spans="1:1" x14ac:dyDescent="0.15">
      <c r="A287">
        <v>286</v>
      </c>
    </row>
    <row r="288" spans="1:1" x14ac:dyDescent="0.15">
      <c r="A288">
        <v>287</v>
      </c>
    </row>
    <row r="289" spans="1:1" x14ac:dyDescent="0.15">
      <c r="A289">
        <v>288</v>
      </c>
    </row>
    <row r="290" spans="1:1" x14ac:dyDescent="0.15">
      <c r="A290">
        <v>289</v>
      </c>
    </row>
    <row r="291" spans="1:1" x14ac:dyDescent="0.15">
      <c r="A291">
        <v>290</v>
      </c>
    </row>
    <row r="292" spans="1:1" x14ac:dyDescent="0.15">
      <c r="A292">
        <v>291</v>
      </c>
    </row>
    <row r="293" spans="1:1" x14ac:dyDescent="0.15">
      <c r="A293">
        <v>292</v>
      </c>
    </row>
    <row r="294" spans="1:1" x14ac:dyDescent="0.15">
      <c r="A294">
        <v>293</v>
      </c>
    </row>
    <row r="295" spans="1:1" x14ac:dyDescent="0.15">
      <c r="A295">
        <v>294</v>
      </c>
    </row>
    <row r="296" spans="1:1" x14ac:dyDescent="0.15">
      <c r="A296">
        <v>295</v>
      </c>
    </row>
    <row r="297" spans="1:1" x14ac:dyDescent="0.15">
      <c r="A297">
        <v>296</v>
      </c>
    </row>
    <row r="298" spans="1:1" x14ac:dyDescent="0.15">
      <c r="A298">
        <v>297</v>
      </c>
    </row>
    <row r="299" spans="1:1" x14ac:dyDescent="0.15">
      <c r="A299">
        <v>298</v>
      </c>
    </row>
    <row r="300" spans="1:1" x14ac:dyDescent="0.15">
      <c r="A300">
        <v>299</v>
      </c>
    </row>
    <row r="301" spans="1:1" x14ac:dyDescent="0.15">
      <c r="A301">
        <v>300</v>
      </c>
    </row>
    <row r="302" spans="1:1" x14ac:dyDescent="0.15">
      <c r="A302">
        <v>301</v>
      </c>
    </row>
    <row r="303" spans="1:1" x14ac:dyDescent="0.15">
      <c r="A303">
        <v>302</v>
      </c>
    </row>
    <row r="304" spans="1:1" x14ac:dyDescent="0.15">
      <c r="A304">
        <v>303</v>
      </c>
    </row>
    <row r="305" spans="1:1" x14ac:dyDescent="0.15">
      <c r="A305">
        <v>304</v>
      </c>
    </row>
    <row r="306" spans="1:1" x14ac:dyDescent="0.15">
      <c r="A306">
        <v>305</v>
      </c>
    </row>
    <row r="307" spans="1:1" x14ac:dyDescent="0.15">
      <c r="A307">
        <v>306</v>
      </c>
    </row>
    <row r="308" spans="1:1" x14ac:dyDescent="0.15">
      <c r="A308">
        <v>307</v>
      </c>
    </row>
    <row r="309" spans="1:1" x14ac:dyDescent="0.15">
      <c r="A309">
        <v>308</v>
      </c>
    </row>
    <row r="310" spans="1:1" x14ac:dyDescent="0.15">
      <c r="A310">
        <v>309</v>
      </c>
    </row>
    <row r="311" spans="1:1" x14ac:dyDescent="0.15">
      <c r="A311">
        <v>310</v>
      </c>
    </row>
    <row r="312" spans="1:1" x14ac:dyDescent="0.15">
      <c r="A312">
        <v>311</v>
      </c>
    </row>
    <row r="313" spans="1:1" x14ac:dyDescent="0.15">
      <c r="A313">
        <v>312</v>
      </c>
    </row>
    <row r="314" spans="1:1" x14ac:dyDescent="0.15">
      <c r="A314">
        <v>313</v>
      </c>
    </row>
    <row r="315" spans="1:1" x14ac:dyDescent="0.15">
      <c r="A315">
        <v>314</v>
      </c>
    </row>
    <row r="316" spans="1:1" x14ac:dyDescent="0.15">
      <c r="A316">
        <v>315</v>
      </c>
    </row>
    <row r="317" spans="1:1" x14ac:dyDescent="0.15">
      <c r="A317">
        <v>316</v>
      </c>
    </row>
    <row r="318" spans="1:1" x14ac:dyDescent="0.15">
      <c r="A318">
        <v>317</v>
      </c>
    </row>
    <row r="319" spans="1:1" x14ac:dyDescent="0.15">
      <c r="A319">
        <v>318</v>
      </c>
    </row>
    <row r="320" spans="1:1" x14ac:dyDescent="0.15">
      <c r="A320">
        <v>319</v>
      </c>
    </row>
    <row r="321" spans="1:1" x14ac:dyDescent="0.15">
      <c r="A321">
        <v>320</v>
      </c>
    </row>
    <row r="322" spans="1:1" x14ac:dyDescent="0.15">
      <c r="A322">
        <v>321</v>
      </c>
    </row>
    <row r="323" spans="1:1" x14ac:dyDescent="0.15">
      <c r="A323">
        <v>322</v>
      </c>
    </row>
    <row r="324" spans="1:1" x14ac:dyDescent="0.15">
      <c r="A324">
        <v>323</v>
      </c>
    </row>
    <row r="325" spans="1:1" x14ac:dyDescent="0.15">
      <c r="A325">
        <v>324</v>
      </c>
    </row>
    <row r="326" spans="1:1" x14ac:dyDescent="0.15">
      <c r="A326">
        <v>325</v>
      </c>
    </row>
    <row r="327" spans="1:1" x14ac:dyDescent="0.15">
      <c r="A327">
        <v>326</v>
      </c>
    </row>
    <row r="328" spans="1:1" x14ac:dyDescent="0.15">
      <c r="A328">
        <v>327</v>
      </c>
    </row>
    <row r="329" spans="1:1" x14ac:dyDescent="0.15">
      <c r="A329">
        <v>328</v>
      </c>
    </row>
    <row r="330" spans="1:1" x14ac:dyDescent="0.15">
      <c r="A330">
        <v>329</v>
      </c>
    </row>
    <row r="331" spans="1:1" x14ac:dyDescent="0.15">
      <c r="A331">
        <v>330</v>
      </c>
    </row>
    <row r="332" spans="1:1" x14ac:dyDescent="0.15">
      <c r="A332">
        <v>331</v>
      </c>
    </row>
    <row r="333" spans="1:1" x14ac:dyDescent="0.15">
      <c r="A333">
        <v>332</v>
      </c>
    </row>
    <row r="334" spans="1:1" x14ac:dyDescent="0.15">
      <c r="A334">
        <v>333</v>
      </c>
    </row>
    <row r="335" spans="1:1" x14ac:dyDescent="0.15">
      <c r="A335">
        <v>334</v>
      </c>
    </row>
    <row r="336" spans="1:1" x14ac:dyDescent="0.15">
      <c r="A336">
        <v>335</v>
      </c>
    </row>
    <row r="337" spans="1:1" x14ac:dyDescent="0.15">
      <c r="A337">
        <v>336</v>
      </c>
    </row>
    <row r="338" spans="1:1" x14ac:dyDescent="0.15">
      <c r="A338">
        <v>337</v>
      </c>
    </row>
    <row r="339" spans="1:1" x14ac:dyDescent="0.15">
      <c r="A339">
        <v>338</v>
      </c>
    </row>
    <row r="340" spans="1:1" x14ac:dyDescent="0.15">
      <c r="A340">
        <v>339</v>
      </c>
    </row>
    <row r="341" spans="1:1" x14ac:dyDescent="0.15">
      <c r="A341">
        <v>340</v>
      </c>
    </row>
    <row r="342" spans="1:1" x14ac:dyDescent="0.15">
      <c r="A342">
        <v>341</v>
      </c>
    </row>
    <row r="343" spans="1:1" x14ac:dyDescent="0.15">
      <c r="A343">
        <v>342</v>
      </c>
    </row>
    <row r="344" spans="1:1" x14ac:dyDescent="0.15">
      <c r="A344">
        <v>343</v>
      </c>
    </row>
    <row r="345" spans="1:1" x14ac:dyDescent="0.15">
      <c r="A345">
        <v>344</v>
      </c>
    </row>
    <row r="346" spans="1:1" x14ac:dyDescent="0.15">
      <c r="A346">
        <v>345</v>
      </c>
    </row>
    <row r="347" spans="1:1" x14ac:dyDescent="0.15">
      <c r="A347">
        <v>346</v>
      </c>
    </row>
    <row r="348" spans="1:1" x14ac:dyDescent="0.15">
      <c r="A348">
        <v>347</v>
      </c>
    </row>
    <row r="349" spans="1:1" x14ac:dyDescent="0.15">
      <c r="A349">
        <v>348</v>
      </c>
    </row>
    <row r="350" spans="1:1" x14ac:dyDescent="0.15">
      <c r="A350">
        <v>349</v>
      </c>
    </row>
    <row r="351" spans="1:1" x14ac:dyDescent="0.15">
      <c r="A351">
        <v>350</v>
      </c>
    </row>
    <row r="352" spans="1:1" x14ac:dyDescent="0.15">
      <c r="A352">
        <v>351</v>
      </c>
    </row>
    <row r="353" spans="1:1" x14ac:dyDescent="0.15">
      <c r="A353">
        <v>352</v>
      </c>
    </row>
    <row r="354" spans="1:1" x14ac:dyDescent="0.15">
      <c r="A354">
        <v>353</v>
      </c>
    </row>
    <row r="355" spans="1:1" x14ac:dyDescent="0.15">
      <c r="A355">
        <v>354</v>
      </c>
    </row>
    <row r="356" spans="1:1" x14ac:dyDescent="0.15">
      <c r="A356">
        <v>355</v>
      </c>
    </row>
    <row r="357" spans="1:1" x14ac:dyDescent="0.15">
      <c r="A357">
        <v>356</v>
      </c>
    </row>
    <row r="358" spans="1:1" x14ac:dyDescent="0.15">
      <c r="A358">
        <v>357</v>
      </c>
    </row>
    <row r="359" spans="1:1" x14ac:dyDescent="0.15">
      <c r="A359">
        <v>358</v>
      </c>
    </row>
    <row r="360" spans="1:1" x14ac:dyDescent="0.15">
      <c r="A360">
        <v>359</v>
      </c>
    </row>
    <row r="361" spans="1:1" x14ac:dyDescent="0.15">
      <c r="A361">
        <v>360</v>
      </c>
    </row>
    <row r="362" spans="1:1" x14ac:dyDescent="0.15">
      <c r="A362">
        <v>361</v>
      </c>
    </row>
    <row r="363" spans="1:1" x14ac:dyDescent="0.15">
      <c r="A363">
        <v>362</v>
      </c>
    </row>
    <row r="364" spans="1:1" x14ac:dyDescent="0.15">
      <c r="A364">
        <v>363</v>
      </c>
    </row>
    <row r="365" spans="1:1" x14ac:dyDescent="0.15">
      <c r="A365">
        <v>364</v>
      </c>
    </row>
    <row r="366" spans="1:1" x14ac:dyDescent="0.15">
      <c r="A366">
        <v>365</v>
      </c>
    </row>
    <row r="367" spans="1:1" x14ac:dyDescent="0.15">
      <c r="A367">
        <v>366</v>
      </c>
    </row>
    <row r="368" spans="1:1" x14ac:dyDescent="0.15">
      <c r="A368">
        <v>367</v>
      </c>
    </row>
    <row r="369" spans="1:1" x14ac:dyDescent="0.15">
      <c r="A369">
        <v>368</v>
      </c>
    </row>
    <row r="370" spans="1:1" x14ac:dyDescent="0.15">
      <c r="A370">
        <v>369</v>
      </c>
    </row>
    <row r="371" spans="1:1" x14ac:dyDescent="0.15">
      <c r="A371">
        <v>370</v>
      </c>
    </row>
    <row r="372" spans="1:1" x14ac:dyDescent="0.15">
      <c r="A372">
        <v>371</v>
      </c>
    </row>
    <row r="373" spans="1:1" x14ac:dyDescent="0.15">
      <c r="A373">
        <v>372</v>
      </c>
    </row>
    <row r="374" spans="1:1" x14ac:dyDescent="0.15">
      <c r="A374">
        <v>373</v>
      </c>
    </row>
    <row r="375" spans="1:1" x14ac:dyDescent="0.15">
      <c r="A375">
        <v>374</v>
      </c>
    </row>
    <row r="376" spans="1:1" x14ac:dyDescent="0.15">
      <c r="A376">
        <v>375</v>
      </c>
    </row>
    <row r="377" spans="1:1" x14ac:dyDescent="0.15">
      <c r="A377">
        <v>376</v>
      </c>
    </row>
    <row r="378" spans="1:1" x14ac:dyDescent="0.15">
      <c r="A378">
        <v>377</v>
      </c>
    </row>
    <row r="379" spans="1:1" x14ac:dyDescent="0.15">
      <c r="A379">
        <v>378</v>
      </c>
    </row>
    <row r="380" spans="1:1" x14ac:dyDescent="0.15">
      <c r="A380">
        <v>379</v>
      </c>
    </row>
    <row r="381" spans="1:1" x14ac:dyDescent="0.15">
      <c r="A381">
        <v>380</v>
      </c>
    </row>
    <row r="382" spans="1:1" x14ac:dyDescent="0.15">
      <c r="A382">
        <v>381</v>
      </c>
    </row>
    <row r="383" spans="1:1" x14ac:dyDescent="0.15">
      <c r="A383">
        <v>382</v>
      </c>
    </row>
    <row r="384" spans="1:1" x14ac:dyDescent="0.15">
      <c r="A384">
        <v>383</v>
      </c>
    </row>
    <row r="385" spans="1:1" x14ac:dyDescent="0.15">
      <c r="A385">
        <v>384</v>
      </c>
    </row>
    <row r="386" spans="1:1" x14ac:dyDescent="0.15">
      <c r="A386">
        <v>385</v>
      </c>
    </row>
    <row r="387" spans="1:1" x14ac:dyDescent="0.15">
      <c r="A387">
        <v>386</v>
      </c>
    </row>
    <row r="388" spans="1:1" x14ac:dyDescent="0.15">
      <c r="A388">
        <v>387</v>
      </c>
    </row>
    <row r="389" spans="1:1" x14ac:dyDescent="0.15">
      <c r="A389">
        <v>388</v>
      </c>
    </row>
    <row r="390" spans="1:1" x14ac:dyDescent="0.15">
      <c r="A390">
        <v>389</v>
      </c>
    </row>
    <row r="391" spans="1:1" x14ac:dyDescent="0.15">
      <c r="A391">
        <v>390</v>
      </c>
    </row>
    <row r="392" spans="1:1" x14ac:dyDescent="0.15">
      <c r="A392">
        <v>391</v>
      </c>
    </row>
    <row r="393" spans="1:1" x14ac:dyDescent="0.15">
      <c r="A393">
        <v>392</v>
      </c>
    </row>
    <row r="394" spans="1:1" x14ac:dyDescent="0.15">
      <c r="A394">
        <v>393</v>
      </c>
    </row>
    <row r="395" spans="1:1" x14ac:dyDescent="0.15">
      <c r="A395">
        <v>394</v>
      </c>
    </row>
    <row r="396" spans="1:1" x14ac:dyDescent="0.15">
      <c r="A396">
        <v>395</v>
      </c>
    </row>
    <row r="397" spans="1:1" x14ac:dyDescent="0.15">
      <c r="A397">
        <v>396</v>
      </c>
    </row>
    <row r="398" spans="1:1" x14ac:dyDescent="0.15">
      <c r="A398">
        <v>397</v>
      </c>
    </row>
    <row r="399" spans="1:1" x14ac:dyDescent="0.15">
      <c r="A399">
        <v>398</v>
      </c>
    </row>
    <row r="400" spans="1:1" x14ac:dyDescent="0.15">
      <c r="A400">
        <v>399</v>
      </c>
    </row>
    <row r="401" spans="1:1" x14ac:dyDescent="0.15">
      <c r="A401">
        <v>400</v>
      </c>
    </row>
    <row r="402" spans="1:1" x14ac:dyDescent="0.15">
      <c r="A402">
        <v>401</v>
      </c>
    </row>
    <row r="403" spans="1:1" x14ac:dyDescent="0.15">
      <c r="A403">
        <v>402</v>
      </c>
    </row>
    <row r="404" spans="1:1" x14ac:dyDescent="0.15">
      <c r="A404">
        <v>403</v>
      </c>
    </row>
    <row r="405" spans="1:1" x14ac:dyDescent="0.15">
      <c r="A405">
        <v>404</v>
      </c>
    </row>
    <row r="406" spans="1:1" x14ac:dyDescent="0.15">
      <c r="A406">
        <v>405</v>
      </c>
    </row>
    <row r="407" spans="1:1" x14ac:dyDescent="0.15">
      <c r="A407">
        <v>406</v>
      </c>
    </row>
    <row r="408" spans="1:1" x14ac:dyDescent="0.15">
      <c r="A408">
        <v>407</v>
      </c>
    </row>
    <row r="409" spans="1:1" x14ac:dyDescent="0.15">
      <c r="A409">
        <v>408</v>
      </c>
    </row>
    <row r="410" spans="1:1" x14ac:dyDescent="0.15">
      <c r="A410">
        <v>409</v>
      </c>
    </row>
    <row r="411" spans="1:1" x14ac:dyDescent="0.15">
      <c r="A411">
        <v>410</v>
      </c>
    </row>
    <row r="412" spans="1:1" x14ac:dyDescent="0.15">
      <c r="A412">
        <v>411</v>
      </c>
    </row>
    <row r="413" spans="1:1" x14ac:dyDescent="0.15">
      <c r="A413">
        <v>412</v>
      </c>
    </row>
    <row r="414" spans="1:1" x14ac:dyDescent="0.15">
      <c r="A414">
        <v>413</v>
      </c>
    </row>
    <row r="415" spans="1:1" x14ac:dyDescent="0.15">
      <c r="A415">
        <v>414</v>
      </c>
    </row>
    <row r="416" spans="1:1" x14ac:dyDescent="0.15">
      <c r="A416">
        <v>415</v>
      </c>
    </row>
    <row r="417" spans="1:1" x14ac:dyDescent="0.15">
      <c r="A417">
        <v>416</v>
      </c>
    </row>
    <row r="418" spans="1:1" x14ac:dyDescent="0.15">
      <c r="A418">
        <v>417</v>
      </c>
    </row>
    <row r="419" spans="1:1" x14ac:dyDescent="0.15">
      <c r="A419">
        <v>418</v>
      </c>
    </row>
    <row r="420" spans="1:1" x14ac:dyDescent="0.15">
      <c r="A420">
        <v>419</v>
      </c>
    </row>
    <row r="421" spans="1:1" x14ac:dyDescent="0.15">
      <c r="A421">
        <v>420</v>
      </c>
    </row>
    <row r="422" spans="1:1" x14ac:dyDescent="0.15">
      <c r="A422">
        <v>421</v>
      </c>
    </row>
    <row r="423" spans="1:1" x14ac:dyDescent="0.15">
      <c r="A423">
        <v>422</v>
      </c>
    </row>
    <row r="424" spans="1:1" x14ac:dyDescent="0.15">
      <c r="A424">
        <v>423</v>
      </c>
    </row>
    <row r="425" spans="1:1" x14ac:dyDescent="0.15">
      <c r="A425">
        <v>424</v>
      </c>
    </row>
    <row r="426" spans="1:1" x14ac:dyDescent="0.15">
      <c r="A426">
        <v>425</v>
      </c>
    </row>
    <row r="427" spans="1:1" x14ac:dyDescent="0.15">
      <c r="A427">
        <v>426</v>
      </c>
    </row>
    <row r="428" spans="1:1" x14ac:dyDescent="0.15">
      <c r="A428">
        <v>427</v>
      </c>
    </row>
    <row r="429" spans="1:1" x14ac:dyDescent="0.15">
      <c r="A429">
        <v>428</v>
      </c>
    </row>
    <row r="430" spans="1:1" x14ac:dyDescent="0.15">
      <c r="A430">
        <v>429</v>
      </c>
    </row>
    <row r="431" spans="1:1" x14ac:dyDescent="0.15">
      <c r="A431">
        <v>430</v>
      </c>
    </row>
    <row r="432" spans="1:1" x14ac:dyDescent="0.15">
      <c r="A432">
        <v>431</v>
      </c>
    </row>
    <row r="433" spans="1:1" x14ac:dyDescent="0.15">
      <c r="A433">
        <v>432</v>
      </c>
    </row>
    <row r="434" spans="1:1" x14ac:dyDescent="0.15">
      <c r="A434">
        <v>433</v>
      </c>
    </row>
    <row r="435" spans="1:1" x14ac:dyDescent="0.15">
      <c r="A435">
        <v>434</v>
      </c>
    </row>
    <row r="436" spans="1:1" x14ac:dyDescent="0.15">
      <c r="A436">
        <v>435</v>
      </c>
    </row>
    <row r="437" spans="1:1" x14ac:dyDescent="0.15">
      <c r="A437">
        <v>436</v>
      </c>
    </row>
    <row r="438" spans="1:1" x14ac:dyDescent="0.15">
      <c r="A438">
        <v>437</v>
      </c>
    </row>
    <row r="439" spans="1:1" x14ac:dyDescent="0.15">
      <c r="A439">
        <v>438</v>
      </c>
    </row>
    <row r="440" spans="1:1" x14ac:dyDescent="0.15">
      <c r="A440">
        <v>439</v>
      </c>
    </row>
    <row r="441" spans="1:1" x14ac:dyDescent="0.15">
      <c r="A441">
        <v>440</v>
      </c>
    </row>
    <row r="442" spans="1:1" x14ac:dyDescent="0.15">
      <c r="A442">
        <v>441</v>
      </c>
    </row>
    <row r="443" spans="1:1" x14ac:dyDescent="0.15">
      <c r="A443">
        <v>442</v>
      </c>
    </row>
    <row r="444" spans="1:1" x14ac:dyDescent="0.15">
      <c r="A444">
        <v>443</v>
      </c>
    </row>
    <row r="445" spans="1:1" x14ac:dyDescent="0.15">
      <c r="A445">
        <v>444</v>
      </c>
    </row>
    <row r="446" spans="1:1" x14ac:dyDescent="0.15">
      <c r="A446">
        <v>445</v>
      </c>
    </row>
    <row r="447" spans="1:1" x14ac:dyDescent="0.15">
      <c r="A447">
        <v>446</v>
      </c>
    </row>
    <row r="448" spans="1:1" x14ac:dyDescent="0.15">
      <c r="A448">
        <v>447</v>
      </c>
    </row>
    <row r="449" spans="1:1" x14ac:dyDescent="0.15">
      <c r="A449">
        <v>448</v>
      </c>
    </row>
    <row r="450" spans="1:1" x14ac:dyDescent="0.15">
      <c r="A450">
        <v>449</v>
      </c>
    </row>
    <row r="451" spans="1:1" x14ac:dyDescent="0.15">
      <c r="A451">
        <v>450</v>
      </c>
    </row>
    <row r="452" spans="1:1" x14ac:dyDescent="0.15">
      <c r="A452">
        <v>451</v>
      </c>
    </row>
    <row r="453" spans="1:1" x14ac:dyDescent="0.15">
      <c r="A453">
        <v>452</v>
      </c>
    </row>
    <row r="454" spans="1:1" x14ac:dyDescent="0.15">
      <c r="A454">
        <v>453</v>
      </c>
    </row>
    <row r="455" spans="1:1" x14ac:dyDescent="0.15">
      <c r="A455">
        <v>454</v>
      </c>
    </row>
    <row r="456" spans="1:1" x14ac:dyDescent="0.15">
      <c r="A456">
        <v>455</v>
      </c>
    </row>
    <row r="457" spans="1:1" x14ac:dyDescent="0.15">
      <c r="A457">
        <v>456</v>
      </c>
    </row>
    <row r="458" spans="1:1" x14ac:dyDescent="0.15">
      <c r="A458">
        <v>457</v>
      </c>
    </row>
    <row r="459" spans="1:1" x14ac:dyDescent="0.15">
      <c r="A459">
        <v>458</v>
      </c>
    </row>
    <row r="460" spans="1:1" x14ac:dyDescent="0.15">
      <c r="A460">
        <v>459</v>
      </c>
    </row>
    <row r="461" spans="1:1" x14ac:dyDescent="0.15">
      <c r="A461">
        <v>460</v>
      </c>
    </row>
    <row r="462" spans="1:1" x14ac:dyDescent="0.15">
      <c r="A462">
        <v>461</v>
      </c>
    </row>
    <row r="463" spans="1:1" x14ac:dyDescent="0.15">
      <c r="A463">
        <v>462</v>
      </c>
    </row>
    <row r="464" spans="1:1" x14ac:dyDescent="0.15">
      <c r="A464">
        <v>463</v>
      </c>
    </row>
    <row r="465" spans="1:1" x14ac:dyDescent="0.15">
      <c r="A465">
        <v>464</v>
      </c>
    </row>
    <row r="466" spans="1:1" x14ac:dyDescent="0.15">
      <c r="A466">
        <v>465</v>
      </c>
    </row>
    <row r="467" spans="1:1" x14ac:dyDescent="0.15">
      <c r="A467">
        <v>466</v>
      </c>
    </row>
    <row r="468" spans="1:1" x14ac:dyDescent="0.15">
      <c r="A468">
        <v>467</v>
      </c>
    </row>
    <row r="469" spans="1:1" x14ac:dyDescent="0.15">
      <c r="A469">
        <v>468</v>
      </c>
    </row>
    <row r="470" spans="1:1" x14ac:dyDescent="0.15">
      <c r="A470">
        <v>469</v>
      </c>
    </row>
    <row r="471" spans="1:1" x14ac:dyDescent="0.15">
      <c r="A471">
        <v>470</v>
      </c>
    </row>
    <row r="472" spans="1:1" x14ac:dyDescent="0.15">
      <c r="A472">
        <v>471</v>
      </c>
    </row>
    <row r="473" spans="1:1" x14ac:dyDescent="0.15">
      <c r="A473">
        <v>472</v>
      </c>
    </row>
    <row r="474" spans="1:1" x14ac:dyDescent="0.15">
      <c r="A474">
        <v>473</v>
      </c>
    </row>
    <row r="475" spans="1:1" x14ac:dyDescent="0.15">
      <c r="A475">
        <v>474</v>
      </c>
    </row>
    <row r="476" spans="1:1" x14ac:dyDescent="0.15">
      <c r="A476">
        <v>475</v>
      </c>
    </row>
    <row r="477" spans="1:1" x14ac:dyDescent="0.15">
      <c r="A477">
        <v>476</v>
      </c>
    </row>
    <row r="478" spans="1:1" x14ac:dyDescent="0.15">
      <c r="A478">
        <v>477</v>
      </c>
    </row>
    <row r="479" spans="1:1" x14ac:dyDescent="0.15">
      <c r="A479">
        <v>478</v>
      </c>
    </row>
    <row r="480" spans="1:1" x14ac:dyDescent="0.15">
      <c r="A480">
        <v>479</v>
      </c>
    </row>
    <row r="481" spans="1:1" x14ac:dyDescent="0.15">
      <c r="A481">
        <v>480</v>
      </c>
    </row>
    <row r="482" spans="1:1" x14ac:dyDescent="0.15">
      <c r="A482">
        <v>481</v>
      </c>
    </row>
    <row r="483" spans="1:1" x14ac:dyDescent="0.15">
      <c r="A483">
        <v>482</v>
      </c>
    </row>
    <row r="484" spans="1:1" x14ac:dyDescent="0.15">
      <c r="A484">
        <v>483</v>
      </c>
    </row>
    <row r="485" spans="1:1" x14ac:dyDescent="0.15">
      <c r="A485">
        <v>484</v>
      </c>
    </row>
    <row r="486" spans="1:1" x14ac:dyDescent="0.15">
      <c r="A486">
        <v>485</v>
      </c>
    </row>
    <row r="487" spans="1:1" x14ac:dyDescent="0.15">
      <c r="A487">
        <v>486</v>
      </c>
    </row>
    <row r="488" spans="1:1" x14ac:dyDescent="0.15">
      <c r="A488">
        <v>487</v>
      </c>
    </row>
    <row r="489" spans="1:1" x14ac:dyDescent="0.15">
      <c r="A489">
        <v>488</v>
      </c>
    </row>
    <row r="490" spans="1:1" x14ac:dyDescent="0.15">
      <c r="A490">
        <v>489</v>
      </c>
    </row>
    <row r="491" spans="1:1" x14ac:dyDescent="0.15">
      <c r="A491">
        <v>490</v>
      </c>
    </row>
    <row r="492" spans="1:1" x14ac:dyDescent="0.15">
      <c r="A492">
        <v>491</v>
      </c>
    </row>
    <row r="493" spans="1:1" x14ac:dyDescent="0.15">
      <c r="A493">
        <v>492</v>
      </c>
    </row>
    <row r="494" spans="1:1" x14ac:dyDescent="0.15">
      <c r="A494">
        <v>493</v>
      </c>
    </row>
    <row r="495" spans="1:1" x14ac:dyDescent="0.15">
      <c r="A495">
        <v>494</v>
      </c>
    </row>
    <row r="496" spans="1:1" x14ac:dyDescent="0.15">
      <c r="A496">
        <v>495</v>
      </c>
    </row>
    <row r="497" spans="1:1" x14ac:dyDescent="0.15">
      <c r="A497">
        <v>496</v>
      </c>
    </row>
    <row r="498" spans="1:1" x14ac:dyDescent="0.15">
      <c r="A498">
        <v>497</v>
      </c>
    </row>
    <row r="499" spans="1:1" x14ac:dyDescent="0.15">
      <c r="A499">
        <v>498</v>
      </c>
    </row>
    <row r="500" spans="1:1" x14ac:dyDescent="0.15">
      <c r="A500">
        <v>499</v>
      </c>
    </row>
    <row r="501" spans="1:1" x14ac:dyDescent="0.15">
      <c r="A501">
        <v>500</v>
      </c>
    </row>
    <row r="502" spans="1:1" x14ac:dyDescent="0.15">
      <c r="A502">
        <v>501</v>
      </c>
    </row>
    <row r="503" spans="1:1" x14ac:dyDescent="0.15">
      <c r="A503">
        <v>502</v>
      </c>
    </row>
    <row r="504" spans="1:1" x14ac:dyDescent="0.15">
      <c r="A504">
        <v>503</v>
      </c>
    </row>
    <row r="505" spans="1:1" x14ac:dyDescent="0.15">
      <c r="A505">
        <v>504</v>
      </c>
    </row>
    <row r="506" spans="1:1" x14ac:dyDescent="0.15">
      <c r="A506">
        <v>505</v>
      </c>
    </row>
    <row r="507" spans="1:1" x14ac:dyDescent="0.15">
      <c r="A507">
        <v>506</v>
      </c>
    </row>
    <row r="508" spans="1:1" x14ac:dyDescent="0.15">
      <c r="A508">
        <v>507</v>
      </c>
    </row>
    <row r="509" spans="1:1" x14ac:dyDescent="0.15">
      <c r="A509">
        <v>508</v>
      </c>
    </row>
    <row r="510" spans="1:1" x14ac:dyDescent="0.15">
      <c r="A510">
        <v>509</v>
      </c>
    </row>
    <row r="511" spans="1:1" x14ac:dyDescent="0.15">
      <c r="A511">
        <v>510</v>
      </c>
    </row>
    <row r="512" spans="1:1" x14ac:dyDescent="0.15">
      <c r="A512">
        <v>511</v>
      </c>
    </row>
    <row r="513" spans="1:1" x14ac:dyDescent="0.15">
      <c r="A513">
        <v>512</v>
      </c>
    </row>
    <row r="514" spans="1:1" x14ac:dyDescent="0.15">
      <c r="A514">
        <v>513</v>
      </c>
    </row>
    <row r="515" spans="1:1" x14ac:dyDescent="0.15">
      <c r="A515">
        <v>514</v>
      </c>
    </row>
    <row r="516" spans="1:1" x14ac:dyDescent="0.15">
      <c r="A516">
        <v>515</v>
      </c>
    </row>
    <row r="517" spans="1:1" x14ac:dyDescent="0.15">
      <c r="A517">
        <v>516</v>
      </c>
    </row>
    <row r="518" spans="1:1" x14ac:dyDescent="0.15">
      <c r="A518">
        <v>517</v>
      </c>
    </row>
    <row r="519" spans="1:1" x14ac:dyDescent="0.15">
      <c r="A519">
        <v>518</v>
      </c>
    </row>
    <row r="520" spans="1:1" x14ac:dyDescent="0.15">
      <c r="A520">
        <v>519</v>
      </c>
    </row>
    <row r="521" spans="1:1" x14ac:dyDescent="0.15">
      <c r="A521">
        <v>520</v>
      </c>
    </row>
    <row r="522" spans="1:1" x14ac:dyDescent="0.15">
      <c r="A522">
        <v>521</v>
      </c>
    </row>
    <row r="523" spans="1:1" x14ac:dyDescent="0.15">
      <c r="A523">
        <v>522</v>
      </c>
    </row>
    <row r="524" spans="1:1" x14ac:dyDescent="0.15">
      <c r="A524">
        <v>523</v>
      </c>
    </row>
    <row r="525" spans="1:1" x14ac:dyDescent="0.15">
      <c r="A525">
        <v>524</v>
      </c>
    </row>
    <row r="526" spans="1:1" x14ac:dyDescent="0.15">
      <c r="A526">
        <v>525</v>
      </c>
    </row>
    <row r="527" spans="1:1" x14ac:dyDescent="0.15">
      <c r="A527">
        <v>526</v>
      </c>
    </row>
    <row r="528" spans="1:1" x14ac:dyDescent="0.15">
      <c r="A528">
        <v>527</v>
      </c>
    </row>
    <row r="529" spans="1:1" x14ac:dyDescent="0.15">
      <c r="A529">
        <v>528</v>
      </c>
    </row>
    <row r="530" spans="1:1" x14ac:dyDescent="0.15">
      <c r="A530">
        <v>529</v>
      </c>
    </row>
    <row r="531" spans="1:1" x14ac:dyDescent="0.15">
      <c r="A531">
        <v>530</v>
      </c>
    </row>
    <row r="532" spans="1:1" x14ac:dyDescent="0.15">
      <c r="A532">
        <v>531</v>
      </c>
    </row>
    <row r="533" spans="1:1" x14ac:dyDescent="0.15">
      <c r="A533">
        <v>532</v>
      </c>
    </row>
  </sheetData>
  <sortState ref="A2:E533">
    <sortCondition ref="C1"/>
  </sortState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元データ</vt:lpstr>
      <vt:lpstr>マスタ非採用削除</vt:lpstr>
      <vt:lpstr>match_results</vt:lpstr>
      <vt:lpstr>Sheet2</vt:lpstr>
      <vt:lpstr>A_1</vt:lpstr>
      <vt:lpstr>B_1</vt:lpstr>
      <vt:lpstr>match_results_不採用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2026-03-05T06:24:38Z</cp:lastPrinted>
  <dcterms:created xsi:type="dcterms:W3CDTF">2026-02-27T04:49:51Z</dcterms:created>
  <dcterms:modified xsi:type="dcterms:W3CDTF">2026-03-06T01:30:48Z</dcterms:modified>
</cp:coreProperties>
</file>