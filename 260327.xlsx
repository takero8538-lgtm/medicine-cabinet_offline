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"/>
    </mc:Choice>
  </mc:AlternateContent>
  <xr:revisionPtr revIDLastSave="0" documentId="13_ncr:1_{DCCF28C6-350C-4316-857E-65A9DBE065DE}" xr6:coauthVersionLast="47" xr6:coauthVersionMax="47" xr10:uidLastSave="{00000000-0000-0000-0000-000000000000}"/>
  <bookViews>
    <workbookView xWindow="-108" yWindow="-108" windowWidth="23256" windowHeight="13896" xr2:uid="{AA59F66D-A244-4A8C-901F-4D34D6E19F84}"/>
  </bookViews>
  <sheets>
    <sheet name="リスト" sheetId="8" r:id="rId1"/>
    <sheet name="1行" sheetId="2" r:id="rId2"/>
    <sheet name="メーカー" sheetId="9" r:id="rId3"/>
    <sheet name="元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N4" i="8"/>
  <c r="M4" i="8"/>
  <c r="L4" i="8"/>
  <c r="K4" i="8"/>
  <c r="J4" i="8"/>
  <c r="H4" i="8"/>
  <c r="I4" i="8"/>
  <c r="D4" i="8"/>
  <c r="F4" i="8"/>
  <c r="G4" i="8"/>
  <c r="C5" i="2"/>
  <c r="D5" i="2" s="1" a="1"/>
  <c r="D5" i="2" s="1"/>
  <c r="L5" i="8" s="1"/>
  <c r="B6" i="2"/>
  <c r="C6" i="2" s="1"/>
  <c r="D6" i="2" s="1" a="1"/>
  <c r="D6" i="2" s="1"/>
  <c r="L6" i="8" s="1"/>
  <c r="N6" i="2" l="1" a="1"/>
  <c r="N6" i="2" s="1"/>
  <c r="N5" i="2" a="1"/>
  <c r="N5" i="2" s="1"/>
  <c r="L5" i="2" a="1"/>
  <c r="L5" i="2" s="1"/>
  <c r="M5" i="8" s="1"/>
  <c r="L6" i="2" a="1"/>
  <c r="L6" i="2" s="1"/>
  <c r="M6" i="8" s="1"/>
  <c r="H6" i="2"/>
  <c r="G6" i="8" s="1"/>
  <c r="H5" i="2"/>
  <c r="G5" i="8" s="1"/>
  <c r="G6" i="2"/>
  <c r="E6" i="8" s="1"/>
  <c r="G5" i="2"/>
  <c r="E5" i="8" s="1"/>
  <c r="E6" i="2" a="1"/>
  <c r="E6" i="2" s="1"/>
  <c r="N6" i="8" s="1"/>
  <c r="E5" i="2" a="1"/>
  <c r="E5" i="2" s="1"/>
  <c r="N5" i="8" s="1"/>
  <c r="B7" i="2"/>
  <c r="C7" i="2" s="1"/>
  <c r="N7" i="2" s="1" a="1"/>
  <c r="N7" i="2" s="1"/>
  <c r="F6" i="2" l="1"/>
  <c r="K6" i="8" s="1"/>
  <c r="F5" i="2"/>
  <c r="K5" i="8" s="1"/>
  <c r="D7" i="2" a="1"/>
  <c r="D7" i="2" s="1"/>
  <c r="L7" i="8" s="1"/>
  <c r="H7" i="2"/>
  <c r="G7" i="8" s="1"/>
  <c r="G7" i="2"/>
  <c r="E7" i="8" s="1"/>
  <c r="L7" i="2" a="1"/>
  <c r="L7" i="2" s="1"/>
  <c r="M7" i="8" s="1"/>
  <c r="E7" i="2" a="1"/>
  <c r="E7" i="2" s="1"/>
  <c r="N7" i="8" s="1"/>
  <c r="I6" i="2"/>
  <c r="I5" i="2"/>
  <c r="K5" i="2" s="1" a="1"/>
  <c r="K5" i="2" s="1"/>
  <c r="J5" i="8" s="1"/>
  <c r="B8" i="2"/>
  <c r="C8" i="2" s="1"/>
  <c r="N8" i="2" s="1" a="1"/>
  <c r="N8" i="2" s="1"/>
  <c r="K6" i="2" l="1" a="1"/>
  <c r="K6" i="2" s="1"/>
  <c r="J6" i="8" s="1"/>
  <c r="J5" i="2"/>
  <c r="H5" i="8" s="1"/>
  <c r="M6" i="2" a="1"/>
  <c r="M6" i="2" s="1"/>
  <c r="F7" i="2"/>
  <c r="K7" i="8" s="1"/>
  <c r="D8" i="2" a="1"/>
  <c r="D8" i="2" s="1"/>
  <c r="L8" i="8" s="1"/>
  <c r="G8" i="2"/>
  <c r="E8" i="8" s="1"/>
  <c r="L8" i="2" a="1"/>
  <c r="L8" i="2" s="1"/>
  <c r="M8" i="8" s="1"/>
  <c r="E8" i="2" a="1"/>
  <c r="E8" i="2" s="1"/>
  <c r="N8" i="8" s="1"/>
  <c r="H8" i="2"/>
  <c r="G8" i="8" s="1"/>
  <c r="I7" i="2"/>
  <c r="P6" i="2"/>
  <c r="B9" i="2"/>
  <c r="C9" i="2" s="1"/>
  <c r="N9" i="2" s="1" a="1"/>
  <c r="N9" i="2" s="1"/>
  <c r="D6" i="8" l="1"/>
  <c r="F6" i="8"/>
  <c r="K7" i="2" a="1"/>
  <c r="K7" i="2" s="1"/>
  <c r="J7" i="8" s="1"/>
  <c r="J6" i="2"/>
  <c r="H6" i="8" s="1"/>
  <c r="F8" i="2"/>
  <c r="K8" i="8" s="1"/>
  <c r="P7" i="2"/>
  <c r="M7" i="2" a="1"/>
  <c r="M7" i="2" s="1"/>
  <c r="I8" i="2"/>
  <c r="D9" i="2" a="1"/>
  <c r="D9" i="2" s="1"/>
  <c r="L9" i="8" s="1"/>
  <c r="H9" i="2"/>
  <c r="G9" i="8" s="1"/>
  <c r="E9" i="2" a="1"/>
  <c r="E9" i="2" s="1"/>
  <c r="N9" i="8" s="1"/>
  <c r="L9" i="2" a="1"/>
  <c r="L9" i="2" s="1"/>
  <c r="M9" i="8" s="1"/>
  <c r="G9" i="2"/>
  <c r="E9" i="8" s="1"/>
  <c r="B10" i="2"/>
  <c r="C10" i="2" s="1"/>
  <c r="N10" i="2" s="1" a="1"/>
  <c r="N10" i="2" s="1"/>
  <c r="D7" i="8" l="1"/>
  <c r="F7" i="8"/>
  <c r="J7" i="2"/>
  <c r="H7" i="8" s="1"/>
  <c r="O6" i="2"/>
  <c r="I6" i="8" s="1"/>
  <c r="K8" i="2" a="1"/>
  <c r="K8" i="2" s="1"/>
  <c r="J8" i="8" s="1"/>
  <c r="F9" i="2"/>
  <c r="K9" i="8" s="1"/>
  <c r="M8" i="2" a="1"/>
  <c r="M8" i="2" s="1"/>
  <c r="P8" i="2"/>
  <c r="I9" i="2"/>
  <c r="D10" i="2" a="1"/>
  <c r="D10" i="2" s="1"/>
  <c r="L10" i="8" s="1"/>
  <c r="E10" i="2" a="1"/>
  <c r="E10" i="2" s="1"/>
  <c r="N10" i="8" s="1"/>
  <c r="G10" i="2"/>
  <c r="E10" i="8" s="1"/>
  <c r="L10" i="2" a="1"/>
  <c r="L10" i="2" s="1"/>
  <c r="M10" i="8" s="1"/>
  <c r="H10" i="2"/>
  <c r="G10" i="8" s="1"/>
  <c r="B11" i="2"/>
  <c r="C11" i="2" s="1"/>
  <c r="N11" i="2" s="1" a="1"/>
  <c r="N11" i="2" s="1"/>
  <c r="D8" i="8" l="1"/>
  <c r="J8" i="2"/>
  <c r="H8" i="8" s="1"/>
  <c r="K9" i="2" a="1"/>
  <c r="K9" i="2" s="1"/>
  <c r="J9" i="8" s="1"/>
  <c r="F8" i="8"/>
  <c r="O7" i="2"/>
  <c r="I7" i="8" s="1"/>
  <c r="I10" i="2"/>
  <c r="F10" i="2"/>
  <c r="K10" i="8" s="1"/>
  <c r="M9" i="2" a="1"/>
  <c r="M9" i="2" s="1"/>
  <c r="P9" i="2"/>
  <c r="D11" i="2" a="1"/>
  <c r="D11" i="2" s="1"/>
  <c r="L11" i="8" s="1"/>
  <c r="H11" i="2"/>
  <c r="G11" i="8" s="1"/>
  <c r="E11" i="2" a="1"/>
  <c r="E11" i="2" s="1"/>
  <c r="N11" i="8" s="1"/>
  <c r="L11" i="2" a="1"/>
  <c r="L11" i="2" s="1"/>
  <c r="M11" i="8" s="1"/>
  <c r="G11" i="2"/>
  <c r="E11" i="8" s="1"/>
  <c r="B12" i="2"/>
  <c r="C12" i="2" s="1"/>
  <c r="N12" i="2" s="1" a="1"/>
  <c r="N12" i="2" s="1"/>
  <c r="D9" i="8" l="1"/>
  <c r="F9" i="8"/>
  <c r="O8" i="2"/>
  <c r="I8" i="8" s="1"/>
  <c r="J9" i="2"/>
  <c r="H9" i="8" s="1"/>
  <c r="K10" i="2" a="1"/>
  <c r="K10" i="2" s="1"/>
  <c r="J10" i="8" s="1"/>
  <c r="M10" i="2" a="1"/>
  <c r="M10" i="2" s="1"/>
  <c r="P10" i="2"/>
  <c r="F11" i="2"/>
  <c r="K11" i="8" s="1"/>
  <c r="I11" i="2"/>
  <c r="D12" i="2" a="1"/>
  <c r="D12" i="2" s="1"/>
  <c r="L12" i="8" s="1"/>
  <c r="L12" i="2" a="1"/>
  <c r="L12" i="2" s="1"/>
  <c r="M12" i="8" s="1"/>
  <c r="G12" i="2"/>
  <c r="E12" i="8" s="1"/>
  <c r="H12" i="2"/>
  <c r="G12" i="8" s="1"/>
  <c r="E12" i="2" a="1"/>
  <c r="E12" i="2" s="1"/>
  <c r="N12" i="8" s="1"/>
  <c r="B13" i="2"/>
  <c r="C13" i="2" s="1"/>
  <c r="N13" i="2" s="1" a="1"/>
  <c r="N13" i="2" s="1"/>
  <c r="D10" i="8" l="1"/>
  <c r="F10" i="8"/>
  <c r="J10" i="2"/>
  <c r="H10" i="8" s="1"/>
  <c r="K11" i="2" a="1"/>
  <c r="K11" i="2" s="1"/>
  <c r="J11" i="8" s="1"/>
  <c r="O9" i="2"/>
  <c r="I9" i="8" s="1"/>
  <c r="F12" i="2"/>
  <c r="K12" i="8" s="1"/>
  <c r="D13" i="2" a="1"/>
  <c r="D13" i="2" s="1"/>
  <c r="L13" i="8" s="1"/>
  <c r="L13" i="2" a="1"/>
  <c r="L13" i="2" s="1"/>
  <c r="M13" i="8" s="1"/>
  <c r="G13" i="2"/>
  <c r="E13" i="8" s="1"/>
  <c r="H13" i="2"/>
  <c r="G13" i="8" s="1"/>
  <c r="E13" i="2" a="1"/>
  <c r="E13" i="2" s="1"/>
  <c r="N13" i="8" s="1"/>
  <c r="I12" i="2"/>
  <c r="M11" i="2" a="1"/>
  <c r="M11" i="2" s="1"/>
  <c r="P11" i="2"/>
  <c r="B14" i="2"/>
  <c r="C14" i="2" s="1"/>
  <c r="N14" i="2" s="1" a="1"/>
  <c r="N14" i="2" s="1"/>
  <c r="D11" i="8" l="1"/>
  <c r="F11" i="8"/>
  <c r="J11" i="2"/>
  <c r="H11" i="8" s="1"/>
  <c r="K12" i="2" a="1"/>
  <c r="K12" i="2" s="1"/>
  <c r="J12" i="8" s="1"/>
  <c r="O10" i="2"/>
  <c r="I10" i="8" s="1"/>
  <c r="F13" i="2"/>
  <c r="K13" i="8" s="1"/>
  <c r="I13" i="2"/>
  <c r="M12" i="2" a="1"/>
  <c r="M12" i="2" s="1"/>
  <c r="P12" i="2"/>
  <c r="D14" i="2" a="1"/>
  <c r="D14" i="2" s="1"/>
  <c r="L14" i="8" s="1"/>
  <c r="L14" i="2" a="1"/>
  <c r="L14" i="2" s="1"/>
  <c r="M14" i="8" s="1"/>
  <c r="E14" i="2" a="1"/>
  <c r="E14" i="2" s="1"/>
  <c r="N14" i="8" s="1"/>
  <c r="H14" i="2"/>
  <c r="G14" i="8" s="1"/>
  <c r="G14" i="2"/>
  <c r="E14" i="8" s="1"/>
  <c r="B15" i="2"/>
  <c r="C15" i="2" s="1"/>
  <c r="N15" i="2" s="1" a="1"/>
  <c r="N15" i="2" s="1"/>
  <c r="D12" i="8" l="1"/>
  <c r="F12" i="8"/>
  <c r="K13" i="2" a="1"/>
  <c r="K13" i="2" s="1"/>
  <c r="J13" i="8" s="1"/>
  <c r="J12" i="2"/>
  <c r="H12" i="8" s="1"/>
  <c r="O11" i="2"/>
  <c r="I11" i="8" s="1"/>
  <c r="F14" i="2"/>
  <c r="K14" i="8" s="1"/>
  <c r="M13" i="2" a="1"/>
  <c r="M13" i="2" s="1"/>
  <c r="P13" i="2"/>
  <c r="I14" i="2"/>
  <c r="D15" i="2" a="1"/>
  <c r="D15" i="2" s="1"/>
  <c r="L15" i="8" s="1"/>
  <c r="L15" i="2" a="1"/>
  <c r="L15" i="2" s="1"/>
  <c r="M15" i="8" s="1"/>
  <c r="H15" i="2"/>
  <c r="G15" i="8" s="1"/>
  <c r="G15" i="2"/>
  <c r="E15" i="8" s="1"/>
  <c r="E15" i="2" a="1"/>
  <c r="E15" i="2" s="1"/>
  <c r="N15" i="8" s="1"/>
  <c r="B16" i="2"/>
  <c r="C16" i="2" s="1"/>
  <c r="N16" i="2" s="1" a="1"/>
  <c r="N16" i="2" s="1"/>
  <c r="D13" i="8" l="1"/>
  <c r="F13" i="8"/>
  <c r="J13" i="2"/>
  <c r="H13" i="8" s="1"/>
  <c r="K14" i="2" a="1"/>
  <c r="K14" i="2" s="1"/>
  <c r="J14" i="8" s="1"/>
  <c r="O12" i="2"/>
  <c r="I12" i="8" s="1"/>
  <c r="F15" i="2"/>
  <c r="K15" i="8" s="1"/>
  <c r="I15" i="2"/>
  <c r="D16" i="2" a="1"/>
  <c r="D16" i="2" s="1"/>
  <c r="L16" i="8" s="1"/>
  <c r="E16" i="2" a="1"/>
  <c r="E16" i="2" s="1"/>
  <c r="N16" i="8" s="1"/>
  <c r="G16" i="2"/>
  <c r="E16" i="8" s="1"/>
  <c r="L16" i="2" a="1"/>
  <c r="L16" i="2" s="1"/>
  <c r="M16" i="8" s="1"/>
  <c r="H16" i="2"/>
  <c r="G16" i="8" s="1"/>
  <c r="M14" i="2" a="1"/>
  <c r="M14" i="2" s="1"/>
  <c r="P14" i="2"/>
  <c r="B17" i="2"/>
  <c r="C17" i="2" s="1"/>
  <c r="N17" i="2" s="1" a="1"/>
  <c r="N17" i="2" s="1"/>
  <c r="D14" i="8" l="1"/>
  <c r="F14" i="8"/>
  <c r="J14" i="2"/>
  <c r="H14" i="8" s="1"/>
  <c r="O13" i="2"/>
  <c r="I13" i="8" s="1"/>
  <c r="K15" i="2" a="1"/>
  <c r="K15" i="2" s="1"/>
  <c r="J15" i="8" s="1"/>
  <c r="F16" i="2"/>
  <c r="K16" i="8" s="1"/>
  <c r="D17" i="2" a="1"/>
  <c r="D17" i="2" s="1"/>
  <c r="L17" i="8" s="1"/>
  <c r="E17" i="2" a="1"/>
  <c r="E17" i="2" s="1"/>
  <c r="N17" i="8" s="1"/>
  <c r="L17" i="2" a="1"/>
  <c r="L17" i="2" s="1"/>
  <c r="M17" i="8" s="1"/>
  <c r="H17" i="2"/>
  <c r="G17" i="8" s="1"/>
  <c r="G17" i="2"/>
  <c r="E17" i="8" s="1"/>
  <c r="I16" i="2"/>
  <c r="M15" i="2" a="1"/>
  <c r="M15" i="2" s="1"/>
  <c r="P15" i="2"/>
  <c r="B18" i="2"/>
  <c r="C18" i="2" s="1"/>
  <c r="N18" i="2" s="1" a="1"/>
  <c r="N18" i="2" s="1"/>
  <c r="D15" i="8" l="1"/>
  <c r="F15" i="8"/>
  <c r="J15" i="2"/>
  <c r="H15" i="8" s="1"/>
  <c r="K16" i="2" a="1"/>
  <c r="K16" i="2" s="1"/>
  <c r="J16" i="8" s="1"/>
  <c r="O14" i="2"/>
  <c r="I14" i="8" s="1"/>
  <c r="M16" i="2" a="1"/>
  <c r="M16" i="2" s="1"/>
  <c r="P16" i="2"/>
  <c r="F17" i="2"/>
  <c r="K17" i="8" s="1"/>
  <c r="I17" i="2"/>
  <c r="D18" i="2" a="1"/>
  <c r="D18" i="2" s="1"/>
  <c r="L18" i="8" s="1"/>
  <c r="L18" i="2" a="1"/>
  <c r="L18" i="2" s="1"/>
  <c r="M18" i="8" s="1"/>
  <c r="H18" i="2"/>
  <c r="G18" i="8" s="1"/>
  <c r="G18" i="2"/>
  <c r="E18" i="8" s="1"/>
  <c r="E18" i="2" a="1"/>
  <c r="E18" i="2" s="1"/>
  <c r="N18" i="8" s="1"/>
  <c r="B19" i="2"/>
  <c r="C19" i="2" s="1"/>
  <c r="N19" i="2" s="1" a="1"/>
  <c r="N19" i="2" s="1"/>
  <c r="D16" i="8" l="1"/>
  <c r="J16" i="2"/>
  <c r="H16" i="8" s="1"/>
  <c r="K17" i="2" a="1"/>
  <c r="K17" i="2" s="1"/>
  <c r="J17" i="8" s="1"/>
  <c r="F16" i="8"/>
  <c r="O15" i="2"/>
  <c r="I15" i="8" s="1"/>
  <c r="D19" i="2" a="1"/>
  <c r="D19" i="2" s="1"/>
  <c r="L19" i="8" s="1"/>
  <c r="E19" i="2" a="1"/>
  <c r="E19" i="2" s="1"/>
  <c r="N19" i="8" s="1"/>
  <c r="L19" i="2" a="1"/>
  <c r="L19" i="2" s="1"/>
  <c r="M19" i="8" s="1"/>
  <c r="G19" i="2"/>
  <c r="E19" i="8" s="1"/>
  <c r="H19" i="2"/>
  <c r="G19" i="8" s="1"/>
  <c r="M17" i="2" a="1"/>
  <c r="M17" i="2" s="1"/>
  <c r="P17" i="2"/>
  <c r="F18" i="2"/>
  <c r="K18" i="8" s="1"/>
  <c r="I18" i="2"/>
  <c r="B20" i="2"/>
  <c r="C20" i="2" s="1"/>
  <c r="N20" i="2" s="1" a="1"/>
  <c r="N20" i="2" s="1"/>
  <c r="D17" i="8" l="1"/>
  <c r="F17" i="8"/>
  <c r="K18" i="2" a="1"/>
  <c r="K18" i="2" s="1"/>
  <c r="J18" i="8" s="1"/>
  <c r="J17" i="2"/>
  <c r="H17" i="8" s="1"/>
  <c r="O16" i="2"/>
  <c r="I16" i="8" s="1"/>
  <c r="M18" i="2" a="1"/>
  <c r="M18" i="2" s="1"/>
  <c r="P18" i="2"/>
  <c r="I19" i="2"/>
  <c r="D20" i="2" a="1"/>
  <c r="D20" i="2" s="1"/>
  <c r="L20" i="8" s="1"/>
  <c r="L20" i="2" a="1"/>
  <c r="L20" i="2" s="1"/>
  <c r="M20" i="8" s="1"/>
  <c r="E20" i="2" a="1"/>
  <c r="E20" i="2" s="1"/>
  <c r="N20" i="8" s="1"/>
  <c r="G20" i="2"/>
  <c r="E20" i="8" s="1"/>
  <c r="H20" i="2"/>
  <c r="G20" i="8" s="1"/>
  <c r="F19" i="2"/>
  <c r="K19" i="8" s="1"/>
  <c r="B21" i="2"/>
  <c r="C21" i="2" s="1"/>
  <c r="N21" i="2" s="1" a="1"/>
  <c r="N21" i="2" s="1"/>
  <c r="D18" i="8" l="1"/>
  <c r="F18" i="8"/>
  <c r="J18" i="2"/>
  <c r="H18" i="8" s="1"/>
  <c r="K19" i="2" a="1"/>
  <c r="K19" i="2" s="1"/>
  <c r="J19" i="8" s="1"/>
  <c r="O17" i="2"/>
  <c r="I17" i="8" s="1"/>
  <c r="F20" i="2"/>
  <c r="K20" i="8" s="1"/>
  <c r="I20" i="2"/>
  <c r="D21" i="2" a="1"/>
  <c r="D21" i="2" s="1"/>
  <c r="L21" i="8" s="1"/>
  <c r="L21" i="2" a="1"/>
  <c r="L21" i="2" s="1"/>
  <c r="M21" i="8" s="1"/>
  <c r="E21" i="2" a="1"/>
  <c r="E21" i="2" s="1"/>
  <c r="N21" i="8" s="1"/>
  <c r="G21" i="2"/>
  <c r="E21" i="8" s="1"/>
  <c r="H21" i="2"/>
  <c r="G21" i="8" s="1"/>
  <c r="M19" i="2" a="1"/>
  <c r="M19" i="2" s="1"/>
  <c r="P19" i="2"/>
  <c r="B22" i="2"/>
  <c r="C22" i="2" s="1"/>
  <c r="N22" i="2" s="1" a="1"/>
  <c r="N22" i="2" s="1"/>
  <c r="D19" i="8" l="1"/>
  <c r="F19" i="8"/>
  <c r="J19" i="2"/>
  <c r="H19" i="8" s="1"/>
  <c r="O18" i="2"/>
  <c r="I18" i="8" s="1"/>
  <c r="K20" i="2" a="1"/>
  <c r="K20" i="2" s="1"/>
  <c r="J20" i="8" s="1"/>
  <c r="F21" i="2"/>
  <c r="K21" i="8" s="1"/>
  <c r="M20" i="2" a="1"/>
  <c r="M20" i="2" s="1"/>
  <c r="P20" i="2"/>
  <c r="I21" i="2"/>
  <c r="D22" i="2" a="1"/>
  <c r="D22" i="2" s="1"/>
  <c r="L22" i="8" s="1"/>
  <c r="G22" i="2"/>
  <c r="E22" i="8" s="1"/>
  <c r="H22" i="2"/>
  <c r="G22" i="8" s="1"/>
  <c r="E22" i="2" a="1"/>
  <c r="E22" i="2" s="1"/>
  <c r="N22" i="8" s="1"/>
  <c r="L22" i="2" a="1"/>
  <c r="L22" i="2" s="1"/>
  <c r="M22" i="8" s="1"/>
  <c r="B23" i="2"/>
  <c r="C23" i="2" s="1"/>
  <c r="N23" i="2" s="1" a="1"/>
  <c r="N23" i="2" s="1"/>
  <c r="D20" i="8" l="1"/>
  <c r="F20" i="8"/>
  <c r="J20" i="2"/>
  <c r="H20" i="8" s="1"/>
  <c r="K21" i="2" a="1"/>
  <c r="K21" i="2" s="1"/>
  <c r="J21" i="8" s="1"/>
  <c r="O19" i="2"/>
  <c r="I19" i="8" s="1"/>
  <c r="F22" i="2"/>
  <c r="K22" i="8" s="1"/>
  <c r="I22" i="2"/>
  <c r="D23" i="2" a="1"/>
  <c r="D23" i="2" s="1"/>
  <c r="L23" i="8" s="1"/>
  <c r="L23" i="2" a="1"/>
  <c r="L23" i="2" s="1"/>
  <c r="M23" i="8" s="1"/>
  <c r="H23" i="2"/>
  <c r="G23" i="8" s="1"/>
  <c r="E23" i="2" a="1"/>
  <c r="E23" i="2" s="1"/>
  <c r="N23" i="8" s="1"/>
  <c r="G23" i="2"/>
  <c r="E23" i="8" s="1"/>
  <c r="M21" i="2" a="1"/>
  <c r="M21" i="2" s="1"/>
  <c r="P21" i="2"/>
  <c r="B24" i="2"/>
  <c r="C24" i="2" s="1"/>
  <c r="N24" i="2" s="1" a="1"/>
  <c r="N24" i="2" s="1"/>
  <c r="D21" i="8" l="1"/>
  <c r="F21" i="8"/>
  <c r="K22" i="2" a="1"/>
  <c r="K22" i="2" s="1"/>
  <c r="J22" i="8" s="1"/>
  <c r="J21" i="2"/>
  <c r="H21" i="8" s="1"/>
  <c r="O20" i="2"/>
  <c r="I20" i="8" s="1"/>
  <c r="I23" i="2"/>
  <c r="M22" i="2" a="1"/>
  <c r="M22" i="2" s="1"/>
  <c r="P22" i="2"/>
  <c r="F23" i="2"/>
  <c r="K23" i="8" s="1"/>
  <c r="D24" i="2" a="1"/>
  <c r="D24" i="2" s="1"/>
  <c r="L24" i="8" s="1"/>
  <c r="G24" i="2"/>
  <c r="E24" i="8" s="1"/>
  <c r="L24" i="2" a="1"/>
  <c r="L24" i="2" s="1"/>
  <c r="M24" i="8" s="1"/>
  <c r="H24" i="2"/>
  <c r="G24" i="8" s="1"/>
  <c r="E24" i="2" a="1"/>
  <c r="E24" i="2" s="1"/>
  <c r="N24" i="8" s="1"/>
  <c r="B25" i="2"/>
  <c r="C25" i="2" s="1"/>
  <c r="N25" i="2" s="1" a="1"/>
  <c r="N25" i="2" s="1"/>
  <c r="D22" i="8" l="1"/>
  <c r="K23" i="2" a="1"/>
  <c r="K23" i="2" s="1"/>
  <c r="J23" i="8" s="1"/>
  <c r="J22" i="2"/>
  <c r="H22" i="8" s="1"/>
  <c r="O21" i="2"/>
  <c r="I21" i="8" s="1"/>
  <c r="F22" i="8"/>
  <c r="I24" i="2"/>
  <c r="D25" i="2" a="1"/>
  <c r="D25" i="2" s="1"/>
  <c r="L25" i="8" s="1"/>
  <c r="E25" i="2" a="1"/>
  <c r="E25" i="2" s="1"/>
  <c r="N25" i="8" s="1"/>
  <c r="G25" i="2"/>
  <c r="E25" i="8" s="1"/>
  <c r="L25" i="2" a="1"/>
  <c r="L25" i="2" s="1"/>
  <c r="M25" i="8" s="1"/>
  <c r="H25" i="2"/>
  <c r="G25" i="8" s="1"/>
  <c r="F24" i="2"/>
  <c r="K24" i="8" s="1"/>
  <c r="M23" i="2" a="1"/>
  <c r="M23" i="2" s="1"/>
  <c r="P23" i="2"/>
  <c r="B26" i="2"/>
  <c r="C26" i="2" s="1"/>
  <c r="N26" i="2" s="1" a="1"/>
  <c r="N26" i="2" s="1"/>
  <c r="D23" i="8" l="1"/>
  <c r="F23" i="8"/>
  <c r="J23" i="2"/>
  <c r="H23" i="8" s="1"/>
  <c r="O22" i="2"/>
  <c r="I22" i="8" s="1"/>
  <c r="K24" i="2" a="1"/>
  <c r="K24" i="2" s="1"/>
  <c r="J24" i="8" s="1"/>
  <c r="F25" i="2"/>
  <c r="K25" i="8" s="1"/>
  <c r="I25" i="2"/>
  <c r="D26" i="2" a="1"/>
  <c r="D26" i="2" s="1"/>
  <c r="L26" i="8" s="1"/>
  <c r="L26" i="2" a="1"/>
  <c r="L26" i="2" s="1"/>
  <c r="M26" i="8" s="1"/>
  <c r="G26" i="2"/>
  <c r="E26" i="8" s="1"/>
  <c r="H26" i="2"/>
  <c r="G26" i="8" s="1"/>
  <c r="E26" i="2" a="1"/>
  <c r="E26" i="2" s="1"/>
  <c r="N26" i="8" s="1"/>
  <c r="M24" i="2" a="1"/>
  <c r="M24" i="2" s="1"/>
  <c r="P24" i="2"/>
  <c r="B27" i="2"/>
  <c r="C27" i="2" s="1"/>
  <c r="N27" i="2" s="1" a="1"/>
  <c r="N27" i="2" s="1"/>
  <c r="D24" i="8" l="1"/>
  <c r="F24" i="8"/>
  <c r="K25" i="2" a="1"/>
  <c r="K25" i="2" s="1"/>
  <c r="J25" i="8" s="1"/>
  <c r="J24" i="2"/>
  <c r="H24" i="8" s="1"/>
  <c r="O23" i="2"/>
  <c r="I23" i="8" s="1"/>
  <c r="F26" i="2"/>
  <c r="K26" i="8" s="1"/>
  <c r="M25" i="2" a="1"/>
  <c r="M25" i="2" s="1"/>
  <c r="P25" i="2"/>
  <c r="I26" i="2"/>
  <c r="D27" i="2" a="1"/>
  <c r="D27" i="2" s="1"/>
  <c r="L27" i="8" s="1"/>
  <c r="L27" i="2" a="1"/>
  <c r="L27" i="2" s="1"/>
  <c r="M27" i="8" s="1"/>
  <c r="H27" i="2"/>
  <c r="G27" i="8" s="1"/>
  <c r="G27" i="2"/>
  <c r="E27" i="8" s="1"/>
  <c r="E27" i="2" a="1"/>
  <c r="E27" i="2" s="1"/>
  <c r="N27" i="8" s="1"/>
  <c r="B28" i="2"/>
  <c r="C28" i="2" s="1"/>
  <c r="N28" i="2" s="1" a="1"/>
  <c r="N28" i="2" s="1"/>
  <c r="D25" i="8" l="1"/>
  <c r="F25" i="8"/>
  <c r="J25" i="2"/>
  <c r="H25" i="8" s="1"/>
  <c r="K26" i="2" a="1"/>
  <c r="K26" i="2" s="1"/>
  <c r="J26" i="8" s="1"/>
  <c r="O24" i="2"/>
  <c r="I24" i="8" s="1"/>
  <c r="F27" i="2"/>
  <c r="K27" i="8" s="1"/>
  <c r="D28" i="2" a="1"/>
  <c r="D28" i="2" s="1"/>
  <c r="L28" i="8" s="1"/>
  <c r="G28" i="2"/>
  <c r="E28" i="8" s="1"/>
  <c r="L28" i="2" a="1"/>
  <c r="L28" i="2" s="1"/>
  <c r="M28" i="8" s="1"/>
  <c r="H28" i="2"/>
  <c r="G28" i="8" s="1"/>
  <c r="E28" i="2" a="1"/>
  <c r="E28" i="2" s="1"/>
  <c r="N28" i="8" s="1"/>
  <c r="I27" i="2"/>
  <c r="M26" i="2" a="1"/>
  <c r="M26" i="2" s="1"/>
  <c r="P26" i="2"/>
  <c r="B29" i="2"/>
  <c r="C29" i="2" s="1"/>
  <c r="N29" i="2" s="1" a="1"/>
  <c r="N29" i="2" s="1"/>
  <c r="D26" i="8" l="1"/>
  <c r="F26" i="8"/>
  <c r="K27" i="2" a="1"/>
  <c r="K27" i="2" s="1"/>
  <c r="J27" i="8" s="1"/>
  <c r="O25" i="2"/>
  <c r="I25" i="8" s="1"/>
  <c r="J26" i="2"/>
  <c r="H26" i="8" s="1"/>
  <c r="M27" i="2" a="1"/>
  <c r="M27" i="2" s="1"/>
  <c r="P27" i="2"/>
  <c r="F28" i="2"/>
  <c r="K28" i="8" s="1"/>
  <c r="I28" i="2"/>
  <c r="D29" i="2" a="1"/>
  <c r="D29" i="2" s="1"/>
  <c r="L29" i="8" s="1"/>
  <c r="H29" i="2"/>
  <c r="G29" i="8" s="1"/>
  <c r="E29" i="2" a="1"/>
  <c r="E29" i="2" s="1"/>
  <c r="N29" i="8" s="1"/>
  <c r="G29" i="2"/>
  <c r="E29" i="8" s="1"/>
  <c r="L29" i="2" a="1"/>
  <c r="L29" i="2" s="1"/>
  <c r="M29" i="8" s="1"/>
  <c r="B30" i="2"/>
  <c r="C30" i="2" s="1"/>
  <c r="N30" i="2" s="1" a="1"/>
  <c r="N30" i="2" s="1"/>
  <c r="D27" i="8" l="1"/>
  <c r="F27" i="8"/>
  <c r="O26" i="2"/>
  <c r="I26" i="8" s="1"/>
  <c r="J27" i="2"/>
  <c r="H27" i="8" s="1"/>
  <c r="K28" i="2" a="1"/>
  <c r="K28" i="2" s="1"/>
  <c r="J28" i="8" s="1"/>
  <c r="F29" i="2"/>
  <c r="K29" i="8" s="1"/>
  <c r="D30" i="2" a="1"/>
  <c r="D30" i="2" s="1"/>
  <c r="L30" i="8" s="1"/>
  <c r="G30" i="2"/>
  <c r="E30" i="8" s="1"/>
  <c r="E30" i="2" a="1"/>
  <c r="E30" i="2" s="1"/>
  <c r="N30" i="8" s="1"/>
  <c r="L30" i="2" a="1"/>
  <c r="L30" i="2" s="1"/>
  <c r="M30" i="8" s="1"/>
  <c r="H30" i="2"/>
  <c r="G30" i="8" s="1"/>
  <c r="I29" i="2"/>
  <c r="M28" i="2" a="1"/>
  <c r="M28" i="2" s="1"/>
  <c r="P28" i="2"/>
  <c r="B31" i="2"/>
  <c r="C31" i="2" s="1"/>
  <c r="N31" i="2" s="1" a="1"/>
  <c r="N31" i="2" s="1"/>
  <c r="D28" i="8" l="1"/>
  <c r="O27" i="2"/>
  <c r="I27" i="8" s="1"/>
  <c r="F28" i="8"/>
  <c r="J28" i="2"/>
  <c r="H28" i="8" s="1"/>
  <c r="K29" i="2" a="1"/>
  <c r="K29" i="2" s="1"/>
  <c r="J29" i="8" s="1"/>
  <c r="D31" i="2" a="1"/>
  <c r="D31" i="2" s="1"/>
  <c r="L31" i="8" s="1"/>
  <c r="L31" i="2" a="1"/>
  <c r="L31" i="2" s="1"/>
  <c r="M31" i="8" s="1"/>
  <c r="G31" i="2"/>
  <c r="E31" i="8" s="1"/>
  <c r="H31" i="2"/>
  <c r="G31" i="8" s="1"/>
  <c r="E31" i="2" a="1"/>
  <c r="E31" i="2" s="1"/>
  <c r="N31" i="8" s="1"/>
  <c r="M29" i="2" a="1"/>
  <c r="M29" i="2" s="1"/>
  <c r="P29" i="2"/>
  <c r="I30" i="2"/>
  <c r="F30" i="2"/>
  <c r="K30" i="8" s="1"/>
  <c r="B32" i="2"/>
  <c r="C32" i="2" s="1"/>
  <c r="N32" i="2" s="1" a="1"/>
  <c r="N32" i="2" s="1"/>
  <c r="D29" i="8" l="1"/>
  <c r="F29" i="8"/>
  <c r="J29" i="2"/>
  <c r="H29" i="8" s="1"/>
  <c r="K30" i="2" a="1"/>
  <c r="K30" i="2" s="1"/>
  <c r="J30" i="8" s="1"/>
  <c r="O28" i="2"/>
  <c r="I28" i="8" s="1"/>
  <c r="D32" i="2" a="1"/>
  <c r="D32" i="2" s="1"/>
  <c r="L32" i="8" s="1"/>
  <c r="L32" i="2" a="1"/>
  <c r="L32" i="2" s="1"/>
  <c r="M32" i="8" s="1"/>
  <c r="H32" i="2"/>
  <c r="G32" i="8" s="1"/>
  <c r="E32" i="2" a="1"/>
  <c r="E32" i="2" s="1"/>
  <c r="N32" i="8" s="1"/>
  <c r="G32" i="2"/>
  <c r="E32" i="8" s="1"/>
  <c r="M30" i="2" a="1"/>
  <c r="M30" i="2" s="1"/>
  <c r="P30" i="2"/>
  <c r="F31" i="2"/>
  <c r="K31" i="8" s="1"/>
  <c r="I31" i="2"/>
  <c r="B33" i="2"/>
  <c r="C33" i="2" s="1"/>
  <c r="N33" i="2" s="1" a="1"/>
  <c r="N33" i="2" s="1"/>
  <c r="D30" i="8" l="1"/>
  <c r="F30" i="8"/>
  <c r="J30" i="2"/>
  <c r="H30" i="8" s="1"/>
  <c r="O29" i="2"/>
  <c r="I29" i="8" s="1"/>
  <c r="K31" i="2" a="1"/>
  <c r="K31" i="2" s="1"/>
  <c r="J31" i="8" s="1"/>
  <c r="M31" i="2" a="1"/>
  <c r="M31" i="2" s="1"/>
  <c r="P31" i="2"/>
  <c r="F32" i="2"/>
  <c r="K32" i="8" s="1"/>
  <c r="I32" i="2"/>
  <c r="E33" i="2" a="1"/>
  <c r="E33" i="2" s="1"/>
  <c r="N33" i="8" s="1"/>
  <c r="H33" i="2"/>
  <c r="G33" i="8" s="1"/>
  <c r="L33" i="2" a="1"/>
  <c r="L33" i="2" s="1"/>
  <c r="M33" i="8" s="1"/>
  <c r="D33" i="2" a="1"/>
  <c r="D33" i="2" s="1"/>
  <c r="L33" i="8" s="1"/>
  <c r="G33" i="2"/>
  <c r="E33" i="8" s="1"/>
  <c r="B34" i="2"/>
  <c r="C34" i="2" s="1"/>
  <c r="N34" i="2" s="1" a="1"/>
  <c r="N34" i="2" s="1"/>
  <c r="D31" i="8" l="1"/>
  <c r="F31" i="8"/>
  <c r="J31" i="2"/>
  <c r="H31" i="8" s="1"/>
  <c r="K32" i="2" a="1"/>
  <c r="K32" i="2" s="1"/>
  <c r="J32" i="8" s="1"/>
  <c r="O30" i="2"/>
  <c r="I30" i="8" s="1"/>
  <c r="F33" i="2"/>
  <c r="K33" i="8" s="1"/>
  <c r="I33" i="2"/>
  <c r="D34" i="2" a="1"/>
  <c r="D34" i="2" s="1"/>
  <c r="L34" i="8" s="1"/>
  <c r="H34" i="2"/>
  <c r="G34" i="8" s="1"/>
  <c r="E34" i="2" a="1"/>
  <c r="E34" i="2" s="1"/>
  <c r="N34" i="8" s="1"/>
  <c r="L34" i="2" a="1"/>
  <c r="L34" i="2" s="1"/>
  <c r="M34" i="8" s="1"/>
  <c r="G34" i="2"/>
  <c r="E34" i="8" s="1"/>
  <c r="M32" i="2" a="1"/>
  <c r="M32" i="2" s="1"/>
  <c r="P32" i="2"/>
  <c r="B35" i="2"/>
  <c r="C35" i="2" s="1"/>
  <c r="N35" i="2" s="1" a="1"/>
  <c r="N35" i="2" s="1"/>
  <c r="D32" i="8" l="1"/>
  <c r="F32" i="8"/>
  <c r="J32" i="2"/>
  <c r="H32" i="8" s="1"/>
  <c r="O31" i="2"/>
  <c r="I31" i="8" s="1"/>
  <c r="K33" i="2" a="1"/>
  <c r="K33" i="2" s="1"/>
  <c r="J33" i="8" s="1"/>
  <c r="F34" i="2"/>
  <c r="K34" i="8" s="1"/>
  <c r="D35" i="2" a="1"/>
  <c r="D35" i="2" s="1"/>
  <c r="L35" i="8" s="1"/>
  <c r="E35" i="2" a="1"/>
  <c r="E35" i="2" s="1"/>
  <c r="N35" i="8" s="1"/>
  <c r="H35" i="2"/>
  <c r="G35" i="8" s="1"/>
  <c r="G35" i="2"/>
  <c r="E35" i="8" s="1"/>
  <c r="L35" i="2" a="1"/>
  <c r="L35" i="2" s="1"/>
  <c r="M35" i="8" s="1"/>
  <c r="I34" i="2"/>
  <c r="M33" i="2" a="1"/>
  <c r="M33" i="2" s="1"/>
  <c r="P33" i="2"/>
  <c r="B36" i="2"/>
  <c r="C36" i="2" s="1"/>
  <c r="N36" i="2" s="1" a="1"/>
  <c r="N36" i="2" s="1"/>
  <c r="D33" i="8" l="1"/>
  <c r="F33" i="8"/>
  <c r="J33" i="2"/>
  <c r="H33" i="8" s="1"/>
  <c r="K34" i="2" a="1"/>
  <c r="K34" i="2" s="1"/>
  <c r="J34" i="8" s="1"/>
  <c r="O32" i="2"/>
  <c r="I32" i="8" s="1"/>
  <c r="F35" i="2"/>
  <c r="K35" i="8" s="1"/>
  <c r="D36" i="2" a="1"/>
  <c r="D36" i="2" s="1"/>
  <c r="L36" i="8" s="1"/>
  <c r="E36" i="2" a="1"/>
  <c r="E36" i="2" s="1"/>
  <c r="N36" i="8" s="1"/>
  <c r="L36" i="2" a="1"/>
  <c r="L36" i="2" s="1"/>
  <c r="M36" i="8" s="1"/>
  <c r="G36" i="2"/>
  <c r="E36" i="8" s="1"/>
  <c r="H36" i="2"/>
  <c r="G36" i="8" s="1"/>
  <c r="I35" i="2"/>
  <c r="M34" i="2" a="1"/>
  <c r="M34" i="2" s="1"/>
  <c r="P34" i="2"/>
  <c r="B37" i="2"/>
  <c r="C37" i="2" s="1"/>
  <c r="N37" i="2" s="1" a="1"/>
  <c r="N37" i="2" s="1"/>
  <c r="D34" i="8" l="1"/>
  <c r="F34" i="8"/>
  <c r="J34" i="2"/>
  <c r="H34" i="8" s="1"/>
  <c r="K35" i="2" a="1"/>
  <c r="K35" i="2" s="1"/>
  <c r="J35" i="8" s="1"/>
  <c r="O33" i="2"/>
  <c r="I33" i="8" s="1"/>
  <c r="F36" i="2"/>
  <c r="K36" i="8" s="1"/>
  <c r="M35" i="2" a="1"/>
  <c r="M35" i="2" s="1"/>
  <c r="P35" i="2"/>
  <c r="I36" i="2"/>
  <c r="D37" i="2" a="1"/>
  <c r="D37" i="2" s="1"/>
  <c r="L37" i="8" s="1"/>
  <c r="L37" i="2" a="1"/>
  <c r="L37" i="2" s="1"/>
  <c r="M37" i="8" s="1"/>
  <c r="H37" i="2"/>
  <c r="G37" i="8" s="1"/>
  <c r="G37" i="2"/>
  <c r="E37" i="8" s="1"/>
  <c r="E37" i="2" a="1"/>
  <c r="E37" i="2" s="1"/>
  <c r="N37" i="8" s="1"/>
  <c r="B38" i="2"/>
  <c r="C38" i="2" s="1"/>
  <c r="N38" i="2" s="1" a="1"/>
  <c r="N38" i="2" s="1"/>
  <c r="D35" i="8" l="1"/>
  <c r="J35" i="2"/>
  <c r="H35" i="8" s="1"/>
  <c r="K36" i="2" a="1"/>
  <c r="K36" i="2" s="1"/>
  <c r="J36" i="8" s="1"/>
  <c r="F35" i="8"/>
  <c r="O34" i="2"/>
  <c r="I34" i="8" s="1"/>
  <c r="F37" i="2"/>
  <c r="K37" i="8" s="1"/>
  <c r="E38" i="2" a="1"/>
  <c r="E38" i="2" s="1"/>
  <c r="N38" i="8" s="1"/>
  <c r="H38" i="2"/>
  <c r="G38" i="8" s="1"/>
  <c r="L38" i="2" a="1"/>
  <c r="L38" i="2" s="1"/>
  <c r="M38" i="8" s="1"/>
  <c r="D38" i="2" a="1"/>
  <c r="D38" i="2" s="1"/>
  <c r="L38" i="8" s="1"/>
  <c r="G38" i="2"/>
  <c r="E38" i="8" s="1"/>
  <c r="I37" i="2"/>
  <c r="M36" i="2" a="1"/>
  <c r="M36" i="2" s="1"/>
  <c r="P36" i="2"/>
  <c r="B39" i="2"/>
  <c r="C39" i="2" s="1"/>
  <c r="N39" i="2" s="1" a="1"/>
  <c r="N39" i="2" s="1"/>
  <c r="D36" i="8" l="1"/>
  <c r="F36" i="8"/>
  <c r="J36" i="2"/>
  <c r="H36" i="8" s="1"/>
  <c r="K37" i="2" a="1"/>
  <c r="K37" i="2" s="1"/>
  <c r="J37" i="8" s="1"/>
  <c r="O35" i="2"/>
  <c r="I35" i="8" s="1"/>
  <c r="F38" i="2"/>
  <c r="K38" i="8" s="1"/>
  <c r="I38" i="2"/>
  <c r="M37" i="2" a="1"/>
  <c r="M37" i="2" s="1"/>
  <c r="P37" i="2"/>
  <c r="D39" i="2" a="1"/>
  <c r="D39" i="2" s="1"/>
  <c r="L39" i="8" s="1"/>
  <c r="G39" i="2"/>
  <c r="E39" i="8" s="1"/>
  <c r="E39" i="2" a="1"/>
  <c r="E39" i="2" s="1"/>
  <c r="N39" i="8" s="1"/>
  <c r="H39" i="2"/>
  <c r="G39" i="8" s="1"/>
  <c r="L39" i="2" a="1"/>
  <c r="L39" i="2" s="1"/>
  <c r="M39" i="8" s="1"/>
  <c r="B40" i="2"/>
  <c r="C40" i="2" s="1"/>
  <c r="N40" i="2" s="1" a="1"/>
  <c r="N40" i="2" s="1"/>
  <c r="D37" i="8" l="1"/>
  <c r="F37" i="8"/>
  <c r="J37" i="2"/>
  <c r="H37" i="8" s="1"/>
  <c r="K38" i="2" a="1"/>
  <c r="K38" i="2" s="1"/>
  <c r="J38" i="8" s="1"/>
  <c r="O36" i="2"/>
  <c r="I36" i="8" s="1"/>
  <c r="F39" i="2"/>
  <c r="K39" i="8" s="1"/>
  <c r="I39" i="2"/>
  <c r="D40" i="2" a="1"/>
  <c r="D40" i="2" s="1"/>
  <c r="L40" i="8" s="1"/>
  <c r="H40" i="2"/>
  <c r="G40" i="8" s="1"/>
  <c r="L40" i="2" a="1"/>
  <c r="L40" i="2" s="1"/>
  <c r="M40" i="8" s="1"/>
  <c r="E40" i="2" a="1"/>
  <c r="E40" i="2" s="1"/>
  <c r="N40" i="8" s="1"/>
  <c r="G40" i="2"/>
  <c r="E40" i="8" s="1"/>
  <c r="M38" i="2" a="1"/>
  <c r="M38" i="2" s="1"/>
  <c r="P38" i="2"/>
  <c r="B41" i="2"/>
  <c r="C41" i="2" s="1"/>
  <c r="N41" i="2" s="1" a="1"/>
  <c r="N41" i="2" s="1"/>
  <c r="D38" i="8" l="1"/>
  <c r="F38" i="8"/>
  <c r="J38" i="2"/>
  <c r="H38" i="8" s="1"/>
  <c r="K39" i="2" a="1"/>
  <c r="K39" i="2" s="1"/>
  <c r="J39" i="8" s="1"/>
  <c r="O37" i="2"/>
  <c r="I37" i="8" s="1"/>
  <c r="F40" i="2"/>
  <c r="K40" i="8" s="1"/>
  <c r="I40" i="2"/>
  <c r="D41" i="2" a="1"/>
  <c r="D41" i="2" s="1"/>
  <c r="L41" i="8" s="1"/>
  <c r="L41" i="2" a="1"/>
  <c r="L41" i="2" s="1"/>
  <c r="M41" i="8" s="1"/>
  <c r="G41" i="2"/>
  <c r="E41" i="8" s="1"/>
  <c r="H41" i="2"/>
  <c r="G41" i="8" s="1"/>
  <c r="E41" i="2" a="1"/>
  <c r="E41" i="2" s="1"/>
  <c r="N41" i="8" s="1"/>
  <c r="M39" i="2" a="1"/>
  <c r="M39" i="2" s="1"/>
  <c r="P39" i="2"/>
  <c r="B42" i="2"/>
  <c r="C42" i="2" s="1"/>
  <c r="N42" i="2" s="1" a="1"/>
  <c r="N42" i="2" s="1"/>
  <c r="D39" i="8" l="1"/>
  <c r="F39" i="8"/>
  <c r="J39" i="2"/>
  <c r="H39" i="8" s="1"/>
  <c r="K40" i="2" a="1"/>
  <c r="K40" i="2" s="1"/>
  <c r="J40" i="8" s="1"/>
  <c r="O38" i="2"/>
  <c r="I38" i="8" s="1"/>
  <c r="F41" i="2"/>
  <c r="K41" i="8" s="1"/>
  <c r="D42" i="2" a="1"/>
  <c r="D42" i="2" s="1"/>
  <c r="L42" i="8" s="1"/>
  <c r="G42" i="2"/>
  <c r="E42" i="8" s="1"/>
  <c r="E42" i="2" a="1"/>
  <c r="E42" i="2" s="1"/>
  <c r="N42" i="8" s="1"/>
  <c r="H42" i="2"/>
  <c r="G42" i="8" s="1"/>
  <c r="L42" i="2" a="1"/>
  <c r="L42" i="2" s="1"/>
  <c r="M42" i="8" s="1"/>
  <c r="M40" i="2" a="1"/>
  <c r="M40" i="2" s="1"/>
  <c r="P40" i="2"/>
  <c r="I41" i="2"/>
  <c r="B43" i="2"/>
  <c r="C43" i="2" s="1"/>
  <c r="N43" i="2" s="1" a="1"/>
  <c r="N43" i="2" s="1"/>
  <c r="D40" i="8" l="1"/>
  <c r="F40" i="8"/>
  <c r="J40" i="2"/>
  <c r="H40" i="8" s="1"/>
  <c r="K41" i="2" a="1"/>
  <c r="K41" i="2" s="1"/>
  <c r="J41" i="8" s="1"/>
  <c r="O39" i="2"/>
  <c r="I39" i="8" s="1"/>
  <c r="F42" i="2"/>
  <c r="K42" i="8" s="1"/>
  <c r="D43" i="2" a="1"/>
  <c r="D43" i="2" s="1"/>
  <c r="L43" i="8" s="1"/>
  <c r="G43" i="2"/>
  <c r="E43" i="8" s="1"/>
  <c r="E43" i="2" a="1"/>
  <c r="E43" i="2" s="1"/>
  <c r="N43" i="8" s="1"/>
  <c r="L43" i="2" a="1"/>
  <c r="L43" i="2" s="1"/>
  <c r="M43" i="8" s="1"/>
  <c r="H43" i="2"/>
  <c r="G43" i="8" s="1"/>
  <c r="I42" i="2"/>
  <c r="M41" i="2" a="1"/>
  <c r="M41" i="2" s="1"/>
  <c r="P41" i="2"/>
  <c r="B44" i="2"/>
  <c r="C44" i="2" s="1"/>
  <c r="N44" i="2" s="1" a="1"/>
  <c r="N44" i="2" s="1"/>
  <c r="D41" i="8" l="1"/>
  <c r="F41" i="8"/>
  <c r="J41" i="2"/>
  <c r="H41" i="8" s="1"/>
  <c r="O40" i="2"/>
  <c r="I40" i="8" s="1"/>
  <c r="K42" i="2" a="1"/>
  <c r="K42" i="2" s="1"/>
  <c r="J42" i="8" s="1"/>
  <c r="M42" i="2" a="1"/>
  <c r="M42" i="2" s="1"/>
  <c r="P42" i="2"/>
  <c r="D44" i="2" a="1"/>
  <c r="D44" i="2" s="1"/>
  <c r="L44" i="8" s="1"/>
  <c r="H44" i="2"/>
  <c r="G44" i="8" s="1"/>
  <c r="L44" i="2" a="1"/>
  <c r="L44" i="2" s="1"/>
  <c r="M44" i="8" s="1"/>
  <c r="G44" i="2"/>
  <c r="E44" i="8" s="1"/>
  <c r="E44" i="2" a="1"/>
  <c r="E44" i="2" s="1"/>
  <c r="N44" i="8" s="1"/>
  <c r="I43" i="2"/>
  <c r="F43" i="2"/>
  <c r="K43" i="8" s="1"/>
  <c r="B45" i="2"/>
  <c r="C45" i="2" s="1"/>
  <c r="N45" i="2" s="1" a="1"/>
  <c r="N45" i="2" s="1"/>
  <c r="D42" i="8" l="1"/>
  <c r="F42" i="8"/>
  <c r="K43" i="2" a="1"/>
  <c r="K43" i="2" s="1"/>
  <c r="J43" i="8" s="1"/>
  <c r="J42" i="2"/>
  <c r="H42" i="8" s="1"/>
  <c r="O41" i="2"/>
  <c r="I41" i="8" s="1"/>
  <c r="F44" i="2"/>
  <c r="K44" i="8" s="1"/>
  <c r="D45" i="2" a="1"/>
  <c r="D45" i="2" s="1"/>
  <c r="L45" i="8" s="1"/>
  <c r="L45" i="2" a="1"/>
  <c r="L45" i="2" s="1"/>
  <c r="M45" i="8" s="1"/>
  <c r="H45" i="2"/>
  <c r="G45" i="8" s="1"/>
  <c r="E45" i="2" a="1"/>
  <c r="E45" i="2" s="1"/>
  <c r="N45" i="8" s="1"/>
  <c r="G45" i="2"/>
  <c r="E45" i="8" s="1"/>
  <c r="I44" i="2"/>
  <c r="M43" i="2" a="1"/>
  <c r="M43" i="2" s="1"/>
  <c r="P43" i="2"/>
  <c r="B46" i="2"/>
  <c r="C46" i="2" s="1"/>
  <c r="N46" i="2" s="1" a="1"/>
  <c r="N46" i="2" s="1"/>
  <c r="D43" i="8" l="1"/>
  <c r="F43" i="8"/>
  <c r="K44" i="2" a="1"/>
  <c r="K44" i="2" s="1"/>
  <c r="J44" i="8" s="1"/>
  <c r="J43" i="2"/>
  <c r="H43" i="8" s="1"/>
  <c r="O42" i="2"/>
  <c r="I42" i="8" s="1"/>
  <c r="F45" i="2"/>
  <c r="K45" i="8" s="1"/>
  <c r="M44" i="2" a="1"/>
  <c r="M44" i="2" s="1"/>
  <c r="P44" i="2"/>
  <c r="D46" i="2" a="1"/>
  <c r="D46" i="2" s="1"/>
  <c r="L46" i="8" s="1"/>
  <c r="E46" i="2" a="1"/>
  <c r="E46" i="2" s="1"/>
  <c r="N46" i="8" s="1"/>
  <c r="L46" i="2" a="1"/>
  <c r="L46" i="2" s="1"/>
  <c r="M46" i="8" s="1"/>
  <c r="G46" i="2"/>
  <c r="E46" i="8" s="1"/>
  <c r="H46" i="2"/>
  <c r="G46" i="8" s="1"/>
  <c r="I45" i="2"/>
  <c r="B47" i="2"/>
  <c r="C47" i="2" s="1"/>
  <c r="N47" i="2" s="1" a="1"/>
  <c r="N47" i="2" s="1"/>
  <c r="D44" i="8" l="1"/>
  <c r="F44" i="8"/>
  <c r="J44" i="2"/>
  <c r="H44" i="8" s="1"/>
  <c r="K45" i="2" a="1"/>
  <c r="K45" i="2" s="1"/>
  <c r="J45" i="8" s="1"/>
  <c r="O43" i="2"/>
  <c r="I43" i="8" s="1"/>
  <c r="M45" i="2" a="1"/>
  <c r="M45" i="2" s="1"/>
  <c r="P45" i="2"/>
  <c r="I46" i="2"/>
  <c r="F46" i="2"/>
  <c r="K46" i="8" s="1"/>
  <c r="D47" i="2" a="1"/>
  <c r="D47" i="2" s="1"/>
  <c r="L47" i="8" s="1"/>
  <c r="L47" i="2" a="1"/>
  <c r="L47" i="2" s="1"/>
  <c r="M47" i="8" s="1"/>
  <c r="E47" i="2" a="1"/>
  <c r="E47" i="2" s="1"/>
  <c r="N47" i="8" s="1"/>
  <c r="H47" i="2"/>
  <c r="G47" i="8" s="1"/>
  <c r="G47" i="2"/>
  <c r="E47" i="8" s="1"/>
  <c r="B48" i="2"/>
  <c r="C48" i="2" s="1"/>
  <c r="N48" i="2" s="1" a="1"/>
  <c r="N48" i="2" s="1"/>
  <c r="D45" i="8" l="1"/>
  <c r="F45" i="8"/>
  <c r="J45" i="2"/>
  <c r="H45" i="8" s="1"/>
  <c r="O44" i="2"/>
  <c r="I44" i="8" s="1"/>
  <c r="K46" i="2" a="1"/>
  <c r="K46" i="2" s="1"/>
  <c r="J46" i="8" s="1"/>
  <c r="I47" i="2"/>
  <c r="F47" i="2"/>
  <c r="K47" i="8" s="1"/>
  <c r="M46" i="2" a="1"/>
  <c r="M46" i="2" s="1"/>
  <c r="P46" i="2"/>
  <c r="D48" i="2" a="1"/>
  <c r="D48" i="2" s="1"/>
  <c r="L48" i="8" s="1"/>
  <c r="E48" i="2" a="1"/>
  <c r="E48" i="2" s="1"/>
  <c r="N48" i="8" s="1"/>
  <c r="G48" i="2"/>
  <c r="E48" i="8" s="1"/>
  <c r="H48" i="2"/>
  <c r="G48" i="8" s="1"/>
  <c r="L48" i="2" a="1"/>
  <c r="L48" i="2" s="1"/>
  <c r="M48" i="8" s="1"/>
  <c r="B49" i="2"/>
  <c r="C49" i="2" s="1"/>
  <c r="N49" i="2" s="1" a="1"/>
  <c r="N49" i="2" s="1"/>
  <c r="D46" i="8" l="1"/>
  <c r="F46" i="8"/>
  <c r="K47" i="2" a="1"/>
  <c r="K47" i="2" s="1"/>
  <c r="J47" i="8" s="1"/>
  <c r="J46" i="2"/>
  <c r="H46" i="8" s="1"/>
  <c r="O45" i="2"/>
  <c r="I45" i="8" s="1"/>
  <c r="I48" i="2"/>
  <c r="M47" i="2" a="1"/>
  <c r="M47" i="2" s="1"/>
  <c r="P47" i="2"/>
  <c r="F48" i="2"/>
  <c r="K48" i="8" s="1"/>
  <c r="D49" i="2" a="1"/>
  <c r="D49" i="2" s="1"/>
  <c r="L49" i="8" s="1"/>
  <c r="L49" i="2" a="1"/>
  <c r="L49" i="2" s="1"/>
  <c r="M49" i="8" s="1"/>
  <c r="G49" i="2"/>
  <c r="E49" i="8" s="1"/>
  <c r="E49" i="2" a="1"/>
  <c r="E49" i="2" s="1"/>
  <c r="N49" i="8" s="1"/>
  <c r="H49" i="2"/>
  <c r="G49" i="8" s="1"/>
  <c r="B50" i="2"/>
  <c r="C50" i="2" s="1"/>
  <c r="N50" i="2" s="1" a="1"/>
  <c r="N50" i="2" s="1"/>
  <c r="D47" i="8" l="1"/>
  <c r="F47" i="8"/>
  <c r="J47" i="2"/>
  <c r="H47" i="8" s="1"/>
  <c r="K48" i="2" a="1"/>
  <c r="K48" i="2" s="1"/>
  <c r="J48" i="8" s="1"/>
  <c r="O46" i="2"/>
  <c r="I46" i="8" s="1"/>
  <c r="F49" i="2"/>
  <c r="K49" i="8" s="1"/>
  <c r="D50" i="2" a="1"/>
  <c r="D50" i="2" s="1"/>
  <c r="L50" i="8" s="1"/>
  <c r="H50" i="2"/>
  <c r="G50" i="8" s="1"/>
  <c r="L50" i="2" a="1"/>
  <c r="L50" i="2" s="1"/>
  <c r="M50" i="8" s="1"/>
  <c r="G50" i="2"/>
  <c r="E50" i="8" s="1"/>
  <c r="E50" i="2" a="1"/>
  <c r="E50" i="2" s="1"/>
  <c r="N50" i="8" s="1"/>
  <c r="I49" i="2"/>
  <c r="M48" i="2" a="1"/>
  <c r="M48" i="2" s="1"/>
  <c r="P48" i="2"/>
  <c r="B51" i="2"/>
  <c r="C51" i="2" s="1"/>
  <c r="N51" i="2" s="1" a="1"/>
  <c r="N51" i="2" s="1"/>
  <c r="D48" i="8" l="1"/>
  <c r="F48" i="8"/>
  <c r="J48" i="2"/>
  <c r="H48" i="8" s="1"/>
  <c r="K49" i="2" a="1"/>
  <c r="K49" i="2" s="1"/>
  <c r="J49" i="8" s="1"/>
  <c r="O47" i="2"/>
  <c r="I47" i="8" s="1"/>
  <c r="I50" i="2"/>
  <c r="M49" i="2" a="1"/>
  <c r="M49" i="2" s="1"/>
  <c r="P49" i="2"/>
  <c r="F50" i="2"/>
  <c r="K50" i="8" s="1"/>
  <c r="D51" i="2" a="1"/>
  <c r="D51" i="2" s="1"/>
  <c r="L51" i="8" s="1"/>
  <c r="E51" i="2" a="1"/>
  <c r="E51" i="2" s="1"/>
  <c r="N51" i="8" s="1"/>
  <c r="L51" i="2" a="1"/>
  <c r="L51" i="2" s="1"/>
  <c r="M51" i="8" s="1"/>
  <c r="G51" i="2"/>
  <c r="E51" i="8" s="1"/>
  <c r="H51" i="2"/>
  <c r="G51" i="8" s="1"/>
  <c r="B52" i="2"/>
  <c r="C52" i="2" s="1"/>
  <c r="N52" i="2" s="1" a="1"/>
  <c r="N52" i="2" s="1"/>
  <c r="D49" i="8" l="1"/>
  <c r="F49" i="8"/>
  <c r="K50" i="2" a="1"/>
  <c r="K50" i="2" s="1"/>
  <c r="J50" i="8" s="1"/>
  <c r="O48" i="2"/>
  <c r="I48" i="8" s="1"/>
  <c r="J49" i="2"/>
  <c r="H49" i="8" s="1"/>
  <c r="F51" i="2"/>
  <c r="K51" i="8" s="1"/>
  <c r="D52" i="2" a="1"/>
  <c r="D52" i="2" s="1"/>
  <c r="L52" i="8" s="1"/>
  <c r="H52" i="2"/>
  <c r="G52" i="8" s="1"/>
  <c r="G52" i="2"/>
  <c r="E52" i="8" s="1"/>
  <c r="E52" i="2" a="1"/>
  <c r="E52" i="2" s="1"/>
  <c r="N52" i="8" s="1"/>
  <c r="L52" i="2" a="1"/>
  <c r="L52" i="2" s="1"/>
  <c r="M52" i="8" s="1"/>
  <c r="I51" i="2"/>
  <c r="M50" i="2" a="1"/>
  <c r="M50" i="2" s="1"/>
  <c r="P50" i="2"/>
  <c r="B53" i="2"/>
  <c r="C53" i="2" s="1"/>
  <c r="N53" i="2" s="1" a="1"/>
  <c r="N53" i="2" s="1"/>
  <c r="D50" i="8" l="1"/>
  <c r="F50" i="8"/>
  <c r="J50" i="2"/>
  <c r="H50" i="8" s="1"/>
  <c r="O49" i="2"/>
  <c r="I49" i="8" s="1"/>
  <c r="K51" i="2" a="1"/>
  <c r="K51" i="2" s="1"/>
  <c r="J51" i="8" s="1"/>
  <c r="F52" i="2"/>
  <c r="K52" i="8" s="1"/>
  <c r="M51" i="2" a="1"/>
  <c r="M51" i="2" s="1"/>
  <c r="P51" i="2"/>
  <c r="D53" i="2" a="1"/>
  <c r="D53" i="2" s="1"/>
  <c r="L53" i="8" s="1"/>
  <c r="L53" i="2" a="1"/>
  <c r="L53" i="2" s="1"/>
  <c r="M53" i="8" s="1"/>
  <c r="G53" i="2"/>
  <c r="E53" i="8" s="1"/>
  <c r="H53" i="2"/>
  <c r="G53" i="8" s="1"/>
  <c r="E53" i="2" a="1"/>
  <c r="E53" i="2" s="1"/>
  <c r="N53" i="8" s="1"/>
  <c r="I52" i="2"/>
  <c r="B54" i="2"/>
  <c r="C54" i="2" s="1"/>
  <c r="N54" i="2" s="1" a="1"/>
  <c r="N54" i="2" s="1"/>
  <c r="D51" i="8" l="1"/>
  <c r="F51" i="8"/>
  <c r="J51" i="2"/>
  <c r="H51" i="8" s="1"/>
  <c r="K52" i="2" a="1"/>
  <c r="K52" i="2" s="1"/>
  <c r="J52" i="8" s="1"/>
  <c r="O50" i="2"/>
  <c r="I50" i="8" s="1"/>
  <c r="F53" i="2"/>
  <c r="K53" i="8" s="1"/>
  <c r="E54" i="2" a="1"/>
  <c r="E54" i="2" s="1"/>
  <c r="N54" i="8" s="1"/>
  <c r="L54" i="2" a="1"/>
  <c r="L54" i="2" s="1"/>
  <c r="M54" i="8" s="1"/>
  <c r="D54" i="2" a="1"/>
  <c r="D54" i="2" s="1"/>
  <c r="L54" i="8" s="1"/>
  <c r="H54" i="2"/>
  <c r="G54" i="8" s="1"/>
  <c r="G54" i="2"/>
  <c r="E54" i="8" s="1"/>
  <c r="M52" i="2" a="1"/>
  <c r="M52" i="2" s="1"/>
  <c r="P52" i="2"/>
  <c r="I53" i="2"/>
  <c r="B55" i="2"/>
  <c r="C55" i="2" s="1"/>
  <c r="N55" i="2" s="1" a="1"/>
  <c r="N55" i="2" s="1"/>
  <c r="D52" i="8" l="1"/>
  <c r="F52" i="8"/>
  <c r="J52" i="2"/>
  <c r="H52" i="8" s="1"/>
  <c r="O51" i="2"/>
  <c r="I51" i="8" s="1"/>
  <c r="K53" i="2" a="1"/>
  <c r="K53" i="2" s="1"/>
  <c r="J53" i="8" s="1"/>
  <c r="F54" i="2"/>
  <c r="K54" i="8" s="1"/>
  <c r="M53" i="2" a="1"/>
  <c r="M53" i="2" s="1"/>
  <c r="P53" i="2"/>
  <c r="I54" i="2"/>
  <c r="D55" i="2" a="1"/>
  <c r="D55" i="2" s="1"/>
  <c r="L55" i="8" s="1"/>
  <c r="G55" i="2"/>
  <c r="E55" i="8" s="1"/>
  <c r="H55" i="2"/>
  <c r="G55" i="8" s="1"/>
  <c r="L55" i="2" a="1"/>
  <c r="L55" i="2" s="1"/>
  <c r="M55" i="8" s="1"/>
  <c r="E55" i="2" a="1"/>
  <c r="E55" i="2" s="1"/>
  <c r="N55" i="8" s="1"/>
  <c r="B56" i="2"/>
  <c r="C56" i="2" s="1"/>
  <c r="N56" i="2" s="1" a="1"/>
  <c r="N56" i="2" s="1"/>
  <c r="D53" i="8" l="1"/>
  <c r="F53" i="8"/>
  <c r="J53" i="2"/>
  <c r="H53" i="8" s="1"/>
  <c r="K54" i="2" a="1"/>
  <c r="K54" i="2" s="1"/>
  <c r="J54" i="8" s="1"/>
  <c r="O52" i="2"/>
  <c r="I52" i="8" s="1"/>
  <c r="F55" i="2"/>
  <c r="K55" i="8" s="1"/>
  <c r="I55" i="2"/>
  <c r="M54" i="2" a="1"/>
  <c r="M54" i="2" s="1"/>
  <c r="P54" i="2"/>
  <c r="D56" i="2" a="1"/>
  <c r="D56" i="2" s="1"/>
  <c r="L56" i="8" s="1"/>
  <c r="L56" i="2" a="1"/>
  <c r="L56" i="2" s="1"/>
  <c r="M56" i="8" s="1"/>
  <c r="E56" i="2" a="1"/>
  <c r="E56" i="2" s="1"/>
  <c r="N56" i="8" s="1"/>
  <c r="G56" i="2"/>
  <c r="E56" i="8" s="1"/>
  <c r="H56" i="2"/>
  <c r="G56" i="8" s="1"/>
  <c r="B57" i="2"/>
  <c r="C57" i="2" s="1"/>
  <c r="N57" i="2" s="1" a="1"/>
  <c r="N57" i="2" s="1"/>
  <c r="D54" i="8" l="1"/>
  <c r="F54" i="8"/>
  <c r="J54" i="2"/>
  <c r="H54" i="8" s="1"/>
  <c r="O53" i="2"/>
  <c r="I53" i="8" s="1"/>
  <c r="K55" i="2" a="1"/>
  <c r="K55" i="2" s="1"/>
  <c r="J55" i="8" s="1"/>
  <c r="F56" i="2"/>
  <c r="K56" i="8" s="1"/>
  <c r="D57" i="2" a="1"/>
  <c r="D57" i="2" s="1"/>
  <c r="L57" i="8" s="1"/>
  <c r="G57" i="2"/>
  <c r="E57" i="8" s="1"/>
  <c r="H57" i="2"/>
  <c r="G57" i="8" s="1"/>
  <c r="E57" i="2" a="1"/>
  <c r="E57" i="2" s="1"/>
  <c r="N57" i="8" s="1"/>
  <c r="L57" i="2" a="1"/>
  <c r="L57" i="2" s="1"/>
  <c r="M57" i="8" s="1"/>
  <c r="M55" i="2" a="1"/>
  <c r="M55" i="2" s="1"/>
  <c r="P55" i="2"/>
  <c r="I56" i="2"/>
  <c r="B58" i="2"/>
  <c r="C58" i="2" s="1"/>
  <c r="N58" i="2" s="1" a="1"/>
  <c r="N58" i="2" s="1"/>
  <c r="D55" i="8" l="1"/>
  <c r="F55" i="8"/>
  <c r="J55" i="2"/>
  <c r="H55" i="8" s="1"/>
  <c r="O54" i="2"/>
  <c r="I54" i="8" s="1"/>
  <c r="K56" i="2" a="1"/>
  <c r="K56" i="2" s="1"/>
  <c r="J56" i="8" s="1"/>
  <c r="F57" i="2"/>
  <c r="K57" i="8" s="1"/>
  <c r="M56" i="2" a="1"/>
  <c r="M56" i="2" s="1"/>
  <c r="P56" i="2"/>
  <c r="D58" i="2" a="1"/>
  <c r="D58" i="2" s="1"/>
  <c r="L58" i="8" s="1"/>
  <c r="L58" i="2" a="1"/>
  <c r="L58" i="2" s="1"/>
  <c r="M58" i="8" s="1"/>
  <c r="E58" i="2" a="1"/>
  <c r="E58" i="2" s="1"/>
  <c r="N58" i="8" s="1"/>
  <c r="H58" i="2"/>
  <c r="G58" i="8" s="1"/>
  <c r="G58" i="2"/>
  <c r="E58" i="8" s="1"/>
  <c r="I57" i="2"/>
  <c r="B59" i="2"/>
  <c r="C59" i="2" s="1"/>
  <c r="N59" i="2" s="1" a="1"/>
  <c r="N59" i="2" s="1"/>
  <c r="D56" i="8" l="1"/>
  <c r="F56" i="8"/>
  <c r="K57" i="2" a="1"/>
  <c r="K57" i="2" s="1"/>
  <c r="J57" i="8" s="1"/>
  <c r="O55" i="2"/>
  <c r="I55" i="8" s="1"/>
  <c r="J56" i="2"/>
  <c r="H56" i="8" s="1"/>
  <c r="F58" i="2"/>
  <c r="K58" i="8" s="1"/>
  <c r="I58" i="2"/>
  <c r="D59" i="2" a="1"/>
  <c r="D59" i="2" s="1"/>
  <c r="L59" i="8" s="1"/>
  <c r="L59" i="2" a="1"/>
  <c r="L59" i="2" s="1"/>
  <c r="M59" i="8" s="1"/>
  <c r="G59" i="2"/>
  <c r="E59" i="8" s="1"/>
  <c r="E59" i="2" a="1"/>
  <c r="E59" i="2" s="1"/>
  <c r="N59" i="8" s="1"/>
  <c r="H59" i="2"/>
  <c r="G59" i="8" s="1"/>
  <c r="M57" i="2" a="1"/>
  <c r="M57" i="2" s="1"/>
  <c r="P57" i="2"/>
  <c r="B60" i="2"/>
  <c r="C60" i="2" s="1"/>
  <c r="N60" i="2" s="1" a="1"/>
  <c r="N60" i="2" s="1"/>
  <c r="D57" i="8" l="1"/>
  <c r="F57" i="8"/>
  <c r="K58" i="2" a="1"/>
  <c r="K58" i="2" s="1"/>
  <c r="J58" i="8" s="1"/>
  <c r="O56" i="2"/>
  <c r="I56" i="8" s="1"/>
  <c r="J57" i="2"/>
  <c r="H57" i="8" s="1"/>
  <c r="M58" i="2" a="1"/>
  <c r="M58" i="2" s="1"/>
  <c r="P58" i="2"/>
  <c r="F59" i="2"/>
  <c r="K59" i="8" s="1"/>
  <c r="I59" i="2"/>
  <c r="D60" i="2" a="1"/>
  <c r="D60" i="2" s="1"/>
  <c r="L60" i="8" s="1"/>
  <c r="H60" i="2"/>
  <c r="G60" i="8" s="1"/>
  <c r="E60" i="2" a="1"/>
  <c r="E60" i="2" s="1"/>
  <c r="N60" i="8" s="1"/>
  <c r="G60" i="2"/>
  <c r="E60" i="8" s="1"/>
  <c r="L60" i="2" a="1"/>
  <c r="L60" i="2" s="1"/>
  <c r="M60" i="8" s="1"/>
  <c r="B61" i="2"/>
  <c r="C61" i="2" s="1"/>
  <c r="N61" i="2" s="1" a="1"/>
  <c r="N61" i="2" s="1"/>
  <c r="D58" i="8" l="1"/>
  <c r="F58" i="8"/>
  <c r="O57" i="2"/>
  <c r="I57" i="8" s="1"/>
  <c r="J58" i="2"/>
  <c r="H58" i="8" s="1"/>
  <c r="K59" i="2" a="1"/>
  <c r="K59" i="2" s="1"/>
  <c r="J59" i="8" s="1"/>
  <c r="F60" i="2"/>
  <c r="K60" i="8" s="1"/>
  <c r="M59" i="2" a="1"/>
  <c r="M59" i="2" s="1"/>
  <c r="P59" i="2"/>
  <c r="I60" i="2"/>
  <c r="D61" i="2" a="1"/>
  <c r="D61" i="2" s="1"/>
  <c r="L61" i="8" s="1"/>
  <c r="E61" i="2" a="1"/>
  <c r="E61" i="2" s="1"/>
  <c r="N61" i="8" s="1"/>
  <c r="G61" i="2"/>
  <c r="E61" i="8" s="1"/>
  <c r="L61" i="2" a="1"/>
  <c r="L61" i="2" s="1"/>
  <c r="M61" i="8" s="1"/>
  <c r="H61" i="2"/>
  <c r="G61" i="8" s="1"/>
  <c r="B62" i="2"/>
  <c r="C62" i="2" s="1"/>
  <c r="N62" i="2" s="1" a="1"/>
  <c r="N62" i="2" s="1"/>
  <c r="D59" i="8" l="1"/>
  <c r="F59" i="8"/>
  <c r="J59" i="2"/>
  <c r="H59" i="8" s="1"/>
  <c r="K60" i="2" a="1"/>
  <c r="K60" i="2" s="1"/>
  <c r="J60" i="8" s="1"/>
  <c r="O58" i="2"/>
  <c r="I58" i="8" s="1"/>
  <c r="I61" i="2"/>
  <c r="D62" i="2" a="1"/>
  <c r="D62" i="2" s="1"/>
  <c r="L62" i="8" s="1"/>
  <c r="H62" i="2"/>
  <c r="G62" i="8" s="1"/>
  <c r="E62" i="2" a="1"/>
  <c r="E62" i="2" s="1"/>
  <c r="N62" i="8" s="1"/>
  <c r="G62" i="2"/>
  <c r="E62" i="8" s="1"/>
  <c r="L62" i="2" a="1"/>
  <c r="L62" i="2" s="1"/>
  <c r="M62" i="8" s="1"/>
  <c r="F61" i="2"/>
  <c r="K61" i="8" s="1"/>
  <c r="M60" i="2" a="1"/>
  <c r="M60" i="2" s="1"/>
  <c r="P60" i="2"/>
  <c r="B63" i="2"/>
  <c r="C63" i="2" s="1"/>
  <c r="N63" i="2" s="1" a="1"/>
  <c r="N63" i="2" s="1"/>
  <c r="D60" i="8" l="1"/>
  <c r="F60" i="8"/>
  <c r="J60" i="2"/>
  <c r="H60" i="8" s="1"/>
  <c r="O59" i="2"/>
  <c r="I59" i="8" s="1"/>
  <c r="K61" i="2" a="1"/>
  <c r="K61" i="2" s="1"/>
  <c r="J61" i="8" s="1"/>
  <c r="F62" i="2"/>
  <c r="K62" i="8" s="1"/>
  <c r="M61" i="2" a="1"/>
  <c r="M61" i="2" s="1"/>
  <c r="P61" i="2"/>
  <c r="D63" i="2" a="1"/>
  <c r="D63" i="2" s="1"/>
  <c r="L63" i="8" s="1"/>
  <c r="E63" i="2" a="1"/>
  <c r="E63" i="2" s="1"/>
  <c r="N63" i="8" s="1"/>
  <c r="L63" i="2" a="1"/>
  <c r="L63" i="2" s="1"/>
  <c r="M63" i="8" s="1"/>
  <c r="G63" i="2"/>
  <c r="E63" i="8" s="1"/>
  <c r="H63" i="2"/>
  <c r="G63" i="8" s="1"/>
  <c r="I62" i="2"/>
  <c r="B64" i="2"/>
  <c r="C64" i="2" s="1"/>
  <c r="N64" i="2" s="1" a="1"/>
  <c r="N64" i="2" s="1"/>
  <c r="D61" i="8" l="1"/>
  <c r="F61" i="8"/>
  <c r="J61" i="2"/>
  <c r="H61" i="8" s="1"/>
  <c r="K62" i="2" a="1"/>
  <c r="K62" i="2" s="1"/>
  <c r="J62" i="8" s="1"/>
  <c r="O60" i="2"/>
  <c r="I60" i="8" s="1"/>
  <c r="F63" i="2"/>
  <c r="K63" i="8" s="1"/>
  <c r="D64" i="2" a="1"/>
  <c r="D64" i="2" s="1"/>
  <c r="L64" i="8" s="1"/>
  <c r="L64" i="2" a="1"/>
  <c r="L64" i="2" s="1"/>
  <c r="M64" i="8" s="1"/>
  <c r="G64" i="2"/>
  <c r="E64" i="8" s="1"/>
  <c r="E64" i="2" a="1"/>
  <c r="E64" i="2" s="1"/>
  <c r="N64" i="8" s="1"/>
  <c r="H64" i="2"/>
  <c r="G64" i="8" s="1"/>
  <c r="I63" i="2"/>
  <c r="M62" i="2" a="1"/>
  <c r="M62" i="2" s="1"/>
  <c r="P62" i="2"/>
  <c r="B65" i="2"/>
  <c r="C65" i="2" s="1"/>
  <c r="N65" i="2" s="1" a="1"/>
  <c r="N65" i="2" s="1"/>
  <c r="D62" i="8" l="1"/>
  <c r="F62" i="8"/>
  <c r="J62" i="2"/>
  <c r="H62" i="8" s="1"/>
  <c r="K63" i="2" a="1"/>
  <c r="K63" i="2" s="1"/>
  <c r="J63" i="8" s="1"/>
  <c r="O61" i="2"/>
  <c r="I61" i="8" s="1"/>
  <c r="M63" i="2" a="1"/>
  <c r="M63" i="2" s="1"/>
  <c r="P63" i="2"/>
  <c r="I64" i="2"/>
  <c r="F64" i="2"/>
  <c r="K64" i="8" s="1"/>
  <c r="D65" i="2" a="1"/>
  <c r="D65" i="2" s="1"/>
  <c r="L65" i="8" s="1"/>
  <c r="L65" i="2" a="1"/>
  <c r="L65" i="2" s="1"/>
  <c r="M65" i="8" s="1"/>
  <c r="E65" i="2" a="1"/>
  <c r="E65" i="2" s="1"/>
  <c r="N65" i="8" s="1"/>
  <c r="G65" i="2"/>
  <c r="E65" i="8" s="1"/>
  <c r="H65" i="2"/>
  <c r="G65" i="8" s="1"/>
  <c r="B66" i="2"/>
  <c r="C66" i="2" s="1"/>
  <c r="N66" i="2" s="1" a="1"/>
  <c r="N66" i="2" s="1"/>
  <c r="D63" i="8" l="1"/>
  <c r="F63" i="8"/>
  <c r="J63" i="2"/>
  <c r="H63" i="8" s="1"/>
  <c r="K64" i="2" a="1"/>
  <c r="K64" i="2" s="1"/>
  <c r="J64" i="8" s="1"/>
  <c r="O62" i="2"/>
  <c r="I62" i="8" s="1"/>
  <c r="F65" i="2"/>
  <c r="K65" i="8" s="1"/>
  <c r="D66" i="2" a="1"/>
  <c r="D66" i="2" s="1"/>
  <c r="L66" i="8" s="1"/>
  <c r="H66" i="2"/>
  <c r="G66" i="8" s="1"/>
  <c r="G66" i="2"/>
  <c r="E66" i="8" s="1"/>
  <c r="L66" i="2" a="1"/>
  <c r="L66" i="2" s="1"/>
  <c r="M66" i="8" s="1"/>
  <c r="E66" i="2" a="1"/>
  <c r="E66" i="2" s="1"/>
  <c r="N66" i="8" s="1"/>
  <c r="M64" i="2" a="1"/>
  <c r="M64" i="2" s="1"/>
  <c r="P64" i="2"/>
  <c r="I65" i="2"/>
  <c r="B67" i="2"/>
  <c r="C67" i="2" s="1"/>
  <c r="N67" i="2" s="1" a="1"/>
  <c r="N67" i="2" s="1"/>
  <c r="D64" i="8" l="1"/>
  <c r="F64" i="8"/>
  <c r="K65" i="2" a="1"/>
  <c r="K65" i="2" s="1"/>
  <c r="J65" i="8" s="1"/>
  <c r="J64" i="2"/>
  <c r="H64" i="8" s="1"/>
  <c r="O63" i="2"/>
  <c r="I63" i="8" s="1"/>
  <c r="F66" i="2"/>
  <c r="K66" i="8" s="1"/>
  <c r="D67" i="2" a="1"/>
  <c r="D67" i="2" s="1"/>
  <c r="L67" i="8" s="1"/>
  <c r="L67" i="2" a="1"/>
  <c r="L67" i="2" s="1"/>
  <c r="M67" i="8" s="1"/>
  <c r="H67" i="2"/>
  <c r="G67" i="8" s="1"/>
  <c r="E67" i="2" a="1"/>
  <c r="E67" i="2" s="1"/>
  <c r="N67" i="8" s="1"/>
  <c r="G67" i="2"/>
  <c r="E67" i="8" s="1"/>
  <c r="M65" i="2" a="1"/>
  <c r="M65" i="2" s="1"/>
  <c r="P65" i="2"/>
  <c r="I66" i="2"/>
  <c r="B68" i="2"/>
  <c r="C68" i="2" s="1"/>
  <c r="N68" i="2" s="1" a="1"/>
  <c r="N68" i="2" s="1"/>
  <c r="D65" i="8" l="1"/>
  <c r="F65" i="8"/>
  <c r="K66" i="2" a="1"/>
  <c r="K66" i="2" s="1"/>
  <c r="J66" i="8" s="1"/>
  <c r="J65" i="2"/>
  <c r="H65" i="8" s="1"/>
  <c r="O64" i="2"/>
  <c r="I64" i="8" s="1"/>
  <c r="F67" i="2"/>
  <c r="K67" i="8" s="1"/>
  <c r="D68" i="2" a="1"/>
  <c r="D68" i="2" s="1"/>
  <c r="L68" i="8" s="1"/>
  <c r="E68" i="2" a="1"/>
  <c r="E68" i="2" s="1"/>
  <c r="N68" i="8" s="1"/>
  <c r="L68" i="2" a="1"/>
  <c r="L68" i="2" s="1"/>
  <c r="M68" i="8" s="1"/>
  <c r="H68" i="2"/>
  <c r="G68" i="8" s="1"/>
  <c r="G68" i="2"/>
  <c r="E68" i="8" s="1"/>
  <c r="I67" i="2"/>
  <c r="M66" i="2" a="1"/>
  <c r="M66" i="2" s="1"/>
  <c r="P66" i="2"/>
  <c r="B69" i="2"/>
  <c r="C69" i="2" s="1"/>
  <c r="N69" i="2" s="1" a="1"/>
  <c r="N69" i="2" s="1"/>
  <c r="D66" i="8" l="1"/>
  <c r="F66" i="8"/>
  <c r="J66" i="2"/>
  <c r="H66" i="8" s="1"/>
  <c r="K67" i="2" a="1"/>
  <c r="K67" i="2" s="1"/>
  <c r="J67" i="8" s="1"/>
  <c r="O65" i="2"/>
  <c r="I65" i="8" s="1"/>
  <c r="M67" i="2" a="1"/>
  <c r="M67" i="2" s="1"/>
  <c r="P67" i="2"/>
  <c r="I68" i="2"/>
  <c r="F68" i="2"/>
  <c r="K68" i="8" s="1"/>
  <c r="D69" i="2" a="1"/>
  <c r="D69" i="2" s="1"/>
  <c r="L69" i="8" s="1"/>
  <c r="L69" i="2" a="1"/>
  <c r="L69" i="2" s="1"/>
  <c r="M69" i="8" s="1"/>
  <c r="H69" i="2"/>
  <c r="G69" i="8" s="1"/>
  <c r="E69" i="2" a="1"/>
  <c r="E69" i="2" s="1"/>
  <c r="N69" i="8" s="1"/>
  <c r="G69" i="2"/>
  <c r="E69" i="8" s="1"/>
  <c r="B70" i="2"/>
  <c r="C70" i="2" s="1"/>
  <c r="N70" i="2" s="1" a="1"/>
  <c r="N70" i="2" s="1"/>
  <c r="D67" i="8" l="1"/>
  <c r="F67" i="8"/>
  <c r="J67" i="2"/>
  <c r="H67" i="8" s="1"/>
  <c r="K68" i="2" a="1"/>
  <c r="K68" i="2" s="1"/>
  <c r="J68" i="8" s="1"/>
  <c r="O66" i="2"/>
  <c r="I66" i="8" s="1"/>
  <c r="F69" i="2"/>
  <c r="K69" i="8" s="1"/>
  <c r="I69" i="2"/>
  <c r="M68" i="2" a="1"/>
  <c r="M68" i="2" s="1"/>
  <c r="P68" i="2"/>
  <c r="D70" i="2" a="1"/>
  <c r="D70" i="2" s="1"/>
  <c r="L70" i="8" s="1"/>
  <c r="G70" i="2"/>
  <c r="E70" i="8" s="1"/>
  <c r="L70" i="2" a="1"/>
  <c r="L70" i="2" s="1"/>
  <c r="M70" i="8" s="1"/>
  <c r="H70" i="2"/>
  <c r="G70" i="8" s="1"/>
  <c r="E70" i="2" a="1"/>
  <c r="E70" i="2" s="1"/>
  <c r="N70" i="8" s="1"/>
  <c r="B71" i="2"/>
  <c r="C71" i="2" s="1"/>
  <c r="N71" i="2" s="1" a="1"/>
  <c r="N71" i="2" s="1"/>
  <c r="D68" i="8" l="1"/>
  <c r="F68" i="8"/>
  <c r="J68" i="2"/>
  <c r="H68" i="8" s="1"/>
  <c r="K69" i="2" a="1"/>
  <c r="K69" i="2" s="1"/>
  <c r="J69" i="8" s="1"/>
  <c r="O67" i="2"/>
  <c r="I67" i="8" s="1"/>
  <c r="I70" i="2"/>
  <c r="D71" i="2" a="1"/>
  <c r="D71" i="2" s="1"/>
  <c r="L71" i="8" s="1"/>
  <c r="H71" i="2"/>
  <c r="G71" i="8" s="1"/>
  <c r="G71" i="2"/>
  <c r="E71" i="8" s="1"/>
  <c r="L71" i="2" a="1"/>
  <c r="L71" i="2" s="1"/>
  <c r="M71" i="8" s="1"/>
  <c r="E71" i="2" a="1"/>
  <c r="E71" i="2" s="1"/>
  <c r="N71" i="8" s="1"/>
  <c r="M69" i="2" a="1"/>
  <c r="M69" i="2" s="1"/>
  <c r="P69" i="2"/>
  <c r="F70" i="2"/>
  <c r="K70" i="8" s="1"/>
  <c r="B72" i="2"/>
  <c r="C72" i="2" s="1"/>
  <c r="N72" i="2" s="1" a="1"/>
  <c r="N72" i="2" s="1"/>
  <c r="D69" i="8" l="1"/>
  <c r="F69" i="8"/>
  <c r="J69" i="2"/>
  <c r="H69" i="8" s="1"/>
  <c r="O68" i="2"/>
  <c r="I68" i="8" s="1"/>
  <c r="K70" i="2" a="1"/>
  <c r="K70" i="2" s="1"/>
  <c r="J70" i="8" s="1"/>
  <c r="F71" i="2"/>
  <c r="K71" i="8" s="1"/>
  <c r="D72" i="2" a="1"/>
  <c r="D72" i="2" s="1"/>
  <c r="L72" i="8" s="1"/>
  <c r="G72" i="2"/>
  <c r="E72" i="8" s="1"/>
  <c r="H72" i="2"/>
  <c r="G72" i="8" s="1"/>
  <c r="E72" i="2" a="1"/>
  <c r="E72" i="2" s="1"/>
  <c r="N72" i="8" s="1"/>
  <c r="L72" i="2" a="1"/>
  <c r="L72" i="2" s="1"/>
  <c r="M72" i="8" s="1"/>
  <c r="I71" i="2"/>
  <c r="M70" i="2" a="1"/>
  <c r="M70" i="2" s="1"/>
  <c r="P70" i="2"/>
  <c r="B73" i="2"/>
  <c r="C73" i="2" s="1"/>
  <c r="N73" i="2" s="1" a="1"/>
  <c r="N73" i="2" s="1"/>
  <c r="D70" i="8" l="1"/>
  <c r="F70" i="8"/>
  <c r="J70" i="2"/>
  <c r="H70" i="8" s="1"/>
  <c r="K71" i="2" a="1"/>
  <c r="K71" i="2" s="1"/>
  <c r="J71" i="8" s="1"/>
  <c r="O69" i="2"/>
  <c r="I69" i="8" s="1"/>
  <c r="F72" i="2"/>
  <c r="K72" i="8" s="1"/>
  <c r="M71" i="2" a="1"/>
  <c r="M71" i="2" s="1"/>
  <c r="P71" i="2"/>
  <c r="D73" i="2" a="1"/>
  <c r="D73" i="2" s="1"/>
  <c r="L73" i="8" s="1"/>
  <c r="H73" i="2"/>
  <c r="G73" i="8" s="1"/>
  <c r="L73" i="2" a="1"/>
  <c r="L73" i="2" s="1"/>
  <c r="M73" i="8" s="1"/>
  <c r="G73" i="2"/>
  <c r="E73" i="8" s="1"/>
  <c r="E73" i="2" a="1"/>
  <c r="E73" i="2" s="1"/>
  <c r="N73" i="8" s="1"/>
  <c r="I72" i="2"/>
  <c r="B74" i="2"/>
  <c r="C74" i="2" s="1"/>
  <c r="N74" i="2" s="1" a="1"/>
  <c r="N74" i="2" s="1"/>
  <c r="D71" i="8" l="1"/>
  <c r="F71" i="8"/>
  <c r="J71" i="2"/>
  <c r="H71" i="8" s="1"/>
  <c r="K72" i="2" a="1"/>
  <c r="K72" i="2" s="1"/>
  <c r="J72" i="8" s="1"/>
  <c r="O70" i="2"/>
  <c r="I70" i="8" s="1"/>
  <c r="F73" i="2"/>
  <c r="K73" i="8" s="1"/>
  <c r="I73" i="2"/>
  <c r="D74" i="2" a="1"/>
  <c r="D74" i="2" s="1"/>
  <c r="L74" i="8" s="1"/>
  <c r="G74" i="2"/>
  <c r="E74" i="8" s="1"/>
  <c r="E74" i="2" a="1"/>
  <c r="E74" i="2" s="1"/>
  <c r="N74" i="8" s="1"/>
  <c r="L74" i="2" a="1"/>
  <c r="L74" i="2" s="1"/>
  <c r="M74" i="8" s="1"/>
  <c r="H74" i="2"/>
  <c r="G74" i="8" s="1"/>
  <c r="M72" i="2" a="1"/>
  <c r="M72" i="2" s="1"/>
  <c r="P72" i="2"/>
  <c r="B75" i="2"/>
  <c r="C75" i="2" s="1"/>
  <c r="N75" i="2" s="1" a="1"/>
  <c r="N75" i="2" s="1"/>
  <c r="D72" i="8" l="1"/>
  <c r="F72" i="8"/>
  <c r="K73" i="2" a="1"/>
  <c r="K73" i="2" s="1"/>
  <c r="J73" i="8" s="1"/>
  <c r="O71" i="2"/>
  <c r="I71" i="8" s="1"/>
  <c r="J72" i="2"/>
  <c r="H72" i="8" s="1"/>
  <c r="F74" i="2"/>
  <c r="K74" i="8" s="1"/>
  <c r="I74" i="2"/>
  <c r="D75" i="2" a="1"/>
  <c r="D75" i="2" s="1"/>
  <c r="L75" i="8" s="1"/>
  <c r="H75" i="2"/>
  <c r="G75" i="8" s="1"/>
  <c r="E75" i="2" a="1"/>
  <c r="E75" i="2" s="1"/>
  <c r="N75" i="8" s="1"/>
  <c r="L75" i="2" a="1"/>
  <c r="L75" i="2" s="1"/>
  <c r="M75" i="8" s="1"/>
  <c r="G75" i="2"/>
  <c r="E75" i="8" s="1"/>
  <c r="M73" i="2" a="1"/>
  <c r="M73" i="2" s="1"/>
  <c r="P73" i="2"/>
  <c r="B76" i="2"/>
  <c r="C76" i="2" s="1"/>
  <c r="N76" i="2" s="1" a="1"/>
  <c r="N76" i="2" s="1"/>
  <c r="D73" i="8" l="1"/>
  <c r="F73" i="8"/>
  <c r="J73" i="2"/>
  <c r="H73" i="8" s="1"/>
  <c r="O72" i="2"/>
  <c r="I72" i="8" s="1"/>
  <c r="K74" i="2" a="1"/>
  <c r="K74" i="2" s="1"/>
  <c r="J74" i="8" s="1"/>
  <c r="F75" i="2"/>
  <c r="K75" i="8" s="1"/>
  <c r="D76" i="2" a="1"/>
  <c r="D76" i="2" s="1"/>
  <c r="L76" i="8" s="1"/>
  <c r="G76" i="2"/>
  <c r="E76" i="8" s="1"/>
  <c r="L76" i="2" a="1"/>
  <c r="L76" i="2" s="1"/>
  <c r="M76" i="8" s="1"/>
  <c r="E76" i="2" a="1"/>
  <c r="E76" i="2" s="1"/>
  <c r="N76" i="8" s="1"/>
  <c r="H76" i="2"/>
  <c r="G76" i="8" s="1"/>
  <c r="I75" i="2"/>
  <c r="M74" i="2" a="1"/>
  <c r="M74" i="2" s="1"/>
  <c r="P74" i="2"/>
  <c r="B77" i="2"/>
  <c r="C77" i="2" s="1"/>
  <c r="N77" i="2" s="1" a="1"/>
  <c r="N77" i="2" s="1"/>
  <c r="D74" i="8" l="1"/>
  <c r="F74" i="8"/>
  <c r="J74" i="2"/>
  <c r="H74" i="8" s="1"/>
  <c r="K75" i="2" a="1"/>
  <c r="K75" i="2" s="1"/>
  <c r="J75" i="8" s="1"/>
  <c r="O73" i="2"/>
  <c r="I73" i="8" s="1"/>
  <c r="M75" i="2" a="1"/>
  <c r="M75" i="2" s="1"/>
  <c r="P75" i="2"/>
  <c r="I76" i="2"/>
  <c r="D77" i="2" a="1"/>
  <c r="D77" i="2" s="1"/>
  <c r="L77" i="8" s="1"/>
  <c r="L77" i="2" a="1"/>
  <c r="L77" i="2" s="1"/>
  <c r="M77" i="8" s="1"/>
  <c r="G77" i="2"/>
  <c r="E77" i="8" s="1"/>
  <c r="E77" i="2" a="1"/>
  <c r="E77" i="2" s="1"/>
  <c r="N77" i="8" s="1"/>
  <c r="H77" i="2"/>
  <c r="G77" i="8" s="1"/>
  <c r="F76" i="2"/>
  <c r="K76" i="8" s="1"/>
  <c r="B78" i="2"/>
  <c r="C78" i="2" s="1"/>
  <c r="N78" i="2" s="1" a="1"/>
  <c r="N78" i="2" s="1"/>
  <c r="D75" i="8" l="1"/>
  <c r="F75" i="8"/>
  <c r="O74" i="2"/>
  <c r="I74" i="8" s="1"/>
  <c r="J75" i="2"/>
  <c r="H75" i="8" s="1"/>
  <c r="K76" i="2" a="1"/>
  <c r="K76" i="2" s="1"/>
  <c r="J76" i="8" s="1"/>
  <c r="I77" i="2"/>
  <c r="F77" i="2"/>
  <c r="K77" i="8" s="1"/>
  <c r="D78" i="2" a="1"/>
  <c r="D78" i="2" s="1"/>
  <c r="L78" i="8" s="1"/>
  <c r="G78" i="2"/>
  <c r="E78" i="8" s="1"/>
  <c r="L78" i="2" a="1"/>
  <c r="L78" i="2" s="1"/>
  <c r="M78" i="8" s="1"/>
  <c r="E78" i="2" a="1"/>
  <c r="E78" i="2" s="1"/>
  <c r="N78" i="8" s="1"/>
  <c r="H78" i="2"/>
  <c r="G78" i="8" s="1"/>
  <c r="M76" i="2" a="1"/>
  <c r="M76" i="2" s="1"/>
  <c r="P76" i="2"/>
  <c r="B79" i="2"/>
  <c r="C79" i="2" s="1"/>
  <c r="N79" i="2" s="1" a="1"/>
  <c r="N79" i="2" s="1"/>
  <c r="D76" i="8" l="1"/>
  <c r="F76" i="8"/>
  <c r="K77" i="2" a="1"/>
  <c r="K77" i="2" s="1"/>
  <c r="J77" i="8" s="1"/>
  <c r="O75" i="2"/>
  <c r="I75" i="8" s="1"/>
  <c r="J76" i="2"/>
  <c r="H76" i="8" s="1"/>
  <c r="F78" i="2"/>
  <c r="K78" i="8" s="1"/>
  <c r="D79" i="2" a="1"/>
  <c r="D79" i="2" s="1"/>
  <c r="L79" i="8" s="1"/>
  <c r="H79" i="2"/>
  <c r="G79" i="8" s="1"/>
  <c r="L79" i="2" a="1"/>
  <c r="L79" i="2" s="1"/>
  <c r="M79" i="8" s="1"/>
  <c r="E79" i="2" a="1"/>
  <c r="E79" i="2" s="1"/>
  <c r="N79" i="8" s="1"/>
  <c r="G79" i="2"/>
  <c r="E79" i="8" s="1"/>
  <c r="M77" i="2" a="1"/>
  <c r="M77" i="2" s="1"/>
  <c r="P77" i="2"/>
  <c r="I78" i="2"/>
  <c r="B80" i="2"/>
  <c r="C80" i="2" s="1"/>
  <c r="N80" i="2" s="1" a="1"/>
  <c r="N80" i="2" s="1"/>
  <c r="D77" i="8" l="1"/>
  <c r="F77" i="8"/>
  <c r="J77" i="2"/>
  <c r="H77" i="8" s="1"/>
  <c r="O76" i="2"/>
  <c r="I76" i="8" s="1"/>
  <c r="K78" i="2" a="1"/>
  <c r="K78" i="2" s="1"/>
  <c r="J78" i="8" s="1"/>
  <c r="F79" i="2"/>
  <c r="K79" i="8" s="1"/>
  <c r="I79" i="2"/>
  <c r="D80" i="2" a="1"/>
  <c r="D80" i="2" s="1"/>
  <c r="L80" i="8" s="1"/>
  <c r="L80" i="2" a="1"/>
  <c r="L80" i="2" s="1"/>
  <c r="M80" i="8" s="1"/>
  <c r="H80" i="2"/>
  <c r="G80" i="8" s="1"/>
  <c r="G80" i="2"/>
  <c r="E80" i="8" s="1"/>
  <c r="E80" i="2" a="1"/>
  <c r="E80" i="2" s="1"/>
  <c r="N80" i="8" s="1"/>
  <c r="M78" i="2" a="1"/>
  <c r="M78" i="2" s="1"/>
  <c r="P78" i="2"/>
  <c r="B81" i="2"/>
  <c r="C81" i="2" s="1"/>
  <c r="N81" i="2" s="1" a="1"/>
  <c r="N81" i="2" s="1"/>
  <c r="D78" i="8" l="1"/>
  <c r="F78" i="8"/>
  <c r="J78" i="2"/>
  <c r="H78" i="8" s="1"/>
  <c r="K79" i="2" a="1"/>
  <c r="K79" i="2" s="1"/>
  <c r="J79" i="8" s="1"/>
  <c r="O77" i="2"/>
  <c r="I77" i="8" s="1"/>
  <c r="M79" i="2" a="1"/>
  <c r="M79" i="2" s="1"/>
  <c r="P79" i="2"/>
  <c r="F80" i="2"/>
  <c r="K80" i="8" s="1"/>
  <c r="I80" i="2"/>
  <c r="D81" i="2" a="1"/>
  <c r="D81" i="2" s="1"/>
  <c r="L81" i="8" s="1"/>
  <c r="G81" i="2"/>
  <c r="E81" i="8" s="1"/>
  <c r="E81" i="2" a="1"/>
  <c r="E81" i="2" s="1"/>
  <c r="N81" i="8" s="1"/>
  <c r="L81" i="2" a="1"/>
  <c r="L81" i="2" s="1"/>
  <c r="M81" i="8" s="1"/>
  <c r="H81" i="2"/>
  <c r="G81" i="8" s="1"/>
  <c r="B82" i="2"/>
  <c r="C82" i="2" s="1"/>
  <c r="N82" i="2" s="1" a="1"/>
  <c r="N82" i="2" s="1"/>
  <c r="D79" i="8" l="1"/>
  <c r="F79" i="8"/>
  <c r="O78" i="2"/>
  <c r="I78" i="8" s="1"/>
  <c r="J79" i="2"/>
  <c r="H79" i="8" s="1"/>
  <c r="K80" i="2" a="1"/>
  <c r="K80" i="2" s="1"/>
  <c r="J80" i="8" s="1"/>
  <c r="F81" i="2"/>
  <c r="K81" i="8" s="1"/>
  <c r="D82" i="2" a="1"/>
  <c r="D82" i="2" s="1"/>
  <c r="L82" i="8" s="1"/>
  <c r="E82" i="2" a="1"/>
  <c r="E82" i="2" s="1"/>
  <c r="N82" i="8" s="1"/>
  <c r="L82" i="2" a="1"/>
  <c r="L82" i="2" s="1"/>
  <c r="M82" i="8" s="1"/>
  <c r="H82" i="2"/>
  <c r="G82" i="8" s="1"/>
  <c r="G82" i="2"/>
  <c r="E82" i="8" s="1"/>
  <c r="M80" i="2" a="1"/>
  <c r="M80" i="2" s="1"/>
  <c r="P80" i="2"/>
  <c r="I81" i="2"/>
  <c r="B83" i="2"/>
  <c r="C83" i="2" s="1"/>
  <c r="N83" i="2" s="1" a="1"/>
  <c r="N83" i="2" s="1"/>
  <c r="D80" i="8" l="1"/>
  <c r="F80" i="8"/>
  <c r="J80" i="2"/>
  <c r="H80" i="8" s="1"/>
  <c r="K81" i="2" a="1"/>
  <c r="K81" i="2" s="1"/>
  <c r="J81" i="8" s="1"/>
  <c r="O79" i="2"/>
  <c r="I79" i="8" s="1"/>
  <c r="F82" i="2"/>
  <c r="K82" i="8" s="1"/>
  <c r="M81" i="2" a="1"/>
  <c r="M81" i="2" s="1"/>
  <c r="P81" i="2"/>
  <c r="I82" i="2"/>
  <c r="D83" i="2" a="1"/>
  <c r="D83" i="2" s="1"/>
  <c r="L83" i="8" s="1"/>
  <c r="E83" i="2" a="1"/>
  <c r="E83" i="2" s="1"/>
  <c r="N83" i="8" s="1"/>
  <c r="L83" i="2" a="1"/>
  <c r="L83" i="2" s="1"/>
  <c r="M83" i="8" s="1"/>
  <c r="H83" i="2"/>
  <c r="G83" i="8" s="1"/>
  <c r="G83" i="2"/>
  <c r="E83" i="8" s="1"/>
  <c r="B84" i="2"/>
  <c r="C84" i="2" s="1"/>
  <c r="N84" i="2" s="1" a="1"/>
  <c r="N84" i="2" s="1"/>
  <c r="D81" i="8" l="1"/>
  <c r="F81" i="8"/>
  <c r="J81" i="2"/>
  <c r="H81" i="8" s="1"/>
  <c r="K82" i="2" a="1"/>
  <c r="K82" i="2" s="1"/>
  <c r="J82" i="8" s="1"/>
  <c r="O80" i="2"/>
  <c r="I80" i="8" s="1"/>
  <c r="F83" i="2"/>
  <c r="K83" i="8" s="1"/>
  <c r="I83" i="2"/>
  <c r="D84" i="2" a="1"/>
  <c r="D84" i="2" s="1"/>
  <c r="L84" i="8" s="1"/>
  <c r="H84" i="2"/>
  <c r="G84" i="8" s="1"/>
  <c r="E84" i="2" a="1"/>
  <c r="E84" i="2" s="1"/>
  <c r="N84" i="8" s="1"/>
  <c r="L84" i="2" a="1"/>
  <c r="L84" i="2" s="1"/>
  <c r="M84" i="8" s="1"/>
  <c r="G84" i="2"/>
  <c r="E84" i="8" s="1"/>
  <c r="M82" i="2" a="1"/>
  <c r="M82" i="2" s="1"/>
  <c r="P82" i="2"/>
  <c r="B85" i="2"/>
  <c r="C85" i="2" s="1"/>
  <c r="N85" i="2" s="1" a="1"/>
  <c r="N85" i="2" s="1"/>
  <c r="D82" i="8" l="1"/>
  <c r="F82" i="8"/>
  <c r="J82" i="2"/>
  <c r="H82" i="8" s="1"/>
  <c r="O81" i="2"/>
  <c r="I81" i="8" s="1"/>
  <c r="K83" i="2" a="1"/>
  <c r="K83" i="2" s="1"/>
  <c r="J83" i="8" s="1"/>
  <c r="F84" i="2"/>
  <c r="K84" i="8" s="1"/>
  <c r="D85" i="2" a="1"/>
  <c r="D85" i="2" s="1"/>
  <c r="L85" i="8" s="1"/>
  <c r="H85" i="2"/>
  <c r="G85" i="8" s="1"/>
  <c r="G85" i="2"/>
  <c r="E85" i="8" s="1"/>
  <c r="E85" i="2" a="1"/>
  <c r="E85" i="2" s="1"/>
  <c r="N85" i="8" s="1"/>
  <c r="L85" i="2" a="1"/>
  <c r="L85" i="2" s="1"/>
  <c r="M85" i="8" s="1"/>
  <c r="I84" i="2"/>
  <c r="M83" i="2" a="1"/>
  <c r="M83" i="2" s="1"/>
  <c r="P83" i="2"/>
  <c r="B86" i="2"/>
  <c r="C86" i="2" s="1"/>
  <c r="N86" i="2" s="1" a="1"/>
  <c r="N86" i="2" s="1"/>
  <c r="D83" i="8" l="1"/>
  <c r="F83" i="8"/>
  <c r="J83" i="2"/>
  <c r="H83" i="8" s="1"/>
  <c r="K84" i="2" a="1"/>
  <c r="K84" i="2" s="1"/>
  <c r="J84" i="8" s="1"/>
  <c r="O82" i="2"/>
  <c r="I82" i="8" s="1"/>
  <c r="F85" i="2"/>
  <c r="K85" i="8" s="1"/>
  <c r="M84" i="2" a="1"/>
  <c r="M84" i="2" s="1"/>
  <c r="P84" i="2"/>
  <c r="D86" i="2" a="1"/>
  <c r="D86" i="2" s="1"/>
  <c r="L86" i="8" s="1"/>
  <c r="G86" i="2"/>
  <c r="E86" i="8" s="1"/>
  <c r="H86" i="2"/>
  <c r="G86" i="8" s="1"/>
  <c r="L86" i="2" a="1"/>
  <c r="L86" i="2" s="1"/>
  <c r="M86" i="8" s="1"/>
  <c r="E86" i="2" a="1"/>
  <c r="E86" i="2" s="1"/>
  <c r="N86" i="8" s="1"/>
  <c r="I85" i="2"/>
  <c r="B87" i="2"/>
  <c r="C87" i="2" s="1"/>
  <c r="N87" i="2" s="1" a="1"/>
  <c r="N87" i="2" s="1"/>
  <c r="D84" i="8" l="1"/>
  <c r="F84" i="8"/>
  <c r="J84" i="2"/>
  <c r="H84" i="8" s="1"/>
  <c r="K85" i="2" a="1"/>
  <c r="K85" i="2" s="1"/>
  <c r="J85" i="8" s="1"/>
  <c r="O83" i="2"/>
  <c r="I83" i="8" s="1"/>
  <c r="F86" i="2"/>
  <c r="K86" i="8" s="1"/>
  <c r="I86" i="2"/>
  <c r="D87" i="2" a="1"/>
  <c r="D87" i="2" s="1"/>
  <c r="L87" i="8" s="1"/>
  <c r="G87" i="2"/>
  <c r="E87" i="8" s="1"/>
  <c r="L87" i="2" a="1"/>
  <c r="L87" i="2" s="1"/>
  <c r="M87" i="8" s="1"/>
  <c r="E87" i="2" a="1"/>
  <c r="E87" i="2" s="1"/>
  <c r="N87" i="8" s="1"/>
  <c r="H87" i="2"/>
  <c r="G87" i="8" s="1"/>
  <c r="M85" i="2" a="1"/>
  <c r="M85" i="2" s="1"/>
  <c r="P85" i="2"/>
  <c r="B88" i="2"/>
  <c r="C88" i="2" s="1"/>
  <c r="N88" i="2" s="1" a="1"/>
  <c r="N88" i="2" s="1"/>
  <c r="D85" i="8" l="1"/>
  <c r="F85" i="8"/>
  <c r="J85" i="2"/>
  <c r="H85" i="8" s="1"/>
  <c r="O84" i="2"/>
  <c r="I84" i="8" s="1"/>
  <c r="K86" i="2" a="1"/>
  <c r="K86" i="2" s="1"/>
  <c r="J86" i="8" s="1"/>
  <c r="F87" i="2"/>
  <c r="K87" i="8" s="1"/>
  <c r="M86" i="2" a="1"/>
  <c r="M86" i="2" s="1"/>
  <c r="P86" i="2"/>
  <c r="I87" i="2"/>
  <c r="D88" i="2" a="1"/>
  <c r="D88" i="2" s="1"/>
  <c r="L88" i="8" s="1"/>
  <c r="G88" i="2"/>
  <c r="E88" i="8" s="1"/>
  <c r="L88" i="2" a="1"/>
  <c r="L88" i="2" s="1"/>
  <c r="M88" i="8" s="1"/>
  <c r="H88" i="2"/>
  <c r="G88" i="8" s="1"/>
  <c r="E88" i="2" a="1"/>
  <c r="E88" i="2" s="1"/>
  <c r="N88" i="8" s="1"/>
  <c r="B89" i="2"/>
  <c r="C89" i="2" s="1"/>
  <c r="N89" i="2" s="1" a="1"/>
  <c r="N89" i="2" s="1"/>
  <c r="D86" i="8" l="1"/>
  <c r="F86" i="8"/>
  <c r="O85" i="2"/>
  <c r="I85" i="8" s="1"/>
  <c r="J86" i="2"/>
  <c r="H86" i="8" s="1"/>
  <c r="K87" i="2" a="1"/>
  <c r="K87" i="2" s="1"/>
  <c r="J87" i="8" s="1"/>
  <c r="F88" i="2"/>
  <c r="K88" i="8" s="1"/>
  <c r="I88" i="2"/>
  <c r="M87" i="2" a="1"/>
  <c r="M87" i="2" s="1"/>
  <c r="P87" i="2"/>
  <c r="E89" i="2" a="1"/>
  <c r="E89" i="2" s="1"/>
  <c r="N89" i="8" s="1"/>
  <c r="H89" i="2"/>
  <c r="G89" i="8" s="1"/>
  <c r="G89" i="2"/>
  <c r="E89" i="8" s="1"/>
  <c r="D89" i="2" a="1"/>
  <c r="D89" i="2" s="1"/>
  <c r="L89" i="8" s="1"/>
  <c r="L89" i="2" a="1"/>
  <c r="L89" i="2" s="1"/>
  <c r="M89" i="8" s="1"/>
  <c r="B90" i="2"/>
  <c r="C90" i="2" s="1"/>
  <c r="N90" i="2" s="1" a="1"/>
  <c r="N90" i="2" s="1"/>
  <c r="D87" i="8" l="1"/>
  <c r="F87" i="8"/>
  <c r="J87" i="2"/>
  <c r="H87" i="8" s="1"/>
  <c r="O86" i="2"/>
  <c r="I86" i="8" s="1"/>
  <c r="K88" i="2" a="1"/>
  <c r="K88" i="2" s="1"/>
  <c r="J88" i="8" s="1"/>
  <c r="M88" i="2" a="1"/>
  <c r="M88" i="2" s="1"/>
  <c r="P88" i="2"/>
  <c r="F89" i="2"/>
  <c r="K89" i="8" s="1"/>
  <c r="D90" i="2" a="1"/>
  <c r="D90" i="2" s="1"/>
  <c r="L90" i="8" s="1"/>
  <c r="L90" i="2" a="1"/>
  <c r="L90" i="2" s="1"/>
  <c r="M90" i="8" s="1"/>
  <c r="G90" i="2"/>
  <c r="E90" i="8" s="1"/>
  <c r="E90" i="2" a="1"/>
  <c r="E90" i="2" s="1"/>
  <c r="N90" i="8" s="1"/>
  <c r="H90" i="2"/>
  <c r="G90" i="8" s="1"/>
  <c r="I89" i="2"/>
  <c r="B91" i="2"/>
  <c r="C91" i="2" s="1"/>
  <c r="N91" i="2" s="1" a="1"/>
  <c r="N91" i="2" s="1"/>
  <c r="D88" i="8" l="1"/>
  <c r="F88" i="8"/>
  <c r="K89" i="2" a="1"/>
  <c r="K89" i="2" s="1"/>
  <c r="J89" i="8" s="1"/>
  <c r="J88" i="2"/>
  <c r="H88" i="8" s="1"/>
  <c r="O87" i="2"/>
  <c r="I87" i="8" s="1"/>
  <c r="D91" i="2" a="1"/>
  <c r="D91" i="2" s="1"/>
  <c r="L91" i="8" s="1"/>
  <c r="L91" i="2" a="1"/>
  <c r="L91" i="2" s="1"/>
  <c r="M91" i="8" s="1"/>
  <c r="H91" i="2"/>
  <c r="G91" i="8" s="1"/>
  <c r="E91" i="2" a="1"/>
  <c r="E91" i="2" s="1"/>
  <c r="N91" i="8" s="1"/>
  <c r="G91" i="2"/>
  <c r="E91" i="8" s="1"/>
  <c r="M89" i="2" a="1"/>
  <c r="M89" i="2" s="1"/>
  <c r="P89" i="2"/>
  <c r="I90" i="2"/>
  <c r="F90" i="2"/>
  <c r="K90" i="8" s="1"/>
  <c r="B92" i="2"/>
  <c r="C92" i="2" s="1"/>
  <c r="N92" i="2" s="1" a="1"/>
  <c r="N92" i="2" s="1"/>
  <c r="D89" i="8" l="1"/>
  <c r="F89" i="8"/>
  <c r="K90" i="2" a="1"/>
  <c r="K90" i="2" s="1"/>
  <c r="J90" i="8" s="1"/>
  <c r="J89" i="2"/>
  <c r="H89" i="8" s="1"/>
  <c r="O88" i="2"/>
  <c r="I88" i="8" s="1"/>
  <c r="F91" i="2"/>
  <c r="K91" i="8" s="1"/>
  <c r="B93" i="2"/>
  <c r="C93" i="2" s="1"/>
  <c r="N93" i="2" s="1" a="1"/>
  <c r="N93" i="2" s="1"/>
  <c r="D92" i="2" a="1"/>
  <c r="D92" i="2" s="1"/>
  <c r="L92" i="8" s="1"/>
  <c r="G92" i="2"/>
  <c r="E92" i="8" s="1"/>
  <c r="E92" i="2" a="1"/>
  <c r="E92" i="2" s="1"/>
  <c r="N92" i="8" s="1"/>
  <c r="H92" i="2"/>
  <c r="G92" i="8" s="1"/>
  <c r="L92" i="2" a="1"/>
  <c r="L92" i="2" s="1"/>
  <c r="M92" i="8" s="1"/>
  <c r="I91" i="2"/>
  <c r="M90" i="2" a="1"/>
  <c r="M90" i="2" s="1"/>
  <c r="P90" i="2"/>
  <c r="B94" i="2"/>
  <c r="C94" i="2" s="1"/>
  <c r="N94" i="2" s="1" a="1"/>
  <c r="N94" i="2" s="1"/>
  <c r="D90" i="8" l="1"/>
  <c r="F90" i="8"/>
  <c r="K91" i="2" a="1"/>
  <c r="K91" i="2" s="1"/>
  <c r="J91" i="8" s="1"/>
  <c r="J90" i="2"/>
  <c r="H90" i="8" s="1"/>
  <c r="O89" i="2"/>
  <c r="I89" i="8" s="1"/>
  <c r="M91" i="2" a="1"/>
  <c r="M91" i="2" s="1"/>
  <c r="P91" i="2"/>
  <c r="D93" i="2" a="1"/>
  <c r="D93" i="2" s="1"/>
  <c r="L93" i="8" s="1"/>
  <c r="H93" i="2"/>
  <c r="G93" i="8" s="1"/>
  <c r="G93" i="2"/>
  <c r="E93" i="8" s="1"/>
  <c r="L93" i="2" a="1"/>
  <c r="L93" i="2" s="1"/>
  <c r="M93" i="8" s="1"/>
  <c r="E93" i="2" a="1"/>
  <c r="E93" i="2" s="1"/>
  <c r="N93" i="8" s="1"/>
  <c r="I92" i="2"/>
  <c r="D94" i="2" a="1"/>
  <c r="D94" i="2" s="1"/>
  <c r="L94" i="8" s="1"/>
  <c r="H94" i="2"/>
  <c r="G94" i="8" s="1"/>
  <c r="L94" i="2" a="1"/>
  <c r="L94" i="2" s="1"/>
  <c r="M94" i="8" s="1"/>
  <c r="E94" i="2" a="1"/>
  <c r="E94" i="2" s="1"/>
  <c r="N94" i="8" s="1"/>
  <c r="G94" i="2"/>
  <c r="E94" i="8" s="1"/>
  <c r="F92" i="2"/>
  <c r="K92" i="8" s="1"/>
  <c r="B95" i="2"/>
  <c r="C95" i="2" s="1"/>
  <c r="N95" i="2" s="1" a="1"/>
  <c r="N95" i="2" s="1"/>
  <c r="D91" i="8" l="1"/>
  <c r="F91" i="8"/>
  <c r="K92" i="2" a="1"/>
  <c r="K92" i="2" s="1"/>
  <c r="J92" i="8" s="1"/>
  <c r="J91" i="2"/>
  <c r="H91" i="8" s="1"/>
  <c r="O90" i="2"/>
  <c r="I90" i="8" s="1"/>
  <c r="F94" i="2"/>
  <c r="K94" i="8" s="1"/>
  <c r="F93" i="2"/>
  <c r="K93" i="8" s="1"/>
  <c r="I94" i="2"/>
  <c r="I93" i="2"/>
  <c r="D95" i="2" a="1"/>
  <c r="D95" i="2" s="1"/>
  <c r="L95" i="8" s="1"/>
  <c r="L95" i="2" a="1"/>
  <c r="L95" i="2" s="1"/>
  <c r="M95" i="8" s="1"/>
  <c r="E95" i="2" a="1"/>
  <c r="E95" i="2" s="1"/>
  <c r="N95" i="8" s="1"/>
  <c r="H95" i="2"/>
  <c r="G95" i="8" s="1"/>
  <c r="G95" i="2"/>
  <c r="E95" i="8" s="1"/>
  <c r="M92" i="2" a="1"/>
  <c r="M92" i="2" s="1"/>
  <c r="P92" i="2"/>
  <c r="B96" i="2"/>
  <c r="C96" i="2" s="1"/>
  <c r="N96" i="2" s="1" a="1"/>
  <c r="N96" i="2" s="1"/>
  <c r="D92" i="8" l="1"/>
  <c r="F92" i="8"/>
  <c r="J92" i="2"/>
  <c r="H92" i="8" s="1"/>
  <c r="O91" i="2"/>
  <c r="I91" i="8" s="1"/>
  <c r="K93" i="2" a="1"/>
  <c r="K93" i="2" s="1"/>
  <c r="J93" i="8" s="1"/>
  <c r="K94" i="2" a="1"/>
  <c r="K94" i="2" s="1"/>
  <c r="J94" i="8" s="1"/>
  <c r="M93" i="2" a="1"/>
  <c r="M93" i="2" s="1"/>
  <c r="P93" i="2"/>
  <c r="I95" i="2"/>
  <c r="F95" i="2"/>
  <c r="K95" i="8" s="1"/>
  <c r="D96" i="2" a="1"/>
  <c r="D96" i="2" s="1"/>
  <c r="L96" i="8" s="1"/>
  <c r="L96" i="2" a="1"/>
  <c r="L96" i="2" s="1"/>
  <c r="M96" i="8" s="1"/>
  <c r="G96" i="2"/>
  <c r="E96" i="8" s="1"/>
  <c r="H96" i="2"/>
  <c r="G96" i="8" s="1"/>
  <c r="E96" i="2" a="1"/>
  <c r="E96" i="2" s="1"/>
  <c r="N96" i="8" s="1"/>
  <c r="M94" i="2" a="1"/>
  <c r="M94" i="2" s="1"/>
  <c r="P94" i="2"/>
  <c r="B97" i="2"/>
  <c r="C97" i="2" s="1"/>
  <c r="N97" i="2" s="1" a="1"/>
  <c r="N97" i="2" s="1"/>
  <c r="D94" i="8" l="1"/>
  <c r="F94" i="8"/>
  <c r="D93" i="8"/>
  <c r="F93" i="8"/>
  <c r="K95" i="2" a="1"/>
  <c r="K95" i="2" s="1"/>
  <c r="J95" i="8" s="1"/>
  <c r="J94" i="2"/>
  <c r="H94" i="8" s="1"/>
  <c r="J93" i="2"/>
  <c r="H93" i="8" s="1"/>
  <c r="O92" i="2"/>
  <c r="I92" i="8" s="1"/>
  <c r="F96" i="2"/>
  <c r="K96" i="8" s="1"/>
  <c r="I96" i="2"/>
  <c r="D97" i="2" a="1"/>
  <c r="D97" i="2" s="1"/>
  <c r="L97" i="8" s="1"/>
  <c r="E97" i="2" a="1"/>
  <c r="E97" i="2" s="1"/>
  <c r="N97" i="8" s="1"/>
  <c r="L97" i="2" a="1"/>
  <c r="L97" i="2" s="1"/>
  <c r="M97" i="8" s="1"/>
  <c r="H97" i="2"/>
  <c r="G97" i="8" s="1"/>
  <c r="G97" i="2"/>
  <c r="E97" i="8" s="1"/>
  <c r="M95" i="2" a="1"/>
  <c r="M95" i="2" s="1"/>
  <c r="P95" i="2"/>
  <c r="B98" i="2"/>
  <c r="C98" i="2" s="1"/>
  <c r="N98" i="2" s="1" a="1"/>
  <c r="N98" i="2" s="1"/>
  <c r="D95" i="8" l="1"/>
  <c r="F95" i="8"/>
  <c r="K96" i="2" a="1"/>
  <c r="K96" i="2" s="1"/>
  <c r="J96" i="8" s="1"/>
  <c r="O93" i="2"/>
  <c r="I93" i="8" s="1"/>
  <c r="J95" i="2"/>
  <c r="H95" i="8" s="1"/>
  <c r="O94" i="2"/>
  <c r="I94" i="8" s="1"/>
  <c r="F97" i="2"/>
  <c r="K97" i="8" s="1"/>
  <c r="M96" i="2" a="1"/>
  <c r="M96" i="2" s="1"/>
  <c r="P96" i="2"/>
  <c r="I97" i="2"/>
  <c r="D98" i="2" a="1"/>
  <c r="D98" i="2" s="1"/>
  <c r="L98" i="8" s="1"/>
  <c r="H98" i="2"/>
  <c r="G98" i="8" s="1"/>
  <c r="L98" i="2" a="1"/>
  <c r="L98" i="2" s="1"/>
  <c r="M98" i="8" s="1"/>
  <c r="G98" i="2"/>
  <c r="E98" i="8" s="1"/>
  <c r="E98" i="2" a="1"/>
  <c r="E98" i="2" s="1"/>
  <c r="N98" i="8" s="1"/>
  <c r="B99" i="2"/>
  <c r="C99" i="2" s="1"/>
  <c r="N99" i="2" s="1" a="1"/>
  <c r="N99" i="2" s="1"/>
  <c r="D96" i="8" l="1"/>
  <c r="F96" i="8"/>
  <c r="J96" i="2"/>
  <c r="H96" i="8" s="1"/>
  <c r="K97" i="2" a="1"/>
  <c r="K97" i="2" s="1"/>
  <c r="J97" i="8" s="1"/>
  <c r="O95" i="2"/>
  <c r="I95" i="8" s="1"/>
  <c r="F98" i="2"/>
  <c r="K98" i="8" s="1"/>
  <c r="I98" i="2"/>
  <c r="D99" i="2" a="1"/>
  <c r="D99" i="2" s="1"/>
  <c r="L99" i="8" s="1"/>
  <c r="G99" i="2"/>
  <c r="E99" i="8" s="1"/>
  <c r="E99" i="2" a="1"/>
  <c r="E99" i="2" s="1"/>
  <c r="N99" i="8" s="1"/>
  <c r="L99" i="2" a="1"/>
  <c r="L99" i="2" s="1"/>
  <c r="M99" i="8" s="1"/>
  <c r="H99" i="2"/>
  <c r="G99" i="8" s="1"/>
  <c r="M97" i="2" a="1"/>
  <c r="M97" i="2" s="1"/>
  <c r="P97" i="2"/>
  <c r="B100" i="2"/>
  <c r="C100" i="2" s="1"/>
  <c r="N100" i="2" s="1" a="1"/>
  <c r="N100" i="2" s="1"/>
  <c r="D97" i="8" l="1"/>
  <c r="F97" i="8"/>
  <c r="J97" i="2"/>
  <c r="H97" i="8" s="1"/>
  <c r="O96" i="2"/>
  <c r="I96" i="8" s="1"/>
  <c r="K98" i="2" a="1"/>
  <c r="K98" i="2" s="1"/>
  <c r="J98" i="8" s="1"/>
  <c r="M98" i="2" a="1"/>
  <c r="M98" i="2" s="1"/>
  <c r="P98" i="2"/>
  <c r="F99" i="2"/>
  <c r="K99" i="8" s="1"/>
  <c r="D100" i="2" a="1"/>
  <c r="D100" i="2" s="1"/>
  <c r="L100" i="8" s="1"/>
  <c r="E100" i="2" a="1"/>
  <c r="E100" i="2" s="1"/>
  <c r="N100" i="8" s="1"/>
  <c r="L100" i="2" a="1"/>
  <c r="L100" i="2" s="1"/>
  <c r="M100" i="8" s="1"/>
  <c r="G100" i="2"/>
  <c r="E100" i="8" s="1"/>
  <c r="H100" i="2"/>
  <c r="G100" i="8" s="1"/>
  <c r="I99" i="2"/>
  <c r="B101" i="2"/>
  <c r="C101" i="2" s="1"/>
  <c r="N101" i="2" s="1" a="1"/>
  <c r="N101" i="2" s="1"/>
  <c r="D98" i="8" l="1"/>
  <c r="F98" i="8"/>
  <c r="J98" i="2"/>
  <c r="H98" i="8" s="1"/>
  <c r="K99" i="2" a="1"/>
  <c r="K99" i="2" s="1"/>
  <c r="J99" i="8" s="1"/>
  <c r="O97" i="2"/>
  <c r="I97" i="8" s="1"/>
  <c r="F100" i="2"/>
  <c r="K100" i="8" s="1"/>
  <c r="D101" i="2" a="1"/>
  <c r="D101" i="2" s="1"/>
  <c r="L101" i="8" s="1"/>
  <c r="L101" i="2" a="1"/>
  <c r="L101" i="2" s="1"/>
  <c r="M101" i="8" s="1"/>
  <c r="E101" i="2" a="1"/>
  <c r="E101" i="2" s="1"/>
  <c r="N101" i="8" s="1"/>
  <c r="H101" i="2"/>
  <c r="G101" i="8" s="1"/>
  <c r="G101" i="2"/>
  <c r="E101" i="8" s="1"/>
  <c r="I100" i="2"/>
  <c r="M99" i="2" a="1"/>
  <c r="M99" i="2" s="1"/>
  <c r="P99" i="2"/>
  <c r="B102" i="2"/>
  <c r="C102" i="2" s="1"/>
  <c r="N102" i="2" s="1" a="1"/>
  <c r="N102" i="2" s="1"/>
  <c r="D99" i="8" l="1"/>
  <c r="F99" i="8"/>
  <c r="J99" i="2"/>
  <c r="H99" i="8" s="1"/>
  <c r="K100" i="2" a="1"/>
  <c r="K100" i="2" s="1"/>
  <c r="J100" i="8" s="1"/>
  <c r="O98" i="2"/>
  <c r="I98" i="8" s="1"/>
  <c r="M100" i="2" a="1"/>
  <c r="M100" i="2" s="1"/>
  <c r="P100" i="2"/>
  <c r="E102" i="2" a="1"/>
  <c r="E102" i="2" s="1"/>
  <c r="N102" i="8" s="1"/>
  <c r="H102" i="2"/>
  <c r="G102" i="8" s="1"/>
  <c r="L102" i="2" a="1"/>
  <c r="L102" i="2" s="1"/>
  <c r="M102" i="8" s="1"/>
  <c r="G102" i="2"/>
  <c r="E102" i="8" s="1"/>
  <c r="D102" i="2" a="1"/>
  <c r="D102" i="2" s="1"/>
  <c r="L102" i="8" s="1"/>
  <c r="I101" i="2"/>
  <c r="F101" i="2"/>
  <c r="K101" i="8" s="1"/>
  <c r="B103" i="2"/>
  <c r="C103" i="2" s="1"/>
  <c r="N103" i="2" s="1" a="1"/>
  <c r="N103" i="2" s="1"/>
  <c r="D100" i="8" l="1"/>
  <c r="F100" i="8"/>
  <c r="O99" i="2"/>
  <c r="I99" i="8" s="1"/>
  <c r="K101" i="2" a="1"/>
  <c r="K101" i="2" s="1"/>
  <c r="J101" i="8" s="1"/>
  <c r="J100" i="2"/>
  <c r="H100" i="8" s="1"/>
  <c r="F102" i="2"/>
  <c r="K102" i="8" s="1"/>
  <c r="D103" i="2" a="1"/>
  <c r="D103" i="2" s="1"/>
  <c r="L103" i="8" s="1"/>
  <c r="G103" i="2"/>
  <c r="E103" i="8" s="1"/>
  <c r="H103" i="2"/>
  <c r="G103" i="8" s="1"/>
  <c r="E103" i="2" a="1"/>
  <c r="E103" i="2" s="1"/>
  <c r="N103" i="8" s="1"/>
  <c r="L103" i="2" a="1"/>
  <c r="L103" i="2" s="1"/>
  <c r="M103" i="8" s="1"/>
  <c r="I102" i="2"/>
  <c r="M101" i="2" a="1"/>
  <c r="M101" i="2" s="1"/>
  <c r="P101" i="2"/>
  <c r="B104" i="2"/>
  <c r="C104" i="2" s="1"/>
  <c r="N104" i="2" s="1" a="1"/>
  <c r="N104" i="2" s="1"/>
  <c r="D101" i="8" l="1"/>
  <c r="F101" i="8"/>
  <c r="J101" i="2"/>
  <c r="H101" i="8" s="1"/>
  <c r="K102" i="2" a="1"/>
  <c r="K102" i="2" s="1"/>
  <c r="J102" i="8" s="1"/>
  <c r="O100" i="2"/>
  <c r="I100" i="8" s="1"/>
  <c r="F103" i="2"/>
  <c r="K103" i="8" s="1"/>
  <c r="M102" i="2" a="1"/>
  <c r="M102" i="2" s="1"/>
  <c r="P102" i="2"/>
  <c r="I103" i="2"/>
  <c r="D104" i="2" a="1"/>
  <c r="D104" i="2" s="1"/>
  <c r="L104" i="8" s="1"/>
  <c r="H104" i="2"/>
  <c r="G104" i="8" s="1"/>
  <c r="G104" i="2"/>
  <c r="E104" i="8" s="1"/>
  <c r="L104" i="2" a="1"/>
  <c r="L104" i="2" s="1"/>
  <c r="M104" i="8" s="1"/>
  <c r="E104" i="2" a="1"/>
  <c r="E104" i="2" s="1"/>
  <c r="N104" i="8" s="1"/>
  <c r="B105" i="2"/>
  <c r="C105" i="2" s="1"/>
  <c r="N105" i="2" s="1" a="1"/>
  <c r="N105" i="2" s="1"/>
  <c r="D102" i="8" l="1"/>
  <c r="F102" i="8"/>
  <c r="J102" i="2"/>
  <c r="H102" i="8" s="1"/>
  <c r="K103" i="2" a="1"/>
  <c r="K103" i="2" s="1"/>
  <c r="J103" i="8" s="1"/>
  <c r="O101" i="2"/>
  <c r="I101" i="8" s="1"/>
  <c r="F104" i="2"/>
  <c r="K104" i="8" s="1"/>
  <c r="I104" i="2"/>
  <c r="D105" i="2" a="1"/>
  <c r="D105" i="2" s="1"/>
  <c r="L105" i="8" s="1"/>
  <c r="L105" i="2" a="1"/>
  <c r="L105" i="2" s="1"/>
  <c r="M105" i="8" s="1"/>
  <c r="G105" i="2"/>
  <c r="E105" i="8" s="1"/>
  <c r="H105" i="2"/>
  <c r="G105" i="8" s="1"/>
  <c r="E105" i="2" a="1"/>
  <c r="E105" i="2" s="1"/>
  <c r="N105" i="8" s="1"/>
  <c r="M103" i="2" a="1"/>
  <c r="M103" i="2" s="1"/>
  <c r="P103" i="2"/>
  <c r="B106" i="2"/>
  <c r="C106" i="2" s="1"/>
  <c r="N106" i="2" s="1" a="1"/>
  <c r="N106" i="2" s="1"/>
  <c r="D103" i="8" l="1"/>
  <c r="F103" i="8"/>
  <c r="J103" i="2"/>
  <c r="H103" i="8" s="1"/>
  <c r="K104" i="2" a="1"/>
  <c r="K104" i="2" s="1"/>
  <c r="J104" i="8" s="1"/>
  <c r="O102" i="2"/>
  <c r="I102" i="8" s="1"/>
  <c r="M104" i="2" a="1"/>
  <c r="M104" i="2" s="1"/>
  <c r="P104" i="2"/>
  <c r="F105" i="2"/>
  <c r="K105" i="8" s="1"/>
  <c r="I105" i="2"/>
  <c r="D106" i="2" a="1"/>
  <c r="D106" i="2" s="1"/>
  <c r="L106" i="8" s="1"/>
  <c r="H106" i="2"/>
  <c r="G106" i="8" s="1"/>
  <c r="L106" i="2" a="1"/>
  <c r="L106" i="2" s="1"/>
  <c r="M106" i="8" s="1"/>
  <c r="G106" i="2"/>
  <c r="E106" i="8" s="1"/>
  <c r="E106" i="2" a="1"/>
  <c r="E106" i="2" s="1"/>
  <c r="N106" i="8" s="1"/>
  <c r="B107" i="2"/>
  <c r="C107" i="2" s="1"/>
  <c r="N107" i="2" s="1" a="1"/>
  <c r="N107" i="2" s="1"/>
  <c r="D104" i="8" l="1"/>
  <c r="F104" i="8"/>
  <c r="J104" i="2"/>
  <c r="H104" i="8" s="1"/>
  <c r="K105" i="2" a="1"/>
  <c r="K105" i="2" s="1"/>
  <c r="J105" i="8" s="1"/>
  <c r="O103" i="2"/>
  <c r="I103" i="8" s="1"/>
  <c r="F106" i="2"/>
  <c r="K106" i="8" s="1"/>
  <c r="D107" i="2" a="1"/>
  <c r="D107" i="2" s="1"/>
  <c r="L107" i="8" s="1"/>
  <c r="G107" i="2"/>
  <c r="E107" i="8" s="1"/>
  <c r="E107" i="2" a="1"/>
  <c r="E107" i="2" s="1"/>
  <c r="N107" i="8" s="1"/>
  <c r="L107" i="2" a="1"/>
  <c r="L107" i="2" s="1"/>
  <c r="M107" i="8" s="1"/>
  <c r="H107" i="2"/>
  <c r="G107" i="8" s="1"/>
  <c r="I106" i="2"/>
  <c r="M105" i="2" a="1"/>
  <c r="M105" i="2" s="1"/>
  <c r="P105" i="2"/>
  <c r="B108" i="2"/>
  <c r="C108" i="2" s="1"/>
  <c r="N108" i="2" s="1" a="1"/>
  <c r="N108" i="2" s="1"/>
  <c r="D105" i="8" l="1"/>
  <c r="F105" i="8"/>
  <c r="J105" i="2"/>
  <c r="H105" i="8" s="1"/>
  <c r="K106" i="2" a="1"/>
  <c r="K106" i="2" s="1"/>
  <c r="J106" i="8" s="1"/>
  <c r="O104" i="2"/>
  <c r="I104" i="8" s="1"/>
  <c r="M106" i="2" a="1"/>
  <c r="M106" i="2" s="1"/>
  <c r="P106" i="2"/>
  <c r="I107" i="2"/>
  <c r="F107" i="2"/>
  <c r="K107" i="8" s="1"/>
  <c r="D108" i="2" a="1"/>
  <c r="D108" i="2" s="1"/>
  <c r="L108" i="8" s="1"/>
  <c r="H108" i="2"/>
  <c r="G108" i="8" s="1"/>
  <c r="L108" i="2" a="1"/>
  <c r="L108" i="2" s="1"/>
  <c r="M108" i="8" s="1"/>
  <c r="E108" i="2" a="1"/>
  <c r="E108" i="2" s="1"/>
  <c r="N108" i="8" s="1"/>
  <c r="G108" i="2"/>
  <c r="E108" i="8" s="1"/>
  <c r="B109" i="2"/>
  <c r="C109" i="2" s="1"/>
  <c r="N109" i="2" s="1" a="1"/>
  <c r="N109" i="2" s="1"/>
  <c r="D106" i="8" l="1"/>
  <c r="F106" i="8"/>
  <c r="J106" i="2"/>
  <c r="H106" i="8" s="1"/>
  <c r="K107" i="2" a="1"/>
  <c r="K107" i="2" s="1"/>
  <c r="J107" i="8" s="1"/>
  <c r="O105" i="2"/>
  <c r="I105" i="8" s="1"/>
  <c r="F108" i="2"/>
  <c r="K108" i="8" s="1"/>
  <c r="I108" i="2"/>
  <c r="D109" i="2" a="1"/>
  <c r="D109" i="2" s="1"/>
  <c r="L109" i="8" s="1"/>
  <c r="L109" i="2" a="1"/>
  <c r="L109" i="2" s="1"/>
  <c r="M109" i="8" s="1"/>
  <c r="H109" i="2"/>
  <c r="G109" i="8" s="1"/>
  <c r="E109" i="2" a="1"/>
  <c r="E109" i="2" s="1"/>
  <c r="N109" i="8" s="1"/>
  <c r="G109" i="2"/>
  <c r="E109" i="8" s="1"/>
  <c r="M107" i="2" a="1"/>
  <c r="M107" i="2" s="1"/>
  <c r="P107" i="2"/>
  <c r="B110" i="2"/>
  <c r="C110" i="2" s="1"/>
  <c r="N110" i="2" s="1" a="1"/>
  <c r="N110" i="2" s="1"/>
  <c r="D107" i="8" l="1"/>
  <c r="F107" i="8"/>
  <c r="J107" i="2"/>
  <c r="H107" i="8" s="1"/>
  <c r="O106" i="2"/>
  <c r="I106" i="8" s="1"/>
  <c r="K108" i="2" a="1"/>
  <c r="K108" i="2" s="1"/>
  <c r="J108" i="8" s="1"/>
  <c r="F109" i="2"/>
  <c r="K109" i="8" s="1"/>
  <c r="M108" i="2" a="1"/>
  <c r="M108" i="2" s="1"/>
  <c r="P108" i="2"/>
  <c r="I109" i="2"/>
  <c r="D110" i="2" a="1"/>
  <c r="D110" i="2" s="1"/>
  <c r="L110" i="8" s="1"/>
  <c r="E110" i="2" a="1"/>
  <c r="E110" i="2" s="1"/>
  <c r="N110" i="8" s="1"/>
  <c r="H110" i="2"/>
  <c r="G110" i="8" s="1"/>
  <c r="G110" i="2"/>
  <c r="E110" i="8" s="1"/>
  <c r="L110" i="2" a="1"/>
  <c r="L110" i="2" s="1"/>
  <c r="M110" i="8" s="1"/>
  <c r="B111" i="2"/>
  <c r="C111" i="2" s="1"/>
  <c r="N111" i="2" s="1" a="1"/>
  <c r="N111" i="2" s="1"/>
  <c r="D108" i="8" l="1"/>
  <c r="F108" i="8"/>
  <c r="J108" i="2"/>
  <c r="H108" i="8" s="1"/>
  <c r="K109" i="2" a="1"/>
  <c r="K109" i="2" s="1"/>
  <c r="J109" i="8" s="1"/>
  <c r="O107" i="2"/>
  <c r="I107" i="8" s="1"/>
  <c r="I110" i="2"/>
  <c r="F110" i="2"/>
  <c r="K110" i="8" s="1"/>
  <c r="D111" i="2" a="1"/>
  <c r="D111" i="2" s="1"/>
  <c r="L111" i="8" s="1"/>
  <c r="L111" i="2" a="1"/>
  <c r="L111" i="2" s="1"/>
  <c r="M111" i="8" s="1"/>
  <c r="G111" i="2"/>
  <c r="E111" i="8" s="1"/>
  <c r="H111" i="2"/>
  <c r="G111" i="8" s="1"/>
  <c r="E111" i="2" a="1"/>
  <c r="E111" i="2" s="1"/>
  <c r="N111" i="8" s="1"/>
  <c r="M109" i="2" a="1"/>
  <c r="M109" i="2" s="1"/>
  <c r="P109" i="2"/>
  <c r="B112" i="2"/>
  <c r="C112" i="2" s="1"/>
  <c r="N112" i="2" s="1" a="1"/>
  <c r="N112" i="2" s="1"/>
  <c r="D109" i="8" l="1"/>
  <c r="F109" i="8"/>
  <c r="J109" i="2"/>
  <c r="H109" i="8" s="1"/>
  <c r="K110" i="2" a="1"/>
  <c r="K110" i="2" s="1"/>
  <c r="J110" i="8" s="1"/>
  <c r="O108" i="2"/>
  <c r="I108" i="8" s="1"/>
  <c r="F111" i="2"/>
  <c r="K111" i="8" s="1"/>
  <c r="M110" i="2" a="1"/>
  <c r="M110" i="2" s="1"/>
  <c r="P110" i="2"/>
  <c r="I111" i="2"/>
  <c r="D112" i="2" a="1"/>
  <c r="D112" i="2" s="1"/>
  <c r="L112" i="8" s="1"/>
  <c r="L112" i="2" a="1"/>
  <c r="L112" i="2" s="1"/>
  <c r="M112" i="8" s="1"/>
  <c r="G112" i="2"/>
  <c r="E112" i="8" s="1"/>
  <c r="E112" i="2" a="1"/>
  <c r="E112" i="2" s="1"/>
  <c r="N112" i="8" s="1"/>
  <c r="H112" i="2"/>
  <c r="G112" i="8" s="1"/>
  <c r="B113" i="2"/>
  <c r="C113" i="2" s="1"/>
  <c r="N113" i="2" s="1" a="1"/>
  <c r="N113" i="2" s="1"/>
  <c r="D110" i="8" l="1"/>
  <c r="F110" i="8"/>
  <c r="J110" i="2"/>
  <c r="H110" i="8" s="1"/>
  <c r="K111" i="2" a="1"/>
  <c r="K111" i="2" s="1"/>
  <c r="J111" i="8" s="1"/>
  <c r="O109" i="2"/>
  <c r="I109" i="8" s="1"/>
  <c r="I112" i="2"/>
  <c r="F112" i="2"/>
  <c r="K112" i="8" s="1"/>
  <c r="D113" i="2" a="1"/>
  <c r="D113" i="2" s="1"/>
  <c r="L113" i="8" s="1"/>
  <c r="G113" i="2"/>
  <c r="E113" i="8" s="1"/>
  <c r="H113" i="2"/>
  <c r="G113" i="8" s="1"/>
  <c r="E113" i="2" a="1"/>
  <c r="E113" i="2" s="1"/>
  <c r="N113" i="8" s="1"/>
  <c r="L113" i="2" a="1"/>
  <c r="L113" i="2" s="1"/>
  <c r="M113" i="8" s="1"/>
  <c r="M111" i="2" a="1"/>
  <c r="M111" i="2" s="1"/>
  <c r="P111" i="2"/>
  <c r="B114" i="2"/>
  <c r="C114" i="2" s="1"/>
  <c r="N114" i="2" s="1" a="1"/>
  <c r="N114" i="2" s="1"/>
  <c r="D111" i="8" l="1"/>
  <c r="F111" i="8"/>
  <c r="J111" i="2"/>
  <c r="H111" i="8" s="1"/>
  <c r="O110" i="2"/>
  <c r="I110" i="8" s="1"/>
  <c r="K112" i="2" a="1"/>
  <c r="K112" i="2" s="1"/>
  <c r="J112" i="8" s="1"/>
  <c r="F113" i="2"/>
  <c r="K113" i="8" s="1"/>
  <c r="I113" i="2"/>
  <c r="D114" i="2" a="1"/>
  <c r="D114" i="2" s="1"/>
  <c r="L114" i="8" s="1"/>
  <c r="H114" i="2"/>
  <c r="G114" i="8" s="1"/>
  <c r="L114" i="2" a="1"/>
  <c r="L114" i="2" s="1"/>
  <c r="M114" i="8" s="1"/>
  <c r="E114" i="2" a="1"/>
  <c r="E114" i="2" s="1"/>
  <c r="N114" i="8" s="1"/>
  <c r="G114" i="2"/>
  <c r="E114" i="8" s="1"/>
  <c r="M112" i="2" a="1"/>
  <c r="M112" i="2" s="1"/>
  <c r="P112" i="2"/>
  <c r="B115" i="2"/>
  <c r="C115" i="2" s="1"/>
  <c r="N115" i="2" s="1" a="1"/>
  <c r="N115" i="2" s="1"/>
  <c r="D112" i="8" l="1"/>
  <c r="F112" i="8"/>
  <c r="J112" i="2"/>
  <c r="H112" i="8" s="1"/>
  <c r="K113" i="2" a="1"/>
  <c r="K113" i="2" s="1"/>
  <c r="J113" i="8" s="1"/>
  <c r="O111" i="2"/>
  <c r="I111" i="8" s="1"/>
  <c r="F114" i="2"/>
  <c r="K114" i="8" s="1"/>
  <c r="I114" i="2"/>
  <c r="D115" i="2" a="1"/>
  <c r="D115" i="2" s="1"/>
  <c r="L115" i="8" s="1"/>
  <c r="E115" i="2" a="1"/>
  <c r="E115" i="2" s="1"/>
  <c r="N115" i="8" s="1"/>
  <c r="L115" i="2" a="1"/>
  <c r="L115" i="2" s="1"/>
  <c r="M115" i="8" s="1"/>
  <c r="G115" i="2"/>
  <c r="E115" i="8" s="1"/>
  <c r="H115" i="2"/>
  <c r="G115" i="8" s="1"/>
  <c r="M113" i="2" a="1"/>
  <c r="M113" i="2" s="1"/>
  <c r="P113" i="2"/>
  <c r="B116" i="2"/>
  <c r="C116" i="2" s="1"/>
  <c r="N116" i="2" s="1" a="1"/>
  <c r="N116" i="2" s="1"/>
  <c r="D113" i="8" l="1"/>
  <c r="F113" i="8"/>
  <c r="J113" i="2"/>
  <c r="H113" i="8" s="1"/>
  <c r="K114" i="2" a="1"/>
  <c r="K114" i="2" s="1"/>
  <c r="J114" i="8" s="1"/>
  <c r="O112" i="2"/>
  <c r="I112" i="8" s="1"/>
  <c r="D116" i="2" a="1"/>
  <c r="D116" i="2" s="1"/>
  <c r="L116" i="8" s="1"/>
  <c r="L116" i="2" a="1"/>
  <c r="L116" i="2" s="1"/>
  <c r="M116" i="8" s="1"/>
  <c r="G116" i="2"/>
  <c r="E116" i="8" s="1"/>
  <c r="E116" i="2" a="1"/>
  <c r="E116" i="2" s="1"/>
  <c r="N116" i="8" s="1"/>
  <c r="H116" i="2"/>
  <c r="G116" i="8" s="1"/>
  <c r="F115" i="2"/>
  <c r="K115" i="8" s="1"/>
  <c r="I115" i="2"/>
  <c r="M114" i="2" a="1"/>
  <c r="M114" i="2" s="1"/>
  <c r="P114" i="2"/>
  <c r="B117" i="2"/>
  <c r="C117" i="2" s="1"/>
  <c r="N117" i="2" s="1" a="1"/>
  <c r="N117" i="2" s="1"/>
  <c r="D114" i="8" l="1"/>
  <c r="F114" i="8"/>
  <c r="J114" i="2"/>
  <c r="H114" i="8" s="1"/>
  <c r="K115" i="2" a="1"/>
  <c r="K115" i="2" s="1"/>
  <c r="J115" i="8" s="1"/>
  <c r="O113" i="2"/>
  <c r="I113" i="8" s="1"/>
  <c r="M115" i="2" a="1"/>
  <c r="M115" i="2" s="1"/>
  <c r="P115" i="2"/>
  <c r="D117" i="2" a="1"/>
  <c r="D117" i="2" s="1"/>
  <c r="L117" i="8" s="1"/>
  <c r="L117" i="2" a="1"/>
  <c r="L117" i="2" s="1"/>
  <c r="M117" i="8" s="1"/>
  <c r="G117" i="2"/>
  <c r="E117" i="8" s="1"/>
  <c r="E117" i="2" a="1"/>
  <c r="E117" i="2" s="1"/>
  <c r="N117" i="8" s="1"/>
  <c r="H117" i="2"/>
  <c r="G117" i="8" s="1"/>
  <c r="I116" i="2"/>
  <c r="F116" i="2"/>
  <c r="K116" i="8" s="1"/>
  <c r="B118" i="2"/>
  <c r="C118" i="2" s="1"/>
  <c r="N118" i="2" s="1" a="1"/>
  <c r="N118" i="2" s="1"/>
  <c r="D115" i="8" l="1"/>
  <c r="F115" i="8"/>
  <c r="K116" i="2" a="1"/>
  <c r="K116" i="2" s="1"/>
  <c r="J116" i="8" s="1"/>
  <c r="J115" i="2"/>
  <c r="H115" i="8" s="1"/>
  <c r="O114" i="2"/>
  <c r="I114" i="8" s="1"/>
  <c r="F117" i="2"/>
  <c r="K117" i="8" s="1"/>
  <c r="M116" i="2" a="1"/>
  <c r="M116" i="2" s="1"/>
  <c r="P116" i="2"/>
  <c r="E118" i="2" a="1"/>
  <c r="E118" i="2" s="1"/>
  <c r="N118" i="8" s="1"/>
  <c r="L118" i="2" a="1"/>
  <c r="L118" i="2" s="1"/>
  <c r="M118" i="8" s="1"/>
  <c r="D118" i="2" a="1"/>
  <c r="D118" i="2" s="1"/>
  <c r="L118" i="8" s="1"/>
  <c r="H118" i="2"/>
  <c r="G118" i="8" s="1"/>
  <c r="G118" i="2"/>
  <c r="E118" i="8" s="1"/>
  <c r="I117" i="2"/>
  <c r="B119" i="2"/>
  <c r="C119" i="2" s="1"/>
  <c r="N119" i="2" s="1" a="1"/>
  <c r="N119" i="2" s="1"/>
  <c r="D116" i="8" l="1"/>
  <c r="F116" i="8"/>
  <c r="J116" i="2"/>
  <c r="H116" i="8" s="1"/>
  <c r="K117" i="2" a="1"/>
  <c r="K117" i="2" s="1"/>
  <c r="J117" i="8" s="1"/>
  <c r="O115" i="2"/>
  <c r="I115" i="8" s="1"/>
  <c r="F118" i="2"/>
  <c r="K118" i="8" s="1"/>
  <c r="I118" i="2"/>
  <c r="D119" i="2" a="1"/>
  <c r="D119" i="2" s="1"/>
  <c r="L119" i="8" s="1"/>
  <c r="G119" i="2"/>
  <c r="E119" i="8" s="1"/>
  <c r="H119" i="2"/>
  <c r="G119" i="8" s="1"/>
  <c r="L119" i="2" a="1"/>
  <c r="L119" i="2" s="1"/>
  <c r="M119" i="8" s="1"/>
  <c r="E119" i="2" a="1"/>
  <c r="E119" i="2" s="1"/>
  <c r="N119" i="8" s="1"/>
  <c r="M117" i="2" a="1"/>
  <c r="M117" i="2" s="1"/>
  <c r="P117" i="2"/>
  <c r="B120" i="2"/>
  <c r="C120" i="2" s="1"/>
  <c r="N120" i="2" s="1" a="1"/>
  <c r="N120" i="2" s="1"/>
  <c r="D117" i="8" l="1"/>
  <c r="F117" i="8"/>
  <c r="J117" i="2"/>
  <c r="H117" i="8" s="1"/>
  <c r="K118" i="2" a="1"/>
  <c r="K118" i="2" s="1"/>
  <c r="J118" i="8" s="1"/>
  <c r="O116" i="2"/>
  <c r="I116" i="8" s="1"/>
  <c r="D120" i="2" a="1"/>
  <c r="D120" i="2" s="1"/>
  <c r="L120" i="8" s="1"/>
  <c r="L120" i="2" a="1"/>
  <c r="L120" i="2" s="1"/>
  <c r="M120" i="8" s="1"/>
  <c r="H120" i="2"/>
  <c r="G120" i="8" s="1"/>
  <c r="G120" i="2"/>
  <c r="E120" i="8" s="1"/>
  <c r="E120" i="2" a="1"/>
  <c r="E120" i="2" s="1"/>
  <c r="N120" i="8" s="1"/>
  <c r="F119" i="2"/>
  <c r="K119" i="8" s="1"/>
  <c r="I119" i="2"/>
  <c r="M118" i="2" a="1"/>
  <c r="M118" i="2" s="1"/>
  <c r="P118" i="2"/>
  <c r="B121" i="2"/>
  <c r="C121" i="2" s="1"/>
  <c r="N121" i="2" s="1" a="1"/>
  <c r="N121" i="2" s="1"/>
  <c r="D118" i="8" l="1"/>
  <c r="F118" i="8"/>
  <c r="J118" i="2"/>
  <c r="H118" i="8" s="1"/>
  <c r="K119" i="2" a="1"/>
  <c r="K119" i="2" s="1"/>
  <c r="J119" i="8" s="1"/>
  <c r="O117" i="2"/>
  <c r="I117" i="8" s="1"/>
  <c r="M119" i="2" a="1"/>
  <c r="M119" i="2" s="1"/>
  <c r="P119" i="2"/>
  <c r="F120" i="2"/>
  <c r="K120" i="8" s="1"/>
  <c r="D121" i="2" a="1"/>
  <c r="D121" i="2" s="1"/>
  <c r="L121" i="8" s="1"/>
  <c r="G121" i="2"/>
  <c r="E121" i="8" s="1"/>
  <c r="E121" i="2" a="1"/>
  <c r="E121" i="2" s="1"/>
  <c r="N121" i="8" s="1"/>
  <c r="H121" i="2"/>
  <c r="G121" i="8" s="1"/>
  <c r="L121" i="2" a="1"/>
  <c r="L121" i="2" s="1"/>
  <c r="M121" i="8" s="1"/>
  <c r="I120" i="2"/>
  <c r="B122" i="2"/>
  <c r="C122" i="2" s="1"/>
  <c r="N122" i="2" s="1" a="1"/>
  <c r="N122" i="2" s="1"/>
  <c r="D119" i="8" l="1"/>
  <c r="F119" i="8"/>
  <c r="J119" i="2"/>
  <c r="H119" i="8" s="1"/>
  <c r="K120" i="2" a="1"/>
  <c r="K120" i="2" s="1"/>
  <c r="J120" i="8" s="1"/>
  <c r="O118" i="2"/>
  <c r="I118" i="8" s="1"/>
  <c r="F121" i="2"/>
  <c r="K121" i="8" s="1"/>
  <c r="D122" i="2" a="1"/>
  <c r="D122" i="2" s="1"/>
  <c r="L122" i="8" s="1"/>
  <c r="L122" i="2" a="1"/>
  <c r="L122" i="2" s="1"/>
  <c r="M122" i="8" s="1"/>
  <c r="E122" i="2" a="1"/>
  <c r="E122" i="2" s="1"/>
  <c r="N122" i="8" s="1"/>
  <c r="G122" i="2"/>
  <c r="E122" i="8" s="1"/>
  <c r="H122" i="2"/>
  <c r="G122" i="8" s="1"/>
  <c r="I121" i="2"/>
  <c r="M120" i="2" a="1"/>
  <c r="M120" i="2" s="1"/>
  <c r="P120" i="2"/>
  <c r="B123" i="2"/>
  <c r="C123" i="2" s="1"/>
  <c r="N123" i="2" s="1" a="1"/>
  <c r="N123" i="2" s="1"/>
  <c r="D120" i="8" l="1"/>
  <c r="F120" i="8"/>
  <c r="J120" i="2"/>
  <c r="H120" i="8" s="1"/>
  <c r="K121" i="2" a="1"/>
  <c r="K121" i="2" s="1"/>
  <c r="J121" i="8" s="1"/>
  <c r="O119" i="2"/>
  <c r="I119" i="8" s="1"/>
  <c r="I122" i="2"/>
  <c r="P122" i="2" s="1"/>
  <c r="F122" i="2"/>
  <c r="K122" i="8" s="1"/>
  <c r="D123" i="2" a="1"/>
  <c r="D123" i="2" s="1"/>
  <c r="L123" i="8" s="1"/>
  <c r="L123" i="2" a="1"/>
  <c r="L123" i="2" s="1"/>
  <c r="M123" i="8" s="1"/>
  <c r="G123" i="2"/>
  <c r="E123" i="8" s="1"/>
  <c r="H123" i="2"/>
  <c r="G123" i="8" s="1"/>
  <c r="E123" i="2" a="1"/>
  <c r="E123" i="2" s="1"/>
  <c r="N123" i="8" s="1"/>
  <c r="M121" i="2" a="1"/>
  <c r="M121" i="2" s="1"/>
  <c r="P121" i="2"/>
  <c r="B124" i="2"/>
  <c r="C124" i="2" s="1"/>
  <c r="N124" i="2" s="1" a="1"/>
  <c r="N124" i="2" s="1"/>
  <c r="D121" i="8" l="1"/>
  <c r="F121" i="8"/>
  <c r="K122" i="2" a="1"/>
  <c r="K122" i="2" s="1"/>
  <c r="J122" i="8" s="1"/>
  <c r="M122" i="2" a="1"/>
  <c r="M122" i="2" s="1"/>
  <c r="J121" i="2"/>
  <c r="H121" i="8" s="1"/>
  <c r="O120" i="2"/>
  <c r="I120" i="8" s="1"/>
  <c r="D124" i="2" a="1"/>
  <c r="D124" i="2" s="1"/>
  <c r="L124" i="8" s="1"/>
  <c r="H124" i="2"/>
  <c r="G124" i="8" s="1"/>
  <c r="E124" i="2" a="1"/>
  <c r="E124" i="2" s="1"/>
  <c r="N124" i="8" s="1"/>
  <c r="L124" i="2" a="1"/>
  <c r="L124" i="2" s="1"/>
  <c r="M124" i="8" s="1"/>
  <c r="G124" i="2"/>
  <c r="E124" i="8" s="1"/>
  <c r="F123" i="2"/>
  <c r="K123" i="8" s="1"/>
  <c r="I123" i="2"/>
  <c r="B125" i="2"/>
  <c r="C125" i="2" s="1"/>
  <c r="N125" i="2" s="1" a="1"/>
  <c r="N125" i="2" s="1"/>
  <c r="D122" i="8" l="1"/>
  <c r="F122" i="8"/>
  <c r="O121" i="2"/>
  <c r="I121" i="8" s="1"/>
  <c r="K123" i="2" a="1"/>
  <c r="K123" i="2" s="1"/>
  <c r="J123" i="8" s="1"/>
  <c r="J122" i="2"/>
  <c r="H122" i="8" s="1"/>
  <c r="M123" i="2" a="1"/>
  <c r="M123" i="2" s="1"/>
  <c r="P123" i="2"/>
  <c r="F124" i="2"/>
  <c r="K124" i="8" s="1"/>
  <c r="D125" i="2" a="1"/>
  <c r="D125" i="2" s="1"/>
  <c r="L125" i="8" s="1"/>
  <c r="E125" i="2" a="1"/>
  <c r="E125" i="2" s="1"/>
  <c r="N125" i="8" s="1"/>
  <c r="G125" i="2"/>
  <c r="E125" i="8" s="1"/>
  <c r="H125" i="2"/>
  <c r="G125" i="8" s="1"/>
  <c r="L125" i="2" a="1"/>
  <c r="L125" i="2" s="1"/>
  <c r="M125" i="8" s="1"/>
  <c r="I124" i="2"/>
  <c r="B126" i="2"/>
  <c r="C126" i="2" s="1"/>
  <c r="N126" i="2" s="1" a="1"/>
  <c r="N126" i="2" s="1"/>
  <c r="D123" i="8" l="1"/>
  <c r="F123" i="8"/>
  <c r="J123" i="2"/>
  <c r="H123" i="8" s="1"/>
  <c r="O122" i="2"/>
  <c r="I122" i="8" s="1"/>
  <c r="K124" i="2" a="1"/>
  <c r="K124" i="2" s="1"/>
  <c r="J124" i="8" s="1"/>
  <c r="I125" i="2"/>
  <c r="F125" i="2"/>
  <c r="K125" i="8" s="1"/>
  <c r="D126" i="2" a="1"/>
  <c r="D126" i="2" s="1"/>
  <c r="L126" i="8" s="1"/>
  <c r="L126" i="2" a="1"/>
  <c r="L126" i="2" s="1"/>
  <c r="M126" i="8" s="1"/>
  <c r="G126" i="2"/>
  <c r="E126" i="8" s="1"/>
  <c r="H126" i="2"/>
  <c r="G126" i="8" s="1"/>
  <c r="E126" i="2" a="1"/>
  <c r="E126" i="2" s="1"/>
  <c r="N126" i="8" s="1"/>
  <c r="M124" i="2" a="1"/>
  <c r="M124" i="2" s="1"/>
  <c r="P124" i="2"/>
  <c r="B127" i="2"/>
  <c r="C127" i="2" s="1"/>
  <c r="N127" i="2" s="1" a="1"/>
  <c r="N127" i="2" s="1"/>
  <c r="D124" i="8" l="1"/>
  <c r="F124" i="8"/>
  <c r="J124" i="2"/>
  <c r="H124" i="8" s="1"/>
  <c r="O123" i="2"/>
  <c r="I123" i="8" s="1"/>
  <c r="K125" i="2" a="1"/>
  <c r="K125" i="2" s="1"/>
  <c r="J125" i="8" s="1"/>
  <c r="M125" i="2" a="1"/>
  <c r="M125" i="2" s="1"/>
  <c r="P125" i="2"/>
  <c r="F126" i="2"/>
  <c r="K126" i="8" s="1"/>
  <c r="I126" i="2"/>
  <c r="D127" i="2" a="1"/>
  <c r="D127" i="2" s="1"/>
  <c r="L127" i="8" s="1"/>
  <c r="H127" i="2"/>
  <c r="G127" i="8" s="1"/>
  <c r="G127" i="2"/>
  <c r="E127" i="8" s="1"/>
  <c r="E127" i="2" a="1"/>
  <c r="E127" i="2" s="1"/>
  <c r="N127" i="8" s="1"/>
  <c r="L127" i="2" a="1"/>
  <c r="L127" i="2" s="1"/>
  <c r="M127" i="8" s="1"/>
  <c r="B128" i="2"/>
  <c r="C128" i="2" s="1"/>
  <c r="N128" i="2" s="1" a="1"/>
  <c r="N128" i="2" s="1"/>
  <c r="F125" i="8" l="1"/>
  <c r="D125" i="8"/>
  <c r="J125" i="2"/>
  <c r="H125" i="8" s="1"/>
  <c r="K126" i="2" a="1"/>
  <c r="K126" i="2" s="1"/>
  <c r="J126" i="8" s="1"/>
  <c r="O124" i="2"/>
  <c r="I124" i="8" s="1"/>
  <c r="F127" i="2"/>
  <c r="K127" i="8" s="1"/>
  <c r="I127" i="2"/>
  <c r="D128" i="2" a="1"/>
  <c r="D128" i="2" s="1"/>
  <c r="L128" i="8" s="1"/>
  <c r="L128" i="2" a="1"/>
  <c r="L128" i="2" s="1"/>
  <c r="M128" i="8" s="1"/>
  <c r="G128" i="2"/>
  <c r="E128" i="8" s="1"/>
  <c r="E128" i="2" a="1"/>
  <c r="E128" i="2" s="1"/>
  <c r="N128" i="8" s="1"/>
  <c r="H128" i="2"/>
  <c r="G128" i="8" s="1"/>
  <c r="M126" i="2" a="1"/>
  <c r="M126" i="2" s="1"/>
  <c r="P126" i="2"/>
  <c r="B129" i="2"/>
  <c r="C129" i="2" s="1"/>
  <c r="N129" i="2" s="1" a="1"/>
  <c r="N129" i="2" s="1"/>
  <c r="D126" i="8" l="1"/>
  <c r="F126" i="8"/>
  <c r="J126" i="2"/>
  <c r="H126" i="8" s="1"/>
  <c r="K127" i="2" a="1"/>
  <c r="K127" i="2" s="1"/>
  <c r="J127" i="8" s="1"/>
  <c r="O125" i="2"/>
  <c r="I125" i="8" s="1"/>
  <c r="F128" i="2"/>
  <c r="K128" i="8" s="1"/>
  <c r="D129" i="2" a="1"/>
  <c r="D129" i="2" s="1"/>
  <c r="L129" i="8" s="1"/>
  <c r="H129" i="2"/>
  <c r="G129" i="8" s="1"/>
  <c r="L129" i="2" a="1"/>
  <c r="L129" i="2" s="1"/>
  <c r="M129" i="8" s="1"/>
  <c r="G129" i="2"/>
  <c r="E129" i="8" s="1"/>
  <c r="E129" i="2" a="1"/>
  <c r="E129" i="2" s="1"/>
  <c r="N129" i="8" s="1"/>
  <c r="M127" i="2" a="1"/>
  <c r="M127" i="2" s="1"/>
  <c r="P127" i="2"/>
  <c r="I128" i="2"/>
  <c r="B130" i="2"/>
  <c r="C130" i="2" s="1"/>
  <c r="N130" i="2" s="1" a="1"/>
  <c r="N130" i="2" s="1"/>
  <c r="D127" i="8" l="1"/>
  <c r="F127" i="8"/>
  <c r="J127" i="2"/>
  <c r="H127" i="8" s="1"/>
  <c r="K128" i="2" a="1"/>
  <c r="K128" i="2" s="1"/>
  <c r="J128" i="8" s="1"/>
  <c r="O126" i="2"/>
  <c r="I126" i="8" s="1"/>
  <c r="F129" i="2"/>
  <c r="K129" i="8" s="1"/>
  <c r="D130" i="2" a="1"/>
  <c r="D130" i="2" s="1"/>
  <c r="L130" i="8" s="1"/>
  <c r="E130" i="2" a="1"/>
  <c r="E130" i="2" s="1"/>
  <c r="N130" i="8" s="1"/>
  <c r="H130" i="2"/>
  <c r="G130" i="8" s="1"/>
  <c r="G130" i="2"/>
  <c r="E130" i="8" s="1"/>
  <c r="L130" i="2" a="1"/>
  <c r="L130" i="2" s="1"/>
  <c r="M130" i="8" s="1"/>
  <c r="M128" i="2" a="1"/>
  <c r="M128" i="2" s="1"/>
  <c r="P128" i="2"/>
  <c r="I129" i="2"/>
  <c r="B131" i="2"/>
  <c r="C131" i="2" s="1"/>
  <c r="N131" i="2" s="1" a="1"/>
  <c r="N131" i="2" s="1"/>
  <c r="D128" i="8" l="1"/>
  <c r="F128" i="8"/>
  <c r="J128" i="2"/>
  <c r="H128" i="8" s="1"/>
  <c r="O127" i="2"/>
  <c r="I127" i="8" s="1"/>
  <c r="K129" i="2" a="1"/>
  <c r="K129" i="2" s="1"/>
  <c r="J129" i="8" s="1"/>
  <c r="D131" i="2" a="1"/>
  <c r="D131" i="2" s="1"/>
  <c r="L131" i="8" s="1"/>
  <c r="H131" i="2"/>
  <c r="G131" i="8" s="1"/>
  <c r="E131" i="2" a="1"/>
  <c r="E131" i="2" s="1"/>
  <c r="N131" i="8" s="1"/>
  <c r="L131" i="2" a="1"/>
  <c r="L131" i="2" s="1"/>
  <c r="M131" i="8" s="1"/>
  <c r="G131" i="2"/>
  <c r="E131" i="8" s="1"/>
  <c r="I130" i="2"/>
  <c r="M129" i="2" a="1"/>
  <c r="M129" i="2" s="1"/>
  <c r="P129" i="2"/>
  <c r="F130" i="2"/>
  <c r="K130" i="8" s="1"/>
  <c r="B132" i="2"/>
  <c r="C132" i="2" s="1"/>
  <c r="N132" i="2" s="1" a="1"/>
  <c r="N132" i="2" s="1"/>
  <c r="D129" i="8" l="1"/>
  <c r="F129" i="8"/>
  <c r="K130" i="2" a="1"/>
  <c r="K130" i="2" s="1"/>
  <c r="J130" i="8" s="1"/>
  <c r="O128" i="2"/>
  <c r="I128" i="8" s="1"/>
  <c r="J129" i="2"/>
  <c r="H129" i="8" s="1"/>
  <c r="F131" i="2"/>
  <c r="K131" i="8" s="1"/>
  <c r="M130" i="2" a="1"/>
  <c r="M130" i="2" s="1"/>
  <c r="P130" i="2"/>
  <c r="D132" i="2" a="1"/>
  <c r="D132" i="2" s="1"/>
  <c r="L132" i="8" s="1"/>
  <c r="E132" i="2" a="1"/>
  <c r="E132" i="2" s="1"/>
  <c r="N132" i="8" s="1"/>
  <c r="L132" i="2" a="1"/>
  <c r="L132" i="2" s="1"/>
  <c r="M132" i="8" s="1"/>
  <c r="G132" i="2"/>
  <c r="E132" i="8" s="1"/>
  <c r="H132" i="2"/>
  <c r="G132" i="8" s="1"/>
  <c r="I131" i="2"/>
  <c r="B133" i="2"/>
  <c r="C133" i="2" s="1"/>
  <c r="N133" i="2" s="1" a="1"/>
  <c r="N133" i="2" s="1"/>
  <c r="D130" i="8" l="1"/>
  <c r="F130" i="8"/>
  <c r="J130" i="2"/>
  <c r="H130" i="8" s="1"/>
  <c r="K131" i="2" a="1"/>
  <c r="K131" i="2" s="1"/>
  <c r="J131" i="8" s="1"/>
  <c r="O129" i="2"/>
  <c r="I129" i="8" s="1"/>
  <c r="D133" i="2" a="1"/>
  <c r="D133" i="2" s="1"/>
  <c r="L133" i="8" s="1"/>
  <c r="E133" i="2" a="1"/>
  <c r="E133" i="2" s="1"/>
  <c r="N133" i="8" s="1"/>
  <c r="L133" i="2" a="1"/>
  <c r="L133" i="2" s="1"/>
  <c r="M133" i="8" s="1"/>
  <c r="G133" i="2"/>
  <c r="E133" i="8" s="1"/>
  <c r="H133" i="2"/>
  <c r="G133" i="8" s="1"/>
  <c r="I132" i="2"/>
  <c r="F132" i="2"/>
  <c r="K132" i="8" s="1"/>
  <c r="M131" i="2" a="1"/>
  <c r="M131" i="2" s="1"/>
  <c r="P131" i="2"/>
  <c r="B134" i="2"/>
  <c r="C134" i="2" s="1"/>
  <c r="N134" i="2" s="1" a="1"/>
  <c r="N134" i="2" s="1"/>
  <c r="D131" i="8" l="1"/>
  <c r="F131" i="8"/>
  <c r="J131" i="2"/>
  <c r="H131" i="8" s="1"/>
  <c r="K132" i="2" a="1"/>
  <c r="K132" i="2" s="1"/>
  <c r="J132" i="8" s="1"/>
  <c r="O130" i="2"/>
  <c r="I130" i="8" s="1"/>
  <c r="M132" i="2" a="1"/>
  <c r="M132" i="2" s="1"/>
  <c r="P132" i="2"/>
  <c r="I133" i="2"/>
  <c r="D134" i="2" a="1"/>
  <c r="D134" i="2" s="1"/>
  <c r="L134" i="8" s="1"/>
  <c r="G134" i="2"/>
  <c r="E134" i="8" s="1"/>
  <c r="L134" i="2" a="1"/>
  <c r="L134" i="2" s="1"/>
  <c r="M134" i="8" s="1"/>
  <c r="E134" i="2" a="1"/>
  <c r="E134" i="2" s="1"/>
  <c r="N134" i="8" s="1"/>
  <c r="H134" i="2"/>
  <c r="G134" i="8" s="1"/>
  <c r="F133" i="2"/>
  <c r="K133" i="8" s="1"/>
  <c r="B135" i="2"/>
  <c r="C135" i="2" s="1"/>
  <c r="N135" i="2" s="1" a="1"/>
  <c r="N135" i="2" s="1"/>
  <c r="D132" i="8" l="1"/>
  <c r="F132" i="8"/>
  <c r="K133" i="2" a="1"/>
  <c r="K133" i="2" s="1"/>
  <c r="J133" i="8" s="1"/>
  <c r="J132" i="2"/>
  <c r="H132" i="8" s="1"/>
  <c r="O131" i="2"/>
  <c r="I131" i="8" s="1"/>
  <c r="F134" i="2"/>
  <c r="K134" i="8" s="1"/>
  <c r="I134" i="2"/>
  <c r="M133" i="2" a="1"/>
  <c r="M133" i="2" s="1"/>
  <c r="P133" i="2"/>
  <c r="D135" i="2" a="1"/>
  <c r="D135" i="2" s="1"/>
  <c r="L135" i="8" s="1"/>
  <c r="H135" i="2"/>
  <c r="G135" i="8" s="1"/>
  <c r="L135" i="2" a="1"/>
  <c r="L135" i="2" s="1"/>
  <c r="M135" i="8" s="1"/>
  <c r="G135" i="2"/>
  <c r="E135" i="8" s="1"/>
  <c r="E135" i="2" a="1"/>
  <c r="E135" i="2" s="1"/>
  <c r="N135" i="8" s="1"/>
  <c r="B136" i="2"/>
  <c r="C136" i="2" s="1"/>
  <c r="N136" i="2" s="1" a="1"/>
  <c r="N136" i="2" s="1"/>
  <c r="D133" i="8" l="1"/>
  <c r="F133" i="8"/>
  <c r="J133" i="2"/>
  <c r="H133" i="8" s="1"/>
  <c r="K134" i="2" a="1"/>
  <c r="K134" i="2" s="1"/>
  <c r="J134" i="8" s="1"/>
  <c r="O132" i="2"/>
  <c r="I132" i="8" s="1"/>
  <c r="I135" i="2"/>
  <c r="D136" i="2" a="1"/>
  <c r="D136" i="2" s="1"/>
  <c r="L136" i="8" s="1"/>
  <c r="G136" i="2"/>
  <c r="E136" i="8" s="1"/>
  <c r="E136" i="2" a="1"/>
  <c r="E136" i="2" s="1"/>
  <c r="N136" i="8" s="1"/>
  <c r="L136" i="2" a="1"/>
  <c r="L136" i="2" s="1"/>
  <c r="M136" i="8" s="1"/>
  <c r="H136" i="2"/>
  <c r="G136" i="8" s="1"/>
  <c r="M134" i="2" a="1"/>
  <c r="M134" i="2" s="1"/>
  <c r="P134" i="2"/>
  <c r="F135" i="2"/>
  <c r="K135" i="8" s="1"/>
  <c r="B137" i="2"/>
  <c r="C137" i="2" s="1"/>
  <c r="N137" i="2" s="1" a="1"/>
  <c r="N137" i="2" s="1"/>
  <c r="D134" i="8" l="1"/>
  <c r="F134" i="8"/>
  <c r="J134" i="2"/>
  <c r="H134" i="8" s="1"/>
  <c r="O133" i="2"/>
  <c r="I133" i="8" s="1"/>
  <c r="K135" i="2" a="1"/>
  <c r="K135" i="2" s="1"/>
  <c r="J135" i="8" s="1"/>
  <c r="I136" i="2"/>
  <c r="F136" i="2"/>
  <c r="K136" i="8" s="1"/>
  <c r="D137" i="2" a="1"/>
  <c r="D137" i="2" s="1"/>
  <c r="L137" i="8" s="1"/>
  <c r="H137" i="2"/>
  <c r="G137" i="8" s="1"/>
  <c r="E137" i="2" a="1"/>
  <c r="E137" i="2" s="1"/>
  <c r="N137" i="8" s="1"/>
  <c r="L137" i="2" a="1"/>
  <c r="L137" i="2" s="1"/>
  <c r="M137" i="8" s="1"/>
  <c r="G137" i="2"/>
  <c r="E137" i="8" s="1"/>
  <c r="M135" i="2" a="1"/>
  <c r="M135" i="2" s="1"/>
  <c r="P135" i="2"/>
  <c r="B138" i="2"/>
  <c r="C138" i="2" s="1"/>
  <c r="N138" i="2" s="1" a="1"/>
  <c r="N138" i="2" s="1"/>
  <c r="D135" i="8" l="1"/>
  <c r="F135" i="8"/>
  <c r="J135" i="2"/>
  <c r="H135" i="8" s="1"/>
  <c r="O134" i="2"/>
  <c r="I134" i="8" s="1"/>
  <c r="K136" i="2" a="1"/>
  <c r="K136" i="2" s="1"/>
  <c r="J136" i="8" s="1"/>
  <c r="F137" i="2"/>
  <c r="K137" i="8" s="1"/>
  <c r="I137" i="2"/>
  <c r="D138" i="2" a="1"/>
  <c r="D138" i="2" s="1"/>
  <c r="L138" i="8" s="1"/>
  <c r="G138" i="2"/>
  <c r="E138" i="8" s="1"/>
  <c r="L138" i="2" a="1"/>
  <c r="L138" i="2" s="1"/>
  <c r="M138" i="8" s="1"/>
  <c r="E138" i="2" a="1"/>
  <c r="E138" i="2" s="1"/>
  <c r="N138" i="8" s="1"/>
  <c r="H138" i="2"/>
  <c r="G138" i="8" s="1"/>
  <c r="M136" i="2" a="1"/>
  <c r="M136" i="2" s="1"/>
  <c r="P136" i="2"/>
  <c r="B139" i="2"/>
  <c r="C139" i="2" s="1"/>
  <c r="N139" i="2" s="1" a="1"/>
  <c r="N139" i="2" s="1"/>
  <c r="D136" i="8" l="1"/>
  <c r="F136" i="8"/>
  <c r="J136" i="2"/>
  <c r="H136" i="8" s="1"/>
  <c r="K137" i="2" a="1"/>
  <c r="K137" i="2" s="1"/>
  <c r="J137" i="8" s="1"/>
  <c r="O135" i="2"/>
  <c r="I135" i="8" s="1"/>
  <c r="F138" i="2"/>
  <c r="K138" i="8" s="1"/>
  <c r="D139" i="2" a="1"/>
  <c r="D139" i="2" s="1"/>
  <c r="L139" i="8" s="1"/>
  <c r="H139" i="2"/>
  <c r="G139" i="8" s="1"/>
  <c r="E139" i="2" a="1"/>
  <c r="E139" i="2" s="1"/>
  <c r="N139" i="8" s="1"/>
  <c r="G139" i="2"/>
  <c r="E139" i="8" s="1"/>
  <c r="L139" i="2" a="1"/>
  <c r="L139" i="2" s="1"/>
  <c r="M139" i="8" s="1"/>
  <c r="I138" i="2"/>
  <c r="M137" i="2" a="1"/>
  <c r="M137" i="2" s="1"/>
  <c r="P137" i="2"/>
  <c r="B140" i="2"/>
  <c r="C140" i="2" s="1"/>
  <c r="N140" i="2" s="1" a="1"/>
  <c r="N140" i="2" s="1"/>
  <c r="D137" i="8" l="1"/>
  <c r="F137" i="8"/>
  <c r="J137" i="2"/>
  <c r="H137" i="8" s="1"/>
  <c r="K138" i="2" a="1"/>
  <c r="K138" i="2" s="1"/>
  <c r="J138" i="8" s="1"/>
  <c r="O136" i="2"/>
  <c r="I136" i="8" s="1"/>
  <c r="F139" i="2"/>
  <c r="K139" i="8" s="1"/>
  <c r="M138" i="2" a="1"/>
  <c r="M138" i="2" s="1"/>
  <c r="P138" i="2"/>
  <c r="D140" i="2" a="1"/>
  <c r="D140" i="2" s="1"/>
  <c r="L140" i="8" s="1"/>
  <c r="G140" i="2"/>
  <c r="E140" i="8" s="1"/>
  <c r="H140" i="2"/>
  <c r="G140" i="8" s="1"/>
  <c r="L140" i="2" a="1"/>
  <c r="L140" i="2" s="1"/>
  <c r="M140" i="8" s="1"/>
  <c r="E140" i="2" a="1"/>
  <c r="E140" i="2" s="1"/>
  <c r="N140" i="8" s="1"/>
  <c r="I139" i="2"/>
  <c r="B141" i="2"/>
  <c r="C141" i="2" s="1"/>
  <c r="N141" i="2" s="1" a="1"/>
  <c r="N141" i="2" s="1"/>
  <c r="D138" i="8" l="1"/>
  <c r="F138" i="8"/>
  <c r="J138" i="2"/>
  <c r="H138" i="8" s="1"/>
  <c r="K139" i="2" a="1"/>
  <c r="K139" i="2" s="1"/>
  <c r="J139" i="8" s="1"/>
  <c r="O137" i="2"/>
  <c r="I137" i="8" s="1"/>
  <c r="I140" i="2"/>
  <c r="F140" i="2"/>
  <c r="K140" i="8" s="1"/>
  <c r="D141" i="2" a="1"/>
  <c r="D141" i="2" s="1"/>
  <c r="L141" i="8" s="1"/>
  <c r="L141" i="2" a="1"/>
  <c r="L141" i="2" s="1"/>
  <c r="M141" i="8" s="1"/>
  <c r="G141" i="2"/>
  <c r="E141" i="8" s="1"/>
  <c r="E141" i="2" a="1"/>
  <c r="E141" i="2" s="1"/>
  <c r="N141" i="8" s="1"/>
  <c r="H141" i="2"/>
  <c r="G141" i="8" s="1"/>
  <c r="M139" i="2" a="1"/>
  <c r="M139" i="2" s="1"/>
  <c r="P139" i="2"/>
  <c r="B142" i="2"/>
  <c r="C142" i="2" s="1"/>
  <c r="N142" i="2" s="1" a="1"/>
  <c r="N142" i="2" s="1"/>
  <c r="D139" i="8" l="1"/>
  <c r="F139" i="8"/>
  <c r="K140" i="2" a="1"/>
  <c r="K140" i="2" s="1"/>
  <c r="J140" i="8" s="1"/>
  <c r="J139" i="2"/>
  <c r="H139" i="8" s="1"/>
  <c r="O138" i="2"/>
  <c r="I138" i="8" s="1"/>
  <c r="F141" i="2"/>
  <c r="K141" i="8" s="1"/>
  <c r="I141" i="2"/>
  <c r="D142" i="2" a="1"/>
  <c r="D142" i="2" s="1"/>
  <c r="L142" i="8" s="1"/>
  <c r="E142" i="2" a="1"/>
  <c r="E142" i="2" s="1"/>
  <c r="N142" i="8" s="1"/>
  <c r="H142" i="2"/>
  <c r="G142" i="8" s="1"/>
  <c r="G142" i="2"/>
  <c r="E142" i="8" s="1"/>
  <c r="L142" i="2" a="1"/>
  <c r="L142" i="2" s="1"/>
  <c r="M142" i="8" s="1"/>
  <c r="M140" i="2" a="1"/>
  <c r="M140" i="2" s="1"/>
  <c r="P140" i="2"/>
  <c r="B143" i="2"/>
  <c r="C143" i="2" s="1"/>
  <c r="N143" i="2" s="1" a="1"/>
  <c r="N143" i="2" s="1"/>
  <c r="D140" i="8" l="1"/>
  <c r="F140" i="8"/>
  <c r="J140" i="2"/>
  <c r="H140" i="8" s="1"/>
  <c r="O139" i="2"/>
  <c r="I139" i="8" s="1"/>
  <c r="K141" i="2" a="1"/>
  <c r="K141" i="2" s="1"/>
  <c r="J141" i="8" s="1"/>
  <c r="I142" i="2"/>
  <c r="F142" i="2"/>
  <c r="K142" i="8" s="1"/>
  <c r="M141" i="2" a="1"/>
  <c r="M141" i="2" s="1"/>
  <c r="P141" i="2"/>
  <c r="D143" i="2" a="1"/>
  <c r="D143" i="2" s="1"/>
  <c r="L143" i="8" s="1"/>
  <c r="L143" i="2" a="1"/>
  <c r="L143" i="2" s="1"/>
  <c r="M143" i="8" s="1"/>
  <c r="G143" i="2"/>
  <c r="E143" i="8" s="1"/>
  <c r="H143" i="2"/>
  <c r="G143" i="8" s="1"/>
  <c r="E143" i="2" a="1"/>
  <c r="E143" i="2" s="1"/>
  <c r="N143" i="8" s="1"/>
  <c r="B144" i="2"/>
  <c r="C144" i="2" s="1"/>
  <c r="N144" i="2" s="1" a="1"/>
  <c r="N144" i="2" s="1"/>
  <c r="D141" i="8" l="1"/>
  <c r="F141" i="8"/>
  <c r="J141" i="2"/>
  <c r="H141" i="8" s="1"/>
  <c r="K142" i="2" a="1"/>
  <c r="K142" i="2" s="1"/>
  <c r="J142" i="8" s="1"/>
  <c r="O140" i="2"/>
  <c r="I140" i="8" s="1"/>
  <c r="I143" i="2"/>
  <c r="D144" i="2" a="1"/>
  <c r="D144" i="2" s="1"/>
  <c r="L144" i="8" s="1"/>
  <c r="L144" i="2" a="1"/>
  <c r="L144" i="2" s="1"/>
  <c r="M144" i="8" s="1"/>
  <c r="H144" i="2"/>
  <c r="G144" i="8" s="1"/>
  <c r="E144" i="2" a="1"/>
  <c r="E144" i="2" s="1"/>
  <c r="N144" i="8" s="1"/>
  <c r="G144" i="2"/>
  <c r="E144" i="8" s="1"/>
  <c r="F143" i="2"/>
  <c r="K143" i="8" s="1"/>
  <c r="M142" i="2" a="1"/>
  <c r="M142" i="2" s="1"/>
  <c r="P142" i="2"/>
  <c r="B145" i="2"/>
  <c r="C145" i="2" s="1"/>
  <c r="N145" i="2" s="1" a="1"/>
  <c r="N145" i="2" s="1"/>
  <c r="D142" i="8" l="1"/>
  <c r="F142" i="8"/>
  <c r="J142" i="2"/>
  <c r="H142" i="8" s="1"/>
  <c r="O141" i="2"/>
  <c r="I141" i="8" s="1"/>
  <c r="K143" i="2" a="1"/>
  <c r="K143" i="2" s="1"/>
  <c r="J143" i="8" s="1"/>
  <c r="D145" i="2" a="1"/>
  <c r="D145" i="2" s="1"/>
  <c r="L145" i="8" s="1"/>
  <c r="H145" i="2"/>
  <c r="G145" i="8" s="1"/>
  <c r="L145" i="2" a="1"/>
  <c r="L145" i="2" s="1"/>
  <c r="M145" i="8" s="1"/>
  <c r="E145" i="2" a="1"/>
  <c r="E145" i="2" s="1"/>
  <c r="N145" i="8" s="1"/>
  <c r="G145" i="2"/>
  <c r="E145" i="8" s="1"/>
  <c r="F144" i="2"/>
  <c r="K144" i="8" s="1"/>
  <c r="I144" i="2"/>
  <c r="M143" i="2" a="1"/>
  <c r="M143" i="2" s="1"/>
  <c r="P143" i="2"/>
  <c r="B146" i="2"/>
  <c r="C146" i="2" s="1"/>
  <c r="N146" i="2" s="1" a="1"/>
  <c r="N146" i="2" s="1"/>
  <c r="D143" i="8" l="1"/>
  <c r="F143" i="8"/>
  <c r="J143" i="2"/>
  <c r="H143" i="8" s="1"/>
  <c r="K144" i="2" a="1"/>
  <c r="K144" i="2" s="1"/>
  <c r="J144" i="8" s="1"/>
  <c r="O142" i="2"/>
  <c r="I142" i="8" s="1"/>
  <c r="F145" i="2"/>
  <c r="K145" i="8" s="1"/>
  <c r="M144" i="2" a="1"/>
  <c r="M144" i="2" s="1"/>
  <c r="P144" i="2"/>
  <c r="D146" i="2" a="1"/>
  <c r="D146" i="2" s="1"/>
  <c r="L146" i="8" s="1"/>
  <c r="L146" i="2" a="1"/>
  <c r="L146" i="2" s="1"/>
  <c r="M146" i="8" s="1"/>
  <c r="E146" i="2" a="1"/>
  <c r="E146" i="2" s="1"/>
  <c r="N146" i="8" s="1"/>
  <c r="H146" i="2"/>
  <c r="G146" i="8" s="1"/>
  <c r="G146" i="2"/>
  <c r="E146" i="8" s="1"/>
  <c r="I145" i="2"/>
  <c r="B147" i="2"/>
  <c r="C147" i="2" s="1"/>
  <c r="N147" i="2" s="1" a="1"/>
  <c r="N147" i="2" s="1"/>
  <c r="D144" i="8" l="1"/>
  <c r="F144" i="8"/>
  <c r="J144" i="2"/>
  <c r="H144" i="8" s="1"/>
  <c r="K145" i="2" a="1"/>
  <c r="K145" i="2" s="1"/>
  <c r="J145" i="8" s="1"/>
  <c r="O143" i="2"/>
  <c r="I143" i="8" s="1"/>
  <c r="F146" i="2"/>
  <c r="K146" i="8" s="1"/>
  <c r="D147" i="2" a="1"/>
  <c r="D147" i="2" s="1"/>
  <c r="L147" i="8" s="1"/>
  <c r="E147" i="2" a="1"/>
  <c r="E147" i="2" s="1"/>
  <c r="N147" i="8" s="1"/>
  <c r="L147" i="2" a="1"/>
  <c r="L147" i="2" s="1"/>
  <c r="M147" i="8" s="1"/>
  <c r="H147" i="2"/>
  <c r="G147" i="8" s="1"/>
  <c r="G147" i="2"/>
  <c r="E147" i="8" s="1"/>
  <c r="I146" i="2"/>
  <c r="M145" i="2" a="1"/>
  <c r="M145" i="2" s="1"/>
  <c r="P145" i="2"/>
  <c r="B148" i="2"/>
  <c r="C148" i="2" s="1"/>
  <c r="N148" i="2" s="1" a="1"/>
  <c r="N148" i="2" s="1"/>
  <c r="D145" i="8" l="1"/>
  <c r="F145" i="8"/>
  <c r="J145" i="2"/>
  <c r="H145" i="8" s="1"/>
  <c r="K146" i="2" a="1"/>
  <c r="K146" i="2" s="1"/>
  <c r="J146" i="8" s="1"/>
  <c r="O144" i="2"/>
  <c r="I144" i="8" s="1"/>
  <c r="F147" i="2"/>
  <c r="K147" i="8" s="1"/>
  <c r="M146" i="2" a="1"/>
  <c r="M146" i="2" s="1"/>
  <c r="P146" i="2"/>
  <c r="D148" i="2" a="1"/>
  <c r="D148" i="2" s="1"/>
  <c r="L148" i="8" s="1"/>
  <c r="G148" i="2"/>
  <c r="E148" i="8" s="1"/>
  <c r="L148" i="2" a="1"/>
  <c r="L148" i="2" s="1"/>
  <c r="M148" i="8" s="1"/>
  <c r="H148" i="2"/>
  <c r="G148" i="8" s="1"/>
  <c r="E148" i="2" a="1"/>
  <c r="E148" i="2" s="1"/>
  <c r="N148" i="8" s="1"/>
  <c r="I147" i="2"/>
  <c r="B149" i="2"/>
  <c r="C149" i="2" s="1"/>
  <c r="N149" i="2" s="1" a="1"/>
  <c r="N149" i="2" s="1"/>
  <c r="D146" i="8" l="1"/>
  <c r="F146" i="8"/>
  <c r="J146" i="2"/>
  <c r="H146" i="8" s="1"/>
  <c r="K147" i="2" a="1"/>
  <c r="K147" i="2" s="1"/>
  <c r="J147" i="8" s="1"/>
  <c r="O145" i="2"/>
  <c r="I145" i="8" s="1"/>
  <c r="D149" i="2" a="1"/>
  <c r="D149" i="2" s="1"/>
  <c r="L149" i="8" s="1"/>
  <c r="G149" i="2"/>
  <c r="E149" i="8" s="1"/>
  <c r="L149" i="2" a="1"/>
  <c r="L149" i="2" s="1"/>
  <c r="M149" i="8" s="1"/>
  <c r="E149" i="2" a="1"/>
  <c r="E149" i="2" s="1"/>
  <c r="N149" i="8" s="1"/>
  <c r="H149" i="2"/>
  <c r="G149" i="8" s="1"/>
  <c r="I148" i="2"/>
  <c r="F148" i="2"/>
  <c r="K148" i="8" s="1"/>
  <c r="M147" i="2" a="1"/>
  <c r="M147" i="2" s="1"/>
  <c r="P147" i="2"/>
  <c r="B150" i="2"/>
  <c r="C150" i="2" s="1"/>
  <c r="N150" i="2" s="1" a="1"/>
  <c r="N150" i="2" s="1"/>
  <c r="D147" i="8" l="1"/>
  <c r="F147" i="8"/>
  <c r="J147" i="2"/>
  <c r="H147" i="8" s="1"/>
  <c r="K148" i="2" a="1"/>
  <c r="K148" i="2" s="1"/>
  <c r="J148" i="8" s="1"/>
  <c r="O146" i="2"/>
  <c r="I146" i="8" s="1"/>
  <c r="F149" i="2"/>
  <c r="K149" i="8" s="1"/>
  <c r="D150" i="2" a="1"/>
  <c r="D150" i="2" s="1"/>
  <c r="L150" i="8" s="1"/>
  <c r="G150" i="2"/>
  <c r="E150" i="8" s="1"/>
  <c r="H150" i="2"/>
  <c r="G150" i="8" s="1"/>
  <c r="E150" i="2" a="1"/>
  <c r="E150" i="2" s="1"/>
  <c r="N150" i="8" s="1"/>
  <c r="L150" i="2" a="1"/>
  <c r="L150" i="2" s="1"/>
  <c r="M150" i="8" s="1"/>
  <c r="M148" i="2" a="1"/>
  <c r="M148" i="2" s="1"/>
  <c r="P148" i="2"/>
  <c r="I149" i="2"/>
  <c r="B151" i="2"/>
  <c r="C151" i="2" s="1"/>
  <c r="N151" i="2" s="1" a="1"/>
  <c r="N151" i="2" s="1"/>
  <c r="D148" i="8" l="1"/>
  <c r="F148" i="8"/>
  <c r="K149" i="2" a="1"/>
  <c r="K149" i="2" s="1"/>
  <c r="J149" i="8" s="1"/>
  <c r="O147" i="2"/>
  <c r="I147" i="8" s="1"/>
  <c r="J148" i="2"/>
  <c r="H148" i="8" s="1"/>
  <c r="F150" i="2"/>
  <c r="K150" i="8" s="1"/>
  <c r="I150" i="2"/>
  <c r="D151" i="2" a="1"/>
  <c r="D151" i="2" s="1"/>
  <c r="L151" i="8" s="1"/>
  <c r="L151" i="2" a="1"/>
  <c r="L151" i="2" s="1"/>
  <c r="M151" i="8" s="1"/>
  <c r="E151" i="2" a="1"/>
  <c r="E151" i="2" s="1"/>
  <c r="N151" i="8" s="1"/>
  <c r="H151" i="2"/>
  <c r="G151" i="8" s="1"/>
  <c r="G151" i="2"/>
  <c r="E151" i="8" s="1"/>
  <c r="M149" i="2" a="1"/>
  <c r="M149" i="2" s="1"/>
  <c r="P149" i="2"/>
  <c r="B152" i="2"/>
  <c r="C152" i="2" s="1"/>
  <c r="N152" i="2" s="1" a="1"/>
  <c r="N152" i="2" s="1"/>
  <c r="D149" i="8" l="1"/>
  <c r="F149" i="8"/>
  <c r="J149" i="2"/>
  <c r="H149" i="8" s="1"/>
  <c r="O148" i="2"/>
  <c r="I148" i="8" s="1"/>
  <c r="K150" i="2" a="1"/>
  <c r="K150" i="2" s="1"/>
  <c r="J150" i="8" s="1"/>
  <c r="F151" i="2"/>
  <c r="K151" i="8" s="1"/>
  <c r="D152" i="2" a="1"/>
  <c r="D152" i="2" s="1"/>
  <c r="L152" i="8" s="1"/>
  <c r="G152" i="2"/>
  <c r="E152" i="8" s="1"/>
  <c r="L152" i="2" a="1"/>
  <c r="L152" i="2" s="1"/>
  <c r="M152" i="8" s="1"/>
  <c r="H152" i="2"/>
  <c r="G152" i="8" s="1"/>
  <c r="E152" i="2" a="1"/>
  <c r="E152" i="2" s="1"/>
  <c r="N152" i="8" s="1"/>
  <c r="I151" i="2"/>
  <c r="M150" i="2" a="1"/>
  <c r="M150" i="2" s="1"/>
  <c r="P150" i="2"/>
  <c r="B153" i="2"/>
  <c r="C153" i="2" s="1"/>
  <c r="N153" i="2" s="1" a="1"/>
  <c r="N153" i="2" s="1"/>
  <c r="D150" i="8" l="1"/>
  <c r="F150" i="8"/>
  <c r="J150" i="2"/>
  <c r="H150" i="8" s="1"/>
  <c r="K151" i="2" a="1"/>
  <c r="K151" i="2" s="1"/>
  <c r="J151" i="8" s="1"/>
  <c r="O149" i="2"/>
  <c r="I149" i="8" s="1"/>
  <c r="F152" i="2"/>
  <c r="K152" i="8" s="1"/>
  <c r="M151" i="2" a="1"/>
  <c r="M151" i="2" s="1"/>
  <c r="P151" i="2"/>
  <c r="I152" i="2"/>
  <c r="D153" i="2" a="1"/>
  <c r="D153" i="2" s="1"/>
  <c r="L153" i="8" s="1"/>
  <c r="L153" i="2" a="1"/>
  <c r="L153" i="2" s="1"/>
  <c r="M153" i="8" s="1"/>
  <c r="H153" i="2"/>
  <c r="G153" i="8" s="1"/>
  <c r="G153" i="2"/>
  <c r="E153" i="8" s="1"/>
  <c r="E153" i="2" a="1"/>
  <c r="E153" i="2" s="1"/>
  <c r="N153" i="8" s="1"/>
  <c r="B154" i="2"/>
  <c r="C154" i="2" s="1"/>
  <c r="N154" i="2" s="1" a="1"/>
  <c r="N154" i="2" s="1"/>
  <c r="D151" i="8" l="1"/>
  <c r="F151" i="8"/>
  <c r="J151" i="2"/>
  <c r="H151" i="8" s="1"/>
  <c r="O150" i="2"/>
  <c r="I150" i="8" s="1"/>
  <c r="K152" i="2" a="1"/>
  <c r="K152" i="2" s="1"/>
  <c r="J152" i="8" s="1"/>
  <c r="I153" i="2"/>
  <c r="F153" i="2"/>
  <c r="K153" i="8" s="1"/>
  <c r="M152" i="2" a="1"/>
  <c r="M152" i="2" s="1"/>
  <c r="P152" i="2"/>
  <c r="D154" i="2" a="1"/>
  <c r="D154" i="2" s="1"/>
  <c r="L154" i="8" s="1"/>
  <c r="L154" i="2" a="1"/>
  <c r="L154" i="2" s="1"/>
  <c r="M154" i="8" s="1"/>
  <c r="G154" i="2"/>
  <c r="E154" i="8" s="1"/>
  <c r="E154" i="2" a="1"/>
  <c r="E154" i="2" s="1"/>
  <c r="N154" i="8" s="1"/>
  <c r="H154" i="2"/>
  <c r="G154" i="8" s="1"/>
  <c r="B155" i="2"/>
  <c r="C155" i="2" s="1"/>
  <c r="N155" i="2" s="1" a="1"/>
  <c r="N155" i="2" s="1"/>
  <c r="D152" i="8" l="1"/>
  <c r="F152" i="8"/>
  <c r="J152" i="2"/>
  <c r="H152" i="8" s="1"/>
  <c r="K153" i="2" a="1"/>
  <c r="K153" i="2" s="1"/>
  <c r="J153" i="8" s="1"/>
  <c r="O151" i="2"/>
  <c r="I151" i="8" s="1"/>
  <c r="F154" i="2"/>
  <c r="K154" i="8" s="1"/>
  <c r="D155" i="2" a="1"/>
  <c r="D155" i="2" s="1"/>
  <c r="L155" i="8" s="1"/>
  <c r="L155" i="2" a="1"/>
  <c r="L155" i="2" s="1"/>
  <c r="M155" i="8" s="1"/>
  <c r="H155" i="2"/>
  <c r="G155" i="8" s="1"/>
  <c r="E155" i="2" a="1"/>
  <c r="E155" i="2" s="1"/>
  <c r="N155" i="8" s="1"/>
  <c r="G155" i="2"/>
  <c r="E155" i="8" s="1"/>
  <c r="I154" i="2"/>
  <c r="M153" i="2" a="1"/>
  <c r="M153" i="2" s="1"/>
  <c r="P153" i="2"/>
  <c r="B156" i="2"/>
  <c r="C156" i="2" s="1"/>
  <c r="N156" i="2" s="1" a="1"/>
  <c r="N156" i="2" s="1"/>
  <c r="D153" i="8" l="1"/>
  <c r="F153" i="8"/>
  <c r="J153" i="2"/>
  <c r="H153" i="8" s="1"/>
  <c r="K154" i="2" a="1"/>
  <c r="K154" i="2" s="1"/>
  <c r="J154" i="8" s="1"/>
  <c r="O152" i="2"/>
  <c r="I152" i="8" s="1"/>
  <c r="F155" i="2"/>
  <c r="K155" i="8" s="1"/>
  <c r="M154" i="2" a="1"/>
  <c r="M154" i="2" s="1"/>
  <c r="P154" i="2"/>
  <c r="D156" i="2" a="1"/>
  <c r="D156" i="2" s="1"/>
  <c r="L156" i="8" s="1"/>
  <c r="G156" i="2"/>
  <c r="E156" i="8" s="1"/>
  <c r="E156" i="2" a="1"/>
  <c r="E156" i="2" s="1"/>
  <c r="N156" i="8" s="1"/>
  <c r="L156" i="2" a="1"/>
  <c r="L156" i="2" s="1"/>
  <c r="M156" i="8" s="1"/>
  <c r="H156" i="2"/>
  <c r="G156" i="8" s="1"/>
  <c r="I155" i="2"/>
  <c r="B157" i="2"/>
  <c r="C157" i="2" s="1"/>
  <c r="N157" i="2" s="1" a="1"/>
  <c r="N157" i="2" s="1"/>
  <c r="D154" i="8" l="1"/>
  <c r="F154" i="8"/>
  <c r="J154" i="2"/>
  <c r="H154" i="8" s="1"/>
  <c r="K155" i="2" a="1"/>
  <c r="K155" i="2" s="1"/>
  <c r="J155" i="8" s="1"/>
  <c r="O153" i="2"/>
  <c r="I153" i="8" s="1"/>
  <c r="F156" i="2"/>
  <c r="K156" i="8" s="1"/>
  <c r="D157" i="2" a="1"/>
  <c r="D157" i="2" s="1"/>
  <c r="L157" i="8" s="1"/>
  <c r="H157" i="2"/>
  <c r="G157" i="8" s="1"/>
  <c r="G157" i="2"/>
  <c r="E157" i="8" s="1"/>
  <c r="L157" i="2" a="1"/>
  <c r="L157" i="2" s="1"/>
  <c r="M157" i="8" s="1"/>
  <c r="E157" i="2" a="1"/>
  <c r="E157" i="2" s="1"/>
  <c r="N157" i="8" s="1"/>
  <c r="I156" i="2"/>
  <c r="M155" i="2" a="1"/>
  <c r="M155" i="2" s="1"/>
  <c r="P155" i="2"/>
  <c r="B158" i="2"/>
  <c r="C158" i="2" s="1"/>
  <c r="N158" i="2" s="1" a="1"/>
  <c r="N158" i="2" s="1"/>
  <c r="D155" i="8" l="1"/>
  <c r="F155" i="8"/>
  <c r="J155" i="2"/>
  <c r="H155" i="8" s="1"/>
  <c r="K156" i="2" a="1"/>
  <c r="K156" i="2" s="1"/>
  <c r="J156" i="8" s="1"/>
  <c r="O154" i="2"/>
  <c r="I154" i="8" s="1"/>
  <c r="F157" i="2"/>
  <c r="K157" i="8" s="1"/>
  <c r="M156" i="2" a="1"/>
  <c r="M156" i="2" s="1"/>
  <c r="P156" i="2"/>
  <c r="D158" i="2" a="1"/>
  <c r="D158" i="2" s="1"/>
  <c r="L158" i="8" s="1"/>
  <c r="E158" i="2" a="1"/>
  <c r="E158" i="2" s="1"/>
  <c r="N158" i="8" s="1"/>
  <c r="L158" i="2" a="1"/>
  <c r="L158" i="2" s="1"/>
  <c r="M158" i="8" s="1"/>
  <c r="H158" i="2"/>
  <c r="G158" i="8" s="1"/>
  <c r="G158" i="2"/>
  <c r="E158" i="8" s="1"/>
  <c r="I157" i="2"/>
  <c r="B159" i="2"/>
  <c r="C159" i="2" s="1"/>
  <c r="N159" i="2" s="1" a="1"/>
  <c r="N159" i="2" s="1"/>
  <c r="D156" i="8" l="1"/>
  <c r="F156" i="8"/>
  <c r="J156" i="2"/>
  <c r="H156" i="8" s="1"/>
  <c r="K157" i="2" a="1"/>
  <c r="K157" i="2" s="1"/>
  <c r="J157" i="8" s="1"/>
  <c r="O155" i="2"/>
  <c r="I155" i="8" s="1"/>
  <c r="F158" i="2"/>
  <c r="K158" i="8" s="1"/>
  <c r="I158" i="2"/>
  <c r="D159" i="2" a="1"/>
  <c r="D159" i="2" s="1"/>
  <c r="L159" i="8" s="1"/>
  <c r="H159" i="2"/>
  <c r="G159" i="8" s="1"/>
  <c r="E159" i="2" a="1"/>
  <c r="E159" i="2" s="1"/>
  <c r="N159" i="8" s="1"/>
  <c r="G159" i="2"/>
  <c r="E159" i="8" s="1"/>
  <c r="L159" i="2" a="1"/>
  <c r="L159" i="2" s="1"/>
  <c r="M159" i="8" s="1"/>
  <c r="M157" i="2" a="1"/>
  <c r="M157" i="2" s="1"/>
  <c r="P157" i="2"/>
  <c r="B160" i="2"/>
  <c r="C160" i="2" s="1"/>
  <c r="N160" i="2" s="1" a="1"/>
  <c r="N160" i="2" s="1"/>
  <c r="D157" i="8" l="1"/>
  <c r="F157" i="8"/>
  <c r="J157" i="2"/>
  <c r="H157" i="8" s="1"/>
  <c r="K158" i="2" a="1"/>
  <c r="K158" i="2" s="1"/>
  <c r="J158" i="8" s="1"/>
  <c r="O156" i="2"/>
  <c r="I156" i="8" s="1"/>
  <c r="F159" i="2"/>
  <c r="K159" i="8" s="1"/>
  <c r="D160" i="2" a="1"/>
  <c r="D160" i="2" s="1"/>
  <c r="L160" i="8" s="1"/>
  <c r="L160" i="2" a="1"/>
  <c r="L160" i="2" s="1"/>
  <c r="M160" i="8" s="1"/>
  <c r="G160" i="2"/>
  <c r="E160" i="8" s="1"/>
  <c r="E160" i="2" a="1"/>
  <c r="E160" i="2" s="1"/>
  <c r="N160" i="8" s="1"/>
  <c r="H160" i="2"/>
  <c r="G160" i="8" s="1"/>
  <c r="I159" i="2"/>
  <c r="M158" i="2" a="1"/>
  <c r="M158" i="2" s="1"/>
  <c r="P158" i="2"/>
  <c r="B161" i="2"/>
  <c r="C161" i="2" s="1"/>
  <c r="N161" i="2" s="1" a="1"/>
  <c r="N161" i="2" s="1"/>
  <c r="D158" i="8" l="1"/>
  <c r="F158" i="8"/>
  <c r="J158" i="2"/>
  <c r="H158" i="8" s="1"/>
  <c r="K159" i="2" a="1"/>
  <c r="K159" i="2" s="1"/>
  <c r="J159" i="8" s="1"/>
  <c r="O157" i="2"/>
  <c r="I157" i="8" s="1"/>
  <c r="F160" i="2"/>
  <c r="K160" i="8" s="1"/>
  <c r="I160" i="2"/>
  <c r="M159" i="2" a="1"/>
  <c r="M159" i="2" s="1"/>
  <c r="P159" i="2"/>
  <c r="D161" i="2" a="1"/>
  <c r="D161" i="2" s="1"/>
  <c r="L161" i="8" s="1"/>
  <c r="L161" i="2" a="1"/>
  <c r="L161" i="2" s="1"/>
  <c r="M161" i="8" s="1"/>
  <c r="G161" i="2"/>
  <c r="E161" i="8" s="1"/>
  <c r="H161" i="2"/>
  <c r="G161" i="8" s="1"/>
  <c r="E161" i="2" a="1"/>
  <c r="E161" i="2" s="1"/>
  <c r="N161" i="8" s="1"/>
  <c r="B162" i="2"/>
  <c r="C162" i="2" s="1"/>
  <c r="N162" i="2" s="1" a="1"/>
  <c r="N162" i="2" s="1"/>
  <c r="D159" i="8" l="1"/>
  <c r="F159" i="8"/>
  <c r="K160" i="2" a="1"/>
  <c r="K160" i="2" s="1"/>
  <c r="J160" i="8" s="1"/>
  <c r="J159" i="2"/>
  <c r="H159" i="8" s="1"/>
  <c r="O158" i="2"/>
  <c r="I158" i="8" s="1"/>
  <c r="F161" i="2"/>
  <c r="K161" i="8" s="1"/>
  <c r="D162" i="2" a="1"/>
  <c r="D162" i="2" s="1"/>
  <c r="L162" i="8" s="1"/>
  <c r="H162" i="2"/>
  <c r="G162" i="8" s="1"/>
  <c r="L162" i="2" a="1"/>
  <c r="L162" i="2" s="1"/>
  <c r="M162" i="8" s="1"/>
  <c r="G162" i="2"/>
  <c r="E162" i="8" s="1"/>
  <c r="E162" i="2" a="1"/>
  <c r="E162" i="2" s="1"/>
  <c r="N162" i="8" s="1"/>
  <c r="I161" i="2"/>
  <c r="M160" i="2" a="1"/>
  <c r="M160" i="2" s="1"/>
  <c r="P160" i="2"/>
  <c r="B163" i="2"/>
  <c r="C163" i="2" s="1"/>
  <c r="N163" i="2" s="1" a="1"/>
  <c r="N163" i="2" s="1"/>
  <c r="P5" i="2"/>
  <c r="M5" i="2" a="1"/>
  <c r="M5" i="2" s="1"/>
  <c r="D5" i="8" l="1"/>
  <c r="D160" i="8"/>
  <c r="F160" i="8"/>
  <c r="J160" i="2"/>
  <c r="H160" i="8" s="1"/>
  <c r="K161" i="2" a="1"/>
  <c r="K161" i="2" s="1"/>
  <c r="J161" i="8" s="1"/>
  <c r="O159" i="2"/>
  <c r="I159" i="8" s="1"/>
  <c r="F162" i="2"/>
  <c r="K162" i="8" s="1"/>
  <c r="I162" i="2"/>
  <c r="D163" i="2" a="1"/>
  <c r="D163" i="2" s="1"/>
  <c r="L163" i="8" s="1"/>
  <c r="L163" i="2" a="1"/>
  <c r="L163" i="2" s="1"/>
  <c r="M163" i="8" s="1"/>
  <c r="H163" i="2"/>
  <c r="G163" i="8" s="1"/>
  <c r="G163" i="2"/>
  <c r="E163" i="8" s="1"/>
  <c r="E163" i="2" a="1"/>
  <c r="E163" i="2" s="1"/>
  <c r="N163" i="8" s="1"/>
  <c r="M161" i="2" a="1"/>
  <c r="M161" i="2" s="1"/>
  <c r="P161" i="2"/>
  <c r="F5" i="8"/>
  <c r="D161" i="8" l="1"/>
  <c r="F161" i="8"/>
  <c r="J161" i="2"/>
  <c r="H161" i="8" s="1"/>
  <c r="K162" i="2" a="1"/>
  <c r="K162" i="2" s="1"/>
  <c r="J162" i="8" s="1"/>
  <c r="O160" i="2"/>
  <c r="I160" i="8" s="1"/>
  <c r="F163" i="2"/>
  <c r="K163" i="8" s="1"/>
  <c r="I163" i="2"/>
  <c r="M162" i="2" a="1"/>
  <c r="M162" i="2" s="1"/>
  <c r="P162" i="2"/>
  <c r="O5" i="2"/>
  <c r="I5" i="8" s="1"/>
  <c r="D162" i="8" l="1"/>
  <c r="F162" i="8"/>
  <c r="J162" i="2"/>
  <c r="H162" i="8" s="1"/>
  <c r="K163" i="2" a="1"/>
  <c r="K163" i="2" s="1"/>
  <c r="J163" i="8" s="1"/>
  <c r="O161" i="2"/>
  <c r="I161" i="8" s="1"/>
  <c r="M163" i="2" a="1"/>
  <c r="M163" i="2" s="1"/>
  <c r="P163" i="2"/>
  <c r="D163" i="8" l="1"/>
  <c r="F163" i="8"/>
  <c r="O162" i="2"/>
  <c r="I162" i="8" s="1"/>
  <c r="J163" i="2"/>
  <c r="H163" i="8" s="1"/>
  <c r="O163" i="2" l="1"/>
  <c r="I16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<sst xmlns="http://schemas.openxmlformats.org/spreadsheetml/2006/main" count="451" uniqueCount="398">
  <si>
    <t>アルフレッサ</t>
  </si>
  <si>
    <t>品名メーカー名未納発注数</t>
  </si>
  <si>
    <t>未納品一覧</t>
  </si>
  <si>
    <t>Page 1</t>
  </si>
  <si>
    <t>医療法人三幸会北山病院</t>
  </si>
  <si>
    <t>メディセオ（井筒）</t>
  </si>
  <si>
    <t>Page 2</t>
  </si>
  <si>
    <t>Page 3</t>
  </si>
  <si>
    <t>ケーエスケー</t>
  </si>
  <si>
    <t>Page 4</t>
  </si>
  <si>
    <t>スズケン</t>
  </si>
  <si>
    <t>東和薬品京都販売</t>
  </si>
  <si>
    <t>Page 5</t>
  </si>
  <si>
    <t>東邦薬品</t>
  </si>
  <si>
    <r>
      <t xml:space="preserve">No </t>
    </r>
    <r>
      <rPr>
        <sz val="12"/>
        <color rgb="FF212121"/>
        <rFont val="ＭＳ Ｐゴシック"/>
        <family val="3"/>
        <charset val="128"/>
      </rPr>
      <t>発注日時納品指定日規格容量商品コード品数検品数</t>
    </r>
  </si>
  <si>
    <r>
      <t xml:space="preserve">2026/02/09 2026/02/09 </t>
    </r>
    <r>
      <rPr>
        <sz val="12"/>
        <color rgb="FF212121"/>
        <rFont val="ＭＳ Ｐゴシック"/>
        <family val="3"/>
        <charset val="128"/>
      </rPr>
      <t>セパゾン錠</t>
    </r>
    <r>
      <rPr>
        <sz val="12"/>
        <color rgb="FF212121"/>
        <rFont val="Aptos"/>
        <family val="2"/>
      </rPr>
      <t xml:space="preserve">1 </t>
    </r>
    <r>
      <rPr>
        <sz val="12"/>
        <color rgb="FF212121"/>
        <rFont val="ＭＳ Ｐゴシック"/>
        <family val="3"/>
        <charset val="128"/>
      </rPr>
      <t>アルフレッサファーマ</t>
    </r>
    <r>
      <rPr>
        <sz val="12"/>
        <color rgb="FF212121"/>
        <rFont val="Aptos"/>
        <family val="2"/>
      </rPr>
      <t xml:space="preserve"> 2</t>
    </r>
  </si>
  <si>
    <r>
      <t>1 15:44:45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4987274132872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</si>
  <si>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マーズレン</t>
    </r>
    <r>
      <rPr>
        <sz val="12"/>
        <color rgb="FF212121"/>
        <rFont val="Aptos"/>
        <family val="2"/>
      </rPr>
      <t>S</t>
    </r>
    <r>
      <rPr>
        <sz val="12"/>
        <color rgb="FF212121"/>
        <rFont val="ＭＳ Ｐゴシック"/>
        <family val="3"/>
        <charset val="128"/>
      </rPr>
      <t>配合顆粒寿製薬</t>
    </r>
    <r>
      <rPr>
        <sz val="12"/>
        <color rgb="FF212121"/>
        <rFont val="Aptos"/>
        <family val="2"/>
      </rPr>
      <t xml:space="preserve"> 1</t>
    </r>
  </si>
  <si>
    <r>
      <t xml:space="preserve">2 08:54:48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500g×2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4987071129112 1 0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</si>
  <si>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クエチアピン細粒</t>
    </r>
    <r>
      <rPr>
        <sz val="12"/>
        <color rgb="FF212121"/>
        <rFont val="Aptos"/>
        <family val="2"/>
      </rPr>
      <t>50%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</si>
  <si>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 xml:space="preserve">3 08:54:48 50%1g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100g×1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4987058197530 1 0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</si>
  <si>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ジプレキサザイディス錠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チェプラファーム</t>
    </r>
    <r>
      <rPr>
        <sz val="12"/>
        <color rgb="FF212121"/>
        <rFont val="Aptos"/>
        <family val="2"/>
      </rPr>
      <t xml:space="preserve"> 1</t>
    </r>
  </si>
  <si>
    <r>
      <t>4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7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×50 (</t>
    </r>
    <r>
      <rPr>
        <sz val="12"/>
        <color rgb="FF212121"/>
        <rFont val="ＭＳ Ｐゴシック"/>
        <family val="3"/>
        <charset val="128"/>
      </rPr>
      <t>ブリスター</t>
    </r>
    <r>
      <rPr>
        <sz val="12"/>
        <color rgb="FF212121"/>
        <rFont val="Aptos"/>
        <family val="2"/>
      </rPr>
      <t>) 4987994500173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</si>
  <si>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ハーフジゴキシン</t>
    </r>
    <r>
      <rPr>
        <sz val="12"/>
        <color rgb="FF212121"/>
        <rFont val="Aptos"/>
        <family val="2"/>
      </rPr>
      <t>KY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0.125 </t>
    </r>
    <r>
      <rPr>
        <sz val="12"/>
        <color rgb="FF212121"/>
        <rFont val="ＭＳ Ｐゴシック"/>
        <family val="3"/>
        <charset val="128"/>
      </rPr>
      <t>トーアエイヨー</t>
    </r>
    <r>
      <rPr>
        <sz val="12"/>
        <color rgb="FF212121"/>
        <rFont val="Aptos"/>
        <family val="2"/>
      </rPr>
      <t xml:space="preserve"> 1</t>
    </r>
  </si>
  <si>
    <r>
      <t>5 08:54:48 0.125mg/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4987142731114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</si>
  <si>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シクレスト舌下錠</t>
    </r>
    <r>
      <rPr>
        <sz val="12"/>
        <color rgb="FF212121"/>
        <rFont val="Aptos"/>
        <family val="2"/>
      </rPr>
      <t xml:space="preserve">10mg </t>
    </r>
    <r>
      <rPr>
        <sz val="12"/>
        <color rgb="FF212121"/>
        <rFont val="ＭＳ Ｐゴシック"/>
        <family val="3"/>
        <charset val="128"/>
      </rPr>
      <t>Ｍｅｉｊｉ　Ｓｅｉｋａ　ファル</t>
    </r>
    <r>
      <rPr>
        <sz val="12"/>
        <color rgb="FF212121"/>
        <rFont val="Aptos"/>
        <family val="2"/>
      </rPr>
      <t xml:space="preserve"> 2</t>
    </r>
  </si>
  <si>
    <r>
      <t>6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4987222674232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</si>
  <si>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シクレスト舌下錠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Ｍｅｉｊｉ　Ｓｅｉｋａ　ファル</t>
    </r>
    <r>
      <rPr>
        <sz val="12"/>
        <color rgb="FF212121"/>
        <rFont val="Aptos"/>
        <family val="2"/>
      </rPr>
      <t xml:space="preserve"> 2</t>
    </r>
  </si>
  <si>
    <r>
      <t>7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4987222673730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</si>
  <si>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マグミット錠</t>
    </r>
    <r>
      <rPr>
        <sz val="12"/>
        <color rgb="FF212121"/>
        <rFont val="Aptos"/>
        <family val="2"/>
      </rPr>
      <t xml:space="preserve">500mg </t>
    </r>
    <r>
      <rPr>
        <sz val="12"/>
        <color rgb="FF212121"/>
        <rFont val="ＭＳ Ｐゴシック"/>
        <family val="3"/>
        <charset val="128"/>
      </rPr>
      <t>丸石製薬</t>
    </r>
    <r>
      <rPr>
        <sz val="12"/>
        <color rgb="FF212121"/>
        <rFont val="Aptos"/>
        <family val="2"/>
      </rPr>
      <t xml:space="preserve"> 1</t>
    </r>
  </si>
  <si>
    <r>
      <t>8 08:54:48 500mg/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4987211127398 1 0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</si>
  <si>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クエチアピン錠</t>
    </r>
    <r>
      <rPr>
        <sz val="12"/>
        <color rgb="FF212121"/>
        <rFont val="Aptos"/>
        <family val="2"/>
      </rPr>
      <t>200mg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</si>
  <si>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>9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4987058196557 1 0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</si>
  <si>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リスパダール細粒</t>
    </r>
    <r>
      <rPr>
        <sz val="12"/>
        <color rgb="FF212121"/>
        <rFont val="Aptos"/>
        <family val="2"/>
      </rPr>
      <t xml:space="preserve">1% </t>
    </r>
    <r>
      <rPr>
        <sz val="12"/>
        <color rgb="FF212121"/>
        <rFont val="ＭＳ Ｐゴシック"/>
        <family val="3"/>
        <charset val="128"/>
      </rPr>
      <t>ヤンセンファーマ</t>
    </r>
    <r>
      <rPr>
        <sz val="12"/>
        <color rgb="FF212121"/>
        <rFont val="Aptos"/>
        <family val="2"/>
      </rPr>
      <t xml:space="preserve"> 1</t>
    </r>
  </si>
  <si>
    <r>
      <t xml:space="preserve">10 08:54:48 10mg/g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100g×1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4987672393189 1 0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</si>
  <si>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ゼプリオン水懸筋注</t>
    </r>
    <r>
      <rPr>
        <sz val="12"/>
        <color rgb="FF212121"/>
        <rFont val="Aptos"/>
        <family val="2"/>
      </rPr>
      <t>75mg</t>
    </r>
    <r>
      <rPr>
        <sz val="12"/>
        <color rgb="FF212121"/>
        <rFont val="ＭＳ Ｐゴシック"/>
        <family val="3"/>
        <charset val="128"/>
      </rPr>
      <t>シリンジ住友ファーマ</t>
    </r>
    <r>
      <rPr>
        <sz val="12"/>
        <color rgb="FF212121"/>
        <rFont val="Aptos"/>
        <family val="2"/>
      </rPr>
      <t xml:space="preserve"> 1</t>
    </r>
  </si>
  <si>
    <r>
      <t>11 08:54:48 75mg1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4987116011143 1 0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</si>
  <si>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クエチアピン錠</t>
    </r>
    <r>
      <rPr>
        <sz val="12"/>
        <color rgb="FF212121"/>
        <rFont val="Aptos"/>
        <family val="2"/>
      </rPr>
      <t>100mg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</si>
  <si>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>12 08:54:48 100mg/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4987058195611 1 0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</si>
  <si>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シングレア錠</t>
    </r>
    <r>
      <rPr>
        <sz val="12"/>
        <color rgb="FF212121"/>
        <rFont val="Aptos"/>
        <family val="2"/>
      </rPr>
      <t xml:space="preserve">10mg </t>
    </r>
    <r>
      <rPr>
        <sz val="12"/>
        <color rgb="FF212121"/>
        <rFont val="ＭＳ Ｐゴシック"/>
        <family val="3"/>
        <charset val="128"/>
      </rPr>
      <t>オルガノン</t>
    </r>
    <r>
      <rPr>
        <sz val="12"/>
        <color rgb="FF212121"/>
        <rFont val="Aptos"/>
        <family val="2"/>
      </rPr>
      <t xml:space="preserve"> 1</t>
    </r>
  </si>
  <si>
    <r>
      <t>13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4987954807175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</si>
  <si>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炭酸リチウム錠</t>
    </r>
    <r>
      <rPr>
        <sz val="12"/>
        <color rgb="FF212121"/>
        <rFont val="Aptos"/>
        <family val="2"/>
      </rPr>
      <t>200mg</t>
    </r>
    <r>
      <rPr>
        <sz val="12"/>
        <color rgb="FF212121"/>
        <rFont val="ＭＳ Ｐゴシック"/>
        <family val="3"/>
        <charset val="128"/>
      </rPr>
      <t>「大正」大正製薬</t>
    </r>
    <r>
      <rPr>
        <sz val="12"/>
        <color rgb="FF212121"/>
        <rFont val="Aptos"/>
        <family val="2"/>
      </rPr>
      <t xml:space="preserve"> 4</t>
    </r>
  </si>
  <si>
    <r>
      <t>14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4987306054202 4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</si>
  <si>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炭酸リチウム錠</t>
    </r>
    <r>
      <rPr>
        <sz val="12"/>
        <color rgb="FF212121"/>
        <rFont val="Aptos"/>
        <family val="2"/>
      </rPr>
      <t>200mg</t>
    </r>
    <r>
      <rPr>
        <sz val="12"/>
        <color rgb="FF212121"/>
        <rFont val="ＭＳ Ｐゴシック"/>
        <family val="3"/>
        <charset val="128"/>
      </rPr>
      <t>「大正」大正製薬</t>
    </r>
    <r>
      <rPr>
        <sz val="12"/>
        <color rgb="FF212121"/>
        <rFont val="Aptos"/>
        <family val="2"/>
      </rPr>
      <t xml:space="preserve"> 1</t>
    </r>
  </si>
  <si>
    <r>
      <t>15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4987306054240 1 0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</si>
  <si>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グランダキシン錠</t>
    </r>
    <r>
      <rPr>
        <sz val="12"/>
        <color rgb="FF212121"/>
        <rFont val="Aptos"/>
        <family val="2"/>
      </rPr>
      <t xml:space="preserve">50 </t>
    </r>
    <r>
      <rPr>
        <sz val="12"/>
        <color rgb="FF212121"/>
        <rFont val="ＭＳ Ｐゴシック"/>
        <family val="3"/>
        <charset val="128"/>
      </rPr>
      <t>持田製薬</t>
    </r>
    <r>
      <rPr>
        <sz val="12"/>
        <color rgb="FF212121"/>
        <rFont val="Aptos"/>
        <family val="2"/>
      </rPr>
      <t xml:space="preserve"> 1</t>
    </r>
  </si>
  <si>
    <r>
      <t>16 08:54:48 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4987224045009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</si>
  <si>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レルパックス錠</t>
    </r>
    <r>
      <rPr>
        <sz val="12"/>
        <color rgb="FF212121"/>
        <rFont val="Aptos"/>
        <family val="2"/>
      </rPr>
      <t xml:space="preserve">20mg </t>
    </r>
    <r>
      <rPr>
        <sz val="12"/>
        <color rgb="FF212121"/>
        <rFont val="ＭＳ Ｐゴシック"/>
        <family val="3"/>
        <charset val="128"/>
      </rPr>
      <t>ヴィアトリス製薬</t>
    </r>
    <r>
      <rPr>
        <sz val="12"/>
        <color rgb="FF212121"/>
        <rFont val="Aptos"/>
        <family val="2"/>
      </rPr>
      <t xml:space="preserve"> 2</t>
    </r>
  </si>
  <si>
    <r>
      <t>17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 (</t>
    </r>
    <r>
      <rPr>
        <sz val="12"/>
        <color rgb="FF212121"/>
        <rFont val="ＭＳ Ｐゴシック"/>
        <family val="3"/>
        <charset val="128"/>
      </rPr>
      <t>患者さん用パッケージ入り</t>
    </r>
    <r>
      <rPr>
        <sz val="12"/>
        <color rgb="FF212121"/>
        <rFont val="Aptos"/>
        <family val="2"/>
      </rPr>
      <t>) 4987901012706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</si>
  <si>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ノイロビタン配合錠ＬＴＬファーマ</t>
    </r>
    <r>
      <rPr>
        <sz val="12"/>
        <color rgb="FF212121"/>
        <rFont val="Aptos"/>
        <family val="2"/>
      </rPr>
      <t xml:space="preserve"> 1</t>
    </r>
  </si>
  <si>
    <r>
      <t xml:space="preserve">18 08:54:48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4987919100211 1 0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</si>
  <si>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フォシーガ錠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小野薬品工業</t>
    </r>
    <r>
      <rPr>
        <sz val="12"/>
        <color rgb="FF212121"/>
        <rFont val="Aptos"/>
        <family val="2"/>
      </rPr>
      <t xml:space="preserve"> 5</t>
    </r>
  </si>
  <si>
    <r>
      <t>19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4987039454386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</si>
  <si>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フェロミア錠</t>
    </r>
    <r>
      <rPr>
        <sz val="12"/>
        <color rgb="FF212121"/>
        <rFont val="Aptos"/>
        <family val="2"/>
      </rPr>
      <t xml:space="preserve">50mg </t>
    </r>
    <r>
      <rPr>
        <sz val="12"/>
        <color rgb="FF212121"/>
        <rFont val="ＭＳ Ｐゴシック"/>
        <family val="3"/>
        <charset val="128"/>
      </rPr>
      <t>エーザイ</t>
    </r>
    <r>
      <rPr>
        <sz val="12"/>
        <color rgb="FF212121"/>
        <rFont val="Aptos"/>
        <family val="2"/>
      </rPr>
      <t xml:space="preserve"> 1</t>
    </r>
  </si>
  <si>
    <r>
      <t xml:space="preserve">20 08:54:48 </t>
    </r>
    <r>
      <rPr>
        <sz val="12"/>
        <color rgb="FF212121"/>
        <rFont val="ＭＳ Ｐゴシック"/>
        <family val="3"/>
        <charset val="128"/>
      </rPr>
      <t>鉄</t>
    </r>
    <r>
      <rPr>
        <sz val="12"/>
        <color rgb="FF212121"/>
        <rFont val="Aptos"/>
        <family val="2"/>
      </rPr>
      <t>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4987028213468 1 0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</si>
  <si>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アスパラギン酸カリウム注</t>
    </r>
    <r>
      <rPr>
        <sz val="12"/>
        <color rgb="FF212121"/>
        <rFont val="Aptos"/>
        <family val="2"/>
      </rPr>
      <t>10mEq</t>
    </r>
    <r>
      <rPr>
        <sz val="12"/>
        <color rgb="FF212121"/>
        <rFont val="ＭＳ Ｐゴシック"/>
        <family val="3"/>
        <charset val="128"/>
      </rPr>
      <t>キット「テルモ」テルモ</t>
    </r>
    <r>
      <rPr>
        <sz val="12"/>
        <color rgb="FF212121"/>
        <rFont val="Aptos"/>
        <family val="2"/>
      </rPr>
      <t xml:space="preserve"> 1</t>
    </r>
  </si>
  <si>
    <r>
      <t>21 08:54:48 17.12%10mL1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×10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 xml:space="preserve"> (PFMS</t>
    </r>
    <r>
      <rPr>
        <sz val="12"/>
        <color rgb="FF212121"/>
        <rFont val="ＭＳ Ｐゴシック"/>
        <family val="3"/>
        <charset val="128"/>
      </rPr>
      <t>専用針</t>
    </r>
    <r>
      <rPr>
        <sz val="12"/>
        <color rgb="FF212121"/>
        <rFont val="Aptos"/>
        <family val="2"/>
      </rPr>
      <t>1</t>
    </r>
    <r>
      <rPr>
        <sz val="12"/>
        <color rgb="FF212121"/>
        <rFont val="ＭＳ Ｐゴシック"/>
        <family val="3"/>
        <charset val="128"/>
      </rPr>
      <t>本添付</t>
    </r>
    <r>
      <rPr>
        <sz val="12"/>
        <color rgb="FF212121"/>
        <rFont val="Aptos"/>
        <family val="2"/>
      </rPr>
      <t>) 4987350027979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</si>
  <si>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ビペリデン塩酸塩錠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</si>
  <si>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>22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4987058097274 1 0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</si>
  <si>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ベルソムラ錠</t>
    </r>
    <r>
      <rPr>
        <sz val="12"/>
        <color rgb="FF212121"/>
        <rFont val="Aptos"/>
        <family val="2"/>
      </rPr>
      <t xml:space="preserve">15mg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1</t>
    </r>
  </si>
  <si>
    <r>
      <t>23 08:54:48 15mg/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×50 4987081109227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</si>
  <si>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メイラックス錠</t>
    </r>
    <r>
      <rPr>
        <sz val="12"/>
        <color rgb="FF212121"/>
        <rFont val="Aptos"/>
        <family val="2"/>
      </rPr>
      <t xml:space="preserve">1mg </t>
    </r>
    <r>
      <rPr>
        <sz val="12"/>
        <color rgb="FF212121"/>
        <rFont val="ＭＳ Ｐゴシック"/>
        <family val="3"/>
        <charset val="128"/>
      </rPr>
      <t>Ｍｅｉｊｉ　Ｓｅｉｋａ　ファル</t>
    </r>
    <r>
      <rPr>
        <sz val="12"/>
        <color rgb="FF212121"/>
        <rFont val="Aptos"/>
        <family val="2"/>
      </rPr>
      <t xml:space="preserve"> 1</t>
    </r>
  </si>
  <si>
    <r>
      <t>24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×50 4987222742450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</si>
  <si>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デュロキセチンカプセル</t>
    </r>
    <r>
      <rPr>
        <sz val="12"/>
        <color rgb="FF212121"/>
        <rFont val="Aptos"/>
        <family val="2"/>
      </rPr>
      <t>20mg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DSEP</t>
    </r>
    <r>
      <rPr>
        <sz val="12"/>
        <color rgb="FF212121"/>
        <rFont val="ＭＳ Ｐゴシック"/>
        <family val="3"/>
        <charset val="128"/>
      </rPr>
      <t>」第一三共</t>
    </r>
    <r>
      <rPr>
        <sz val="12"/>
        <color rgb="FF212121"/>
        <rFont val="Aptos"/>
        <family val="2"/>
      </rPr>
      <t xml:space="preserve"> 1</t>
    </r>
  </si>
  <si>
    <r>
      <t>25 08:54:48 20mg/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4987081188444 1 0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</si>
  <si>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チラーヂン</t>
    </r>
    <r>
      <rPr>
        <sz val="12"/>
        <color rgb="FF212121"/>
        <rFont val="Aptos"/>
        <family val="2"/>
      </rPr>
      <t>S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25μg </t>
    </r>
    <r>
      <rPr>
        <sz val="12"/>
        <color rgb="FF212121"/>
        <rFont val="ＭＳ Ｐゴシック"/>
        <family val="3"/>
        <charset val="128"/>
      </rPr>
      <t>武田薬品工業</t>
    </r>
    <r>
      <rPr>
        <sz val="12"/>
        <color rgb="FF212121"/>
        <rFont val="Aptos"/>
        <family val="2"/>
      </rPr>
      <t xml:space="preserve"> 1</t>
    </r>
  </si>
  <si>
    <r>
      <t>26 08:54:48 25μg/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4987123155120 1 0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</si>
  <si>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アクトシン軟膏</t>
    </r>
    <r>
      <rPr>
        <sz val="12"/>
        <color rgb="FF212121"/>
        <rFont val="Aptos"/>
        <family val="2"/>
      </rPr>
      <t xml:space="preserve">3% </t>
    </r>
    <r>
      <rPr>
        <sz val="12"/>
        <color rgb="FF212121"/>
        <rFont val="ＭＳ Ｐゴシック"/>
        <family val="3"/>
        <charset val="128"/>
      </rPr>
      <t>マルホ</t>
    </r>
    <r>
      <rPr>
        <sz val="12"/>
        <color rgb="FF212121"/>
        <rFont val="Aptos"/>
        <family val="2"/>
      </rPr>
      <t xml:space="preserve"> 1</t>
    </r>
  </si>
  <si>
    <r>
      <t>27 08:54:48 3%1g 30g×1</t>
    </r>
    <r>
      <rPr>
        <sz val="12"/>
        <color rgb="FF212121"/>
        <rFont val="ＭＳ Ｐゴシック"/>
        <family val="3"/>
        <charset val="128"/>
      </rPr>
      <t>本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ポリエチレンチューブ</t>
    </r>
    <r>
      <rPr>
        <sz val="12"/>
        <color rgb="FF212121"/>
        <rFont val="Aptos"/>
        <family val="2"/>
      </rPr>
      <t>) 4987213109101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</si>
  <si>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エブランチルカプセル</t>
    </r>
    <r>
      <rPr>
        <sz val="12"/>
        <color rgb="FF212121"/>
        <rFont val="Aptos"/>
        <family val="2"/>
      </rPr>
      <t xml:space="preserve">15mg </t>
    </r>
    <r>
      <rPr>
        <sz val="12"/>
        <color rgb="FF212121"/>
        <rFont val="ＭＳ Ｐゴシック"/>
        <family val="3"/>
        <charset val="128"/>
      </rPr>
      <t>三和化学研究所</t>
    </r>
    <r>
      <rPr>
        <sz val="12"/>
        <color rgb="FF212121"/>
        <rFont val="Aptos"/>
        <family val="2"/>
      </rPr>
      <t xml:space="preserve"> 1</t>
    </r>
  </si>
  <si>
    <r>
      <t>28 08:54:48 15mg/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4987086511094 1 0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</si>
  <si>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ラコサミド錠</t>
    </r>
    <r>
      <rPr>
        <sz val="12"/>
        <color rgb="FF212121"/>
        <rFont val="Aptos"/>
        <family val="2"/>
      </rPr>
      <t>50mg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JG</t>
    </r>
    <r>
      <rPr>
        <sz val="12"/>
        <color rgb="FF212121"/>
        <rFont val="ＭＳ Ｐゴシック"/>
        <family val="3"/>
        <charset val="128"/>
      </rPr>
      <t>」日本ジェネリック</t>
    </r>
    <r>
      <rPr>
        <sz val="12"/>
        <color rgb="FF212121"/>
        <rFont val="Aptos"/>
        <family val="2"/>
      </rPr>
      <t xml:space="preserve"> 2</t>
    </r>
  </si>
  <si>
    <r>
      <t>29 08:54:48 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4987792104023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</si>
  <si>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セララ錠</t>
    </r>
    <r>
      <rPr>
        <sz val="12"/>
        <color rgb="FF212121"/>
        <rFont val="Aptos"/>
        <family val="2"/>
      </rPr>
      <t xml:space="preserve">50mg </t>
    </r>
    <r>
      <rPr>
        <sz val="12"/>
        <color rgb="FF212121"/>
        <rFont val="ＭＳ Ｐゴシック"/>
        <family val="3"/>
        <charset val="128"/>
      </rPr>
      <t>ヴィアトリス製薬</t>
    </r>
    <r>
      <rPr>
        <sz val="12"/>
        <color rgb="FF212121"/>
        <rFont val="Aptos"/>
        <family val="2"/>
      </rPr>
      <t xml:space="preserve"> 1</t>
    </r>
  </si>
  <si>
    <r>
      <t>30 08:54:48 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4987901006200 1 0</t>
    </r>
  </si>
  <si>
    <r>
      <t>出力日時：</t>
    </r>
    <r>
      <rPr>
        <sz val="12"/>
        <color rgb="FF212121"/>
        <rFont val="Aptos"/>
        <family val="2"/>
      </rPr>
      <t>2026/03/26 15:44</t>
    </r>
  </si>
  <si>
    <r>
      <t>出力順：発注先卸名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昇</t>
    </r>
    <r>
      <rPr>
        <sz val="12"/>
        <color rgb="FF212121"/>
        <rFont val="Aptos"/>
        <family val="2"/>
      </rPr>
      <t>),</t>
    </r>
    <r>
      <rPr>
        <sz val="12"/>
        <color rgb="FF212121"/>
        <rFont val="ＭＳ Ｐゴシック"/>
        <family val="3"/>
        <charset val="128"/>
      </rPr>
      <t>納品場所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昇</t>
    </r>
    <r>
      <rPr>
        <sz val="12"/>
        <color rgb="FF212121"/>
        <rFont val="Aptos"/>
        <family val="2"/>
      </rPr>
      <t>),</t>
    </r>
    <r>
      <rPr>
        <sz val="12"/>
        <color rgb="FF212121"/>
        <rFont val="ＭＳ Ｐゴシック"/>
        <family val="3"/>
        <charset val="128"/>
      </rPr>
      <t>納品指定日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昇</t>
    </r>
    <r>
      <rPr>
        <sz val="12"/>
        <color rgb="FF212121"/>
        <rFont val="Aptos"/>
        <family val="2"/>
      </rPr>
      <t>),</t>
    </r>
    <r>
      <rPr>
        <sz val="12"/>
        <color rgb="FF212121"/>
        <rFont val="ＭＳ Ｐゴシック"/>
        <family val="3"/>
        <charset val="128"/>
      </rPr>
      <t>発注日時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昇</t>
    </r>
    <r>
      <rPr>
        <sz val="12"/>
        <color rgb="FF212121"/>
        <rFont val="Aptos"/>
        <family val="2"/>
      </rPr>
      <t>),</t>
    </r>
    <r>
      <rPr>
        <sz val="12"/>
        <color rgb="FF212121"/>
        <rFont val="ＭＳ Ｐゴシック"/>
        <family val="3"/>
        <charset val="128"/>
      </rPr>
      <t>入力順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昇</t>
    </r>
    <r>
      <rPr>
        <sz val="12"/>
        <color rgb="FF212121"/>
        <rFont val="Aptos"/>
        <family val="2"/>
      </rPr>
      <t>)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</si>
  <si>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オルメテック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10mg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1</t>
    </r>
  </si>
  <si>
    <r>
      <t>31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4987081103119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</si>
  <si>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ビプレッソ徐放錠</t>
    </r>
    <r>
      <rPr>
        <sz val="12"/>
        <color rgb="FF212121"/>
        <rFont val="Aptos"/>
        <family val="2"/>
      </rPr>
      <t xml:space="preserve">150mg </t>
    </r>
    <r>
      <rPr>
        <sz val="12"/>
        <color rgb="FF212121"/>
        <rFont val="ＭＳ Ｐゴシック"/>
        <family val="3"/>
        <charset val="128"/>
      </rPr>
      <t>共和薬品工業</t>
    </r>
    <r>
      <rPr>
        <sz val="12"/>
        <color rgb="FF212121"/>
        <rFont val="Aptos"/>
        <family val="2"/>
      </rPr>
      <t xml:space="preserve"> 1</t>
    </r>
  </si>
  <si>
    <r>
      <t>32 08:54:48 150mg/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4987058784280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</si>
  <si>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ビソノテープ</t>
    </r>
    <r>
      <rPr>
        <sz val="12"/>
        <color rgb="FF212121"/>
        <rFont val="Aptos"/>
        <family val="2"/>
      </rPr>
      <t xml:space="preserve">2mg </t>
    </r>
    <r>
      <rPr>
        <sz val="12"/>
        <color rgb="FF212121"/>
        <rFont val="ＭＳ Ｐゴシック"/>
        <family val="3"/>
        <charset val="128"/>
      </rPr>
      <t>トーアエイヨー</t>
    </r>
    <r>
      <rPr>
        <sz val="12"/>
        <color rgb="FF212121"/>
        <rFont val="Aptos"/>
        <family val="2"/>
      </rPr>
      <t xml:space="preserve"> 1</t>
    </r>
  </si>
  <si>
    <r>
      <t>33 08:54:48 2mg1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>×70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(3cm×3cm) 4987142381203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</si>
  <si>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ビソノテープ</t>
    </r>
    <r>
      <rPr>
        <sz val="12"/>
        <color rgb="FF212121"/>
        <rFont val="Aptos"/>
        <family val="2"/>
      </rPr>
      <t xml:space="preserve">4mg </t>
    </r>
    <r>
      <rPr>
        <sz val="12"/>
        <color rgb="FF212121"/>
        <rFont val="ＭＳ Ｐゴシック"/>
        <family val="3"/>
        <charset val="128"/>
      </rPr>
      <t>トーアエイヨー</t>
    </r>
    <r>
      <rPr>
        <sz val="12"/>
        <color rgb="FF212121"/>
        <rFont val="Aptos"/>
        <family val="2"/>
      </rPr>
      <t xml:space="preserve"> 1</t>
    </r>
  </si>
  <si>
    <r>
      <t>34 08:54:48 4mg1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>×70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(4.25cm×4.25cm) 4987142381401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</si>
  <si>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フルニトラゼパム錠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</si>
  <si>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>35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4987058565117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</si>
  <si>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フルニトラゼパム錠</t>
    </r>
    <r>
      <rPr>
        <sz val="12"/>
        <color rgb="FF212121"/>
        <rFont val="Aptos"/>
        <family val="2"/>
      </rPr>
      <t>2mg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1</t>
    </r>
  </si>
  <si>
    <r>
      <t>36 08:54:48 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4987058566114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</si>
  <si>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セレスタミン配合錠高田製薬</t>
    </r>
    <r>
      <rPr>
        <sz val="12"/>
        <color rgb="FF212121"/>
        <rFont val="Aptos"/>
        <family val="2"/>
      </rPr>
      <t xml:space="preserve"> 1</t>
    </r>
  </si>
  <si>
    <r>
      <t xml:space="preserve">37 08:54:48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4987120246012 1 0</t>
    </r>
  </si>
  <si>
    <r>
      <t>38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4987058565612 1 0</t>
    </r>
  </si>
  <si>
    <r>
      <t>39 08:54:48 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4987058566619 1 0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</si>
  <si>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クエチアピン錠</t>
    </r>
    <r>
      <rPr>
        <sz val="12"/>
        <color rgb="FF212121"/>
        <rFont val="Aptos"/>
        <family val="2"/>
      </rPr>
      <t>25mg</t>
    </r>
    <r>
      <rPr>
        <sz val="12"/>
        <color rgb="FF212121"/>
        <rFont val="ＭＳ Ｐゴシック"/>
        <family val="3"/>
        <charset val="128"/>
      </rPr>
      <t>「アメル」共和薬品工業</t>
    </r>
    <r>
      <rPr>
        <sz val="12"/>
        <color rgb="FF212121"/>
        <rFont val="Aptos"/>
        <family val="2"/>
      </rPr>
      <t xml:space="preserve"> 2</t>
    </r>
  </si>
  <si>
    <r>
      <t>40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4987058193617 2 0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</si>
  <si>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デパケン</t>
    </r>
    <r>
      <rPr>
        <sz val="12"/>
        <color rgb="FF212121"/>
        <rFont val="Aptos"/>
        <family val="2"/>
      </rPr>
      <t>R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200mg </t>
    </r>
    <r>
      <rPr>
        <sz val="12"/>
        <color rgb="FF212121"/>
        <rFont val="ＭＳ Ｐゴシック"/>
        <family val="3"/>
        <charset val="128"/>
      </rPr>
      <t>日医工</t>
    </r>
    <r>
      <rPr>
        <sz val="12"/>
        <color rgb="FF212121"/>
        <rFont val="Aptos"/>
        <family val="2"/>
      </rPr>
      <t xml:space="preserve"> 1</t>
    </r>
  </si>
  <si>
    <r>
      <t>41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4987376850223 1 0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</si>
  <si>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イベニティ皮下注</t>
    </r>
    <r>
      <rPr>
        <sz val="12"/>
        <color rgb="FF212121"/>
        <rFont val="Aptos"/>
        <family val="2"/>
      </rPr>
      <t>105mg</t>
    </r>
    <r>
      <rPr>
        <sz val="12"/>
        <color rgb="FF212121"/>
        <rFont val="ＭＳ Ｐゴシック"/>
        <family val="3"/>
        <charset val="128"/>
      </rPr>
      <t>シリンジアステラス製薬</t>
    </r>
    <r>
      <rPr>
        <sz val="12"/>
        <color rgb="FF212121"/>
        <rFont val="Aptos"/>
        <family val="2"/>
      </rPr>
      <t xml:space="preserve"> 5</t>
    </r>
  </si>
  <si>
    <r>
      <t>42 08:54:48 105mg1.17mL1</t>
    </r>
    <r>
      <rPr>
        <sz val="12"/>
        <color rgb="FF212121"/>
        <rFont val="ＭＳ Ｐゴシック"/>
        <family val="3"/>
        <charset val="128"/>
      </rPr>
      <t>筒</t>
    </r>
    <r>
      <rPr>
        <sz val="12"/>
        <color rgb="FF212121"/>
        <rFont val="Aptos"/>
        <family val="2"/>
      </rPr>
      <t>×2</t>
    </r>
    <r>
      <rPr>
        <sz val="12"/>
        <color rgb="FF212121"/>
        <rFont val="ＭＳ Ｐゴシック"/>
        <family val="3"/>
        <charset val="128"/>
      </rPr>
      <t>筒</t>
    </r>
    <r>
      <rPr>
        <sz val="12"/>
        <color rgb="FF212121"/>
        <rFont val="Aptos"/>
        <family val="2"/>
      </rPr>
      <t>4987233105220 5 0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</si>
  <si>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プレガバリン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75mg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</si>
  <si>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43 08:54:48 75mg/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4987080471714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</si>
  <si>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ロゼレム錠</t>
    </r>
    <r>
      <rPr>
        <sz val="12"/>
        <color rgb="FF212121"/>
        <rFont val="Aptos"/>
        <family val="2"/>
      </rPr>
      <t xml:space="preserve">8mg </t>
    </r>
    <r>
      <rPr>
        <sz val="12"/>
        <color rgb="FF212121"/>
        <rFont val="ＭＳ Ｐゴシック"/>
        <family val="3"/>
        <charset val="128"/>
      </rPr>
      <t>武田薬品工業</t>
    </r>
    <r>
      <rPr>
        <sz val="12"/>
        <color rgb="FF212121"/>
        <rFont val="Aptos"/>
        <family val="2"/>
      </rPr>
      <t xml:space="preserve"> 1</t>
    </r>
  </si>
  <si>
    <r>
      <t>44 08:54:48 8mg/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4987123143936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</si>
  <si>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メマンチン塩酸塩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20mg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DSEP</t>
    </r>
    <r>
      <rPr>
        <sz val="12"/>
        <color rgb="FF212121"/>
        <rFont val="ＭＳ Ｐゴシック"/>
        <family val="3"/>
        <charset val="128"/>
      </rPr>
      <t>」第一三共</t>
    </r>
    <r>
      <rPr>
        <sz val="12"/>
        <color rgb="FF212121"/>
        <rFont val="Aptos"/>
        <family val="2"/>
      </rPr>
      <t xml:space="preserve"> 5</t>
    </r>
  </si>
  <si>
    <r>
      <t>45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4987081189427 5 0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</si>
  <si>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メマンチン塩酸塩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DSEP</t>
    </r>
    <r>
      <rPr>
        <sz val="12"/>
        <color rgb="FF212121"/>
        <rFont val="ＭＳ Ｐゴシック"/>
        <family val="3"/>
        <charset val="128"/>
      </rPr>
      <t>」第一三共</t>
    </r>
    <r>
      <rPr>
        <sz val="12"/>
        <color rgb="FF212121"/>
        <rFont val="Aptos"/>
        <family val="2"/>
      </rPr>
      <t xml:space="preserve"> 5</t>
    </r>
  </si>
  <si>
    <r>
      <t>46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4987081189328 5 0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</si>
  <si>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ベルソムラ錠</t>
    </r>
    <r>
      <rPr>
        <sz val="12"/>
        <color rgb="FF212121"/>
        <rFont val="Aptos"/>
        <family val="2"/>
      </rPr>
      <t xml:space="preserve">20mg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3</t>
    </r>
  </si>
  <si>
    <r>
      <t>47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4987081109234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</si>
  <si>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フィコンパ錠</t>
    </r>
    <r>
      <rPr>
        <sz val="12"/>
        <color rgb="FF212121"/>
        <rFont val="Aptos"/>
        <family val="2"/>
      </rPr>
      <t xml:space="preserve">2mg </t>
    </r>
    <r>
      <rPr>
        <sz val="12"/>
        <color rgb="FF212121"/>
        <rFont val="ＭＳ Ｐゴシック"/>
        <family val="3"/>
        <charset val="128"/>
      </rPr>
      <t>エーザイ</t>
    </r>
    <r>
      <rPr>
        <sz val="12"/>
        <color rgb="FF212121"/>
        <rFont val="Aptos"/>
        <family val="2"/>
      </rPr>
      <t xml:space="preserve"> 1</t>
    </r>
  </si>
  <si>
    <r>
      <t>48 08:54:48 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14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×4 4987028203940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</si>
  <si>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アジルサルタン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20mg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2</t>
    </r>
  </si>
  <si>
    <r>
      <t>49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4987080075516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</si>
  <si>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アミティーザカプセル</t>
    </r>
    <r>
      <rPr>
        <sz val="12"/>
        <color rgb="FF212121"/>
        <rFont val="Aptos"/>
        <family val="2"/>
      </rPr>
      <t xml:space="preserve">24μg </t>
    </r>
    <r>
      <rPr>
        <sz val="12"/>
        <color rgb="FF212121"/>
        <rFont val="ＭＳ Ｐゴシック"/>
        <family val="3"/>
        <charset val="128"/>
      </rPr>
      <t>ヴィアトリス製薬</t>
    </r>
    <r>
      <rPr>
        <sz val="12"/>
        <color rgb="FF212121"/>
        <rFont val="Aptos"/>
        <family val="2"/>
      </rPr>
      <t xml:space="preserve"> 1</t>
    </r>
  </si>
  <si>
    <r>
      <t>50 08:54:48 24μg/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>×50 4987901110303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</si>
  <si>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リスパダール内用液</t>
    </r>
    <r>
      <rPr>
        <sz val="12"/>
        <color rgb="FF212121"/>
        <rFont val="Aptos"/>
        <family val="2"/>
      </rPr>
      <t xml:space="preserve">1mg/mL </t>
    </r>
    <r>
      <rPr>
        <sz val="12"/>
        <color rgb="FF212121"/>
        <rFont val="ＭＳ Ｐゴシック"/>
        <family val="3"/>
        <charset val="128"/>
      </rPr>
      <t>ヤンセンファーマ</t>
    </r>
    <r>
      <rPr>
        <sz val="12"/>
        <color rgb="FF212121"/>
        <rFont val="Aptos"/>
        <family val="2"/>
      </rPr>
      <t xml:space="preserve"> 5</t>
    </r>
  </si>
  <si>
    <r>
      <t>51 08:54:48 1mg/mL 1mL×50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4987672794160 5 0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</si>
  <si>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トレシーバ注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フレックスタッチノボノルディスクファーマ</t>
    </r>
    <r>
      <rPr>
        <sz val="12"/>
        <color rgb="FF212121"/>
        <rFont val="Aptos"/>
        <family val="2"/>
      </rPr>
      <t xml:space="preserve"> 1</t>
    </r>
  </si>
  <si>
    <r>
      <t>52 08:54:48 300</t>
    </r>
    <r>
      <rPr>
        <sz val="12"/>
        <color rgb="FF212121"/>
        <rFont val="ＭＳ Ｐゴシック"/>
        <family val="3"/>
        <charset val="128"/>
      </rPr>
      <t>単位</t>
    </r>
    <r>
      <rPr>
        <sz val="12"/>
        <color rgb="FF212121"/>
        <rFont val="Aptos"/>
        <family val="2"/>
      </rPr>
      <t>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×2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4987616003167 1 0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</si>
  <si>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ゼプリオン水懸筋注</t>
    </r>
    <r>
      <rPr>
        <sz val="12"/>
        <color rgb="FF212121"/>
        <rFont val="Aptos"/>
        <family val="2"/>
      </rPr>
      <t>100mg</t>
    </r>
    <r>
      <rPr>
        <sz val="12"/>
        <color rgb="FF212121"/>
        <rFont val="ＭＳ Ｐゴシック"/>
        <family val="3"/>
        <charset val="128"/>
      </rPr>
      <t>シリンジ住友ファーマ</t>
    </r>
    <r>
      <rPr>
        <sz val="12"/>
        <color rgb="FF212121"/>
        <rFont val="Aptos"/>
        <family val="2"/>
      </rPr>
      <t xml:space="preserve"> 1</t>
    </r>
  </si>
  <si>
    <r>
      <t>53 08:54:48 100mg1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4987116011150 1 0</t>
    </r>
  </si>
  <si>
    <r>
      <t xml:space="preserve">1 15:43:55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6.8523g1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×100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4987224143521 2 0</t>
    </r>
  </si>
  <si>
    <r>
      <t xml:space="preserve">2 15:43:55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4987138805430 2 0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</si>
  <si>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ソルデム</t>
    </r>
    <r>
      <rPr>
        <sz val="12"/>
        <color rgb="FF212121"/>
        <rFont val="Aptos"/>
        <family val="2"/>
      </rPr>
      <t>1</t>
    </r>
    <r>
      <rPr>
        <sz val="12"/>
        <color rgb="FF212121"/>
        <rFont val="ＭＳ Ｐゴシック"/>
        <family val="3"/>
        <charset val="128"/>
      </rPr>
      <t>輸液　</t>
    </r>
    <r>
      <rPr>
        <sz val="12"/>
        <color rgb="FF212121"/>
        <rFont val="Aptos"/>
        <family val="2"/>
      </rPr>
      <t>200</t>
    </r>
    <r>
      <rPr>
        <sz val="12"/>
        <color rgb="FF212121"/>
        <rFont val="ＭＳ Ｐゴシック"/>
        <family val="3"/>
        <charset val="128"/>
      </rPr>
      <t>ｍｌ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テルモ</t>
    </r>
    <r>
      <rPr>
        <sz val="12"/>
        <color rgb="FF212121"/>
        <rFont val="Aptos"/>
        <family val="2"/>
      </rPr>
      <t xml:space="preserve"> 2</t>
    </r>
  </si>
  <si>
    <r>
      <t>3 15:43:55 200mL×30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4987350088710 2 0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</si>
  <si>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ラスビック点滴静注キット</t>
    </r>
    <r>
      <rPr>
        <sz val="12"/>
        <color rgb="FF212121"/>
        <rFont val="Aptos"/>
        <family val="2"/>
      </rPr>
      <t xml:space="preserve">150mg </t>
    </r>
    <r>
      <rPr>
        <sz val="12"/>
        <color rgb="FF212121"/>
        <rFont val="ＭＳ Ｐゴシック"/>
        <family val="3"/>
        <charset val="128"/>
      </rPr>
      <t>杏林製薬</t>
    </r>
    <r>
      <rPr>
        <sz val="12"/>
        <color rgb="FF212121"/>
        <rFont val="Aptos"/>
        <family val="2"/>
      </rPr>
      <t xml:space="preserve"> 3</t>
    </r>
  </si>
  <si>
    <r>
      <t>4 15:43:55 150mg1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 xml:space="preserve"> (76mL</t>
    </r>
    <r>
      <rPr>
        <sz val="12"/>
        <color rgb="FF212121"/>
        <rFont val="ＭＳ Ｐゴシック"/>
        <family val="3"/>
        <charset val="128"/>
      </rPr>
      <t>専用希釈液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注入針入り支持筒付容器付</t>
    </r>
    <r>
      <rPr>
        <sz val="12"/>
        <color rgb="FF212121"/>
        <rFont val="Aptos"/>
        <family val="2"/>
      </rPr>
      <t>)) 4987060008909 3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</si>
  <si>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グリセリン浣腸液</t>
    </r>
    <r>
      <rPr>
        <sz val="12"/>
        <color rgb="FF212121"/>
        <rFont val="Aptos"/>
        <family val="2"/>
      </rPr>
      <t>50%</t>
    </r>
    <r>
      <rPr>
        <sz val="12"/>
        <color rgb="FF212121"/>
        <rFont val="ＭＳ Ｐゴシック"/>
        <family val="3"/>
        <charset val="128"/>
      </rPr>
      <t>「ムネ」</t>
    </r>
    <r>
      <rPr>
        <sz val="12"/>
        <color rgb="FF212121"/>
        <rFont val="Aptos"/>
        <family val="2"/>
      </rPr>
      <t xml:space="preserve">60mL </t>
    </r>
    <r>
      <rPr>
        <sz val="12"/>
        <color rgb="FF212121"/>
        <rFont val="ＭＳ Ｐゴシック"/>
        <family val="3"/>
        <charset val="128"/>
      </rPr>
      <t>丸石製薬</t>
    </r>
    <r>
      <rPr>
        <sz val="12"/>
        <color rgb="FF212121"/>
        <rFont val="Aptos"/>
        <family val="2"/>
      </rPr>
      <t xml:space="preserve"> 12</t>
    </r>
  </si>
  <si>
    <r>
      <t>5 15:43:55 50%60mL1</t>
    </r>
    <r>
      <rPr>
        <sz val="12"/>
        <color rgb="FF212121"/>
        <rFont val="ＭＳ Ｐゴシック"/>
        <family val="3"/>
        <charset val="128"/>
      </rPr>
      <t>個</t>
    </r>
    <r>
      <rPr>
        <sz val="12"/>
        <color rgb="FF212121"/>
        <rFont val="Aptos"/>
        <family val="2"/>
      </rPr>
      <t>×10</t>
    </r>
    <r>
      <rPr>
        <sz val="12"/>
        <color rgb="FF212121"/>
        <rFont val="ＭＳ Ｐゴシック"/>
        <family val="3"/>
        <charset val="128"/>
      </rPr>
      <t>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ポリ</t>
    </r>
    <r>
      <rPr>
        <sz val="12"/>
        <color rgb="FF212121"/>
        <rFont val="Aptos"/>
        <family val="2"/>
      </rPr>
      <t>) 4987211123710 12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</si>
  <si>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リクシアナ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30mg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1</t>
    </r>
  </si>
  <si>
    <r>
      <t>6 15:43:55 30mg/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4987081107063 1 0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</si>
  <si>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ツムラ八味地黄丸エキス顆粒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</t>
    </r>
  </si>
  <si>
    <r>
      <t xml:space="preserve">7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4987138800732 1 0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</si>
  <si>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シロスタゾール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100mg</t>
    </r>
    <r>
      <rPr>
        <sz val="12"/>
        <color rgb="FF212121"/>
        <rFont val="ＭＳ Ｐゴシック"/>
        <family val="3"/>
        <charset val="128"/>
      </rPr>
      <t>「タカタ」高田製薬</t>
    </r>
    <r>
      <rPr>
        <sz val="12"/>
        <color rgb="FF212121"/>
        <rFont val="Aptos"/>
        <family val="2"/>
      </rPr>
      <t xml:space="preserve"> 1</t>
    </r>
  </si>
  <si>
    <r>
      <t>8 08:54:48 100mg/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4987120339905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</si>
  <si>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セディール錠</t>
    </r>
    <r>
      <rPr>
        <sz val="12"/>
        <color rgb="FF212121"/>
        <rFont val="Aptos"/>
        <family val="2"/>
      </rPr>
      <t xml:space="preserve">10mg </t>
    </r>
    <r>
      <rPr>
        <sz val="12"/>
        <color rgb="FF212121"/>
        <rFont val="ＭＳ Ｐゴシック"/>
        <family val="3"/>
        <charset val="128"/>
      </rPr>
      <t>住友ファーマ</t>
    </r>
    <r>
      <rPr>
        <sz val="12"/>
        <color rgb="FF212121"/>
        <rFont val="Aptos"/>
        <family val="2"/>
      </rPr>
      <t xml:space="preserve"> 1</t>
    </r>
  </si>
  <si>
    <r>
      <t>9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4987116020732 1 0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</si>
  <si>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グラマリール細粒</t>
    </r>
    <r>
      <rPr>
        <sz val="12"/>
        <color rgb="FF212121"/>
        <rFont val="Aptos"/>
        <family val="2"/>
      </rPr>
      <t xml:space="preserve">10% </t>
    </r>
    <r>
      <rPr>
        <sz val="12"/>
        <color rgb="FF212121"/>
        <rFont val="ＭＳ Ｐゴシック"/>
        <family val="3"/>
        <charset val="128"/>
      </rPr>
      <t>日医工</t>
    </r>
    <r>
      <rPr>
        <sz val="12"/>
        <color rgb="FF212121"/>
        <rFont val="Aptos"/>
        <family val="2"/>
      </rPr>
      <t xml:space="preserve"> 1</t>
    </r>
  </si>
  <si>
    <r>
      <t xml:space="preserve">10 08:54:48 100mg/g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100g×1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4987376245807 1 0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</si>
  <si>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パレプラス輸液陽進堂</t>
    </r>
    <r>
      <rPr>
        <sz val="12"/>
        <color rgb="FF212121"/>
        <rFont val="Aptos"/>
        <family val="2"/>
      </rPr>
      <t xml:space="preserve"> 3</t>
    </r>
  </si>
  <si>
    <r>
      <t>11 08:54:48 500mL1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4987476167108 3 0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</si>
  <si>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エビリファイ持続性水懸筋注用</t>
    </r>
    <r>
      <rPr>
        <sz val="12"/>
        <color rgb="FF212121"/>
        <rFont val="Aptos"/>
        <family val="2"/>
      </rPr>
      <t>400mg</t>
    </r>
    <r>
      <rPr>
        <sz val="12"/>
        <color rgb="FF212121"/>
        <rFont val="ＭＳ Ｐゴシック"/>
        <family val="3"/>
        <charset val="128"/>
      </rPr>
      <t>シリンジ大塚製薬</t>
    </r>
    <r>
      <rPr>
        <sz val="12"/>
        <color rgb="FF212121"/>
        <rFont val="Aptos"/>
        <family val="2"/>
      </rPr>
      <t xml:space="preserve"> 2</t>
    </r>
  </si>
  <si>
    <r>
      <t>12 08:54:48 400mg1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 xml:space="preserve"> 1.6mL(</t>
    </r>
    <r>
      <rPr>
        <sz val="12"/>
        <color rgb="FF212121"/>
        <rFont val="ＭＳ Ｐゴシック"/>
        <family val="3"/>
        <charset val="128"/>
      </rPr>
      <t>溶</t>
    </r>
    <r>
      <rPr>
        <sz val="12"/>
        <color rgb="FF212121"/>
        <rFont val="Aptos"/>
        <family val="2"/>
      </rPr>
      <t>)</t>
    </r>
    <r>
      <rPr>
        <sz val="12"/>
        <color rgb="FF212121"/>
        <rFont val="ＭＳ Ｐゴシック"/>
        <family val="3"/>
        <charset val="128"/>
      </rPr>
      <t>付</t>
    </r>
    <r>
      <rPr>
        <sz val="12"/>
        <color rgb="FF212121"/>
        <rFont val="Aptos"/>
        <family val="2"/>
      </rPr>
      <t>4987035560111 2 0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</si>
  <si>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ミノドロン酸錠</t>
    </r>
    <r>
      <rPr>
        <sz val="12"/>
        <color rgb="FF212121"/>
        <rFont val="Aptos"/>
        <family val="2"/>
      </rPr>
      <t>50mg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JG</t>
    </r>
    <r>
      <rPr>
        <sz val="12"/>
        <color rgb="FF212121"/>
        <rFont val="ＭＳ Ｐゴシック"/>
        <family val="3"/>
        <charset val="128"/>
      </rPr>
      <t>」日本ジェネリック</t>
    </r>
    <r>
      <rPr>
        <sz val="12"/>
        <color rgb="FF212121"/>
        <rFont val="Aptos"/>
        <family val="2"/>
      </rPr>
      <t xml:space="preserve"> 15</t>
    </r>
  </si>
  <si>
    <r>
      <t>13 08:54:48 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×2 4987792100827 15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</si>
  <si>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インウ゛ェガ錠</t>
    </r>
    <r>
      <rPr>
        <sz val="12"/>
        <color rgb="FF212121"/>
        <rFont val="Aptos"/>
        <family val="2"/>
      </rPr>
      <t xml:space="preserve">6mg </t>
    </r>
    <r>
      <rPr>
        <sz val="12"/>
        <color rgb="FF212121"/>
        <rFont val="ＭＳ Ｐゴシック"/>
        <family val="3"/>
        <charset val="128"/>
      </rPr>
      <t>ヤンセンファーマ</t>
    </r>
    <r>
      <rPr>
        <sz val="12"/>
        <color rgb="FF212121"/>
        <rFont val="Aptos"/>
        <family val="2"/>
      </rPr>
      <t xml:space="preserve"> 5</t>
    </r>
  </si>
  <si>
    <r>
      <t>14 08:54:48 6mg/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4987672105768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</si>
  <si>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インウ゛ェガ錠</t>
    </r>
    <r>
      <rPr>
        <sz val="12"/>
        <color rgb="FF212121"/>
        <rFont val="Aptos"/>
        <family val="2"/>
      </rPr>
      <t xml:space="preserve">3mg </t>
    </r>
    <r>
      <rPr>
        <sz val="12"/>
        <color rgb="FF212121"/>
        <rFont val="ＭＳ Ｐゴシック"/>
        <family val="3"/>
        <charset val="128"/>
      </rPr>
      <t>ヤンセンファーマ</t>
    </r>
    <r>
      <rPr>
        <sz val="12"/>
        <color rgb="FF212121"/>
        <rFont val="Aptos"/>
        <family val="2"/>
      </rPr>
      <t xml:space="preserve"> 1</t>
    </r>
  </si>
  <si>
    <r>
      <t>15 08:54:48 3mg/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4987672105744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</si>
  <si>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ツムラ人参養栄湯エキス顆粒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2</t>
    </r>
  </si>
  <si>
    <r>
      <t xml:space="preserve">16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3g×42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4987138810847 2 0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</si>
  <si>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レキソタン錠</t>
    </r>
    <r>
      <rPr>
        <sz val="12"/>
        <color rgb="FF212121"/>
        <rFont val="Aptos"/>
        <family val="2"/>
      </rPr>
      <t xml:space="preserve">5 </t>
    </r>
    <r>
      <rPr>
        <sz val="12"/>
        <color rgb="FF212121"/>
        <rFont val="ＭＳ Ｐゴシック"/>
        <family val="3"/>
        <charset val="128"/>
      </rPr>
      <t>サンド</t>
    </r>
    <r>
      <rPr>
        <sz val="12"/>
        <color rgb="FF212121"/>
        <rFont val="Aptos"/>
        <family val="2"/>
      </rPr>
      <t xml:space="preserve"> 5</t>
    </r>
  </si>
  <si>
    <r>
      <t>17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4987614438206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</si>
  <si>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トピロリック錠</t>
    </r>
    <r>
      <rPr>
        <sz val="12"/>
        <color rgb="FF212121"/>
        <rFont val="Aptos"/>
        <family val="2"/>
      </rPr>
      <t xml:space="preserve">40mg </t>
    </r>
    <r>
      <rPr>
        <sz val="12"/>
        <color rgb="FF212121"/>
        <rFont val="ＭＳ Ｐゴシック"/>
        <family val="3"/>
        <charset val="128"/>
      </rPr>
      <t>富士薬品</t>
    </r>
    <r>
      <rPr>
        <sz val="12"/>
        <color rgb="FF212121"/>
        <rFont val="Aptos"/>
        <family val="2"/>
      </rPr>
      <t xml:space="preserve"> 2</t>
    </r>
  </si>
  <si>
    <r>
      <t>18 08:54:48 40mg/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4987524700325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</si>
  <si>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オランザピン錠</t>
    </r>
    <r>
      <rPr>
        <sz val="12"/>
        <color rgb="FF212121"/>
        <rFont val="Aptos"/>
        <family val="2"/>
      </rPr>
      <t>2.5mg</t>
    </r>
    <r>
      <rPr>
        <sz val="12"/>
        <color rgb="FF212121"/>
        <rFont val="ＭＳ Ｐゴシック"/>
        <family val="3"/>
        <charset val="128"/>
      </rPr>
      <t>「ニプロ」ニプロ</t>
    </r>
    <r>
      <rPr>
        <sz val="12"/>
        <color rgb="FF212121"/>
        <rFont val="Aptos"/>
        <family val="2"/>
      </rPr>
      <t xml:space="preserve"> 3</t>
    </r>
  </si>
  <si>
    <r>
      <t>19 08:54:48 2.5mg/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4987190083715 3 0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</si>
  <si>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オランザピン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「ニプロ」ニプロ</t>
    </r>
    <r>
      <rPr>
        <sz val="12"/>
        <color rgb="FF212121"/>
        <rFont val="Aptos"/>
        <family val="2"/>
      </rPr>
      <t xml:space="preserve"> 3</t>
    </r>
  </si>
  <si>
    <r>
      <t>20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4987190084118 3 0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</si>
  <si>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オランザピン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「ニプロ」ニプロ</t>
    </r>
    <r>
      <rPr>
        <sz val="12"/>
        <color rgb="FF212121"/>
        <rFont val="Aptos"/>
        <family val="2"/>
      </rPr>
      <t xml:space="preserve"> 3</t>
    </r>
  </si>
  <si>
    <r>
      <t>21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4987190084217 3 0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</si>
  <si>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フルボキサミンマレイン酸塩錠</t>
    </r>
    <r>
      <rPr>
        <sz val="12"/>
        <color rgb="FF212121"/>
        <rFont val="Aptos"/>
        <family val="2"/>
      </rPr>
      <t>25mg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6</t>
    </r>
  </si>
  <si>
    <r>
      <t>22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4987080674016 6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</si>
  <si>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フルボキサミンマレイン酸塩錠</t>
    </r>
    <r>
      <rPr>
        <sz val="12"/>
        <color rgb="FF212121"/>
        <rFont val="Aptos"/>
        <family val="2"/>
      </rPr>
      <t>25mg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</si>
  <si>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23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4987080674054 1 0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</si>
  <si>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ニュープロパッチ</t>
    </r>
    <r>
      <rPr>
        <sz val="12"/>
        <color rgb="FF212121"/>
        <rFont val="Aptos"/>
        <family val="2"/>
      </rPr>
      <t xml:space="preserve">4.5mg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1</t>
    </r>
  </si>
  <si>
    <r>
      <t>24 08:54:48 4.5mg1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>×28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(3.2cm×3.2cm) 4987035553212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</si>
  <si>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ツムラ柴胡加竜骨牡蛎湯エキス顆粒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</t>
    </r>
  </si>
  <si>
    <r>
      <t xml:space="preserve">25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4987138801234 1 0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</si>
  <si>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アナストロゾール錠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</si>
  <si>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26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×3 4987080261070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</si>
  <si>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コールタイジン点鼻液陽進堂</t>
    </r>
    <r>
      <rPr>
        <sz val="12"/>
        <color rgb="FF212121"/>
        <rFont val="Aptos"/>
        <family val="2"/>
      </rPr>
      <t xml:space="preserve"> 1</t>
    </r>
  </si>
  <si>
    <r>
      <t>27 08:54:48 15mL×10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4987476123722 1 0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</si>
  <si>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フルデカシン筋注</t>
    </r>
    <r>
      <rPr>
        <sz val="12"/>
        <color rgb="FF212121"/>
        <rFont val="Aptos"/>
        <family val="2"/>
      </rPr>
      <t xml:space="preserve">25mg </t>
    </r>
    <r>
      <rPr>
        <sz val="12"/>
        <color rgb="FF212121"/>
        <rFont val="ＭＳ Ｐゴシック"/>
        <family val="3"/>
        <charset val="128"/>
      </rPr>
      <t>田辺ファーマ</t>
    </r>
    <r>
      <rPr>
        <sz val="12"/>
        <color rgb="FF212121"/>
        <rFont val="Aptos"/>
        <family val="2"/>
      </rPr>
      <t xml:space="preserve"> 1</t>
    </r>
  </si>
  <si>
    <r>
      <t>28 08:54:48 25mg/1mL×5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4987128006762 1 0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</si>
  <si>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ニコランジル錠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「サワイ」日本ジェネリック</t>
    </r>
    <r>
      <rPr>
        <sz val="12"/>
        <color rgb="FF212121"/>
        <rFont val="Aptos"/>
        <family val="2"/>
      </rPr>
      <t xml:space="preserve"> 1</t>
    </r>
  </si>
  <si>
    <r>
      <t>29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4987792287382 1 0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</si>
  <si>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ドンペリドン錠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JG</t>
    </r>
    <r>
      <rPr>
        <sz val="12"/>
        <color rgb="FF212121"/>
        <rFont val="ＭＳ Ｐゴシック"/>
        <family val="3"/>
        <charset val="128"/>
      </rPr>
      <t>」日本ジェネリック</t>
    </r>
    <r>
      <rPr>
        <sz val="12"/>
        <color rgb="FF212121"/>
        <rFont val="Aptos"/>
        <family val="2"/>
      </rPr>
      <t xml:space="preserve"> 1</t>
    </r>
  </si>
  <si>
    <r>
      <t>30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4987792286002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</si>
  <si>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ツムラ半夏厚朴湯エキス顆粒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</t>
    </r>
  </si>
  <si>
    <r>
      <t xml:space="preserve">31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4987138801630 1 0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</si>
  <si>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ヒルナミン錠</t>
    </r>
    <r>
      <rPr>
        <sz val="12"/>
        <color rgb="FF212121"/>
        <rFont val="Aptos"/>
        <family val="2"/>
      </rPr>
      <t xml:space="preserve">(5mg) </t>
    </r>
    <r>
      <rPr>
        <sz val="12"/>
        <color rgb="FF212121"/>
        <rFont val="ＭＳ Ｐゴシック"/>
        <family val="3"/>
        <charset val="128"/>
      </rPr>
      <t>共和薬品工業</t>
    </r>
    <r>
      <rPr>
        <sz val="12"/>
        <color rgb="FF212121"/>
        <rFont val="Aptos"/>
        <family val="2"/>
      </rPr>
      <t xml:space="preserve"> 1</t>
    </r>
  </si>
  <si>
    <r>
      <t>32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4987058682616 1 0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</si>
  <si>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バナン錠</t>
    </r>
    <r>
      <rPr>
        <sz val="12"/>
        <color rgb="FF212121"/>
        <rFont val="Aptos"/>
        <family val="2"/>
      </rPr>
      <t xml:space="preserve">100mg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1</t>
    </r>
  </si>
  <si>
    <r>
      <t>33 08:54:48 100mg/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4987081105113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</si>
  <si>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トラゼンタ錠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日本ベーリンガーインゲルハイム</t>
    </r>
    <r>
      <rPr>
        <sz val="12"/>
        <color rgb="FF212121"/>
        <rFont val="Aptos"/>
        <family val="2"/>
      </rPr>
      <t xml:space="preserve"> 1</t>
    </r>
  </si>
  <si>
    <r>
      <t>34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4987413870511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</si>
  <si>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クラシエ柴苓湯エキス細粒クラシエ薬品</t>
    </r>
    <r>
      <rPr>
        <sz val="12"/>
        <color rgb="FF212121"/>
        <rFont val="Aptos"/>
        <family val="2"/>
      </rPr>
      <t xml:space="preserve"> 1</t>
    </r>
  </si>
  <si>
    <r>
      <t xml:space="preserve">35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2.7g×294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4987045642098 1 0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</si>
  <si>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レトロゾール錠</t>
    </r>
    <r>
      <rPr>
        <sz val="12"/>
        <color rgb="FF212121"/>
        <rFont val="Aptos"/>
        <family val="2"/>
      </rPr>
      <t>2.5mg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</si>
  <si>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36 08:54:48 2.5mg/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×3 4987080409113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</si>
  <si>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レキソタン錠</t>
    </r>
    <r>
      <rPr>
        <sz val="12"/>
        <color rgb="FF212121"/>
        <rFont val="Aptos"/>
        <family val="2"/>
      </rPr>
      <t xml:space="preserve">2 </t>
    </r>
    <r>
      <rPr>
        <sz val="12"/>
        <color rgb="FF212121"/>
        <rFont val="ＭＳ Ｐゴシック"/>
        <family val="3"/>
        <charset val="128"/>
      </rPr>
      <t>サンド</t>
    </r>
    <r>
      <rPr>
        <sz val="12"/>
        <color rgb="FF212121"/>
        <rFont val="Aptos"/>
        <family val="2"/>
      </rPr>
      <t xml:space="preserve"> 5</t>
    </r>
  </si>
  <si>
    <r>
      <t>37 08:54:48 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4987614438107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</si>
  <si>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エバスチン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</si>
  <si>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38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4987080117018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</si>
  <si>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クロピドグレル錠</t>
    </r>
    <r>
      <rPr>
        <sz val="12"/>
        <color rgb="FF212121"/>
        <rFont val="Aptos"/>
        <family val="2"/>
      </rPr>
      <t>75mg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JG</t>
    </r>
    <r>
      <rPr>
        <sz val="12"/>
        <color rgb="FF212121"/>
        <rFont val="ＭＳ Ｐゴシック"/>
        <family val="3"/>
        <charset val="128"/>
      </rPr>
      <t>」日本ジェネリック</t>
    </r>
    <r>
      <rPr>
        <sz val="12"/>
        <color rgb="FF212121"/>
        <rFont val="Aptos"/>
        <family val="2"/>
      </rPr>
      <t xml:space="preserve"> 1</t>
    </r>
  </si>
  <si>
    <r>
      <t>39 08:54:48 75mg/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4987792313180 1 0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</si>
  <si>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フロセミド錠</t>
    </r>
    <r>
      <rPr>
        <sz val="12"/>
        <color rgb="FF212121"/>
        <rFont val="Aptos"/>
        <family val="2"/>
      </rPr>
      <t>20mg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NIG</t>
    </r>
    <r>
      <rPr>
        <sz val="12"/>
        <color rgb="FF212121"/>
        <rFont val="ＭＳ Ｐゴシック"/>
        <family val="3"/>
        <charset val="128"/>
      </rPr>
      <t>」武田薬品工業</t>
    </r>
    <r>
      <rPr>
        <sz val="12"/>
        <color rgb="FF212121"/>
        <rFont val="Aptos"/>
        <family val="2"/>
      </rPr>
      <t xml:space="preserve"> 1</t>
    </r>
  </si>
  <si>
    <r>
      <t>40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1200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4987123875264 1 0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</si>
  <si>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タケキャブ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20mg </t>
    </r>
    <r>
      <rPr>
        <sz val="12"/>
        <color rgb="FF212121"/>
        <rFont val="ＭＳ Ｐゴシック"/>
        <family val="3"/>
        <charset val="128"/>
      </rPr>
      <t>武田薬品工業</t>
    </r>
    <r>
      <rPr>
        <sz val="12"/>
        <color rgb="FF212121"/>
        <rFont val="Aptos"/>
        <family val="2"/>
      </rPr>
      <t xml:space="preserve"> 1</t>
    </r>
  </si>
  <si>
    <r>
      <t>41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4987123002752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</si>
  <si>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レグテクト錠</t>
    </r>
    <r>
      <rPr>
        <sz val="12"/>
        <color rgb="FF212121"/>
        <rFont val="Aptos"/>
        <family val="2"/>
      </rPr>
      <t xml:space="preserve">333mg </t>
    </r>
    <r>
      <rPr>
        <sz val="12"/>
        <color rgb="FF212121"/>
        <rFont val="ＭＳ Ｐゴシック"/>
        <family val="3"/>
        <charset val="128"/>
      </rPr>
      <t>日本新薬</t>
    </r>
    <r>
      <rPr>
        <sz val="12"/>
        <color rgb="FF212121"/>
        <rFont val="Aptos"/>
        <family val="2"/>
      </rPr>
      <t xml:space="preserve"> 1</t>
    </r>
  </si>
  <si>
    <r>
      <t>42 08:54:48 333mg/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4987173018369 1 0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</si>
  <si>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アリピプラゾール錠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4</t>
    </r>
  </si>
  <si>
    <r>
      <t>43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4987080271116 4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</si>
  <si>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ノイロトロピン錠</t>
    </r>
    <r>
      <rPr>
        <sz val="12"/>
        <color rgb="FF212121"/>
        <rFont val="Aptos"/>
        <family val="2"/>
      </rPr>
      <t>4</t>
    </r>
    <r>
      <rPr>
        <sz val="12"/>
        <color rgb="FF212121"/>
        <rFont val="ＭＳ Ｐゴシック"/>
        <family val="3"/>
        <charset val="128"/>
      </rPr>
      <t>単位日本臓器製薬</t>
    </r>
    <r>
      <rPr>
        <sz val="12"/>
        <color rgb="FF212121"/>
        <rFont val="Aptos"/>
        <family val="2"/>
      </rPr>
      <t xml:space="preserve"> 1</t>
    </r>
  </si>
  <si>
    <r>
      <t>44 08:54:48 4</t>
    </r>
    <r>
      <rPr>
        <sz val="12"/>
        <color rgb="FF212121"/>
        <rFont val="ＭＳ Ｐゴシック"/>
        <family val="3"/>
        <charset val="128"/>
      </rPr>
      <t>単位</t>
    </r>
    <r>
      <rPr>
        <sz val="12"/>
        <color rgb="FF212121"/>
        <rFont val="Aptos"/>
        <family val="2"/>
      </rPr>
      <t>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4987174111335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</si>
  <si>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デュタステリドカプセル</t>
    </r>
    <r>
      <rPr>
        <sz val="12"/>
        <color rgb="FF212121"/>
        <rFont val="Aptos"/>
        <family val="2"/>
      </rPr>
      <t>0.5mgAV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3</t>
    </r>
  </si>
  <si>
    <r>
      <t>45 08:54:48 0.5mg/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>×3 4987080195115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</si>
  <si>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トアラセット配合錠「オーハラ」大原薬品工業</t>
    </r>
    <r>
      <rPr>
        <sz val="12"/>
        <color rgb="FF212121"/>
        <rFont val="Aptos"/>
        <family val="2"/>
      </rPr>
      <t xml:space="preserve"> 1</t>
    </r>
  </si>
  <si>
    <r>
      <t>46 08:54:48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4987407239300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</si>
  <si>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リオレサール錠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サンファーマ</t>
    </r>
    <r>
      <rPr>
        <sz val="12"/>
        <color rgb="FF212121"/>
        <rFont val="Aptos"/>
        <family val="2"/>
      </rPr>
      <t xml:space="preserve"> 1</t>
    </r>
  </si>
  <si>
    <r>
      <t>47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4987047211445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</si>
  <si>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ノベルジン錠</t>
    </r>
    <r>
      <rPr>
        <sz val="12"/>
        <color rgb="FF212121"/>
        <rFont val="Aptos"/>
        <family val="2"/>
      </rPr>
      <t xml:space="preserve">25mg </t>
    </r>
    <r>
      <rPr>
        <sz val="12"/>
        <color rgb="FF212121"/>
        <rFont val="ＭＳ Ｐゴシック"/>
        <family val="3"/>
        <charset val="128"/>
      </rPr>
      <t>ノーベルファーマ</t>
    </r>
    <r>
      <rPr>
        <sz val="12"/>
        <color rgb="FF212121"/>
        <rFont val="Aptos"/>
        <family val="2"/>
      </rPr>
      <t xml:space="preserve"> 1</t>
    </r>
  </si>
  <si>
    <r>
      <t>48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4987846101510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</si>
  <si>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エンレスト錠</t>
    </r>
    <r>
      <rPr>
        <sz val="12"/>
        <color rgb="FF212121"/>
        <rFont val="Aptos"/>
        <family val="2"/>
      </rPr>
      <t xml:space="preserve">100mg </t>
    </r>
    <r>
      <rPr>
        <sz val="12"/>
        <color rgb="FF212121"/>
        <rFont val="ＭＳ Ｐゴシック"/>
        <family val="3"/>
        <charset val="128"/>
      </rPr>
      <t>ノバルティスファーマ</t>
    </r>
    <r>
      <rPr>
        <sz val="12"/>
        <color rgb="FF212121"/>
        <rFont val="Aptos"/>
        <family val="2"/>
      </rPr>
      <t xml:space="preserve"> 1</t>
    </r>
  </si>
  <si>
    <r>
      <t>49 08:54:48 100mg/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4987443384415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</si>
  <si>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タリージェ錠</t>
    </r>
    <r>
      <rPr>
        <sz val="12"/>
        <color rgb="FF212121"/>
        <rFont val="Aptos"/>
        <family val="2"/>
      </rPr>
      <t xml:space="preserve">5mg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1</t>
    </r>
  </si>
  <si>
    <r>
      <t>50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4987081108756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</si>
  <si>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トラマール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25mg </t>
    </r>
    <r>
      <rPr>
        <sz val="12"/>
        <color rgb="FF212121"/>
        <rFont val="ＭＳ Ｐゴシック"/>
        <family val="3"/>
        <charset val="128"/>
      </rPr>
      <t>日本新薬</t>
    </r>
    <r>
      <rPr>
        <sz val="12"/>
        <color rgb="FF212121"/>
        <rFont val="Aptos"/>
        <family val="2"/>
      </rPr>
      <t xml:space="preserve"> 1</t>
    </r>
  </si>
  <si>
    <r>
      <t>51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4987173018550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</si>
  <si>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ロキソプロフェン</t>
    </r>
    <r>
      <rPr>
        <sz val="12"/>
        <color rgb="FF212121"/>
        <rFont val="Aptos"/>
        <family val="2"/>
      </rPr>
      <t>Na</t>
    </r>
    <r>
      <rPr>
        <sz val="12"/>
        <color rgb="FF212121"/>
        <rFont val="ＭＳ Ｐゴシック"/>
        <family val="3"/>
        <charset val="128"/>
      </rPr>
      <t>テープ</t>
    </r>
    <r>
      <rPr>
        <sz val="12"/>
        <color rgb="FF212121"/>
        <rFont val="Aptos"/>
        <family val="2"/>
      </rPr>
      <t>100mg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DSEP</t>
    </r>
    <r>
      <rPr>
        <sz val="12"/>
        <color rgb="FF212121"/>
        <rFont val="ＭＳ Ｐゴシック"/>
        <family val="3"/>
        <charset val="128"/>
      </rPr>
      <t>」第一三共</t>
    </r>
    <r>
      <rPr>
        <sz val="12"/>
        <color rgb="FF212121"/>
        <rFont val="Aptos"/>
        <family val="2"/>
      </rPr>
      <t xml:space="preserve"> 1</t>
    </r>
  </si>
  <si>
    <r>
      <t>52 08:54:48 10cm×14cm1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 xml:space="preserve"> 7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>×100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4987081189984 1 0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</si>
  <si>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ビオフェルミン錠剤大正製薬</t>
    </r>
    <r>
      <rPr>
        <sz val="12"/>
        <color rgb="FF212121"/>
        <rFont val="Aptos"/>
        <family val="2"/>
      </rPr>
      <t xml:space="preserve"> 1</t>
    </r>
  </si>
  <si>
    <r>
      <t xml:space="preserve">53 08:54:48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4987306066489 1 0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</si>
  <si>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ジメチコン錠</t>
    </r>
    <r>
      <rPr>
        <sz val="12"/>
        <color rgb="FF212121"/>
        <rFont val="Aptos"/>
        <family val="2"/>
      </rPr>
      <t>40mg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YD</t>
    </r>
    <r>
      <rPr>
        <sz val="12"/>
        <color rgb="FF212121"/>
        <rFont val="ＭＳ Ｐゴシック"/>
        <family val="3"/>
        <charset val="128"/>
      </rPr>
      <t>」陽進堂</t>
    </r>
    <r>
      <rPr>
        <sz val="12"/>
        <color rgb="FF212121"/>
        <rFont val="Aptos"/>
        <family val="2"/>
      </rPr>
      <t xml:space="preserve"> 1</t>
    </r>
  </si>
  <si>
    <r>
      <t>54 08:54:48 40mg/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4987476171921 1 0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</si>
  <si>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フ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ェフ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゛キ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ソス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タッ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ト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サワ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イ」沢井製薬</t>
    </r>
    <r>
      <rPr>
        <sz val="12"/>
        <color rgb="FF212121"/>
        <rFont val="Aptos"/>
        <family val="2"/>
      </rPr>
      <t xml:space="preserve"> 2</t>
    </r>
  </si>
  <si>
    <r>
      <t>55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4987080281115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</si>
  <si>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トランサミンカプセル</t>
    </r>
    <r>
      <rPr>
        <sz val="12"/>
        <color rgb="FF212121"/>
        <rFont val="Aptos"/>
        <family val="2"/>
      </rPr>
      <t xml:space="preserve">250mg </t>
    </r>
    <r>
      <rPr>
        <sz val="12"/>
        <color rgb="FF212121"/>
        <rFont val="ＭＳ Ｐゴシック"/>
        <family val="3"/>
        <charset val="128"/>
      </rPr>
      <t>第一三共</t>
    </r>
    <r>
      <rPr>
        <sz val="12"/>
        <color rgb="FF212121"/>
        <rFont val="Aptos"/>
        <family val="2"/>
      </rPr>
      <t xml:space="preserve"> 3</t>
    </r>
  </si>
  <si>
    <r>
      <t>56 08:54:48 250mg/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カプセル</t>
    </r>
    <r>
      <rPr>
        <sz val="12"/>
        <color rgb="FF212121"/>
        <rFont val="Aptos"/>
        <family val="2"/>
      </rPr>
      <t>×10 4987081104611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</si>
  <si>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ツムラ小青竜湯エキス顆粒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</t>
    </r>
  </si>
  <si>
    <r>
      <t xml:space="preserve">57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3g×42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4987138801944 1 0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</si>
  <si>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クラシエ黄連解毒湯エキス細粒クラシエ薬品</t>
    </r>
    <r>
      <rPr>
        <sz val="12"/>
        <color rgb="FF212121"/>
        <rFont val="Aptos"/>
        <family val="2"/>
      </rPr>
      <t xml:space="preserve"> 2</t>
    </r>
  </si>
  <si>
    <r>
      <t xml:space="preserve">58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2g×42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4987045630194 2 0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</si>
  <si>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ツムラ抑肝散エキス顆粒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10</t>
    </r>
  </si>
  <si>
    <r>
      <t xml:space="preserve">59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4987138805430 10 0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</si>
  <si>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ツムラ大建中湯エキス顆粒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10</t>
    </r>
  </si>
  <si>
    <r>
      <t xml:space="preserve">60 08:54:48 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 xml:space="preserve"> 2.5g×189</t>
    </r>
    <r>
      <rPr>
        <sz val="12"/>
        <color rgb="FF212121"/>
        <rFont val="ＭＳ Ｐゴシック"/>
        <family val="3"/>
        <charset val="128"/>
      </rPr>
      <t>包</t>
    </r>
    <r>
      <rPr>
        <sz val="12"/>
        <color rgb="FF212121"/>
        <rFont val="Aptos"/>
        <family val="2"/>
      </rPr>
      <t>4987138810038 10 0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</si>
  <si>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スルバシリン静注用</t>
    </r>
    <r>
      <rPr>
        <sz val="12"/>
        <color rgb="FF212121"/>
        <rFont val="Aptos"/>
        <family val="2"/>
      </rPr>
      <t xml:space="preserve">1.5g </t>
    </r>
    <r>
      <rPr>
        <sz val="12"/>
        <color rgb="FF212121"/>
        <rFont val="ＭＳ Ｐゴシック"/>
        <family val="3"/>
        <charset val="128"/>
      </rPr>
      <t>Ｍｅｉｊｉ　Ｓｅｉｋａ　ファル</t>
    </r>
    <r>
      <rPr>
        <sz val="12"/>
        <color rgb="FF212121"/>
        <rFont val="Aptos"/>
        <family val="2"/>
      </rPr>
      <t xml:space="preserve"> 2</t>
    </r>
  </si>
  <si>
    <r>
      <t>1 15:43:55 (1.5g)1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×10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4987222664738 2 0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</si>
  <si>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アスパラ</t>
    </r>
    <r>
      <rPr>
        <sz val="12"/>
        <color rgb="FF212121"/>
        <rFont val="Aptos"/>
        <family val="2"/>
      </rPr>
      <t>-CA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200 </t>
    </r>
    <r>
      <rPr>
        <sz val="12"/>
        <color rgb="FF212121"/>
        <rFont val="ＭＳ Ｐゴシック"/>
        <family val="3"/>
        <charset val="128"/>
      </rPr>
      <t>ニプロ</t>
    </r>
    <r>
      <rPr>
        <sz val="12"/>
        <color rgb="FF212121"/>
        <rFont val="Aptos"/>
        <family val="2"/>
      </rPr>
      <t xml:space="preserve"> 3</t>
    </r>
  </si>
  <si>
    <r>
      <t>2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4987190000064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</si>
  <si>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アスパラカリウム散</t>
    </r>
    <r>
      <rPr>
        <sz val="12"/>
        <color rgb="FF212121"/>
        <rFont val="Aptos"/>
        <family val="2"/>
      </rPr>
      <t xml:space="preserve">50% </t>
    </r>
    <r>
      <rPr>
        <sz val="12"/>
        <color rgb="FF212121"/>
        <rFont val="ＭＳ Ｐゴシック"/>
        <family val="3"/>
        <charset val="128"/>
      </rPr>
      <t>ニプロ</t>
    </r>
    <r>
      <rPr>
        <sz val="12"/>
        <color rgb="FF212121"/>
        <rFont val="Aptos"/>
        <family val="2"/>
      </rPr>
      <t xml:space="preserve"> 1</t>
    </r>
  </si>
  <si>
    <r>
      <t xml:space="preserve">3 08:54:48 50%1g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500g×1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缶</t>
    </r>
    <r>
      <rPr>
        <sz val="12"/>
        <color rgb="FF212121"/>
        <rFont val="Aptos"/>
        <family val="2"/>
      </rPr>
      <t>) 4987190000057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</si>
  <si>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メイロン静注</t>
    </r>
    <r>
      <rPr>
        <sz val="12"/>
        <color rgb="FF212121"/>
        <rFont val="Aptos"/>
        <family val="2"/>
      </rPr>
      <t xml:space="preserve">7%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1</t>
    </r>
  </si>
  <si>
    <r>
      <t>4 08:54:48 7%20mL1</t>
    </r>
    <r>
      <rPr>
        <sz val="12"/>
        <color rgb="FF212121"/>
        <rFont val="ＭＳ Ｐゴシック"/>
        <family val="3"/>
        <charset val="128"/>
      </rPr>
      <t>管</t>
    </r>
    <r>
      <rPr>
        <sz val="12"/>
        <color rgb="FF212121"/>
        <rFont val="Aptos"/>
        <family val="2"/>
      </rPr>
      <t>×10</t>
    </r>
    <r>
      <rPr>
        <sz val="12"/>
        <color rgb="FF212121"/>
        <rFont val="ＭＳ Ｐゴシック"/>
        <family val="3"/>
        <charset val="128"/>
      </rPr>
      <t>管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プラスチック</t>
    </r>
    <r>
      <rPr>
        <sz val="12"/>
        <color rgb="FF212121"/>
        <rFont val="Aptos"/>
        <family val="2"/>
      </rPr>
      <t>) 4987035187219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</si>
  <si>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アタラックス錠</t>
    </r>
    <r>
      <rPr>
        <sz val="12"/>
        <color rgb="FF212121"/>
        <rFont val="Aptos"/>
        <family val="2"/>
      </rPr>
      <t xml:space="preserve">25mg </t>
    </r>
    <r>
      <rPr>
        <sz val="12"/>
        <color rgb="FF212121"/>
        <rFont val="ＭＳ Ｐゴシック"/>
        <family val="3"/>
        <charset val="128"/>
      </rPr>
      <t>ファイザー</t>
    </r>
    <r>
      <rPr>
        <sz val="12"/>
        <color rgb="FF212121"/>
        <rFont val="Aptos"/>
        <family val="2"/>
      </rPr>
      <t xml:space="preserve"> 3</t>
    </r>
  </si>
  <si>
    <r>
      <t>5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4987114362001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</si>
  <si>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アスパラ</t>
    </r>
    <r>
      <rPr>
        <sz val="12"/>
        <color rgb="FF212121"/>
        <rFont val="Aptos"/>
        <family val="2"/>
      </rPr>
      <t>-CA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200 </t>
    </r>
    <r>
      <rPr>
        <sz val="12"/>
        <color rgb="FF212121"/>
        <rFont val="ＭＳ Ｐゴシック"/>
        <family val="3"/>
        <charset val="128"/>
      </rPr>
      <t>ニプロ</t>
    </r>
    <r>
      <rPr>
        <sz val="12"/>
        <color rgb="FF212121"/>
        <rFont val="Aptos"/>
        <family val="2"/>
      </rPr>
      <t xml:space="preserve"> 2</t>
    </r>
  </si>
  <si>
    <r>
      <t>6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缶</t>
    </r>
    <r>
      <rPr>
        <sz val="12"/>
        <color rgb="FF212121"/>
        <rFont val="Aptos"/>
        <family val="2"/>
      </rPr>
      <t>) 4987190000088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</si>
  <si>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アザルフィジン</t>
    </r>
    <r>
      <rPr>
        <sz val="12"/>
        <color rgb="FF212121"/>
        <rFont val="Aptos"/>
        <family val="2"/>
      </rPr>
      <t>EN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500mg </t>
    </r>
    <r>
      <rPr>
        <sz val="12"/>
        <color rgb="FF212121"/>
        <rFont val="ＭＳ Ｐゴシック"/>
        <family val="3"/>
        <charset val="128"/>
      </rPr>
      <t>あゆみ製薬</t>
    </r>
    <r>
      <rPr>
        <sz val="12"/>
        <color rgb="FF212121"/>
        <rFont val="Aptos"/>
        <family val="2"/>
      </rPr>
      <t xml:space="preserve"> 1</t>
    </r>
  </si>
  <si>
    <r>
      <t>7 08:54:48 500mg/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4987896000146 1 0</t>
    </r>
  </si>
  <si>
    <r>
      <t xml:space="preserve">2026/03/17 2026/03/17 </t>
    </r>
    <r>
      <rPr>
        <sz val="12"/>
        <color rgb="FF212121"/>
        <rFont val="ＭＳ Ｐゴシック"/>
        <family val="3"/>
        <charset val="128"/>
      </rPr>
      <t>タンボコール錠</t>
    </r>
    <r>
      <rPr>
        <sz val="12"/>
        <color rgb="FF212121"/>
        <rFont val="Aptos"/>
        <family val="2"/>
      </rPr>
      <t xml:space="preserve">50mg </t>
    </r>
    <r>
      <rPr>
        <sz val="12"/>
        <color rgb="FF212121"/>
        <rFont val="ＭＳ Ｐゴシック"/>
        <family val="3"/>
        <charset val="128"/>
      </rPr>
      <t>エーザイ</t>
    </r>
    <r>
      <rPr>
        <sz val="12"/>
        <color rgb="FF212121"/>
        <rFont val="Aptos"/>
        <family val="2"/>
      </rPr>
      <t xml:space="preserve"> 1</t>
    </r>
  </si>
  <si>
    <r>
      <t>1 16:06:01 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4987028213406 1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</si>
  <si>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ポタコール</t>
    </r>
    <r>
      <rPr>
        <sz val="12"/>
        <color rgb="FF212121"/>
        <rFont val="Aptos"/>
        <family val="2"/>
      </rPr>
      <t>R</t>
    </r>
    <r>
      <rPr>
        <sz val="12"/>
        <color rgb="FF212121"/>
        <rFont val="ＭＳ Ｐゴシック"/>
        <family val="3"/>
        <charset val="128"/>
      </rPr>
      <t>輸液</t>
    </r>
    <r>
      <rPr>
        <sz val="12"/>
        <color rgb="FF212121"/>
        <rFont val="Aptos"/>
        <family val="2"/>
      </rPr>
      <t xml:space="preserve"> 500ml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2</t>
    </r>
  </si>
  <si>
    <r>
      <t>2 15:43:55 500mL1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ソフトバッグ</t>
    </r>
    <r>
      <rPr>
        <sz val="12"/>
        <color rgb="FF212121"/>
        <rFont val="Aptos"/>
        <family val="2"/>
      </rPr>
      <t>) 4987035186601 2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</si>
  <si>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トリフリード輸液大塚製薬</t>
    </r>
    <r>
      <rPr>
        <sz val="12"/>
        <color rgb="FF212121"/>
        <rFont val="Aptos"/>
        <family val="2"/>
      </rPr>
      <t xml:space="preserve"> 2</t>
    </r>
  </si>
  <si>
    <r>
      <t>3 15:43:55 500mL1</t>
    </r>
    <r>
      <rPr>
        <sz val="12"/>
        <color rgb="FF212121"/>
        <rFont val="ＭＳ Ｐゴシック"/>
        <family val="3"/>
        <charset val="128"/>
      </rPr>
      <t>瓶又は</t>
    </r>
    <r>
      <rPr>
        <sz val="12"/>
        <color rgb="FF212121"/>
        <rFont val="Aptos"/>
        <family val="2"/>
      </rPr>
      <t>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ソフトバッグ</t>
    </r>
    <r>
      <rPr>
        <sz val="12"/>
        <color rgb="FF212121"/>
        <rFont val="Aptos"/>
        <family val="2"/>
      </rPr>
      <t>) 4987035197904 2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</si>
  <si>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ワンパル</t>
    </r>
    <r>
      <rPr>
        <sz val="12"/>
        <color rgb="FF212121"/>
        <rFont val="Aptos"/>
        <family val="2"/>
      </rPr>
      <t>2</t>
    </r>
    <r>
      <rPr>
        <sz val="12"/>
        <color rgb="FF212121"/>
        <rFont val="ＭＳ Ｐゴシック"/>
        <family val="3"/>
        <charset val="128"/>
      </rPr>
      <t>号輸液陽進堂</t>
    </r>
    <r>
      <rPr>
        <sz val="12"/>
        <color rgb="FF212121"/>
        <rFont val="Aptos"/>
        <family val="2"/>
      </rPr>
      <t xml:space="preserve"> 1</t>
    </r>
  </si>
  <si>
    <r>
      <t>4 15:43:55 1200mL1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×7</t>
    </r>
    <r>
      <rPr>
        <sz val="12"/>
        <color rgb="FF212121"/>
        <rFont val="ＭＳ Ｐゴシック"/>
        <family val="3"/>
        <charset val="128"/>
      </rPr>
      <t>キット</t>
    </r>
    <r>
      <rPr>
        <sz val="12"/>
        <color rgb="FF212121"/>
        <rFont val="Aptos"/>
        <family val="2"/>
      </rPr>
      <t>4987476173710 1 0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</si>
  <si>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ポタコール</t>
    </r>
    <r>
      <rPr>
        <sz val="12"/>
        <color rgb="FF212121"/>
        <rFont val="Aptos"/>
        <family val="2"/>
      </rPr>
      <t>R</t>
    </r>
    <r>
      <rPr>
        <sz val="12"/>
        <color rgb="FF212121"/>
        <rFont val="ＭＳ Ｐゴシック"/>
        <family val="3"/>
        <charset val="128"/>
      </rPr>
      <t>輸液</t>
    </r>
    <r>
      <rPr>
        <sz val="12"/>
        <color rgb="FF212121"/>
        <rFont val="Aptos"/>
        <family val="2"/>
      </rPr>
      <t xml:space="preserve"> 500ml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5</t>
    </r>
  </si>
  <si>
    <r>
      <t>5 08:54:48 500mL1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ソフトバッグ</t>
    </r>
    <r>
      <rPr>
        <sz val="12"/>
        <color rgb="FF212121"/>
        <rFont val="Aptos"/>
        <family val="2"/>
      </rPr>
      <t>) 4987035186601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</si>
  <si>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トリフリード輸液大塚製薬</t>
    </r>
    <r>
      <rPr>
        <sz val="12"/>
        <color rgb="FF212121"/>
        <rFont val="Aptos"/>
        <family val="2"/>
      </rPr>
      <t xml:space="preserve"> 5</t>
    </r>
  </si>
  <si>
    <r>
      <t>6 08:54:48 500mL1</t>
    </r>
    <r>
      <rPr>
        <sz val="12"/>
        <color rgb="FF212121"/>
        <rFont val="ＭＳ Ｐゴシック"/>
        <family val="3"/>
        <charset val="128"/>
      </rPr>
      <t>瓶又は</t>
    </r>
    <r>
      <rPr>
        <sz val="12"/>
        <color rgb="FF212121"/>
        <rFont val="Aptos"/>
        <family val="2"/>
      </rPr>
      <t>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ソフトバッグ</t>
    </r>
    <r>
      <rPr>
        <sz val="12"/>
        <color rgb="FF212121"/>
        <rFont val="Aptos"/>
        <family val="2"/>
      </rPr>
      <t>) 4987035197904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</si>
  <si>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ポタコール</t>
    </r>
    <r>
      <rPr>
        <sz val="12"/>
        <color rgb="FF212121"/>
        <rFont val="Aptos"/>
        <family val="2"/>
      </rPr>
      <t>R</t>
    </r>
    <r>
      <rPr>
        <sz val="12"/>
        <color rgb="FF212121"/>
        <rFont val="ＭＳ Ｐゴシック"/>
        <family val="3"/>
        <charset val="128"/>
      </rPr>
      <t>輸液</t>
    </r>
    <r>
      <rPr>
        <sz val="12"/>
        <color rgb="FF212121"/>
        <rFont val="Aptos"/>
        <family val="2"/>
      </rPr>
      <t xml:space="preserve"> 250ml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2</t>
    </r>
  </si>
  <si>
    <r>
      <t>7 08:54:48 250mL1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×20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ソフトバッグ</t>
    </r>
    <r>
      <rPr>
        <sz val="12"/>
        <color rgb="FF212121"/>
        <rFont val="Aptos"/>
        <family val="2"/>
      </rPr>
      <t>) 4987035186502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</si>
  <si>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ダーブロック錠</t>
    </r>
    <r>
      <rPr>
        <sz val="12"/>
        <color rgb="FF212121"/>
        <rFont val="Aptos"/>
        <family val="2"/>
      </rPr>
      <t xml:space="preserve">2mg </t>
    </r>
    <r>
      <rPr>
        <sz val="12"/>
        <color rgb="FF212121"/>
        <rFont val="ＭＳ Ｐゴシック"/>
        <family val="3"/>
        <charset val="128"/>
      </rPr>
      <t>協和キリン</t>
    </r>
    <r>
      <rPr>
        <sz val="12"/>
        <color rgb="FF212121"/>
        <rFont val="Aptos"/>
        <family val="2"/>
      </rPr>
      <t xml:space="preserve"> 1</t>
    </r>
  </si>
  <si>
    <r>
      <t>8 08:54:48 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4987057649306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</si>
  <si>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ワソラン錠</t>
    </r>
    <r>
      <rPr>
        <sz val="12"/>
        <color rgb="FF212121"/>
        <rFont val="Aptos"/>
        <family val="2"/>
      </rPr>
      <t xml:space="preserve">40mg </t>
    </r>
    <r>
      <rPr>
        <sz val="12"/>
        <color rgb="FF212121"/>
        <rFont val="ＭＳ Ｐゴシック"/>
        <family val="3"/>
        <charset val="128"/>
      </rPr>
      <t>エーザイ</t>
    </r>
    <r>
      <rPr>
        <sz val="12"/>
        <color rgb="FF212121"/>
        <rFont val="Aptos"/>
        <family val="2"/>
      </rPr>
      <t xml:space="preserve"> 2</t>
    </r>
  </si>
  <si>
    <r>
      <t>9 08:54:48 40mg/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4987028220671 2 0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</si>
  <si>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ベサコリン散</t>
    </r>
    <r>
      <rPr>
        <sz val="12"/>
        <color rgb="FF212121"/>
        <rFont val="Aptos"/>
        <family val="2"/>
      </rPr>
      <t xml:space="preserve">5% </t>
    </r>
    <r>
      <rPr>
        <sz val="12"/>
        <color rgb="FF212121"/>
        <rFont val="ＭＳ Ｐゴシック"/>
        <family val="3"/>
        <charset val="128"/>
      </rPr>
      <t>エーザイ</t>
    </r>
    <r>
      <rPr>
        <sz val="12"/>
        <color rgb="FF212121"/>
        <rFont val="Aptos"/>
        <family val="2"/>
      </rPr>
      <t xml:space="preserve"> 1</t>
    </r>
  </si>
  <si>
    <r>
      <t xml:space="preserve">10 08:54:48 5%1g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100g×1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4987028207122 1 0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</si>
  <si>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ポリスチレンスルホン酸</t>
    </r>
    <r>
      <rPr>
        <sz val="12"/>
        <color rgb="FF212121"/>
        <rFont val="Aptos"/>
        <family val="2"/>
      </rPr>
      <t>Ca</t>
    </r>
    <r>
      <rPr>
        <sz val="12"/>
        <color rgb="FF212121"/>
        <rFont val="ＭＳ Ｐゴシック"/>
        <family val="3"/>
        <charset val="128"/>
      </rPr>
      <t>経口ゼリー</t>
    </r>
    <r>
      <rPr>
        <sz val="12"/>
        <color rgb="FF212121"/>
        <rFont val="Aptos"/>
        <family val="2"/>
      </rPr>
      <t>20%</t>
    </r>
    <r>
      <rPr>
        <sz val="12"/>
        <color rgb="FF212121"/>
        <rFont val="ＭＳ Ｐゴシック"/>
        <family val="3"/>
        <charset val="128"/>
      </rPr>
      <t>分包</t>
    </r>
    <r>
      <rPr>
        <sz val="12"/>
        <color rgb="FF212121"/>
        <rFont val="Aptos"/>
        <family val="2"/>
      </rPr>
      <t>25g</t>
    </r>
    <r>
      <rPr>
        <sz val="12"/>
        <color rgb="FF212121"/>
        <rFont val="ＭＳ Ｐゴシック"/>
        <family val="3"/>
        <charset val="128"/>
      </rPr>
      <t>「三和化学研究所</t>
    </r>
    <r>
      <rPr>
        <sz val="12"/>
        <color rgb="FF212121"/>
        <rFont val="Aptos"/>
        <family val="2"/>
      </rPr>
      <t xml:space="preserve"> 1</t>
    </r>
  </si>
  <si>
    <r>
      <t>11 08:54:48 20%25g1</t>
    </r>
    <r>
      <rPr>
        <sz val="12"/>
        <color rgb="FF212121"/>
        <rFont val="ＭＳ Ｐゴシック"/>
        <family val="3"/>
        <charset val="128"/>
      </rPr>
      <t>個</t>
    </r>
    <r>
      <rPr>
        <sz val="12"/>
        <color rgb="FF212121"/>
        <rFont val="Aptos"/>
        <family val="2"/>
      </rPr>
      <t>×105</t>
    </r>
    <r>
      <rPr>
        <sz val="12"/>
        <color rgb="FF212121"/>
        <rFont val="ＭＳ Ｐゴシック"/>
        <family val="3"/>
        <charset val="128"/>
      </rPr>
      <t>個</t>
    </r>
    <r>
      <rPr>
        <sz val="12"/>
        <color rgb="FF212121"/>
        <rFont val="Aptos"/>
        <family val="2"/>
      </rPr>
      <t>4987086390651 1 0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</si>
  <si>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レキサルティ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1mg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1</t>
    </r>
  </si>
  <si>
    <r>
      <t>12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4987035614715 1 0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</si>
  <si>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クービビック錠</t>
    </r>
    <r>
      <rPr>
        <sz val="12"/>
        <color rgb="FF212121"/>
        <rFont val="Aptos"/>
        <family val="2"/>
      </rPr>
      <t xml:space="preserve">25mg </t>
    </r>
    <r>
      <rPr>
        <sz val="12"/>
        <color rgb="FF212121"/>
        <rFont val="ＭＳ Ｐゴシック"/>
        <family val="3"/>
        <charset val="128"/>
      </rPr>
      <t>塩野義製薬</t>
    </r>
    <r>
      <rPr>
        <sz val="12"/>
        <color rgb="FF212121"/>
        <rFont val="Aptos"/>
        <family val="2"/>
      </rPr>
      <t xml:space="preserve"> 1</t>
    </r>
  </si>
  <si>
    <r>
      <t>13 08:54:48 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4987087043143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</si>
  <si>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ムコスタ点眼液</t>
    </r>
    <r>
      <rPr>
        <sz val="12"/>
        <color rgb="FF212121"/>
        <rFont val="Aptos"/>
        <family val="2"/>
      </rPr>
      <t xml:space="preserve">UD2% </t>
    </r>
    <r>
      <rPr>
        <sz val="12"/>
        <color rgb="FF212121"/>
        <rFont val="ＭＳ Ｐゴシック"/>
        <family val="3"/>
        <charset val="128"/>
      </rPr>
      <t>大塚製薬</t>
    </r>
    <r>
      <rPr>
        <sz val="12"/>
        <color rgb="FF212121"/>
        <rFont val="Aptos"/>
        <family val="2"/>
      </rPr>
      <t xml:space="preserve"> 1</t>
    </r>
  </si>
  <si>
    <r>
      <t>14 08:54:48 2%0.35mL1</t>
    </r>
    <r>
      <rPr>
        <sz val="12"/>
        <color rgb="FF212121"/>
        <rFont val="ＭＳ Ｐゴシック"/>
        <family val="3"/>
        <charset val="128"/>
      </rPr>
      <t>本</t>
    </r>
    <r>
      <rPr>
        <sz val="12"/>
        <color rgb="FF212121"/>
        <rFont val="Aptos"/>
        <family val="2"/>
      </rPr>
      <t>×112</t>
    </r>
    <r>
      <rPr>
        <sz val="12"/>
        <color rgb="FF212121"/>
        <rFont val="ＭＳ Ｐゴシック"/>
        <family val="3"/>
        <charset val="128"/>
      </rPr>
      <t>本</t>
    </r>
    <r>
      <rPr>
        <sz val="12"/>
        <color rgb="FF212121"/>
        <rFont val="Aptos"/>
        <family val="2"/>
      </rPr>
      <t>4987035515616 1 0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</si>
  <si>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カロナール錠</t>
    </r>
    <r>
      <rPr>
        <sz val="12"/>
        <color rgb="FF212121"/>
        <rFont val="Aptos"/>
        <family val="2"/>
      </rPr>
      <t xml:space="preserve">200 </t>
    </r>
    <r>
      <rPr>
        <sz val="12"/>
        <color rgb="FF212121"/>
        <rFont val="ＭＳ Ｐゴシック"/>
        <family val="3"/>
        <charset val="128"/>
      </rPr>
      <t>あゆみ製薬</t>
    </r>
    <r>
      <rPr>
        <sz val="12"/>
        <color rgb="FF212121"/>
        <rFont val="Aptos"/>
        <family val="2"/>
      </rPr>
      <t xml:space="preserve"> 1</t>
    </r>
  </si>
  <si>
    <r>
      <t>15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4987896011029 1 0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</si>
  <si>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ビラノア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20mg </t>
    </r>
    <r>
      <rPr>
        <sz val="12"/>
        <color rgb="FF212121"/>
        <rFont val="ＭＳ Ｐゴシック"/>
        <family val="3"/>
        <charset val="128"/>
      </rPr>
      <t>Ｍｅｉｊｉ　Ｓｅｉｋａ　ファル</t>
    </r>
    <r>
      <rPr>
        <sz val="12"/>
        <color rgb="FF212121"/>
        <rFont val="Aptos"/>
        <family val="2"/>
      </rPr>
      <t xml:space="preserve"> 1</t>
    </r>
  </si>
  <si>
    <r>
      <t>16 08:54:48 20mg/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×50 4987222002103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</si>
  <si>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アリドネパッチ</t>
    </r>
    <r>
      <rPr>
        <sz val="12"/>
        <color rgb="FF212121"/>
        <rFont val="Aptos"/>
        <family val="2"/>
      </rPr>
      <t xml:space="preserve">27.5mg </t>
    </r>
    <r>
      <rPr>
        <sz val="12"/>
        <color rgb="FF212121"/>
        <rFont val="ＭＳ Ｐゴシック"/>
        <family val="3"/>
        <charset val="128"/>
      </rPr>
      <t>興和</t>
    </r>
    <r>
      <rPr>
        <sz val="12"/>
        <color rgb="FF212121"/>
        <rFont val="Aptos"/>
        <family val="2"/>
      </rPr>
      <t xml:space="preserve"> 3</t>
    </r>
  </si>
  <si>
    <r>
      <t>17 08:54:48 27.5mg1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 xml:space="preserve"> 1</t>
    </r>
    <r>
      <rPr>
        <sz val="12"/>
        <color rgb="FF212121"/>
        <rFont val="ＭＳ Ｐゴシック"/>
        <family val="3"/>
        <charset val="128"/>
      </rPr>
      <t>枚</t>
    </r>
    <r>
      <rPr>
        <sz val="12"/>
        <color rgb="FF212121"/>
        <rFont val="Aptos"/>
        <family val="2"/>
      </rPr>
      <t>×28</t>
    </r>
    <r>
      <rPr>
        <sz val="12"/>
        <color rgb="FF212121"/>
        <rFont val="ＭＳ Ｐゴシック"/>
        <family val="3"/>
        <charset val="128"/>
      </rPr>
      <t>袋</t>
    </r>
    <r>
      <rPr>
        <sz val="12"/>
        <color rgb="FF212121"/>
        <rFont val="Aptos"/>
        <family val="2"/>
      </rPr>
      <t>4987770525703 3 0</t>
    </r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</si>
  <si>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オロパタジン塩酸塩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</si>
  <si>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1 15:43:55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4987155095128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</si>
  <si>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エスシタロプラム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2</t>
    </r>
  </si>
  <si>
    <r>
      <t>2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4987155159172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</si>
  <si>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ボグリボース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0.2mg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</si>
  <si>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3 08:54:48 0.2mg/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4987155881011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</si>
  <si>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レベチラセタム錠</t>
    </r>
    <r>
      <rPr>
        <sz val="12"/>
        <color rgb="FF212121"/>
        <rFont val="Aptos"/>
        <family val="2"/>
      </rPr>
      <t>250mg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2</t>
    </r>
  </si>
  <si>
    <r>
      <t>4 08:54:48 250mg/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4987155155174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</si>
  <si>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ソリフェナシンコハク酸塩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5mg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</si>
  <si>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5 08:54:48 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4987155153071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</si>
  <si>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エゼチミブ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</si>
  <si>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6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4987155148190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</si>
  <si>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グリメピリド錠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</si>
  <si>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7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500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4987155491036 1 0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</si>
  <si>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ブロムヘキシン塩酸塩錠</t>
    </r>
    <r>
      <rPr>
        <sz val="12"/>
        <color rgb="FF212121"/>
        <rFont val="Aptos"/>
        <family val="2"/>
      </rPr>
      <t>4mg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</si>
  <si>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8 08:54:48 4mg/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4987155139181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</si>
  <si>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テオフィリン徐放</t>
    </r>
    <r>
      <rPr>
        <sz val="12"/>
        <color rgb="FF212121"/>
        <rFont val="Aptos"/>
        <family val="2"/>
      </rPr>
      <t>U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200mg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</si>
  <si>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9 08:54:48 200mg/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4987155278071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</si>
  <si>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メコバラミン錠</t>
    </r>
    <r>
      <rPr>
        <sz val="12"/>
        <color rgb="FF212121"/>
        <rFont val="Aptos"/>
        <family val="2"/>
      </rPr>
      <t>500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</si>
  <si>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10 08:54:48 0.5mg/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4987155207026 1 0</t>
    </r>
  </si>
  <si>
    <r>
      <t>11 08:54:48 0.5mg/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×100 4987155207040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</si>
  <si>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エスシタロプラム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10mg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</si>
  <si>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12 08:54:48 10mg/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300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4987155159196 1 0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</si>
  <si>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エスゾピクロン錠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5</t>
    </r>
  </si>
  <si>
    <r>
      <t>13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100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4987155154092 5 0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</si>
  <si>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ビソプロロールフマル酸塩錠</t>
    </r>
    <r>
      <rPr>
        <sz val="12"/>
        <color rgb="FF212121"/>
        <rFont val="Aptos"/>
        <family val="2"/>
      </rPr>
      <t>0.625mg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3</t>
    </r>
  </si>
  <si>
    <r>
      <t>14 08:54:48 0.625mg/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4987155107159 3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</si>
  <si>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イバンドロン酸静注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シリンジ「トーワ」東和薬品</t>
    </r>
    <r>
      <rPr>
        <sz val="12"/>
        <color rgb="FF212121"/>
        <rFont val="Aptos"/>
        <family val="2"/>
      </rPr>
      <t xml:space="preserve"> 1</t>
    </r>
  </si>
  <si>
    <r>
      <t>15 08:54:48 1mg1mL1</t>
    </r>
    <r>
      <rPr>
        <sz val="12"/>
        <color rgb="FF212121"/>
        <rFont val="ＭＳ Ｐゴシック"/>
        <family val="3"/>
        <charset val="128"/>
      </rPr>
      <t>筒</t>
    </r>
    <r>
      <rPr>
        <sz val="12"/>
        <color rgb="FF212121"/>
        <rFont val="Aptos"/>
        <family val="2"/>
      </rPr>
      <t>×10</t>
    </r>
    <r>
      <rPr>
        <sz val="12"/>
        <color rgb="FF212121"/>
        <rFont val="ＭＳ Ｐゴシック"/>
        <family val="3"/>
        <charset val="128"/>
      </rPr>
      <t>筒</t>
    </r>
    <r>
      <rPr>
        <sz val="12"/>
        <color rgb="FF212121"/>
        <rFont val="Aptos"/>
        <family val="2"/>
      </rPr>
      <t>4987155159547 1 0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</si>
  <si>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チザニジン錠</t>
    </r>
    <r>
      <rPr>
        <sz val="12"/>
        <color rgb="FF212121"/>
        <rFont val="Aptos"/>
        <family val="2"/>
      </rPr>
      <t>1mg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1</t>
    </r>
  </si>
  <si>
    <r>
      <t>16 08:54:48 1mg/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4987155097108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</si>
  <si>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ラメルテオン錠</t>
    </r>
    <r>
      <rPr>
        <sz val="12"/>
        <color rgb="FF212121"/>
        <rFont val="Aptos"/>
        <family val="2"/>
      </rPr>
      <t>8mg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2</t>
    </r>
  </si>
  <si>
    <r>
      <t>17 08:54:48 8mg/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</t>
    </r>
    <r>
      <rPr>
        <sz val="12"/>
        <color rgb="FF212121"/>
        <rFont val="ＭＳ Ｐゴシック"/>
        <family val="3"/>
        <charset val="128"/>
      </rPr>
      <t>バラ</t>
    </r>
    <r>
      <rPr>
        <sz val="12"/>
        <color rgb="FF212121"/>
        <rFont val="Aptos"/>
        <family val="2"/>
      </rPr>
      <t xml:space="preserve"> 300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</t>
    </r>
    <r>
      <rPr>
        <sz val="12"/>
        <color rgb="FF212121"/>
        <rFont val="ＭＳ Ｐゴシック"/>
        <family val="3"/>
        <charset val="128"/>
      </rPr>
      <t>瓶</t>
    </r>
    <r>
      <rPr>
        <sz val="12"/>
        <color rgb="FF212121"/>
        <rFont val="Aptos"/>
        <family val="2"/>
      </rPr>
      <t>4987155159295 2 0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</si>
  <si>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ビソプロロールフマル酸塩錠</t>
    </r>
    <r>
      <rPr>
        <sz val="12"/>
        <color rgb="FF212121"/>
        <rFont val="Aptos"/>
        <family val="2"/>
      </rPr>
      <t>2.5mg</t>
    </r>
    <r>
      <rPr>
        <sz val="12"/>
        <color rgb="FF212121"/>
        <rFont val="ＭＳ Ｐゴシック"/>
        <family val="3"/>
        <charset val="128"/>
      </rPr>
      <t>「トーワ」東和薬品</t>
    </r>
    <r>
      <rPr>
        <sz val="12"/>
        <color rgb="FF212121"/>
        <rFont val="Aptos"/>
        <family val="2"/>
      </rPr>
      <t xml:space="preserve"> 3</t>
    </r>
  </si>
  <si>
    <r>
      <t>18 08:54:48 2.5mg/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4987155289046 3 0</t>
    </r>
  </si>
  <si>
    <r>
      <t xml:space="preserve">2026/03/09 2026/03/09 </t>
    </r>
    <r>
      <rPr>
        <sz val="12"/>
        <color rgb="FF212121"/>
        <rFont val="ＭＳ Ｐゴシック"/>
        <family val="3"/>
        <charset val="128"/>
      </rPr>
      <t>テルビナフィン塩酸塩クリーム</t>
    </r>
    <r>
      <rPr>
        <sz val="12"/>
        <color rgb="FF212121"/>
        <rFont val="Aptos"/>
        <family val="2"/>
      </rPr>
      <t>1%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5</t>
    </r>
  </si>
  <si>
    <r>
      <t>1 16:08:58 1%1g 10g×10</t>
    </r>
    <r>
      <rPr>
        <sz val="12"/>
        <color rgb="FF212121"/>
        <rFont val="ＭＳ Ｐゴシック"/>
        <family val="3"/>
        <charset val="128"/>
      </rPr>
      <t>本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アルミニウムチューブ</t>
    </r>
    <r>
      <rPr>
        <sz val="12"/>
        <color rgb="FF212121"/>
        <rFont val="Aptos"/>
        <family val="2"/>
      </rPr>
      <t>) 4987080036111 5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</si>
  <si>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カモスタットメシル酸塩錠</t>
    </r>
    <r>
      <rPr>
        <sz val="12"/>
        <color rgb="FF212121"/>
        <rFont val="Aptos"/>
        <family val="2"/>
      </rPr>
      <t>100mg</t>
    </r>
    <r>
      <rPr>
        <sz val="12"/>
        <color rgb="FF212121"/>
        <rFont val="ＭＳ Ｐゴシック"/>
        <family val="3"/>
        <charset val="128"/>
      </rPr>
      <t>「サワイ」沢井製薬</t>
    </r>
    <r>
      <rPr>
        <sz val="12"/>
        <color rgb="FF212121"/>
        <rFont val="Aptos"/>
        <family val="2"/>
      </rPr>
      <t xml:space="preserve"> 1</t>
    </r>
  </si>
  <si>
    <r>
      <t>2 08:54:48 100mg/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4987080197010 1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</si>
  <si>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シロドシン</t>
    </r>
    <r>
      <rPr>
        <sz val="12"/>
        <color rgb="FF212121"/>
        <rFont val="Aptos"/>
        <family val="2"/>
      </rPr>
      <t>OD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4mg</t>
    </r>
    <r>
      <rPr>
        <sz val="12"/>
        <color rgb="FF212121"/>
        <rFont val="ＭＳ Ｐゴシック"/>
        <family val="3"/>
        <charset val="128"/>
      </rPr>
      <t>「</t>
    </r>
    <r>
      <rPr>
        <sz val="12"/>
        <color rgb="FF212121"/>
        <rFont val="Aptos"/>
        <family val="2"/>
      </rPr>
      <t>KMP</t>
    </r>
    <r>
      <rPr>
        <sz val="12"/>
        <color rgb="FF212121"/>
        <rFont val="ＭＳ Ｐゴシック"/>
        <family val="3"/>
        <charset val="128"/>
      </rPr>
      <t>」共創未来ファーマ</t>
    </r>
    <r>
      <rPr>
        <sz val="12"/>
        <color rgb="FF212121"/>
        <rFont val="Aptos"/>
        <family val="2"/>
      </rPr>
      <t xml:space="preserve"> 2</t>
    </r>
  </si>
  <si>
    <r>
      <t>3 08:54:48 4mg/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 xml:space="preserve"> PTP 10</t>
    </r>
    <r>
      <rPr>
        <sz val="12"/>
        <color rgb="FF212121"/>
        <rFont val="ＭＳ Ｐゴシック"/>
        <family val="3"/>
        <charset val="128"/>
      </rPr>
      <t>錠</t>
    </r>
    <r>
      <rPr>
        <sz val="12"/>
        <color rgb="FF212121"/>
        <rFont val="Aptos"/>
        <family val="2"/>
      </rPr>
      <t>×10 4987885022340 2 0</t>
    </r>
  </si>
  <si>
    <r>
      <t xml:space="preserve">2026/03/25 2026/04/01 </t>
    </r>
    <r>
      <rPr>
        <sz val="12"/>
        <color rgb="FF212121"/>
        <rFont val="ＭＳ Ｐゴシック"/>
        <family val="3"/>
        <charset val="128"/>
      </rPr>
      <t>ヒルドイドソフト軟膏</t>
    </r>
    <r>
      <rPr>
        <sz val="12"/>
        <color rgb="FF212121"/>
        <rFont val="Aptos"/>
        <family val="2"/>
      </rPr>
      <t xml:space="preserve">0.3% </t>
    </r>
    <r>
      <rPr>
        <sz val="12"/>
        <color rgb="FF212121"/>
        <rFont val="ＭＳ Ｐゴシック"/>
        <family val="3"/>
        <charset val="128"/>
      </rPr>
      <t>マルホ</t>
    </r>
    <r>
      <rPr>
        <sz val="12"/>
        <color rgb="FF212121"/>
        <rFont val="Aptos"/>
        <family val="2"/>
      </rPr>
      <t xml:space="preserve"> 1</t>
    </r>
  </si>
  <si>
    <r>
      <t>4 08:54:48 25g×10</t>
    </r>
    <r>
      <rPr>
        <sz val="12"/>
        <color rgb="FF212121"/>
        <rFont val="ＭＳ Ｐゴシック"/>
        <family val="3"/>
        <charset val="128"/>
      </rPr>
      <t>本</t>
    </r>
    <r>
      <rPr>
        <sz val="12"/>
        <color rgb="FF212121"/>
        <rFont val="Aptos"/>
        <family val="2"/>
      </rPr>
      <t xml:space="preserve"> (</t>
    </r>
    <r>
      <rPr>
        <sz val="12"/>
        <color rgb="FF212121"/>
        <rFont val="ＭＳ Ｐゴシック"/>
        <family val="3"/>
        <charset val="128"/>
      </rPr>
      <t>ポリエチレンチューブ</t>
    </r>
    <r>
      <rPr>
        <sz val="12"/>
        <color rgb="FF212121"/>
        <rFont val="Aptos"/>
        <family val="2"/>
      </rPr>
      <t>) 4987213052810 1 0</t>
    </r>
  </si>
  <si>
    <t>アルフレッサファーマ</t>
  </si>
  <si>
    <t>トーアエイヨー</t>
  </si>
  <si>
    <t>丸石製薬</t>
  </si>
  <si>
    <t>ヤンセンファーマ</t>
  </si>
  <si>
    <t>持田製薬</t>
  </si>
  <si>
    <t>ヴィアトリス製薬</t>
  </si>
  <si>
    <t>小野薬品工業</t>
  </si>
  <si>
    <t>エーザイ</t>
  </si>
  <si>
    <t>第一三共</t>
  </si>
  <si>
    <t>マルホ</t>
  </si>
  <si>
    <t>三和化学研究所</t>
  </si>
  <si>
    <t>共和薬品工業</t>
  </si>
  <si>
    <t>ツムラ</t>
  </si>
  <si>
    <t>テルモ</t>
  </si>
  <si>
    <t>杏林製薬</t>
  </si>
  <si>
    <t>住友ファーマ</t>
  </si>
  <si>
    <t>サンド</t>
  </si>
  <si>
    <t>富士薬品</t>
  </si>
  <si>
    <t>大塚製薬</t>
  </si>
  <si>
    <t>田辺ファーマ</t>
  </si>
  <si>
    <t>日本ベーリンガーインゲルハイム</t>
  </si>
  <si>
    <t>日本新薬</t>
  </si>
  <si>
    <t>サンファーマ</t>
  </si>
  <si>
    <t>ノーベルファーマ</t>
  </si>
  <si>
    <t>ノバルティスファーマ</t>
  </si>
  <si>
    <t>ニプロ</t>
  </si>
  <si>
    <t>ファイザー</t>
  </si>
  <si>
    <t>あゆみ製薬</t>
  </si>
  <si>
    <t>協和キリン</t>
  </si>
  <si>
    <t>塩野義製薬</t>
  </si>
  <si>
    <t>興和</t>
  </si>
  <si>
    <t>発注日</t>
    <phoneticPr fontId="3"/>
  </si>
  <si>
    <t>納品指定日</t>
    <phoneticPr fontId="3"/>
  </si>
  <si>
    <r>
      <t>Outlook for Android</t>
    </r>
    <r>
      <rPr>
        <u/>
        <sz val="11"/>
        <color theme="10"/>
        <rFont val="游ゴシック"/>
        <family val="3"/>
        <charset val="128"/>
        <scheme val="minor"/>
      </rPr>
      <t>を取得</t>
    </r>
  </si>
  <si>
    <r>
      <t xml:space="preserve">No </t>
    </r>
    <r>
      <rPr>
        <sz val="12"/>
        <color rgb="FF212121"/>
        <rFont val="ＭＳ Ｐゴシック"/>
        <family val="3"/>
        <charset val="128"/>
      </rPr>
      <t>発注日時納品指定日規格容量商品コード品数検品数</t>
    </r>
    <phoneticPr fontId="3"/>
  </si>
  <si>
    <t>検品数</t>
    <rPh sb="0" eb="3">
      <t>ケンピンスウ</t>
    </rPh>
    <phoneticPr fontId="3"/>
  </si>
  <si>
    <t>商品コード</t>
    <rPh sb="0" eb="2">
      <t>ショウヒン</t>
    </rPh>
    <phoneticPr fontId="3"/>
  </si>
  <si>
    <t>未納品数</t>
    <rPh sb="0" eb="4">
      <t>ミノウヒンスウ</t>
    </rPh>
    <phoneticPr fontId="3"/>
  </si>
  <si>
    <t>発注数</t>
    <rPh sb="0" eb="3">
      <t>ハッチュウスウ</t>
    </rPh>
    <phoneticPr fontId="3"/>
  </si>
  <si>
    <t>No</t>
    <phoneticPr fontId="3"/>
  </si>
  <si>
    <t>1行</t>
    <rPh sb="1" eb="2">
      <t>ギョウ</t>
    </rPh>
    <phoneticPr fontId="3"/>
  </si>
  <si>
    <t>規格容量</t>
    <rPh sb="0" eb="4">
      <t>キカクヨウリョウ</t>
    </rPh>
    <phoneticPr fontId="3"/>
  </si>
  <si>
    <t>発注時刻</t>
    <rPh sb="0" eb="4">
      <t>ハッチュウジコク</t>
    </rPh>
    <phoneticPr fontId="3"/>
  </si>
  <si>
    <t>メーカー名</t>
    <rPh sb="4" eb="5">
      <t>メイ</t>
    </rPh>
    <phoneticPr fontId="3"/>
  </si>
  <si>
    <t>品名＋メーカー名</t>
    <rPh sb="0" eb="2">
      <t>ヒンメイ</t>
    </rPh>
    <rPh sb="7" eb="8">
      <t>メイ</t>
    </rPh>
    <phoneticPr fontId="3"/>
  </si>
  <si>
    <t>アステラス製薬</t>
  </si>
  <si>
    <t>大原薬品工業</t>
  </si>
  <si>
    <t>大正製薬</t>
  </si>
  <si>
    <t>クラシエ薬品</t>
  </si>
  <si>
    <t>沢井製薬</t>
  </si>
  <si>
    <t>東和薬品</t>
  </si>
  <si>
    <t>日本ジェネリック</t>
  </si>
  <si>
    <t>日本臓器製薬</t>
  </si>
  <si>
    <t>ノボノルディスクファーマ</t>
  </si>
  <si>
    <t>陽進堂</t>
  </si>
  <si>
    <t>ＬＴＬファーマ</t>
  </si>
  <si>
    <t>共創未来ファーマ</t>
  </si>
  <si>
    <t>寿製薬</t>
  </si>
  <si>
    <t>メーカー名</t>
    <rPh sb="4" eb="5">
      <t>メイ</t>
    </rPh>
    <phoneticPr fontId="3"/>
  </si>
  <si>
    <t>品名</t>
    <rPh sb="0" eb="2">
      <t>ヒンメイ</t>
    </rPh>
    <phoneticPr fontId="3"/>
  </si>
  <si>
    <t>Ｍｅｉｊｉ Ｓｅｉｋａ ファル</t>
    <phoneticPr fontId="3"/>
  </si>
  <si>
    <t>武田薬品工業</t>
    <rPh sb="0" eb="6">
      <t>タケダヤクヒンコウギョウ</t>
    </rPh>
    <phoneticPr fontId="3"/>
  </si>
  <si>
    <t>日医工</t>
    <rPh sb="0" eb="3">
      <t>ニチイコウ</t>
    </rPh>
    <phoneticPr fontId="3"/>
  </si>
  <si>
    <t>高田製薬</t>
    <rPh sb="0" eb="4">
      <t>タカダセイヤク</t>
    </rPh>
    <phoneticPr fontId="3"/>
  </si>
  <si>
    <t>チェプラファーム</t>
    <phoneticPr fontId="3"/>
  </si>
  <si>
    <t>オルガノン</t>
    <phoneticPr fontId="3"/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</si>
  <si>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ツムラ抑肝散エキス顆粒</t>
    </r>
    <r>
      <rPr>
        <sz val="12"/>
        <color rgb="FF212121"/>
        <rFont val="Aptos"/>
        <family val="2"/>
      </rPr>
      <t>(</t>
    </r>
    <r>
      <rPr>
        <sz val="12"/>
        <color rgb="FF212121"/>
        <rFont val="ＭＳ Ｐゴシック"/>
        <family val="3"/>
        <charset val="128"/>
      </rPr>
      <t>医療用</t>
    </r>
    <r>
      <rPr>
        <sz val="12"/>
        <color rgb="FF212121"/>
        <rFont val="Aptos"/>
        <family val="2"/>
      </rPr>
      <t xml:space="preserve">) </t>
    </r>
    <r>
      <rPr>
        <sz val="12"/>
        <color rgb="FF212121"/>
        <rFont val="ＭＳ Ｐゴシック"/>
        <family val="3"/>
        <charset val="128"/>
      </rPr>
      <t>ツムラ</t>
    </r>
    <r>
      <rPr>
        <sz val="12"/>
        <color rgb="FF212121"/>
        <rFont val="Aptos"/>
        <family val="2"/>
      </rPr>
      <t xml:space="preserve"> 2</t>
    </r>
    <phoneticPr fontId="3"/>
  </si>
  <si>
    <r>
      <t xml:space="preserve">2026/03/26 2026/03/26 </t>
    </r>
    <r>
      <rPr>
        <sz val="12"/>
        <color rgb="FF212121"/>
        <rFont val="ＭＳ Ｐゴシック"/>
        <family val="3"/>
        <charset val="128"/>
      </rPr>
      <t>モビコール配合内用剤</t>
    </r>
    <r>
      <rPr>
        <sz val="12"/>
        <color rgb="FF212121"/>
        <rFont val="Aptos"/>
        <family val="2"/>
      </rPr>
      <t xml:space="preserve">LD </t>
    </r>
    <r>
      <rPr>
        <sz val="12"/>
        <color rgb="FF212121"/>
        <rFont val="ＭＳ Ｐゴシック"/>
        <family val="3"/>
        <charset val="128"/>
      </rPr>
      <t>持田製薬</t>
    </r>
    <r>
      <rPr>
        <sz val="12"/>
        <color rgb="FF212121"/>
        <rFont val="Aptos"/>
        <family val="2"/>
      </rPr>
      <t xml:space="preserve"> 2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</si>
</sst>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游ゴシック"/>
      <family val="2"/>
      <charset val="128"/>
      <scheme val="minor"/>
    </font>
    <font>
      <sz val="12"/>
      <color rgb="FF212121"/>
      <name val="ＭＳ Ｐゴシック"/>
      <family val="3"/>
      <charset val="128"/>
    </font>
    <font>
      <sz val="12"/>
      <color rgb="FF212121"/>
      <name val="Aptos"/>
      <family val="2"/>
    </font>
    <font>
      <sz val="6"/>
      <name val="游ゴシック"/>
      <family val="2"/>
      <charset val="128"/>
      <scheme val="minor"/>
    </font>
    <font>
      <sz val="12"/>
      <color theme="1"/>
      <name val="Aptos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2"/>
      <color rgb="FF21212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ka.ms/AAb9y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56A5-D8A5-4EE9-8A67-630C2243438D}">
  <dimension ref="B4:N164"/>
  <sheetViews>
    <sheetView tabSelected="1" workbookViewId="0">
      <selection activeCell="E2" sqref="E2"/>
    </sheetView>
  </sheetViews>
  <sheetFormatPr defaultRowHeight="18" x14ac:dyDescent="0.45"/>
  <cols>
    <col min="2" max="2" width="12.296875" style="10" bestFit="1" customWidth="1"/>
    <col min="3" max="3" width="12.296875" customWidth="1"/>
    <col min="4" max="4" width="3.69921875" bestFit="1" customWidth="1"/>
    <col min="5" max="5" width="11.296875" bestFit="1" customWidth="1"/>
    <col min="6" max="6" width="8.59765625" bestFit="1" customWidth="1"/>
    <col min="7" max="7" width="11.296875" bestFit="1" customWidth="1"/>
    <col min="8" max="8" width="47.09765625" bestFit="1" customWidth="1"/>
    <col min="9" max="9" width="20.69921875" bestFit="1" customWidth="1"/>
    <col min="10" max="10" width="31.3984375" customWidth="1"/>
    <col min="11" max="11" width="14.796875" bestFit="1" customWidth="1"/>
  </cols>
  <sheetData>
    <row r="4" spans="2:14" s="20" customFormat="1" ht="18.600000000000001" thickBot="1" x14ac:dyDescent="0.5">
      <c r="B4" s="19"/>
      <c r="D4" s="20" t="str">
        <f>'1行'!M4</f>
        <v>No</v>
      </c>
      <c r="E4" s="20" t="str">
        <f>'1行'!G4</f>
        <v>発注日</v>
      </c>
      <c r="F4" s="20" t="str">
        <f>'1行'!N4</f>
        <v>発注時刻</v>
      </c>
      <c r="G4" s="20" t="str">
        <f>'1行'!H4</f>
        <v>納品指定日</v>
      </c>
      <c r="H4" s="20" t="str">
        <f>'1行'!J4</f>
        <v>品名</v>
      </c>
      <c r="I4" s="20" t="str">
        <f>'1行'!O4</f>
        <v>規格容量</v>
      </c>
      <c r="J4" s="20" t="str">
        <f>'1行'!K4</f>
        <v>メーカー名</v>
      </c>
      <c r="K4" s="20" t="str">
        <f>'1行'!F4</f>
        <v>商品コード</v>
      </c>
      <c r="L4" s="20" t="str">
        <f>'1行'!D4</f>
        <v>未納品数</v>
      </c>
      <c r="M4" s="20" t="str">
        <f>'1行'!L4</f>
        <v>発注数</v>
      </c>
      <c r="N4" s="20" t="str">
        <f>'1行'!E4</f>
        <v>検品数</v>
      </c>
    </row>
    <row r="5" spans="2:14" x14ac:dyDescent="0.45">
      <c r="B5" s="11" t="s">
        <v>0</v>
      </c>
      <c r="D5">
        <f ca="1">'1行'!M5</f>
        <v>1</v>
      </c>
      <c r="E5" t="str">
        <f ca="1">'1行'!G5</f>
        <v>2026/02/09</v>
      </c>
      <c r="F5" t="str">
        <f ca="1">'1行'!N5</f>
        <v>15:44:45</v>
      </c>
      <c r="G5" t="str">
        <f ca="1">'1行'!H5</f>
        <v>2026/02/09</v>
      </c>
      <c r="H5" t="str">
        <f ca="1">'1行'!J5</f>
        <v xml:space="preserve">セパゾン錠1 </v>
      </c>
      <c r="I5" t="str">
        <f ca="1">'1行'!O5</f>
        <v>1mg/錠 PTP 10錠×10</v>
      </c>
      <c r="J5" t="str">
        <f ca="1">'1行'!K5</f>
        <v>アルフレッサファーマ</v>
      </c>
      <c r="K5" t="str">
        <f ca="1">'1行'!F5</f>
        <v>4987274132872</v>
      </c>
      <c r="L5">
        <f ca="1">'1行'!D5</f>
        <v>2</v>
      </c>
      <c r="M5">
        <f ca="1">'1行'!L5</f>
        <v>2</v>
      </c>
      <c r="N5">
        <f ca="1">'1行'!E5</f>
        <v>0</v>
      </c>
    </row>
    <row r="6" spans="2:14" x14ac:dyDescent="0.45">
      <c r="B6" s="12"/>
      <c r="D6">
        <f ca="1">'1行'!M6</f>
        <v>2</v>
      </c>
      <c r="E6" t="str">
        <f ca="1">'1行'!G6</f>
        <v>2026/03/25</v>
      </c>
      <c r="F6" t="str">
        <f ca="1">'1行'!N6</f>
        <v>08:54:48</v>
      </c>
      <c r="G6" t="str">
        <f ca="1">'1行'!H6</f>
        <v>2026/04/01</v>
      </c>
      <c r="H6" t="str">
        <f ca="1">'1行'!J6</f>
        <v>マーズレンS配合顆粒</v>
      </c>
      <c r="I6" t="str">
        <f ca="1">'1行'!O6</f>
        <v>バラ 500g×2袋</v>
      </c>
      <c r="J6" t="str">
        <f ca="1">'1行'!K6</f>
        <v>寿製薬</v>
      </c>
      <c r="K6" t="str">
        <f ca="1">'1行'!F6</f>
        <v>4987071129112</v>
      </c>
      <c r="L6">
        <f ca="1">'1行'!D6</f>
        <v>1</v>
      </c>
      <c r="M6">
        <f ca="1">'1行'!L6</f>
        <v>1</v>
      </c>
      <c r="N6">
        <f ca="1">'1行'!E6</f>
        <v>0</v>
      </c>
    </row>
    <row r="7" spans="2:14" x14ac:dyDescent="0.45">
      <c r="B7" s="12"/>
      <c r="D7">
        <f ca="1">'1行'!M7</f>
        <v>3</v>
      </c>
      <c r="E7" t="str">
        <f ca="1">'1行'!G7</f>
        <v>2026/03/25</v>
      </c>
      <c r="F7" t="str">
        <f ca="1">'1行'!N7</f>
        <v>08:54:48</v>
      </c>
      <c r="G7" t="str">
        <f ca="1">'1行'!H7</f>
        <v>2026/04/01</v>
      </c>
      <c r="H7" t="str">
        <f ca="1">'1行'!J7</f>
        <v>クエチアピン細粒50%「アメル」</v>
      </c>
      <c r="I7" t="str">
        <f ca="1">'1行'!O7</f>
        <v>50%1g バラ 100g×1瓶</v>
      </c>
      <c r="J7" t="str">
        <f ca="1">'1行'!K7</f>
        <v>共和薬品工業</v>
      </c>
      <c r="K7" t="str">
        <f ca="1">'1行'!F7</f>
        <v>4987058197530</v>
      </c>
      <c r="L7">
        <f ca="1">'1行'!D7</f>
        <v>1</v>
      </c>
      <c r="M7">
        <f ca="1">'1行'!L7</f>
        <v>1</v>
      </c>
      <c r="N7">
        <f ca="1">'1行'!E7</f>
        <v>0</v>
      </c>
    </row>
    <row r="8" spans="2:14" x14ac:dyDescent="0.45">
      <c r="B8" s="12"/>
      <c r="D8">
        <f ca="1">'1行'!M8</f>
        <v>4</v>
      </c>
      <c r="E8" t="str">
        <f ca="1">'1行'!G8</f>
        <v>2026/03/25</v>
      </c>
      <c r="F8" t="str">
        <f ca="1">'1行'!N8</f>
        <v>08:54:48</v>
      </c>
      <c r="G8" t="str">
        <f ca="1">'1行'!H8</f>
        <v>2026/04/01</v>
      </c>
      <c r="H8" t="str">
        <f ca="1">'1行'!J8</f>
        <v xml:space="preserve">ジプレキサザイディス錠5mg </v>
      </c>
      <c r="I8" t="str">
        <f ca="1">'1行'!O8</f>
        <v>5mg/錠 7錠×50 (ブリスター)</v>
      </c>
      <c r="J8" t="str">
        <f ca="1">'1行'!K8</f>
        <v>チェプラファーム</v>
      </c>
      <c r="K8" t="str">
        <f ca="1">'1行'!F8</f>
        <v>4987994500173</v>
      </c>
      <c r="L8">
        <f ca="1">'1行'!D8</f>
        <v>1</v>
      </c>
      <c r="M8">
        <f ca="1">'1行'!L8</f>
        <v>1</v>
      </c>
      <c r="N8">
        <f ca="1">'1行'!E8</f>
        <v>0</v>
      </c>
    </row>
    <row r="9" spans="2:14" x14ac:dyDescent="0.45">
      <c r="B9" s="12"/>
      <c r="D9">
        <f ca="1">'1行'!M9</f>
        <v>5</v>
      </c>
      <c r="E9" t="str">
        <f ca="1">'1行'!G9</f>
        <v>2026/03/25</v>
      </c>
      <c r="F9" t="str">
        <f ca="1">'1行'!N9</f>
        <v>08:54:48</v>
      </c>
      <c r="G9" t="str">
        <f ca="1">'1行'!H9</f>
        <v>2026/04/01</v>
      </c>
      <c r="H9" t="str">
        <f ca="1">'1行'!J9</f>
        <v xml:space="preserve">ハーフジゴキシンKY錠0.125 </v>
      </c>
      <c r="I9" t="str">
        <f ca="1">'1行'!O9</f>
        <v>0.125mg/錠 PTP 10錠×10</v>
      </c>
      <c r="J9" t="str">
        <f ca="1">'1行'!K9</f>
        <v>トーアエイヨー</v>
      </c>
      <c r="K9" t="str">
        <f ca="1">'1行'!F9</f>
        <v>4987142731114</v>
      </c>
      <c r="L9">
        <f ca="1">'1行'!D9</f>
        <v>1</v>
      </c>
      <c r="M9">
        <f ca="1">'1行'!L9</f>
        <v>1</v>
      </c>
      <c r="N9">
        <f ca="1">'1行'!E9</f>
        <v>0</v>
      </c>
    </row>
    <row r="10" spans="2:14" x14ac:dyDescent="0.45">
      <c r="B10" s="12"/>
      <c r="D10">
        <f ca="1">'1行'!M10</f>
        <v>6</v>
      </c>
      <c r="E10" t="str">
        <f ca="1">'1行'!G10</f>
        <v>2026/03/25</v>
      </c>
      <c r="F10" t="str">
        <f ca="1">'1行'!N10</f>
        <v>08:54:48</v>
      </c>
      <c r="G10" t="str">
        <f ca="1">'1行'!H10</f>
        <v>2026/04/01</v>
      </c>
      <c r="H10" t="str">
        <f ca="1">'1行'!J10</f>
        <v xml:space="preserve">シクレスト舌下錠10mg </v>
      </c>
      <c r="I10" t="str">
        <f ca="1">'1行'!O10</f>
        <v>10mg/錠 PTP 10錠×10</v>
      </c>
      <c r="J10" t="str">
        <f ca="1">'1行'!K10</f>
        <v>Ｍｅｉｊｉ Ｓｅｉｋａ ファル</v>
      </c>
      <c r="K10" t="str">
        <f ca="1">'1行'!F10</f>
        <v>4987222674232</v>
      </c>
      <c r="L10">
        <f ca="1">'1行'!D10</f>
        <v>2</v>
      </c>
      <c r="M10">
        <f ca="1">'1行'!L10</f>
        <v>2</v>
      </c>
      <c r="N10">
        <f ca="1">'1行'!E10</f>
        <v>0</v>
      </c>
    </row>
    <row r="11" spans="2:14" x14ac:dyDescent="0.45">
      <c r="B11" s="12"/>
      <c r="D11">
        <f ca="1">'1行'!M11</f>
        <v>7</v>
      </c>
      <c r="E11" t="str">
        <f ca="1">'1行'!G11</f>
        <v>2026/03/25</v>
      </c>
      <c r="F11" t="str">
        <f ca="1">'1行'!N11</f>
        <v>08:54:48</v>
      </c>
      <c r="G11" t="str">
        <f ca="1">'1行'!H11</f>
        <v>2026/04/01</v>
      </c>
      <c r="H11" t="str">
        <f ca="1">'1行'!J11</f>
        <v xml:space="preserve">シクレスト舌下錠5mg </v>
      </c>
      <c r="I11" t="str">
        <f ca="1">'1行'!O11</f>
        <v>5mg/錠 PTP 10錠×10</v>
      </c>
      <c r="J11" t="str">
        <f ca="1">'1行'!K11</f>
        <v>Ｍｅｉｊｉ Ｓｅｉｋａ ファル</v>
      </c>
      <c r="K11" t="str">
        <f ca="1">'1行'!F11</f>
        <v>4987222673730</v>
      </c>
      <c r="L11">
        <f ca="1">'1行'!D11</f>
        <v>2</v>
      </c>
      <c r="M11">
        <f ca="1">'1行'!L11</f>
        <v>2</v>
      </c>
      <c r="N11">
        <f ca="1">'1行'!E11</f>
        <v>0</v>
      </c>
    </row>
    <row r="12" spans="2:14" x14ac:dyDescent="0.45">
      <c r="B12" s="12"/>
      <c r="D12">
        <f ca="1">'1行'!M12</f>
        <v>8</v>
      </c>
      <c r="E12" t="str">
        <f ca="1">'1行'!G12</f>
        <v>2026/03/25</v>
      </c>
      <c r="F12" t="str">
        <f ca="1">'1行'!N12</f>
        <v>08:54:48</v>
      </c>
      <c r="G12" t="str">
        <f ca="1">'1行'!H12</f>
        <v>2026/04/01</v>
      </c>
      <c r="H12" t="str">
        <f ca="1">'1行'!J12</f>
        <v xml:space="preserve">マグミット錠500mg </v>
      </c>
      <c r="I12" t="str">
        <f ca="1">'1行'!O12</f>
        <v>500mg/錠 バラ 500錠×1瓶</v>
      </c>
      <c r="J12" t="str">
        <f ca="1">'1行'!K12</f>
        <v>丸石製薬</v>
      </c>
      <c r="K12" t="str">
        <f ca="1">'1行'!F12</f>
        <v>4987211127398</v>
      </c>
      <c r="L12">
        <f ca="1">'1行'!D12</f>
        <v>1</v>
      </c>
      <c r="M12">
        <f ca="1">'1行'!L12</f>
        <v>1</v>
      </c>
      <c r="N12">
        <f ca="1">'1行'!E12</f>
        <v>0</v>
      </c>
    </row>
    <row r="13" spans="2:14" x14ac:dyDescent="0.45">
      <c r="B13" s="12"/>
      <c r="D13">
        <f ca="1">'1行'!M13</f>
        <v>9</v>
      </c>
      <c r="E13" t="str">
        <f ca="1">'1行'!G13</f>
        <v>2026/03/25</v>
      </c>
      <c r="F13" t="str">
        <f ca="1">'1行'!N13</f>
        <v>08:54:48</v>
      </c>
      <c r="G13" t="str">
        <f ca="1">'1行'!H13</f>
        <v>2026/04/01</v>
      </c>
      <c r="H13" t="str">
        <f ca="1">'1行'!J13</f>
        <v>クエチアピン錠200mg「アメル」</v>
      </c>
      <c r="I13" t="str">
        <f ca="1">'1行'!O13</f>
        <v>200mg/錠 バラ 500錠×1瓶</v>
      </c>
      <c r="J13" t="str">
        <f ca="1">'1行'!K13</f>
        <v>共和薬品工業</v>
      </c>
      <c r="K13" t="str">
        <f ca="1">'1行'!F13</f>
        <v>4987058196557</v>
      </c>
      <c r="L13">
        <f ca="1">'1行'!D13</f>
        <v>1</v>
      </c>
      <c r="M13">
        <f ca="1">'1行'!L13</f>
        <v>1</v>
      </c>
      <c r="N13">
        <f ca="1">'1行'!E13</f>
        <v>0</v>
      </c>
    </row>
    <row r="14" spans="2:14" x14ac:dyDescent="0.45">
      <c r="B14" s="12"/>
      <c r="D14">
        <f ca="1">'1行'!M14</f>
        <v>10</v>
      </c>
      <c r="E14" t="str">
        <f ca="1">'1行'!G14</f>
        <v>2026/03/25</v>
      </c>
      <c r="F14" t="str">
        <f ca="1">'1行'!N14</f>
        <v>08:54:48</v>
      </c>
      <c r="G14" t="str">
        <f ca="1">'1行'!H14</f>
        <v>2026/04/01</v>
      </c>
      <c r="H14" t="str">
        <f ca="1">'1行'!J14</f>
        <v xml:space="preserve">リスパダール細粒1% </v>
      </c>
      <c r="I14" t="str">
        <f ca="1">'1行'!O14</f>
        <v>10mg/g バラ 100g×1瓶</v>
      </c>
      <c r="J14" t="str">
        <f ca="1">'1行'!K14</f>
        <v>ヤンセンファーマ</v>
      </c>
      <c r="K14" t="str">
        <f ca="1">'1行'!F14</f>
        <v>4987672393189</v>
      </c>
      <c r="L14">
        <f ca="1">'1行'!D14</f>
        <v>1</v>
      </c>
      <c r="M14">
        <f ca="1">'1行'!L14</f>
        <v>1</v>
      </c>
      <c r="N14">
        <f ca="1">'1行'!E14</f>
        <v>0</v>
      </c>
    </row>
    <row r="15" spans="2:14" x14ac:dyDescent="0.45">
      <c r="B15" s="12"/>
      <c r="D15">
        <f ca="1">'1行'!M15</f>
        <v>11</v>
      </c>
      <c r="E15" t="str">
        <f ca="1">'1行'!G15</f>
        <v>2026/03/25</v>
      </c>
      <c r="F15" t="str">
        <f ca="1">'1行'!N15</f>
        <v>08:54:48</v>
      </c>
      <c r="G15" t="str">
        <f ca="1">'1行'!H15</f>
        <v>2026/04/01</v>
      </c>
      <c r="H15" t="str">
        <f ca="1">'1行'!J15</f>
        <v>ゼプリオン水懸筋注75mgシリンジ</v>
      </c>
      <c r="I15" t="str">
        <f ca="1">'1行'!O15</f>
        <v>75mg1キット×1キット</v>
      </c>
      <c r="J15" t="str">
        <f ca="1">'1行'!K15</f>
        <v>住友ファーマ</v>
      </c>
      <c r="K15" t="str">
        <f ca="1">'1行'!F15</f>
        <v>4987116011143</v>
      </c>
      <c r="L15">
        <f ca="1">'1行'!D15</f>
        <v>1</v>
      </c>
      <c r="M15">
        <f ca="1">'1行'!L15</f>
        <v>1</v>
      </c>
      <c r="N15">
        <f ca="1">'1行'!E15</f>
        <v>0</v>
      </c>
    </row>
    <row r="16" spans="2:14" x14ac:dyDescent="0.45">
      <c r="B16" s="12"/>
      <c r="D16">
        <f ca="1">'1行'!M16</f>
        <v>12</v>
      </c>
      <c r="E16" t="str">
        <f ca="1">'1行'!G16</f>
        <v>2026/03/25</v>
      </c>
      <c r="F16" t="str">
        <f ca="1">'1行'!N16</f>
        <v>08:54:48</v>
      </c>
      <c r="G16" t="str">
        <f ca="1">'1行'!H16</f>
        <v>2026/04/01</v>
      </c>
      <c r="H16" t="str">
        <f ca="1">'1行'!J16</f>
        <v>クエチアピン錠100mg「アメル」</v>
      </c>
      <c r="I16" t="str">
        <f ca="1">'1行'!O16</f>
        <v>100mg/錠 バラ 1000錠×1瓶</v>
      </c>
      <c r="J16" t="str">
        <f ca="1">'1行'!K16</f>
        <v>共和薬品工業</v>
      </c>
      <c r="K16" t="str">
        <f ca="1">'1行'!F16</f>
        <v>4987058195611</v>
      </c>
      <c r="L16">
        <f ca="1">'1行'!D16</f>
        <v>1</v>
      </c>
      <c r="M16">
        <f ca="1">'1行'!L16</f>
        <v>1</v>
      </c>
      <c r="N16">
        <f ca="1">'1行'!E16</f>
        <v>0</v>
      </c>
    </row>
    <row r="17" spans="2:14" x14ac:dyDescent="0.45">
      <c r="B17" s="12"/>
      <c r="D17">
        <f ca="1">'1行'!M17</f>
        <v>13</v>
      </c>
      <c r="E17" t="str">
        <f ca="1">'1行'!G17</f>
        <v>2026/03/25</v>
      </c>
      <c r="F17" t="str">
        <f ca="1">'1行'!N17</f>
        <v>08:54:48</v>
      </c>
      <c r="G17" t="str">
        <f ca="1">'1行'!H17</f>
        <v>2026/04/01</v>
      </c>
      <c r="H17" t="str">
        <f ca="1">'1行'!J17</f>
        <v xml:space="preserve">シングレア錠10mg </v>
      </c>
      <c r="I17" t="str">
        <f ca="1">'1行'!O17</f>
        <v>10mg/錠 PTP 10錠×10</v>
      </c>
      <c r="J17" t="str">
        <f ca="1">'1行'!K17</f>
        <v>オルガノン</v>
      </c>
      <c r="K17" t="str">
        <f ca="1">'1行'!F17</f>
        <v>4987954807175</v>
      </c>
      <c r="L17">
        <f ca="1">'1行'!D17</f>
        <v>1</v>
      </c>
      <c r="M17">
        <f ca="1">'1行'!L17</f>
        <v>1</v>
      </c>
      <c r="N17">
        <f ca="1">'1行'!E17</f>
        <v>0</v>
      </c>
    </row>
    <row r="18" spans="2:14" x14ac:dyDescent="0.45">
      <c r="B18" s="12"/>
      <c r="D18">
        <f ca="1">'1行'!M18</f>
        <v>14</v>
      </c>
      <c r="E18" t="str">
        <f ca="1">'1行'!G18</f>
        <v>2026/03/25</v>
      </c>
      <c r="F18" t="str">
        <f ca="1">'1行'!N18</f>
        <v>08:54:48</v>
      </c>
      <c r="G18" t="str">
        <f ca="1">'1行'!H18</f>
        <v>2026/04/01</v>
      </c>
      <c r="H18" t="str">
        <f ca="1">'1行'!J18</f>
        <v>炭酸リチウム錠200mg「大正」</v>
      </c>
      <c r="I18" t="str">
        <f ca="1">'1行'!O18</f>
        <v>200mg/錠 PTP 10錠×10</v>
      </c>
      <c r="J18" t="str">
        <f ca="1">'1行'!K18</f>
        <v>大正製薬</v>
      </c>
      <c r="K18" t="str">
        <f ca="1">'1行'!F18</f>
        <v>4987306054202</v>
      </c>
      <c r="L18">
        <f ca="1">'1行'!D18</f>
        <v>4</v>
      </c>
      <c r="M18">
        <f ca="1">'1行'!L18</f>
        <v>4</v>
      </c>
      <c r="N18">
        <f ca="1">'1行'!E18</f>
        <v>0</v>
      </c>
    </row>
    <row r="19" spans="2:14" x14ac:dyDescent="0.45">
      <c r="B19" s="12"/>
      <c r="D19">
        <f ca="1">'1行'!M19</f>
        <v>15</v>
      </c>
      <c r="E19" t="str">
        <f ca="1">'1行'!G19</f>
        <v>2026/03/25</v>
      </c>
      <c r="F19" t="str">
        <f ca="1">'1行'!N19</f>
        <v>08:54:48</v>
      </c>
      <c r="G19" t="str">
        <f ca="1">'1行'!H19</f>
        <v>2026/04/01</v>
      </c>
      <c r="H19" t="str">
        <f ca="1">'1行'!J19</f>
        <v>炭酸リチウム錠200mg「大正」</v>
      </c>
      <c r="I19" t="str">
        <f ca="1">'1行'!O19</f>
        <v>200mg/錠 バラ 1000錠×1瓶</v>
      </c>
      <c r="J19" t="str">
        <f ca="1">'1行'!K19</f>
        <v>大正製薬</v>
      </c>
      <c r="K19" t="str">
        <f ca="1">'1行'!F19</f>
        <v>4987306054240</v>
      </c>
      <c r="L19">
        <f ca="1">'1行'!D19</f>
        <v>1</v>
      </c>
      <c r="M19">
        <f ca="1">'1行'!L19</f>
        <v>1</v>
      </c>
      <c r="N19">
        <f ca="1">'1行'!E19</f>
        <v>0</v>
      </c>
    </row>
    <row r="20" spans="2:14" x14ac:dyDescent="0.45">
      <c r="B20" s="12"/>
      <c r="D20">
        <f ca="1">'1行'!M20</f>
        <v>16</v>
      </c>
      <c r="E20" t="str">
        <f ca="1">'1行'!G20</f>
        <v>2026/03/25</v>
      </c>
      <c r="F20" t="str">
        <f ca="1">'1行'!N20</f>
        <v>08:54:48</v>
      </c>
      <c r="G20" t="str">
        <f ca="1">'1行'!H20</f>
        <v>2026/04/01</v>
      </c>
      <c r="H20" t="str">
        <f ca="1">'1行'!J20</f>
        <v xml:space="preserve">グランダキシン錠50 </v>
      </c>
      <c r="I20" t="str">
        <f ca="1">'1行'!O20</f>
        <v>50mg/錠 PTP 10錠×10</v>
      </c>
      <c r="J20" t="str">
        <f ca="1">'1行'!K20</f>
        <v>持田製薬</v>
      </c>
      <c r="K20" t="str">
        <f ca="1">'1行'!F20</f>
        <v>4987224045009</v>
      </c>
      <c r="L20">
        <f ca="1">'1行'!D20</f>
        <v>1</v>
      </c>
      <c r="M20">
        <f ca="1">'1行'!L20</f>
        <v>1</v>
      </c>
      <c r="N20">
        <f ca="1">'1行'!E20</f>
        <v>0</v>
      </c>
    </row>
    <row r="21" spans="2:14" x14ac:dyDescent="0.45">
      <c r="B21" s="12"/>
      <c r="D21">
        <f ca="1">'1行'!M21</f>
        <v>17</v>
      </c>
      <c r="E21" t="str">
        <f ca="1">'1行'!G21</f>
        <v>2026/03/25</v>
      </c>
      <c r="F21" t="str">
        <f ca="1">'1行'!N21</f>
        <v>08:54:48</v>
      </c>
      <c r="G21" t="str">
        <f ca="1">'1行'!H21</f>
        <v>2026/04/01</v>
      </c>
      <c r="H21" t="str">
        <f ca="1">'1行'!J21</f>
        <v xml:space="preserve">レルパックス錠20mg </v>
      </c>
      <c r="I21" t="str">
        <f ca="1">'1行'!O21</f>
        <v>20mg/錠 PTP 10錠×1 (患者さん用パッケージ入り)</v>
      </c>
      <c r="J21" t="str">
        <f ca="1">'1行'!K21</f>
        <v>ヴィアトリス製薬</v>
      </c>
      <c r="K21" t="str">
        <f ca="1">'1行'!F21</f>
        <v>4987901012706</v>
      </c>
      <c r="L21">
        <f ca="1">'1行'!D21</f>
        <v>2</v>
      </c>
      <c r="M21">
        <f ca="1">'1行'!L21</f>
        <v>2</v>
      </c>
      <c r="N21">
        <f ca="1">'1行'!E21</f>
        <v>0</v>
      </c>
    </row>
    <row r="22" spans="2:14" x14ac:dyDescent="0.45">
      <c r="B22" s="12"/>
      <c r="D22">
        <f ca="1">'1行'!M22</f>
        <v>18</v>
      </c>
      <c r="E22" t="str">
        <f ca="1">'1行'!G22</f>
        <v>2026/03/25</v>
      </c>
      <c r="F22" t="str">
        <f ca="1">'1行'!N22</f>
        <v>08:54:48</v>
      </c>
      <c r="G22" t="str">
        <f ca="1">'1行'!H22</f>
        <v>2026/04/01</v>
      </c>
      <c r="H22" t="str">
        <f ca="1">'1行'!J22</f>
        <v>ノイロビタン配合錠</v>
      </c>
      <c r="I22" t="str">
        <f ca="1">'1行'!O22</f>
        <v>バラ 1000錠×1瓶</v>
      </c>
      <c r="J22" t="str">
        <f ca="1">'1行'!K22</f>
        <v>ＬＴＬファーマ</v>
      </c>
      <c r="K22" t="str">
        <f ca="1">'1行'!F22</f>
        <v>4987919100211</v>
      </c>
      <c r="L22">
        <f ca="1">'1行'!D22</f>
        <v>1</v>
      </c>
      <c r="M22">
        <f ca="1">'1行'!L22</f>
        <v>1</v>
      </c>
      <c r="N22">
        <f ca="1">'1行'!E22</f>
        <v>0</v>
      </c>
    </row>
    <row r="23" spans="2:14" x14ac:dyDescent="0.45">
      <c r="B23" s="12"/>
      <c r="D23">
        <f ca="1">'1行'!M23</f>
        <v>19</v>
      </c>
      <c r="E23" t="str">
        <f ca="1">'1行'!G23</f>
        <v>2026/03/25</v>
      </c>
      <c r="F23" t="str">
        <f ca="1">'1行'!N23</f>
        <v>08:54:48</v>
      </c>
      <c r="G23" t="str">
        <f ca="1">'1行'!H23</f>
        <v>2026/04/01</v>
      </c>
      <c r="H23" t="str">
        <f ca="1">'1行'!J23</f>
        <v xml:space="preserve">フォシーガ錠5mg </v>
      </c>
      <c r="I23" t="str">
        <f ca="1">'1行'!O23</f>
        <v>5mg/錠 PTP 10錠×10</v>
      </c>
      <c r="J23" t="str">
        <f ca="1">'1行'!K23</f>
        <v>小野薬品工業</v>
      </c>
      <c r="K23" t="str">
        <f ca="1">'1行'!F23</f>
        <v>4987039454386</v>
      </c>
      <c r="L23">
        <f ca="1">'1行'!D23</f>
        <v>5</v>
      </c>
      <c r="M23">
        <f ca="1">'1行'!L23</f>
        <v>5</v>
      </c>
      <c r="N23">
        <f ca="1">'1行'!E23</f>
        <v>0</v>
      </c>
    </row>
    <row r="24" spans="2:14" x14ac:dyDescent="0.45">
      <c r="B24" s="12"/>
      <c r="D24">
        <f ca="1">'1行'!M24</f>
        <v>20</v>
      </c>
      <c r="E24" t="str">
        <f ca="1">'1行'!G24</f>
        <v>2026/03/25</v>
      </c>
      <c r="F24" t="str">
        <f ca="1">'1行'!N24</f>
        <v>08:54:48</v>
      </c>
      <c r="G24" t="str">
        <f ca="1">'1行'!H24</f>
        <v>2026/04/01</v>
      </c>
      <c r="H24" t="str">
        <f ca="1">'1行'!J24</f>
        <v xml:space="preserve">フェロミア錠50mg </v>
      </c>
      <c r="I24" t="str">
        <f ca="1">'1行'!O24</f>
        <v>鉄50mg/錠 バラ 500錠×1瓶</v>
      </c>
      <c r="J24" t="str">
        <f ca="1">'1行'!K24</f>
        <v>エーザイ</v>
      </c>
      <c r="K24" t="str">
        <f ca="1">'1行'!F24</f>
        <v>4987028213468</v>
      </c>
      <c r="L24">
        <f ca="1">'1行'!D24</f>
        <v>1</v>
      </c>
      <c r="M24">
        <f ca="1">'1行'!L24</f>
        <v>1</v>
      </c>
      <c r="N24">
        <f ca="1">'1行'!E24</f>
        <v>0</v>
      </c>
    </row>
    <row r="25" spans="2:14" x14ac:dyDescent="0.45">
      <c r="B25" s="12"/>
      <c r="D25">
        <f ca="1">'1行'!M25</f>
        <v>21</v>
      </c>
      <c r="E25" t="str">
        <f ca="1">'1行'!G25</f>
        <v>2026/03/25</v>
      </c>
      <c r="F25" t="str">
        <f ca="1">'1行'!N25</f>
        <v>08:54:48</v>
      </c>
      <c r="G25" t="str">
        <f ca="1">'1行'!H25</f>
        <v>2026/04/01</v>
      </c>
      <c r="H25" t="str">
        <f ca="1">'1行'!J25</f>
        <v>アスパラギン酸カリウム注10mEqキット「テルモ」</v>
      </c>
      <c r="I25" t="str">
        <f ca="1">'1行'!O25</f>
        <v>17.12%10mL1キット×10キット (PFMS専用針1本添付)</v>
      </c>
      <c r="J25" t="str">
        <f ca="1">'1行'!K25</f>
        <v>テルモ</v>
      </c>
      <c r="K25" t="str">
        <f ca="1">'1行'!F25</f>
        <v>4987350027979</v>
      </c>
      <c r="L25">
        <f ca="1">'1行'!D25</f>
        <v>1</v>
      </c>
      <c r="M25">
        <f ca="1">'1行'!L25</f>
        <v>1</v>
      </c>
      <c r="N25">
        <f ca="1">'1行'!E25</f>
        <v>0</v>
      </c>
    </row>
    <row r="26" spans="2:14" x14ac:dyDescent="0.45">
      <c r="B26" s="12"/>
      <c r="D26">
        <f ca="1">'1行'!M26</f>
        <v>22</v>
      </c>
      <c r="E26" t="str">
        <f ca="1">'1行'!G26</f>
        <v>2026/03/25</v>
      </c>
      <c r="F26" t="str">
        <f ca="1">'1行'!N26</f>
        <v>08:54:48</v>
      </c>
      <c r="G26" t="str">
        <f ca="1">'1行'!H26</f>
        <v>2026/04/01</v>
      </c>
      <c r="H26" t="str">
        <f ca="1">'1行'!J26</f>
        <v>ビペリデン塩酸塩錠1mg「アメル」</v>
      </c>
      <c r="I26" t="str">
        <f ca="1">'1行'!O26</f>
        <v>1mg/錠 バラ 1000錠×1瓶</v>
      </c>
      <c r="J26" t="str">
        <f ca="1">'1行'!K26</f>
        <v>共和薬品工業</v>
      </c>
      <c r="K26" t="str">
        <f ca="1">'1行'!F26</f>
        <v>4987058097274</v>
      </c>
      <c r="L26">
        <f ca="1">'1行'!D26</f>
        <v>1</v>
      </c>
      <c r="M26">
        <f ca="1">'1行'!L26</f>
        <v>1</v>
      </c>
      <c r="N26">
        <f ca="1">'1行'!E26</f>
        <v>0</v>
      </c>
    </row>
    <row r="27" spans="2:14" x14ac:dyDescent="0.45">
      <c r="B27" s="12"/>
      <c r="D27">
        <f ca="1">'1行'!M27</f>
        <v>23</v>
      </c>
      <c r="E27" t="str">
        <f ca="1">'1行'!G27</f>
        <v>2026/03/25</v>
      </c>
      <c r="F27" t="str">
        <f ca="1">'1行'!N27</f>
        <v>08:54:48</v>
      </c>
      <c r="G27" t="str">
        <f ca="1">'1行'!H27</f>
        <v>2026/04/01</v>
      </c>
      <c r="H27" t="str">
        <f ca="1">'1行'!J27</f>
        <v xml:space="preserve">ベルソムラ錠15mg </v>
      </c>
      <c r="I27" t="str">
        <f ca="1">'1行'!O27</f>
        <v>15mg/錠 PTP 10錠×50</v>
      </c>
      <c r="J27" t="str">
        <f ca="1">'1行'!K27</f>
        <v>第一三共</v>
      </c>
      <c r="K27" t="str">
        <f ca="1">'1行'!F27</f>
        <v>4987081109227</v>
      </c>
      <c r="L27">
        <f ca="1">'1行'!D27</f>
        <v>1</v>
      </c>
      <c r="M27">
        <f ca="1">'1行'!L27</f>
        <v>1</v>
      </c>
      <c r="N27">
        <f ca="1">'1行'!E27</f>
        <v>0</v>
      </c>
    </row>
    <row r="28" spans="2:14" x14ac:dyDescent="0.45">
      <c r="B28" s="12"/>
      <c r="D28">
        <f ca="1">'1行'!M28</f>
        <v>24</v>
      </c>
      <c r="E28" t="str">
        <f ca="1">'1行'!G28</f>
        <v>2026/03/25</v>
      </c>
      <c r="F28" t="str">
        <f ca="1">'1行'!N28</f>
        <v>08:54:48</v>
      </c>
      <c r="G28" t="str">
        <f ca="1">'1行'!H28</f>
        <v>2026/04/01</v>
      </c>
      <c r="H28" t="str">
        <f ca="1">'1行'!J28</f>
        <v xml:space="preserve">メイラックス錠1mg </v>
      </c>
      <c r="I28" t="str">
        <f ca="1">'1行'!O28</f>
        <v>1mg/錠 PTP 10錠×50</v>
      </c>
      <c r="J28" t="str">
        <f ca="1">'1行'!K28</f>
        <v>Ｍｅｉｊｉ Ｓｅｉｋａ ファル</v>
      </c>
      <c r="K28" t="str">
        <f ca="1">'1行'!F28</f>
        <v>4987222742450</v>
      </c>
      <c r="L28">
        <f ca="1">'1行'!D28</f>
        <v>1</v>
      </c>
      <c r="M28">
        <f ca="1">'1行'!L28</f>
        <v>1</v>
      </c>
      <c r="N28">
        <f ca="1">'1行'!E28</f>
        <v>0</v>
      </c>
    </row>
    <row r="29" spans="2:14" x14ac:dyDescent="0.45">
      <c r="B29" s="12"/>
      <c r="D29">
        <f ca="1">'1行'!M29</f>
        <v>25</v>
      </c>
      <c r="E29" t="str">
        <f ca="1">'1行'!G29</f>
        <v>2026/03/25</v>
      </c>
      <c r="F29" t="str">
        <f ca="1">'1行'!N29</f>
        <v>08:54:48</v>
      </c>
      <c r="G29" t="str">
        <f ca="1">'1行'!H29</f>
        <v>2026/04/01</v>
      </c>
      <c r="H29" t="str">
        <f ca="1">'1行'!J29</f>
        <v>デュロキセチンカプセル20mg「DSEP」</v>
      </c>
      <c r="I29" t="str">
        <f ca="1">'1行'!O29</f>
        <v>20mg/カプセル バラ 500カプセル×1瓶</v>
      </c>
      <c r="J29" t="str">
        <f ca="1">'1行'!K29</f>
        <v>第一三共</v>
      </c>
      <c r="K29" t="str">
        <f ca="1">'1行'!F29</f>
        <v>4987081188444</v>
      </c>
      <c r="L29">
        <f ca="1">'1行'!D29</f>
        <v>1</v>
      </c>
      <c r="M29">
        <f ca="1">'1行'!L29</f>
        <v>1</v>
      </c>
      <c r="N29">
        <f ca="1">'1行'!E29</f>
        <v>0</v>
      </c>
    </row>
    <row r="30" spans="2:14" x14ac:dyDescent="0.45">
      <c r="B30" s="12"/>
      <c r="D30">
        <f ca="1">'1行'!M30</f>
        <v>26</v>
      </c>
      <c r="E30" t="str">
        <f ca="1">'1行'!G30</f>
        <v>2026/03/25</v>
      </c>
      <c r="F30" t="str">
        <f ca="1">'1行'!N30</f>
        <v>08:54:48</v>
      </c>
      <c r="G30" t="str">
        <f ca="1">'1行'!H30</f>
        <v>2026/04/01</v>
      </c>
      <c r="H30" t="str">
        <f ca="1">'1行'!J30</f>
        <v xml:space="preserve">チラーヂンS錠25μg </v>
      </c>
      <c r="I30" t="str">
        <f ca="1">'1行'!O30</f>
        <v>25μg/錠 バラ 500錠×1瓶</v>
      </c>
      <c r="J30" t="str">
        <f ca="1">'1行'!K30</f>
        <v>武田薬品工業</v>
      </c>
      <c r="K30" t="str">
        <f ca="1">'1行'!F30</f>
        <v>4987123155120</v>
      </c>
      <c r="L30">
        <f ca="1">'1行'!D30</f>
        <v>1</v>
      </c>
      <c r="M30">
        <f ca="1">'1行'!L30</f>
        <v>1</v>
      </c>
      <c r="N30">
        <f ca="1">'1行'!E30</f>
        <v>0</v>
      </c>
    </row>
    <row r="31" spans="2:14" x14ac:dyDescent="0.45">
      <c r="B31" s="12"/>
      <c r="D31">
        <f ca="1">'1行'!M31</f>
        <v>27</v>
      </c>
      <c r="E31" t="str">
        <f ca="1">'1行'!G31</f>
        <v>2026/03/25</v>
      </c>
      <c r="F31" t="str">
        <f ca="1">'1行'!N31</f>
        <v>08:54:48</v>
      </c>
      <c r="G31" t="str">
        <f ca="1">'1行'!H31</f>
        <v>2026/04/01</v>
      </c>
      <c r="H31" t="str">
        <f ca="1">'1行'!J31</f>
        <v xml:space="preserve">アクトシン軟膏3% </v>
      </c>
      <c r="I31" t="str">
        <f ca="1">'1行'!O31</f>
        <v>3%1g 30g×1本 (ポリエチレンチューブ)</v>
      </c>
      <c r="J31" t="str">
        <f ca="1">'1行'!K31</f>
        <v>マルホ</v>
      </c>
      <c r="K31" t="str">
        <f ca="1">'1行'!F31</f>
        <v>4987213109101</v>
      </c>
      <c r="L31">
        <f ca="1">'1行'!D31</f>
        <v>1</v>
      </c>
      <c r="M31">
        <f ca="1">'1行'!L31</f>
        <v>1</v>
      </c>
      <c r="N31">
        <f ca="1">'1行'!E31</f>
        <v>0</v>
      </c>
    </row>
    <row r="32" spans="2:14" x14ac:dyDescent="0.45">
      <c r="B32" s="12"/>
      <c r="D32">
        <f ca="1">'1行'!M32</f>
        <v>28</v>
      </c>
      <c r="E32" t="str">
        <f ca="1">'1行'!G32</f>
        <v>2026/03/25</v>
      </c>
      <c r="F32" t="str">
        <f ca="1">'1行'!N32</f>
        <v>08:54:48</v>
      </c>
      <c r="G32" t="str">
        <f ca="1">'1行'!H32</f>
        <v>2026/04/01</v>
      </c>
      <c r="H32" t="str">
        <f ca="1">'1行'!J32</f>
        <v xml:space="preserve">エブランチルカプセル15mg </v>
      </c>
      <c r="I32" t="str">
        <f ca="1">'1行'!O32</f>
        <v>15mg/カプセル バラ 500カプセル×1瓶</v>
      </c>
      <c r="J32" t="str">
        <f ca="1">'1行'!K32</f>
        <v>三和化学研究所</v>
      </c>
      <c r="K32" t="str">
        <f ca="1">'1行'!F32</f>
        <v>4987086511094</v>
      </c>
      <c r="L32">
        <f ca="1">'1行'!D32</f>
        <v>1</v>
      </c>
      <c r="M32">
        <f ca="1">'1行'!L32</f>
        <v>1</v>
      </c>
      <c r="N32">
        <f ca="1">'1行'!E32</f>
        <v>0</v>
      </c>
    </row>
    <row r="33" spans="2:14" x14ac:dyDescent="0.45">
      <c r="B33" s="12"/>
      <c r="D33">
        <f ca="1">'1行'!M33</f>
        <v>29</v>
      </c>
      <c r="E33" t="str">
        <f ca="1">'1行'!G33</f>
        <v>2026/03/25</v>
      </c>
      <c r="F33" t="str">
        <f ca="1">'1行'!N33</f>
        <v>08:54:48</v>
      </c>
      <c r="G33" t="str">
        <f ca="1">'1行'!H33</f>
        <v>2026/04/01</v>
      </c>
      <c r="H33" t="str">
        <f ca="1">'1行'!J33</f>
        <v>ラコサミド錠50mg「JG」</v>
      </c>
      <c r="I33" t="str">
        <f ca="1">'1行'!O33</f>
        <v>50mg/錠 PTP 10錠×10</v>
      </c>
      <c r="J33" t="str">
        <f ca="1">'1行'!K33</f>
        <v>日本ジェネリック</v>
      </c>
      <c r="K33" t="str">
        <f ca="1">'1行'!F33</f>
        <v>4987792104023</v>
      </c>
      <c r="L33">
        <f ca="1">'1行'!D33</f>
        <v>2</v>
      </c>
      <c r="M33">
        <f ca="1">'1行'!L33</f>
        <v>2</v>
      </c>
      <c r="N33">
        <f ca="1">'1行'!E33</f>
        <v>0</v>
      </c>
    </row>
    <row r="34" spans="2:14" x14ac:dyDescent="0.45">
      <c r="B34" s="12"/>
      <c r="D34">
        <f ca="1">'1行'!M34</f>
        <v>30</v>
      </c>
      <c r="E34" t="str">
        <f ca="1">'1行'!G34</f>
        <v>2026/03/25</v>
      </c>
      <c r="F34" t="str">
        <f ca="1">'1行'!N34</f>
        <v>08:54:48</v>
      </c>
      <c r="G34" t="str">
        <f ca="1">'1行'!H34</f>
        <v>2026/04/01</v>
      </c>
      <c r="H34" t="str">
        <f ca="1">'1行'!J34</f>
        <v xml:space="preserve">セララ錠50mg </v>
      </c>
      <c r="I34" t="str">
        <f ca="1">'1行'!O34</f>
        <v>50mg/錠 PTP 10錠×10</v>
      </c>
      <c r="J34" t="str">
        <f ca="1">'1行'!K34</f>
        <v>ヴィアトリス製薬</v>
      </c>
      <c r="K34" t="str">
        <f ca="1">'1行'!F34</f>
        <v>4987901006200</v>
      </c>
      <c r="L34">
        <f ca="1">'1行'!D34</f>
        <v>1</v>
      </c>
      <c r="M34">
        <f ca="1">'1行'!L34</f>
        <v>1</v>
      </c>
      <c r="N34">
        <f ca="1">'1行'!E34</f>
        <v>0</v>
      </c>
    </row>
    <row r="35" spans="2:14" x14ac:dyDescent="0.45">
      <c r="B35" s="12"/>
      <c r="C35" t="s">
        <v>2</v>
      </c>
      <c r="D35">
        <f ca="1">'1行'!M35</f>
        <v>31</v>
      </c>
      <c r="E35" t="str">
        <f ca="1">'1行'!G35</f>
        <v>2026/03/25</v>
      </c>
      <c r="F35" t="str">
        <f ca="1">'1行'!N35</f>
        <v>08:54:48</v>
      </c>
      <c r="G35" t="str">
        <f ca="1">'1行'!H35</f>
        <v>2026/04/01</v>
      </c>
      <c r="H35" t="str">
        <f ca="1">'1行'!J35</f>
        <v xml:space="preserve">オルメテックOD錠10mg </v>
      </c>
      <c r="I35" t="str">
        <f ca="1">'1行'!O35</f>
        <v>10mg/錠 PTP 10錠×10</v>
      </c>
      <c r="J35" t="str">
        <f ca="1">'1行'!K35</f>
        <v>第一三共</v>
      </c>
      <c r="K35" t="str">
        <f ca="1">'1行'!F35</f>
        <v>4987081103119</v>
      </c>
      <c r="L35">
        <f ca="1">'1行'!D35</f>
        <v>1</v>
      </c>
      <c r="M35">
        <f ca="1">'1行'!L35</f>
        <v>1</v>
      </c>
      <c r="N35">
        <f ca="1">'1行'!E35</f>
        <v>0</v>
      </c>
    </row>
    <row r="36" spans="2:14" x14ac:dyDescent="0.45">
      <c r="B36" s="12"/>
      <c r="D36">
        <f ca="1">'1行'!M36</f>
        <v>32</v>
      </c>
      <c r="E36" t="str">
        <f ca="1">'1行'!G36</f>
        <v>2026/03/25</v>
      </c>
      <c r="F36" t="str">
        <f ca="1">'1行'!N36</f>
        <v>08:54:48</v>
      </c>
      <c r="G36" t="str">
        <f ca="1">'1行'!H36</f>
        <v>2026/04/01</v>
      </c>
      <c r="H36" t="str">
        <f ca="1">'1行'!J36</f>
        <v xml:space="preserve">ビプレッソ徐放錠150mg </v>
      </c>
      <c r="I36" t="str">
        <f ca="1">'1行'!O36</f>
        <v>150mg/錠 PTP 10錠×10</v>
      </c>
      <c r="J36" t="str">
        <f ca="1">'1行'!K36</f>
        <v>共和薬品工業</v>
      </c>
      <c r="K36" t="str">
        <f ca="1">'1行'!F36</f>
        <v>4987058784280</v>
      </c>
      <c r="L36">
        <f ca="1">'1行'!D36</f>
        <v>1</v>
      </c>
      <c r="M36">
        <f ca="1">'1行'!L36</f>
        <v>1</v>
      </c>
      <c r="N36">
        <f ca="1">'1行'!E36</f>
        <v>0</v>
      </c>
    </row>
    <row r="37" spans="2:14" x14ac:dyDescent="0.45">
      <c r="B37" s="12"/>
      <c r="D37">
        <f ca="1">'1行'!M37</f>
        <v>33</v>
      </c>
      <c r="E37" t="str">
        <f ca="1">'1行'!G37</f>
        <v>2026/03/25</v>
      </c>
      <c r="F37" t="str">
        <f ca="1">'1行'!N37</f>
        <v>08:54:48</v>
      </c>
      <c r="G37" t="str">
        <f ca="1">'1行'!H37</f>
        <v>2026/04/01</v>
      </c>
      <c r="H37" t="str">
        <f ca="1">'1行'!J37</f>
        <v xml:space="preserve">ビソノテープ2mg </v>
      </c>
      <c r="I37" t="str">
        <f ca="1">'1行'!O37</f>
        <v>2mg1枚×70袋 (3cm×3cm)</v>
      </c>
      <c r="J37" t="str">
        <f ca="1">'1行'!K37</f>
        <v>トーアエイヨー</v>
      </c>
      <c r="K37" t="str">
        <f ca="1">'1行'!F37</f>
        <v>4987142381203</v>
      </c>
      <c r="L37">
        <f ca="1">'1行'!D37</f>
        <v>1</v>
      </c>
      <c r="M37">
        <f ca="1">'1行'!L37</f>
        <v>1</v>
      </c>
      <c r="N37">
        <f ca="1">'1行'!E37</f>
        <v>0</v>
      </c>
    </row>
    <row r="38" spans="2:14" x14ac:dyDescent="0.45">
      <c r="B38" s="12"/>
      <c r="D38">
        <f ca="1">'1行'!M38</f>
        <v>34</v>
      </c>
      <c r="E38" t="str">
        <f ca="1">'1行'!G38</f>
        <v>2026/03/25</v>
      </c>
      <c r="F38" t="str">
        <f ca="1">'1行'!N38</f>
        <v>08:54:48</v>
      </c>
      <c r="G38" t="str">
        <f ca="1">'1行'!H38</f>
        <v>2026/04/01</v>
      </c>
      <c r="H38" t="str">
        <f ca="1">'1行'!J38</f>
        <v xml:space="preserve">ビソノテープ4mg </v>
      </c>
      <c r="I38" t="str">
        <f ca="1">'1行'!O38</f>
        <v>4mg1枚×70袋 (4.25cm×4.25cm)</v>
      </c>
      <c r="J38" t="str">
        <f ca="1">'1行'!K38</f>
        <v>トーアエイヨー</v>
      </c>
      <c r="K38" t="str">
        <f ca="1">'1行'!F38</f>
        <v>4987142381401</v>
      </c>
      <c r="L38">
        <f ca="1">'1行'!D38</f>
        <v>1</v>
      </c>
      <c r="M38">
        <f ca="1">'1行'!L38</f>
        <v>1</v>
      </c>
      <c r="N38">
        <f ca="1">'1行'!E38</f>
        <v>0</v>
      </c>
    </row>
    <row r="39" spans="2:14" x14ac:dyDescent="0.45">
      <c r="B39" s="12"/>
      <c r="D39">
        <f ca="1">'1行'!M39</f>
        <v>35</v>
      </c>
      <c r="E39" t="str">
        <f ca="1">'1行'!G39</f>
        <v>2026/03/25</v>
      </c>
      <c r="F39" t="str">
        <f ca="1">'1行'!N39</f>
        <v>08:54:48</v>
      </c>
      <c r="G39" t="str">
        <f ca="1">'1行'!H39</f>
        <v>2026/04/01</v>
      </c>
      <c r="H39" t="str">
        <f ca="1">'1行'!J39</f>
        <v>フルニトラゼパム錠1mg「アメル」</v>
      </c>
      <c r="I39" t="str">
        <f ca="1">'1行'!O39</f>
        <v>1mg/錠 PTP 10錠×100</v>
      </c>
      <c r="J39" t="str">
        <f ca="1">'1行'!K39</f>
        <v>共和薬品工業</v>
      </c>
      <c r="K39" t="str">
        <f ca="1">'1行'!F39</f>
        <v>4987058565117</v>
      </c>
      <c r="L39">
        <f ca="1">'1行'!D39</f>
        <v>1</v>
      </c>
      <c r="M39">
        <f ca="1">'1行'!L39</f>
        <v>1</v>
      </c>
      <c r="N39">
        <f ca="1">'1行'!E39</f>
        <v>0</v>
      </c>
    </row>
    <row r="40" spans="2:14" x14ac:dyDescent="0.45">
      <c r="B40" s="12"/>
      <c r="D40">
        <f ca="1">'1行'!M40</f>
        <v>36</v>
      </c>
      <c r="E40" t="str">
        <f ca="1">'1行'!G40</f>
        <v>2026/03/25</v>
      </c>
      <c r="F40" t="str">
        <f ca="1">'1行'!N40</f>
        <v>08:54:48</v>
      </c>
      <c r="G40" t="str">
        <f ca="1">'1行'!H40</f>
        <v>2026/04/01</v>
      </c>
      <c r="H40" t="str">
        <f ca="1">'1行'!J40</f>
        <v>フルニトラゼパム錠2mg「アメル」</v>
      </c>
      <c r="I40" t="str">
        <f ca="1">'1行'!O40</f>
        <v>2mg/錠 PTP 10錠×100</v>
      </c>
      <c r="J40" t="str">
        <f ca="1">'1行'!K40</f>
        <v>共和薬品工業</v>
      </c>
      <c r="K40" t="str">
        <f ca="1">'1行'!F40</f>
        <v>4987058566114</v>
      </c>
      <c r="L40">
        <f ca="1">'1行'!D40</f>
        <v>1</v>
      </c>
      <c r="M40">
        <f ca="1">'1行'!L40</f>
        <v>1</v>
      </c>
      <c r="N40">
        <f ca="1">'1行'!E40</f>
        <v>0</v>
      </c>
    </row>
    <row r="41" spans="2:14" x14ac:dyDescent="0.45">
      <c r="B41" s="12"/>
      <c r="D41">
        <f ca="1">'1行'!M41</f>
        <v>37</v>
      </c>
      <c r="E41" t="str">
        <f ca="1">'1行'!G41</f>
        <v>2026/03/25</v>
      </c>
      <c r="F41" t="str">
        <f ca="1">'1行'!N41</f>
        <v>08:54:48</v>
      </c>
      <c r="G41" t="str">
        <f ca="1">'1行'!H41</f>
        <v>2026/04/01</v>
      </c>
      <c r="H41" t="str">
        <f ca="1">'1行'!J41</f>
        <v>セレスタミン配合錠</v>
      </c>
      <c r="I41" t="str">
        <f ca="1">'1行'!O41</f>
        <v>バラ 100錠×1瓶</v>
      </c>
      <c r="J41" t="str">
        <f ca="1">'1行'!K41</f>
        <v>高田製薬</v>
      </c>
      <c r="K41" t="str">
        <f ca="1">'1行'!F41</f>
        <v>4987120246012</v>
      </c>
      <c r="L41">
        <f ca="1">'1行'!D41</f>
        <v>1</v>
      </c>
      <c r="M41">
        <f ca="1">'1行'!L41</f>
        <v>1</v>
      </c>
      <c r="N41">
        <f ca="1">'1行'!E41</f>
        <v>0</v>
      </c>
    </row>
    <row r="42" spans="2:14" x14ac:dyDescent="0.45">
      <c r="B42" s="12"/>
      <c r="D42">
        <f ca="1">'1行'!M42</f>
        <v>38</v>
      </c>
      <c r="E42" t="str">
        <f ca="1">'1行'!G42</f>
        <v>2026/03/25</v>
      </c>
      <c r="F42" t="str">
        <f ca="1">'1行'!N42</f>
        <v>08:54:48</v>
      </c>
      <c r="G42" t="str">
        <f ca="1">'1行'!H42</f>
        <v>2026/04/01</v>
      </c>
      <c r="H42" t="str">
        <f ca="1">'1行'!J42</f>
        <v>フルニトラゼパム錠1mg「アメル」</v>
      </c>
      <c r="I42" t="str">
        <f ca="1">'1行'!O42</f>
        <v>1mg/錠 バラ 1000錠×1瓶</v>
      </c>
      <c r="J42" t="str">
        <f ca="1">'1行'!K42</f>
        <v>共和薬品工業</v>
      </c>
      <c r="K42" t="str">
        <f ca="1">'1行'!F42</f>
        <v>4987058565612</v>
      </c>
      <c r="L42">
        <f ca="1">'1行'!D42</f>
        <v>1</v>
      </c>
      <c r="M42">
        <f ca="1">'1行'!L42</f>
        <v>1</v>
      </c>
      <c r="N42">
        <f ca="1">'1行'!E42</f>
        <v>0</v>
      </c>
    </row>
    <row r="43" spans="2:14" x14ac:dyDescent="0.45">
      <c r="B43" s="12"/>
      <c r="D43">
        <f ca="1">'1行'!M43</f>
        <v>39</v>
      </c>
      <c r="E43" t="str">
        <f ca="1">'1行'!G43</f>
        <v>2026/03/25</v>
      </c>
      <c r="F43" t="str">
        <f ca="1">'1行'!N43</f>
        <v>08:54:48</v>
      </c>
      <c r="G43" t="str">
        <f ca="1">'1行'!H43</f>
        <v>2026/04/01</v>
      </c>
      <c r="H43" t="str">
        <f ca="1">'1行'!J43</f>
        <v>フルニトラゼパム錠2mg「アメル」</v>
      </c>
      <c r="I43" t="str">
        <f ca="1">'1行'!O43</f>
        <v>2mg/錠 バラ 1000錠×1瓶</v>
      </c>
      <c r="J43" t="str">
        <f ca="1">'1行'!K43</f>
        <v>共和薬品工業</v>
      </c>
      <c r="K43" t="str">
        <f ca="1">'1行'!F43</f>
        <v>4987058566619</v>
      </c>
      <c r="L43">
        <f ca="1">'1行'!D43</f>
        <v>1</v>
      </c>
      <c r="M43">
        <f ca="1">'1行'!L43</f>
        <v>1</v>
      </c>
      <c r="N43">
        <f ca="1">'1行'!E43</f>
        <v>0</v>
      </c>
    </row>
    <row r="44" spans="2:14" x14ac:dyDescent="0.45">
      <c r="B44" s="12"/>
      <c r="D44">
        <f ca="1">'1行'!M44</f>
        <v>40</v>
      </c>
      <c r="E44" t="str">
        <f ca="1">'1行'!G44</f>
        <v>2026/03/25</v>
      </c>
      <c r="F44" t="str">
        <f ca="1">'1行'!N44</f>
        <v>08:54:48</v>
      </c>
      <c r="G44" t="str">
        <f ca="1">'1行'!H44</f>
        <v>2026/04/01</v>
      </c>
      <c r="H44" t="str">
        <f ca="1">'1行'!J44</f>
        <v>クエチアピン錠25mg「アメル」</v>
      </c>
      <c r="I44" t="str">
        <f ca="1">'1行'!O44</f>
        <v>25mg/錠 バラ 1000錠×1瓶</v>
      </c>
      <c r="J44" t="str">
        <f ca="1">'1行'!K44</f>
        <v>共和薬品工業</v>
      </c>
      <c r="K44" t="str">
        <f ca="1">'1行'!F44</f>
        <v>4987058193617</v>
      </c>
      <c r="L44">
        <f ca="1">'1行'!D44</f>
        <v>2</v>
      </c>
      <c r="M44">
        <f ca="1">'1行'!L44</f>
        <v>2</v>
      </c>
      <c r="N44">
        <f ca="1">'1行'!E44</f>
        <v>0</v>
      </c>
    </row>
    <row r="45" spans="2:14" x14ac:dyDescent="0.45">
      <c r="B45" s="12"/>
      <c r="D45">
        <f ca="1">'1行'!M45</f>
        <v>41</v>
      </c>
      <c r="E45" t="str">
        <f ca="1">'1行'!G45</f>
        <v>2026/03/25</v>
      </c>
      <c r="F45" t="str">
        <f ca="1">'1行'!N45</f>
        <v>08:54:48</v>
      </c>
      <c r="G45" t="str">
        <f ca="1">'1行'!H45</f>
        <v>2026/04/01</v>
      </c>
      <c r="H45" t="str">
        <f ca="1">'1行'!J45</f>
        <v xml:space="preserve">デパケンR錠200mg </v>
      </c>
      <c r="I45" t="str">
        <f ca="1">'1行'!O45</f>
        <v>200mg/錠 バラ 1000錠×1瓶</v>
      </c>
      <c r="J45" t="str">
        <f ca="1">'1行'!K45</f>
        <v>日医工</v>
      </c>
      <c r="K45" t="str">
        <f ca="1">'1行'!F45</f>
        <v>4987376850223</v>
      </c>
      <c r="L45">
        <f ca="1">'1行'!D45</f>
        <v>1</v>
      </c>
      <c r="M45">
        <f ca="1">'1行'!L45</f>
        <v>1</v>
      </c>
      <c r="N45">
        <f ca="1">'1行'!E45</f>
        <v>0</v>
      </c>
    </row>
    <row r="46" spans="2:14" x14ac:dyDescent="0.45">
      <c r="B46" s="12"/>
      <c r="D46">
        <f ca="1">'1行'!M46</f>
        <v>42</v>
      </c>
      <c r="E46" t="str">
        <f ca="1">'1行'!G46</f>
        <v>2026/03/25</v>
      </c>
      <c r="F46" t="str">
        <f ca="1">'1行'!N46</f>
        <v>08:54:48</v>
      </c>
      <c r="G46" t="str">
        <f ca="1">'1行'!H46</f>
        <v>2026/04/01</v>
      </c>
      <c r="H46" t="str">
        <f ca="1">'1行'!J46</f>
        <v>イベニティ皮下注105mgシリンジ</v>
      </c>
      <c r="I46" t="str">
        <f ca="1">'1行'!O46</f>
        <v>105mg1.17mL1筒×2筒</v>
      </c>
      <c r="J46" t="str">
        <f ca="1">'1行'!K46</f>
        <v>アステラス製薬</v>
      </c>
      <c r="K46" t="str">
        <f ca="1">'1行'!F46</f>
        <v>4987233105220</v>
      </c>
      <c r="L46">
        <f ca="1">'1行'!D46</f>
        <v>5</v>
      </c>
      <c r="M46">
        <f ca="1">'1行'!L46</f>
        <v>5</v>
      </c>
      <c r="N46">
        <f ca="1">'1行'!E46</f>
        <v>0</v>
      </c>
    </row>
    <row r="47" spans="2:14" x14ac:dyDescent="0.45">
      <c r="B47" s="12"/>
      <c r="D47">
        <f ca="1">'1行'!M47</f>
        <v>43</v>
      </c>
      <c r="E47" t="str">
        <f ca="1">'1行'!G47</f>
        <v>2026/03/25</v>
      </c>
      <c r="F47" t="str">
        <f ca="1">'1行'!N47</f>
        <v>08:54:48</v>
      </c>
      <c r="G47" t="str">
        <f ca="1">'1行'!H47</f>
        <v>2026/04/01</v>
      </c>
      <c r="H47" t="str">
        <f ca="1">'1行'!J47</f>
        <v>プレガバリンOD錠75mg「サワイ」</v>
      </c>
      <c r="I47" t="str">
        <f ca="1">'1行'!O47</f>
        <v>75mg/錠 PTP 10錠×10</v>
      </c>
      <c r="J47" t="str">
        <f ca="1">'1行'!K47</f>
        <v>沢井製薬</v>
      </c>
      <c r="K47" t="str">
        <f ca="1">'1行'!F47</f>
        <v>4987080471714</v>
      </c>
      <c r="L47">
        <f ca="1">'1行'!D47</f>
        <v>1</v>
      </c>
      <c r="M47">
        <f ca="1">'1行'!L47</f>
        <v>1</v>
      </c>
      <c r="N47">
        <f ca="1">'1行'!E47</f>
        <v>0</v>
      </c>
    </row>
    <row r="48" spans="2:14" x14ac:dyDescent="0.45">
      <c r="B48" s="12"/>
      <c r="D48">
        <f ca="1">'1行'!M48</f>
        <v>44</v>
      </c>
      <c r="E48" t="str">
        <f ca="1">'1行'!G48</f>
        <v>2026/03/25</v>
      </c>
      <c r="F48" t="str">
        <f ca="1">'1行'!N48</f>
        <v>08:54:48</v>
      </c>
      <c r="G48" t="str">
        <f ca="1">'1行'!H48</f>
        <v>2026/04/01</v>
      </c>
      <c r="H48" t="str">
        <f ca="1">'1行'!J48</f>
        <v xml:space="preserve">ロゼレム錠8mg </v>
      </c>
      <c r="I48" t="str">
        <f ca="1">'1行'!O48</f>
        <v>8mg/錠 PTP 10錠×10</v>
      </c>
      <c r="J48" t="str">
        <f ca="1">'1行'!K48</f>
        <v>武田薬品工業</v>
      </c>
      <c r="K48" t="str">
        <f ca="1">'1行'!F48</f>
        <v>4987123143936</v>
      </c>
      <c r="L48">
        <f ca="1">'1行'!D48</f>
        <v>1</v>
      </c>
      <c r="M48">
        <f ca="1">'1行'!L48</f>
        <v>1</v>
      </c>
      <c r="N48">
        <f ca="1">'1行'!E48</f>
        <v>0</v>
      </c>
    </row>
    <row r="49" spans="2:14" x14ac:dyDescent="0.45">
      <c r="B49" s="12"/>
      <c r="D49">
        <f ca="1">'1行'!M49</f>
        <v>45</v>
      </c>
      <c r="E49" t="str">
        <f ca="1">'1行'!G49</f>
        <v>2026/03/25</v>
      </c>
      <c r="F49" t="str">
        <f ca="1">'1行'!N49</f>
        <v>08:54:48</v>
      </c>
      <c r="G49" t="str">
        <f ca="1">'1行'!H49</f>
        <v>2026/04/01</v>
      </c>
      <c r="H49" t="str">
        <f ca="1">'1行'!J49</f>
        <v>メマンチン塩酸塩OD錠20mg「DSEP」</v>
      </c>
      <c r="I49" t="str">
        <f ca="1">'1行'!O49</f>
        <v>20mg/錠 バラ 100錠×1瓶</v>
      </c>
      <c r="J49" t="str">
        <f ca="1">'1行'!K49</f>
        <v>第一三共</v>
      </c>
      <c r="K49" t="str">
        <f ca="1">'1行'!F49</f>
        <v>4987081189427</v>
      </c>
      <c r="L49">
        <f ca="1">'1行'!D49</f>
        <v>5</v>
      </c>
      <c r="M49">
        <f ca="1">'1行'!L49</f>
        <v>5</v>
      </c>
      <c r="N49">
        <f ca="1">'1行'!E49</f>
        <v>0</v>
      </c>
    </row>
    <row r="50" spans="2:14" x14ac:dyDescent="0.45">
      <c r="B50" s="12"/>
      <c r="D50">
        <f ca="1">'1行'!M50</f>
        <v>46</v>
      </c>
      <c r="E50" t="str">
        <f ca="1">'1行'!G50</f>
        <v>2026/03/25</v>
      </c>
      <c r="F50" t="str">
        <f ca="1">'1行'!N50</f>
        <v>08:54:48</v>
      </c>
      <c r="G50" t="str">
        <f ca="1">'1行'!H50</f>
        <v>2026/04/01</v>
      </c>
      <c r="H50" t="str">
        <f ca="1">'1行'!J50</f>
        <v>メマンチン塩酸塩OD錠5mg「DSEP」</v>
      </c>
      <c r="I50" t="str">
        <f ca="1">'1行'!O50</f>
        <v>5mg/錠 バラ 100錠×1瓶</v>
      </c>
      <c r="J50" t="str">
        <f ca="1">'1行'!K50</f>
        <v>第一三共</v>
      </c>
      <c r="K50" t="str">
        <f ca="1">'1行'!F50</f>
        <v>4987081189328</v>
      </c>
      <c r="L50">
        <f ca="1">'1行'!D50</f>
        <v>5</v>
      </c>
      <c r="M50">
        <f ca="1">'1行'!L50</f>
        <v>5</v>
      </c>
      <c r="N50">
        <f ca="1">'1行'!E50</f>
        <v>0</v>
      </c>
    </row>
    <row r="51" spans="2:14" x14ac:dyDescent="0.45">
      <c r="B51" s="12"/>
      <c r="D51">
        <f ca="1">'1行'!M51</f>
        <v>47</v>
      </c>
      <c r="E51" t="str">
        <f ca="1">'1行'!G51</f>
        <v>2026/03/25</v>
      </c>
      <c r="F51" t="str">
        <f ca="1">'1行'!N51</f>
        <v>08:54:48</v>
      </c>
      <c r="G51" t="str">
        <f ca="1">'1行'!H51</f>
        <v>2026/04/01</v>
      </c>
      <c r="H51" t="str">
        <f ca="1">'1行'!J51</f>
        <v xml:space="preserve">ベルソムラ錠20mg </v>
      </c>
      <c r="I51" t="str">
        <f ca="1">'1行'!O51</f>
        <v>20mg/錠 PTP 10錠×10</v>
      </c>
      <c r="J51" t="str">
        <f ca="1">'1行'!K51</f>
        <v>第一三共</v>
      </c>
      <c r="K51" t="str">
        <f ca="1">'1行'!F51</f>
        <v>4987081109234</v>
      </c>
      <c r="L51">
        <f ca="1">'1行'!D51</f>
        <v>3</v>
      </c>
      <c r="M51">
        <f ca="1">'1行'!L51</f>
        <v>3</v>
      </c>
      <c r="N51">
        <f ca="1">'1行'!E51</f>
        <v>0</v>
      </c>
    </row>
    <row r="52" spans="2:14" x14ac:dyDescent="0.45">
      <c r="B52" s="12"/>
      <c r="D52">
        <f ca="1">'1行'!M52</f>
        <v>48</v>
      </c>
      <c r="E52" t="str">
        <f ca="1">'1行'!G52</f>
        <v>2026/03/25</v>
      </c>
      <c r="F52" t="str">
        <f ca="1">'1行'!N52</f>
        <v>08:54:48</v>
      </c>
      <c r="G52" t="str">
        <f ca="1">'1行'!H52</f>
        <v>2026/04/01</v>
      </c>
      <c r="H52" t="str">
        <f ca="1">'1行'!J52</f>
        <v xml:space="preserve">フィコンパ錠2mg </v>
      </c>
      <c r="I52" t="str">
        <f ca="1">'1行'!O52</f>
        <v>2mg/錠 PTP 14錠×4</v>
      </c>
      <c r="J52" t="str">
        <f ca="1">'1行'!K52</f>
        <v>エーザイ</v>
      </c>
      <c r="K52" t="str">
        <f ca="1">'1行'!F52</f>
        <v>4987028203940</v>
      </c>
      <c r="L52">
        <f ca="1">'1行'!D52</f>
        <v>1</v>
      </c>
      <c r="M52">
        <f ca="1">'1行'!L52</f>
        <v>1</v>
      </c>
      <c r="N52">
        <f ca="1">'1行'!E52</f>
        <v>0</v>
      </c>
    </row>
    <row r="53" spans="2:14" x14ac:dyDescent="0.45">
      <c r="B53" s="12"/>
      <c r="D53">
        <f ca="1">'1行'!M53</f>
        <v>49</v>
      </c>
      <c r="E53" t="str">
        <f ca="1">'1行'!G53</f>
        <v>2026/03/25</v>
      </c>
      <c r="F53" t="str">
        <f ca="1">'1行'!N53</f>
        <v>08:54:48</v>
      </c>
      <c r="G53" t="str">
        <f ca="1">'1行'!H53</f>
        <v>2026/04/01</v>
      </c>
      <c r="H53" t="str">
        <f ca="1">'1行'!J53</f>
        <v>アジルサルタンOD錠20mg「サワイ」</v>
      </c>
      <c r="I53" t="str">
        <f ca="1">'1行'!O53</f>
        <v>20mg/錠 PTP 10錠×10</v>
      </c>
      <c r="J53" t="str">
        <f ca="1">'1行'!K53</f>
        <v>沢井製薬</v>
      </c>
      <c r="K53" t="str">
        <f ca="1">'1行'!F53</f>
        <v>4987080075516</v>
      </c>
      <c r="L53">
        <f ca="1">'1行'!D53</f>
        <v>2</v>
      </c>
      <c r="M53">
        <f ca="1">'1行'!L53</f>
        <v>2</v>
      </c>
      <c r="N53">
        <f ca="1">'1行'!E53</f>
        <v>0</v>
      </c>
    </row>
    <row r="54" spans="2:14" x14ac:dyDescent="0.45">
      <c r="B54" s="12"/>
      <c r="D54">
        <f ca="1">'1行'!M54</f>
        <v>50</v>
      </c>
      <c r="E54" t="str">
        <f ca="1">'1行'!G54</f>
        <v>2026/03/25</v>
      </c>
      <c r="F54" t="str">
        <f ca="1">'1行'!N54</f>
        <v>08:54:48</v>
      </c>
      <c r="G54" t="str">
        <f ca="1">'1行'!H54</f>
        <v>2026/04/01</v>
      </c>
      <c r="H54" t="str">
        <f ca="1">'1行'!J54</f>
        <v xml:space="preserve">アミティーザカプセル24μg </v>
      </c>
      <c r="I54" t="str">
        <f ca="1">'1行'!O54</f>
        <v>24μg/カプセル PTP 10カプセル×50</v>
      </c>
      <c r="J54" t="str">
        <f ca="1">'1行'!K54</f>
        <v>ヴィアトリス製薬</v>
      </c>
      <c r="K54" t="str">
        <f ca="1">'1行'!F54</f>
        <v>4987901110303</v>
      </c>
      <c r="L54">
        <f ca="1">'1行'!D54</f>
        <v>1</v>
      </c>
      <c r="M54">
        <f ca="1">'1行'!L54</f>
        <v>1</v>
      </c>
      <c r="N54">
        <f ca="1">'1行'!E54</f>
        <v>0</v>
      </c>
    </row>
    <row r="55" spans="2:14" x14ac:dyDescent="0.45">
      <c r="B55" s="12"/>
      <c r="D55">
        <f ca="1">'1行'!M55</f>
        <v>51</v>
      </c>
      <c r="E55" t="str">
        <f ca="1">'1行'!G55</f>
        <v>2026/03/25</v>
      </c>
      <c r="F55" t="str">
        <f ca="1">'1行'!N55</f>
        <v>08:54:48</v>
      </c>
      <c r="G55" t="str">
        <f ca="1">'1行'!H55</f>
        <v>2026/04/01</v>
      </c>
      <c r="H55" t="str">
        <f ca="1">'1行'!J55</f>
        <v xml:space="preserve">リスパダール内用液1mg/mL </v>
      </c>
      <c r="I55" t="str">
        <f ca="1">'1行'!O55</f>
        <v>1mg/mL 1mL×50包</v>
      </c>
      <c r="J55" t="str">
        <f ca="1">'1行'!K55</f>
        <v>ヤンセンファーマ</v>
      </c>
      <c r="K55" t="str">
        <f ca="1">'1行'!F55</f>
        <v>4987672794160</v>
      </c>
      <c r="L55">
        <f ca="1">'1行'!D55</f>
        <v>5</v>
      </c>
      <c r="M55">
        <f ca="1">'1行'!L55</f>
        <v>5</v>
      </c>
      <c r="N55">
        <f ca="1">'1行'!E55</f>
        <v>0</v>
      </c>
    </row>
    <row r="56" spans="2:14" x14ac:dyDescent="0.45">
      <c r="B56" s="12"/>
      <c r="D56">
        <f ca="1">'1行'!M56</f>
        <v>52</v>
      </c>
      <c r="E56" t="str">
        <f ca="1">'1行'!G56</f>
        <v>2026/03/25</v>
      </c>
      <c r="F56" t="str">
        <f ca="1">'1行'!N56</f>
        <v>08:54:48</v>
      </c>
      <c r="G56" t="str">
        <f ca="1">'1行'!H56</f>
        <v>2026/04/01</v>
      </c>
      <c r="H56" t="str">
        <f ca="1">'1行'!J56</f>
        <v>トレシーバ注 フレックスタッチ</v>
      </c>
      <c r="I56" t="str">
        <f ca="1">'1行'!O56</f>
        <v>300単位1キット×2キット</v>
      </c>
      <c r="J56" t="str">
        <f ca="1">'1行'!K56</f>
        <v>ノボノルディスクファーマ</v>
      </c>
      <c r="K56" t="str">
        <f ca="1">'1行'!F56</f>
        <v>4987616003167</v>
      </c>
      <c r="L56">
        <f ca="1">'1行'!D56</f>
        <v>1</v>
      </c>
      <c r="M56">
        <f ca="1">'1行'!L56</f>
        <v>1</v>
      </c>
      <c r="N56">
        <f ca="1">'1行'!E56</f>
        <v>0</v>
      </c>
    </row>
    <row r="57" spans="2:14" ht="18.600000000000001" thickBot="1" x14ac:dyDescent="0.5">
      <c r="B57" s="13"/>
      <c r="D57">
        <f ca="1">'1行'!M57</f>
        <v>53</v>
      </c>
      <c r="E57" t="str">
        <f ca="1">'1行'!G57</f>
        <v>2026/03/25</v>
      </c>
      <c r="F57" t="str">
        <f ca="1">'1行'!N57</f>
        <v>08:54:48</v>
      </c>
      <c r="G57" t="str">
        <f ca="1">'1行'!H57</f>
        <v>2026/04/01</v>
      </c>
      <c r="H57" t="str">
        <f ca="1">'1行'!J57</f>
        <v>ゼプリオン水懸筋注100mgシリンジ</v>
      </c>
      <c r="I57" t="str">
        <f ca="1">'1行'!O57</f>
        <v>100mg1キット×1キット</v>
      </c>
      <c r="J57" t="str">
        <f ca="1">'1行'!K57</f>
        <v>住友ファーマ</v>
      </c>
      <c r="K57" t="str">
        <f ca="1">'1行'!F57</f>
        <v>4987116011150</v>
      </c>
      <c r="L57">
        <f ca="1">'1行'!D57</f>
        <v>1</v>
      </c>
      <c r="M57">
        <f ca="1">'1行'!L57</f>
        <v>1</v>
      </c>
      <c r="N57">
        <f ca="1">'1行'!E57</f>
        <v>0</v>
      </c>
    </row>
    <row r="58" spans="2:14" x14ac:dyDescent="0.45">
      <c r="B58" s="14" t="s">
        <v>5</v>
      </c>
      <c r="D58">
        <f ca="1">'1行'!M58</f>
        <v>1</v>
      </c>
      <c r="E58" t="str">
        <f ca="1">'1行'!G58</f>
        <v>2026/03/26</v>
      </c>
      <c r="F58" t="str">
        <f ca="1">'1行'!N58</f>
        <v>15:43:55</v>
      </c>
      <c r="G58" t="str">
        <f ca="1">'1行'!H58</f>
        <v>2026/03/26</v>
      </c>
      <c r="H58" t="str">
        <f ca="1">'1行'!J58</f>
        <v xml:space="preserve">モビコール配合内用剤LD </v>
      </c>
      <c r="I58" t="str">
        <f ca="1">'1行'!O58</f>
        <v>分包 6.8523g1包×100包</v>
      </c>
      <c r="J58" t="str">
        <f ca="1">'1行'!K58</f>
        <v>持田製薬</v>
      </c>
      <c r="K58" t="str">
        <f ca="1">'1行'!F58</f>
        <v>4987224143521</v>
      </c>
      <c r="L58">
        <f ca="1">'1行'!D58</f>
        <v>2</v>
      </c>
      <c r="M58">
        <f ca="1">'1行'!L58</f>
        <v>2</v>
      </c>
      <c r="N58">
        <f ca="1">'1行'!E58</f>
        <v>0</v>
      </c>
    </row>
    <row r="59" spans="2:14" x14ac:dyDescent="0.45">
      <c r="B59" s="15"/>
      <c r="D59">
        <f ca="1">'1行'!M59</f>
        <v>2</v>
      </c>
      <c r="E59" t="str">
        <f ca="1">'1行'!G59</f>
        <v>2026/03/26</v>
      </c>
      <c r="F59" t="str">
        <f ca="1">'1行'!N59</f>
        <v>15:43:55</v>
      </c>
      <c r="G59" t="str">
        <f ca="1">'1行'!H59</f>
        <v>2026/03/26</v>
      </c>
      <c r="H59" t="str">
        <f ca="1">'1行'!J59</f>
        <v xml:space="preserve">ツムラ抑肝散エキス顆粒(医療用) </v>
      </c>
      <c r="I59" t="str">
        <f ca="1">'1行'!O59</f>
        <v>分包 2.5g×189包</v>
      </c>
      <c r="J59" t="str">
        <f ca="1">'1行'!K59</f>
        <v>ツムラ</v>
      </c>
      <c r="K59" t="str">
        <f ca="1">'1行'!F59</f>
        <v>4987138805430</v>
      </c>
      <c r="L59">
        <f ca="1">'1行'!D59</f>
        <v>2</v>
      </c>
      <c r="M59">
        <f ca="1">'1行'!L59</f>
        <v>2</v>
      </c>
      <c r="N59">
        <f ca="1">'1行'!E59</f>
        <v>0</v>
      </c>
    </row>
    <row r="60" spans="2:14" x14ac:dyDescent="0.45">
      <c r="B60" s="15"/>
      <c r="D60">
        <f ca="1">'1行'!M60</f>
        <v>3</v>
      </c>
      <c r="E60" t="str">
        <f ca="1">'1行'!G60</f>
        <v>2026/03/26</v>
      </c>
      <c r="F60" t="str">
        <f ca="1">'1行'!N60</f>
        <v>15:43:55</v>
      </c>
      <c r="G60" t="str">
        <f ca="1">'1行'!H60</f>
        <v>2026/03/26</v>
      </c>
      <c r="H60" t="str">
        <f ca="1">'1行'!J60</f>
        <v xml:space="preserve">ソルデム1輸液　200ｍｌ </v>
      </c>
      <c r="I60" t="str">
        <f ca="1">'1行'!O60</f>
        <v>200mL×30袋</v>
      </c>
      <c r="J60" t="str">
        <f ca="1">'1行'!K60</f>
        <v>テルモ</v>
      </c>
      <c r="K60" t="str">
        <f ca="1">'1行'!F60</f>
        <v>4987350088710</v>
      </c>
      <c r="L60">
        <f ca="1">'1行'!D60</f>
        <v>2</v>
      </c>
      <c r="M60">
        <f ca="1">'1行'!L60</f>
        <v>2</v>
      </c>
      <c r="N60">
        <f ca="1">'1行'!E60</f>
        <v>0</v>
      </c>
    </row>
    <row r="61" spans="2:14" x14ac:dyDescent="0.45">
      <c r="B61" s="15"/>
      <c r="D61">
        <f ca="1">'1行'!M61</f>
        <v>4</v>
      </c>
      <c r="E61" t="str">
        <f ca="1">'1行'!G61</f>
        <v>2026/03/26</v>
      </c>
      <c r="F61" t="str">
        <f ca="1">'1行'!N61</f>
        <v>15:43:55</v>
      </c>
      <c r="G61" t="str">
        <f ca="1">'1行'!H61</f>
        <v>2026/03/26</v>
      </c>
      <c r="H61" t="str">
        <f ca="1">'1行'!J61</f>
        <v xml:space="preserve">ラスビック点滴静注キット150mg </v>
      </c>
      <c r="I61" t="str">
        <f ca="1">'1行'!O61</f>
        <v>150mg1キット×1キット (76mL専用希釈液(注入針入り支持筒付容器付))</v>
      </c>
      <c r="J61" t="str">
        <f ca="1">'1行'!K61</f>
        <v>杏林製薬</v>
      </c>
      <c r="K61" t="str">
        <f ca="1">'1行'!F61</f>
        <v>4987060008909</v>
      </c>
      <c r="L61">
        <f ca="1">'1行'!D61</f>
        <v>3</v>
      </c>
      <c r="M61">
        <f ca="1">'1行'!L61</f>
        <v>3</v>
      </c>
      <c r="N61">
        <f ca="1">'1行'!E61</f>
        <v>0</v>
      </c>
    </row>
    <row r="62" spans="2:14" x14ac:dyDescent="0.45">
      <c r="B62" s="15"/>
      <c r="C62" s="1" t="s">
        <v>2</v>
      </c>
      <c r="D62">
        <f ca="1">'1行'!M62</f>
        <v>5</v>
      </c>
      <c r="E62" t="str">
        <f ca="1">'1行'!G62</f>
        <v>2026/03/26</v>
      </c>
      <c r="F62" t="str">
        <f ca="1">'1行'!N62</f>
        <v>15:43:55</v>
      </c>
      <c r="G62" t="str">
        <f ca="1">'1行'!H62</f>
        <v>2026/03/26</v>
      </c>
      <c r="H62" t="str">
        <f ca="1">'1行'!J62</f>
        <v xml:space="preserve">グリセリン浣腸液50%「ムネ」60mL </v>
      </c>
      <c r="I62" t="str">
        <f ca="1">'1行'!O62</f>
        <v>50%60mL1個×10個 (ポリ)</v>
      </c>
      <c r="J62" t="str">
        <f ca="1">'1行'!K62</f>
        <v>丸石製薬</v>
      </c>
      <c r="K62" t="str">
        <f ca="1">'1行'!F62</f>
        <v>4987211123710</v>
      </c>
      <c r="L62">
        <f ca="1">'1行'!D62</f>
        <v>12</v>
      </c>
      <c r="M62">
        <f ca="1">'1行'!L62</f>
        <v>12</v>
      </c>
      <c r="N62">
        <f ca="1">'1行'!E62</f>
        <v>0</v>
      </c>
    </row>
    <row r="63" spans="2:14" x14ac:dyDescent="0.45">
      <c r="B63" s="15"/>
      <c r="D63">
        <f ca="1">'1行'!M63</f>
        <v>6</v>
      </c>
      <c r="E63" t="str">
        <f ca="1">'1行'!G63</f>
        <v>2026/03/26</v>
      </c>
      <c r="F63" t="str">
        <f ca="1">'1行'!N63</f>
        <v>15:43:55</v>
      </c>
      <c r="G63" t="str">
        <f ca="1">'1行'!H63</f>
        <v>2026/03/26</v>
      </c>
      <c r="H63" t="str">
        <f ca="1">'1行'!J63</f>
        <v xml:space="preserve">リクシアナOD錠30mg </v>
      </c>
      <c r="I63" t="str">
        <f ca="1">'1行'!O63</f>
        <v>30mg/錠 バラ 100錠×1瓶</v>
      </c>
      <c r="J63" t="str">
        <f ca="1">'1行'!K63</f>
        <v>第一三共</v>
      </c>
      <c r="K63" t="str">
        <f ca="1">'1行'!F63</f>
        <v>4987081107063</v>
      </c>
      <c r="L63">
        <f ca="1">'1行'!D63</f>
        <v>1</v>
      </c>
      <c r="M63">
        <f ca="1">'1行'!L63</f>
        <v>1</v>
      </c>
      <c r="N63">
        <f ca="1">'1行'!E63</f>
        <v>0</v>
      </c>
    </row>
    <row r="64" spans="2:14" x14ac:dyDescent="0.45">
      <c r="B64" s="15"/>
      <c r="D64">
        <f ca="1">'1行'!M64</f>
        <v>7</v>
      </c>
      <c r="E64" t="str">
        <f ca="1">'1行'!G64</f>
        <v>2026/03/25</v>
      </c>
      <c r="F64" t="str">
        <f ca="1">'1行'!N64</f>
        <v>08:54:48</v>
      </c>
      <c r="G64" t="str">
        <f ca="1">'1行'!H64</f>
        <v>2026/04/01</v>
      </c>
      <c r="H64" t="str">
        <f ca="1">'1行'!J64</f>
        <v xml:space="preserve">ツムラ八味地黄丸エキス顆粒(医療用) </v>
      </c>
      <c r="I64" t="str">
        <f ca="1">'1行'!O64</f>
        <v>分包 2.5g×189包</v>
      </c>
      <c r="J64" t="str">
        <f ca="1">'1行'!K64</f>
        <v>ツムラ</v>
      </c>
      <c r="K64" t="str">
        <f ca="1">'1行'!F64</f>
        <v>4987138800732</v>
      </c>
      <c r="L64">
        <f ca="1">'1行'!D64</f>
        <v>1</v>
      </c>
      <c r="M64">
        <f ca="1">'1行'!L64</f>
        <v>1</v>
      </c>
      <c r="N64">
        <f ca="1">'1行'!E64</f>
        <v>0</v>
      </c>
    </row>
    <row r="65" spans="2:14" x14ac:dyDescent="0.45">
      <c r="B65" s="15"/>
      <c r="D65">
        <f ca="1">'1行'!M65</f>
        <v>8</v>
      </c>
      <c r="E65" t="str">
        <f ca="1">'1行'!G65</f>
        <v>2026/03/25</v>
      </c>
      <c r="F65" t="str">
        <f ca="1">'1行'!N65</f>
        <v>08:54:48</v>
      </c>
      <c r="G65" t="str">
        <f ca="1">'1行'!H65</f>
        <v>2026/04/01</v>
      </c>
      <c r="H65" t="str">
        <f ca="1">'1行'!J65</f>
        <v>シロスタゾールOD錠100mg「タカタ」</v>
      </c>
      <c r="I65" t="str">
        <f ca="1">'1行'!O65</f>
        <v>100mg/錠 PTP 10錠×10</v>
      </c>
      <c r="J65" t="str">
        <f ca="1">'1行'!K65</f>
        <v>高田製薬</v>
      </c>
      <c r="K65" t="str">
        <f ca="1">'1行'!F65</f>
        <v>4987120339905</v>
      </c>
      <c r="L65">
        <f ca="1">'1行'!D65</f>
        <v>1</v>
      </c>
      <c r="M65">
        <f ca="1">'1行'!L65</f>
        <v>1</v>
      </c>
      <c r="N65">
        <f ca="1">'1行'!E65</f>
        <v>0</v>
      </c>
    </row>
    <row r="66" spans="2:14" x14ac:dyDescent="0.45">
      <c r="B66" s="15"/>
      <c r="D66">
        <f ca="1">'1行'!M66</f>
        <v>9</v>
      </c>
      <c r="E66" t="str">
        <f ca="1">'1行'!G66</f>
        <v>2026/03/25</v>
      </c>
      <c r="F66" t="str">
        <f ca="1">'1行'!N66</f>
        <v>08:54:48</v>
      </c>
      <c r="G66" t="str">
        <f ca="1">'1行'!H66</f>
        <v>2026/04/01</v>
      </c>
      <c r="H66" t="str">
        <f ca="1">'1行'!J66</f>
        <v xml:space="preserve">セディール錠10mg </v>
      </c>
      <c r="I66" t="str">
        <f ca="1">'1行'!O66</f>
        <v>10mg/錠 バラ 500錠×1瓶</v>
      </c>
      <c r="J66" t="str">
        <f ca="1">'1行'!K66</f>
        <v>住友ファーマ</v>
      </c>
      <c r="K66" t="str">
        <f ca="1">'1行'!F66</f>
        <v>4987116020732</v>
      </c>
      <c r="L66">
        <f ca="1">'1行'!D66</f>
        <v>1</v>
      </c>
      <c r="M66">
        <f ca="1">'1行'!L66</f>
        <v>1</v>
      </c>
      <c r="N66">
        <f ca="1">'1行'!E66</f>
        <v>0</v>
      </c>
    </row>
    <row r="67" spans="2:14" x14ac:dyDescent="0.45">
      <c r="B67" s="15"/>
      <c r="D67">
        <f ca="1">'1行'!M67</f>
        <v>10</v>
      </c>
      <c r="E67" t="str">
        <f ca="1">'1行'!G67</f>
        <v>2026/03/25</v>
      </c>
      <c r="F67" t="str">
        <f ca="1">'1行'!N67</f>
        <v>08:54:48</v>
      </c>
      <c r="G67" t="str">
        <f ca="1">'1行'!H67</f>
        <v>2026/04/01</v>
      </c>
      <c r="H67" t="str">
        <f ca="1">'1行'!J67</f>
        <v xml:space="preserve">グラマリール細粒10% </v>
      </c>
      <c r="I67" t="str">
        <f ca="1">'1行'!O67</f>
        <v>100mg/g バラ 100g×1瓶</v>
      </c>
      <c r="J67" t="str">
        <f ca="1">'1行'!K67</f>
        <v>日医工</v>
      </c>
      <c r="K67" t="str">
        <f ca="1">'1行'!F67</f>
        <v>4987376245807</v>
      </c>
      <c r="L67">
        <f ca="1">'1行'!D67</f>
        <v>1</v>
      </c>
      <c r="M67">
        <f ca="1">'1行'!L67</f>
        <v>1</v>
      </c>
      <c r="N67">
        <f ca="1">'1行'!E67</f>
        <v>0</v>
      </c>
    </row>
    <row r="68" spans="2:14" x14ac:dyDescent="0.45">
      <c r="B68" s="15"/>
      <c r="D68">
        <f ca="1">'1行'!M68</f>
        <v>11</v>
      </c>
      <c r="E68" t="str">
        <f ca="1">'1行'!G68</f>
        <v>2026/03/25</v>
      </c>
      <c r="F68" t="str">
        <f ca="1">'1行'!N68</f>
        <v>08:54:48</v>
      </c>
      <c r="G68" t="str">
        <f ca="1">'1行'!H68</f>
        <v>2026/04/01</v>
      </c>
      <c r="H68" t="str">
        <f ca="1">'1行'!J68</f>
        <v>パレプラス輸液</v>
      </c>
      <c r="I68" t="str">
        <f ca="1">'1行'!O68</f>
        <v>500mL1キット×20キット</v>
      </c>
      <c r="J68" t="str">
        <f ca="1">'1行'!K68</f>
        <v>陽進堂</v>
      </c>
      <c r="K68" t="str">
        <f ca="1">'1行'!F68</f>
        <v>4987476167108</v>
      </c>
      <c r="L68">
        <f ca="1">'1行'!D68</f>
        <v>3</v>
      </c>
      <c r="M68">
        <f ca="1">'1行'!L68</f>
        <v>3</v>
      </c>
      <c r="N68">
        <f ca="1">'1行'!E68</f>
        <v>0</v>
      </c>
    </row>
    <row r="69" spans="2:14" x14ac:dyDescent="0.45">
      <c r="B69" s="15"/>
      <c r="D69">
        <f ca="1">'1行'!M69</f>
        <v>12</v>
      </c>
      <c r="E69" t="str">
        <f ca="1">'1行'!G69</f>
        <v>2026/03/25</v>
      </c>
      <c r="F69" t="str">
        <f ca="1">'1行'!N69</f>
        <v>08:54:48</v>
      </c>
      <c r="G69" t="str">
        <f ca="1">'1行'!H69</f>
        <v>2026/04/01</v>
      </c>
      <c r="H69" t="str">
        <f ca="1">'1行'!J69</f>
        <v>エビリファイ持続性水懸筋注用400mgシリンジ</v>
      </c>
      <c r="I69" t="str">
        <f ca="1">'1行'!O69</f>
        <v>400mg1キット×1キット 1.6mL(溶)付</v>
      </c>
      <c r="J69" t="str">
        <f ca="1">'1行'!K69</f>
        <v>大塚製薬</v>
      </c>
      <c r="K69" t="str">
        <f ca="1">'1行'!F69</f>
        <v>4987035560111</v>
      </c>
      <c r="L69">
        <f ca="1">'1行'!D69</f>
        <v>2</v>
      </c>
      <c r="M69">
        <f ca="1">'1行'!L69</f>
        <v>2</v>
      </c>
      <c r="N69">
        <f ca="1">'1行'!E69</f>
        <v>0</v>
      </c>
    </row>
    <row r="70" spans="2:14" x14ac:dyDescent="0.45">
      <c r="B70" s="15"/>
      <c r="D70">
        <f ca="1">'1行'!M70</f>
        <v>13</v>
      </c>
      <c r="E70" t="str">
        <f ca="1">'1行'!G70</f>
        <v>2026/03/25</v>
      </c>
      <c r="F70" t="str">
        <f ca="1">'1行'!N70</f>
        <v>08:54:48</v>
      </c>
      <c r="G70" t="str">
        <f ca="1">'1行'!H70</f>
        <v>2026/04/01</v>
      </c>
      <c r="H70" t="str">
        <f ca="1">'1行'!J70</f>
        <v>ミノドロン酸錠50mg「JG」</v>
      </c>
      <c r="I70" t="str">
        <f ca="1">'1行'!O70</f>
        <v>50mg/錠 PTP 1錠×2</v>
      </c>
      <c r="J70" t="str">
        <f ca="1">'1行'!K70</f>
        <v>日本ジェネリック</v>
      </c>
      <c r="K70" t="str">
        <f ca="1">'1行'!F70</f>
        <v>4987792100827</v>
      </c>
      <c r="L70">
        <f ca="1">'1行'!D70</f>
        <v>15</v>
      </c>
      <c r="M70">
        <f ca="1">'1行'!L70</f>
        <v>15</v>
      </c>
      <c r="N70">
        <f ca="1">'1行'!E70</f>
        <v>0</v>
      </c>
    </row>
    <row r="71" spans="2:14" x14ac:dyDescent="0.45">
      <c r="B71" s="15"/>
      <c r="D71">
        <f ca="1">'1行'!M71</f>
        <v>14</v>
      </c>
      <c r="E71" t="str">
        <f ca="1">'1行'!G71</f>
        <v>2026/03/25</v>
      </c>
      <c r="F71" t="str">
        <f ca="1">'1行'!N71</f>
        <v>08:54:48</v>
      </c>
      <c r="G71" t="str">
        <f ca="1">'1行'!H71</f>
        <v>2026/04/01</v>
      </c>
      <c r="H71" t="str">
        <f ca="1">'1行'!J71</f>
        <v xml:space="preserve">インウ゛ェガ錠6mg </v>
      </c>
      <c r="I71" t="str">
        <f ca="1">'1行'!O71</f>
        <v>6mg/錠 PTP 10錠×10</v>
      </c>
      <c r="J71" t="str">
        <f ca="1">'1行'!K71</f>
        <v>ヤンセンファーマ</v>
      </c>
      <c r="K71" t="str">
        <f ca="1">'1行'!F71</f>
        <v>4987672105768</v>
      </c>
      <c r="L71">
        <f ca="1">'1行'!D71</f>
        <v>5</v>
      </c>
      <c r="M71">
        <f ca="1">'1行'!L71</f>
        <v>5</v>
      </c>
      <c r="N71">
        <f ca="1">'1行'!E71</f>
        <v>0</v>
      </c>
    </row>
    <row r="72" spans="2:14" x14ac:dyDescent="0.45">
      <c r="B72" s="15"/>
      <c r="D72">
        <f ca="1">'1行'!M72</f>
        <v>15</v>
      </c>
      <c r="E72" t="str">
        <f ca="1">'1行'!G72</f>
        <v>2026/03/25</v>
      </c>
      <c r="F72" t="str">
        <f ca="1">'1行'!N72</f>
        <v>08:54:48</v>
      </c>
      <c r="G72" t="str">
        <f ca="1">'1行'!H72</f>
        <v>2026/04/01</v>
      </c>
      <c r="H72" t="str">
        <f ca="1">'1行'!J72</f>
        <v xml:space="preserve">インウ゛ェガ錠3mg </v>
      </c>
      <c r="I72" t="str">
        <f ca="1">'1行'!O72</f>
        <v>3mg/錠 PTP 10錠×10</v>
      </c>
      <c r="J72" t="str">
        <f ca="1">'1行'!K72</f>
        <v>ヤンセンファーマ</v>
      </c>
      <c r="K72" t="str">
        <f ca="1">'1行'!F72</f>
        <v>4987672105744</v>
      </c>
      <c r="L72">
        <f ca="1">'1行'!D72</f>
        <v>1</v>
      </c>
      <c r="M72">
        <f ca="1">'1行'!L72</f>
        <v>1</v>
      </c>
      <c r="N72">
        <f ca="1">'1行'!E72</f>
        <v>0</v>
      </c>
    </row>
    <row r="73" spans="2:14" x14ac:dyDescent="0.45">
      <c r="B73" s="15"/>
      <c r="D73">
        <f ca="1">'1行'!M73</f>
        <v>16</v>
      </c>
      <c r="E73" t="str">
        <f ca="1">'1行'!G73</f>
        <v>2026/03/25</v>
      </c>
      <c r="F73" t="str">
        <f ca="1">'1行'!N73</f>
        <v>08:54:48</v>
      </c>
      <c r="G73" t="str">
        <f ca="1">'1行'!H73</f>
        <v>2026/04/01</v>
      </c>
      <c r="H73" t="str">
        <f ca="1">'1行'!J73</f>
        <v xml:space="preserve">ツムラ人参養栄湯エキス顆粒(医療用) </v>
      </c>
      <c r="I73" t="str">
        <f ca="1">'1行'!O73</f>
        <v>分包 3g×42包</v>
      </c>
      <c r="J73" t="str">
        <f ca="1">'1行'!K73</f>
        <v>ツムラ</v>
      </c>
      <c r="K73" t="str">
        <f ca="1">'1行'!F73</f>
        <v>4987138810847</v>
      </c>
      <c r="L73">
        <f ca="1">'1行'!D73</f>
        <v>2</v>
      </c>
      <c r="M73">
        <f ca="1">'1行'!L73</f>
        <v>2</v>
      </c>
      <c r="N73">
        <f ca="1">'1行'!E73</f>
        <v>0</v>
      </c>
    </row>
    <row r="74" spans="2:14" x14ac:dyDescent="0.45">
      <c r="B74" s="15"/>
      <c r="D74">
        <f ca="1">'1行'!M74</f>
        <v>17</v>
      </c>
      <c r="E74" t="str">
        <f ca="1">'1行'!G74</f>
        <v>2026/03/25</v>
      </c>
      <c r="F74" t="str">
        <f ca="1">'1行'!N74</f>
        <v>08:54:48</v>
      </c>
      <c r="G74" t="str">
        <f ca="1">'1行'!H74</f>
        <v>2026/04/01</v>
      </c>
      <c r="H74" t="str">
        <f ca="1">'1行'!J74</f>
        <v xml:space="preserve">レキソタン錠5 </v>
      </c>
      <c r="I74" t="str">
        <f ca="1">'1行'!O74</f>
        <v>5mg/錠 PTP 10錠×10</v>
      </c>
      <c r="J74" t="str">
        <f ca="1">'1行'!K74</f>
        <v>サンド</v>
      </c>
      <c r="K74" t="str">
        <f ca="1">'1行'!F74</f>
        <v>4987614438206</v>
      </c>
      <c r="L74">
        <f ca="1">'1行'!D74</f>
        <v>5</v>
      </c>
      <c r="M74">
        <f ca="1">'1行'!L74</f>
        <v>5</v>
      </c>
      <c r="N74">
        <f ca="1">'1行'!E74</f>
        <v>0</v>
      </c>
    </row>
    <row r="75" spans="2:14" x14ac:dyDescent="0.45">
      <c r="B75" s="15"/>
      <c r="D75">
        <f ca="1">'1行'!M75</f>
        <v>18</v>
      </c>
      <c r="E75" t="str">
        <f ca="1">'1行'!G75</f>
        <v>2026/03/25</v>
      </c>
      <c r="F75" t="str">
        <f ca="1">'1行'!N75</f>
        <v>08:54:48</v>
      </c>
      <c r="G75" t="str">
        <f ca="1">'1行'!H75</f>
        <v>2026/04/01</v>
      </c>
      <c r="H75" t="str">
        <f ca="1">'1行'!J75</f>
        <v xml:space="preserve">トピロリック錠40mg </v>
      </c>
      <c r="I75" t="str">
        <f ca="1">'1行'!O75</f>
        <v>40mg/錠 PTP 10錠×10</v>
      </c>
      <c r="J75" t="str">
        <f ca="1">'1行'!K75</f>
        <v>富士薬品</v>
      </c>
      <c r="K75" t="str">
        <f ca="1">'1行'!F75</f>
        <v>4987524700325</v>
      </c>
      <c r="L75">
        <f ca="1">'1行'!D75</f>
        <v>2</v>
      </c>
      <c r="M75">
        <f ca="1">'1行'!L75</f>
        <v>2</v>
      </c>
      <c r="N75">
        <f ca="1">'1行'!E75</f>
        <v>0</v>
      </c>
    </row>
    <row r="76" spans="2:14" x14ac:dyDescent="0.45">
      <c r="B76" s="15"/>
      <c r="D76">
        <f ca="1">'1行'!M76</f>
        <v>19</v>
      </c>
      <c r="E76" t="str">
        <f ca="1">'1行'!G76</f>
        <v>2026/03/25</v>
      </c>
      <c r="F76" t="str">
        <f ca="1">'1行'!N76</f>
        <v>08:54:48</v>
      </c>
      <c r="G76" t="str">
        <f ca="1">'1行'!H76</f>
        <v>2026/04/01</v>
      </c>
      <c r="H76" t="str">
        <f ca="1">'1行'!J76</f>
        <v>オランザピン錠2.5mg「ニプロ」</v>
      </c>
      <c r="I76" t="str">
        <f ca="1">'1行'!O76</f>
        <v>2.5mg/錠 バラ 100錠×1瓶</v>
      </c>
      <c r="J76" t="str">
        <f ca="1">'1行'!K76</f>
        <v>ニプロ</v>
      </c>
      <c r="K76" t="str">
        <f ca="1">'1行'!F76</f>
        <v>4987190083715</v>
      </c>
      <c r="L76">
        <f ca="1">'1行'!D76</f>
        <v>3</v>
      </c>
      <c r="M76">
        <f ca="1">'1行'!L76</f>
        <v>3</v>
      </c>
      <c r="N76">
        <f ca="1">'1行'!E76</f>
        <v>0</v>
      </c>
    </row>
    <row r="77" spans="2:14" x14ac:dyDescent="0.45">
      <c r="B77" s="15"/>
      <c r="D77">
        <f ca="1">'1行'!M77</f>
        <v>20</v>
      </c>
      <c r="E77" t="str">
        <f ca="1">'1行'!G77</f>
        <v>2026/03/25</v>
      </c>
      <c r="F77" t="str">
        <f ca="1">'1行'!N77</f>
        <v>08:54:48</v>
      </c>
      <c r="G77" t="str">
        <f ca="1">'1行'!H77</f>
        <v>2026/04/01</v>
      </c>
      <c r="H77" t="str">
        <f ca="1">'1行'!J77</f>
        <v>オランザピンOD錠5mg「ニプロ」</v>
      </c>
      <c r="I77" t="str">
        <f ca="1">'1行'!O77</f>
        <v>5mg/錠 バラ 100錠×1瓶</v>
      </c>
      <c r="J77" t="str">
        <f ca="1">'1行'!K77</f>
        <v>ニプロ</v>
      </c>
      <c r="K77" t="str">
        <f ca="1">'1行'!F77</f>
        <v>4987190084118</v>
      </c>
      <c r="L77">
        <f ca="1">'1行'!D77</f>
        <v>3</v>
      </c>
      <c r="M77">
        <f ca="1">'1行'!L77</f>
        <v>3</v>
      </c>
      <c r="N77">
        <f ca="1">'1行'!E77</f>
        <v>0</v>
      </c>
    </row>
    <row r="78" spans="2:14" x14ac:dyDescent="0.45">
      <c r="B78" s="15"/>
      <c r="D78">
        <f ca="1">'1行'!M78</f>
        <v>21</v>
      </c>
      <c r="E78" t="str">
        <f ca="1">'1行'!G78</f>
        <v>2026/03/25</v>
      </c>
      <c r="F78" t="str">
        <f ca="1">'1行'!N78</f>
        <v>08:54:48</v>
      </c>
      <c r="G78" t="str">
        <f ca="1">'1行'!H78</f>
        <v>2026/04/01</v>
      </c>
      <c r="H78" t="str">
        <f ca="1">'1行'!J78</f>
        <v>オランザピンOD錠10mg「ニプロ」</v>
      </c>
      <c r="I78" t="str">
        <f ca="1">'1行'!O78</f>
        <v>10mg/錠 バラ 100錠×1瓶</v>
      </c>
      <c r="J78" t="str">
        <f ca="1">'1行'!K78</f>
        <v>ニプロ</v>
      </c>
      <c r="K78" t="str">
        <f ca="1">'1行'!F78</f>
        <v>4987190084217</v>
      </c>
      <c r="L78">
        <f ca="1">'1行'!D78</f>
        <v>3</v>
      </c>
      <c r="M78">
        <f ca="1">'1行'!L78</f>
        <v>3</v>
      </c>
      <c r="N78">
        <f ca="1">'1行'!E78</f>
        <v>0</v>
      </c>
    </row>
    <row r="79" spans="2:14" x14ac:dyDescent="0.45">
      <c r="B79" s="15"/>
      <c r="D79">
        <f ca="1">'1行'!M79</f>
        <v>22</v>
      </c>
      <c r="E79" t="str">
        <f ca="1">'1行'!G79</f>
        <v>2026/03/25</v>
      </c>
      <c r="F79" t="str">
        <f ca="1">'1行'!N79</f>
        <v>08:54:48</v>
      </c>
      <c r="G79" t="str">
        <f ca="1">'1行'!H79</f>
        <v>2026/04/01</v>
      </c>
      <c r="H79" t="str">
        <f ca="1">'1行'!J79</f>
        <v>フルボキサミンマレイン酸塩錠25mg「サワイ」</v>
      </c>
      <c r="I79" t="str">
        <f ca="1">'1行'!O79</f>
        <v>25mg/錠 PTP 10錠×10</v>
      </c>
      <c r="J79" t="str">
        <f ca="1">'1行'!K79</f>
        <v>沢井製薬</v>
      </c>
      <c r="K79" t="str">
        <f ca="1">'1行'!F79</f>
        <v>4987080674016</v>
      </c>
      <c r="L79">
        <f ca="1">'1行'!D79</f>
        <v>6</v>
      </c>
      <c r="M79">
        <f ca="1">'1行'!L79</f>
        <v>6</v>
      </c>
      <c r="N79">
        <f ca="1">'1行'!E79</f>
        <v>0</v>
      </c>
    </row>
    <row r="80" spans="2:14" x14ac:dyDescent="0.45">
      <c r="B80" s="15"/>
      <c r="D80">
        <f ca="1">'1行'!M80</f>
        <v>23</v>
      </c>
      <c r="E80" t="str">
        <f ca="1">'1行'!G80</f>
        <v>2026/03/25</v>
      </c>
      <c r="F80" t="str">
        <f ca="1">'1行'!N80</f>
        <v>08:54:48</v>
      </c>
      <c r="G80" t="str">
        <f ca="1">'1行'!H80</f>
        <v>2026/04/01</v>
      </c>
      <c r="H80" t="str">
        <f ca="1">'1行'!J80</f>
        <v>フルボキサミンマレイン酸塩錠25mg「サワイ」</v>
      </c>
      <c r="I80" t="str">
        <f ca="1">'1行'!O80</f>
        <v>25mg/錠 バラ 500錠×1瓶</v>
      </c>
      <c r="J80" t="str">
        <f ca="1">'1行'!K80</f>
        <v>沢井製薬</v>
      </c>
      <c r="K80" t="str">
        <f ca="1">'1行'!F80</f>
        <v>4987080674054</v>
      </c>
      <c r="L80">
        <f ca="1">'1行'!D80</f>
        <v>1</v>
      </c>
      <c r="M80">
        <f ca="1">'1行'!L80</f>
        <v>1</v>
      </c>
      <c r="N80">
        <f ca="1">'1行'!E80</f>
        <v>0</v>
      </c>
    </row>
    <row r="81" spans="2:14" x14ac:dyDescent="0.45">
      <c r="B81" s="15"/>
      <c r="D81">
        <f ca="1">'1行'!M81</f>
        <v>24</v>
      </c>
      <c r="E81" t="str">
        <f ca="1">'1行'!G81</f>
        <v>2026/03/25</v>
      </c>
      <c r="F81" t="str">
        <f ca="1">'1行'!N81</f>
        <v>08:54:48</v>
      </c>
      <c r="G81" t="str">
        <f ca="1">'1行'!H81</f>
        <v>2026/04/01</v>
      </c>
      <c r="H81" t="str">
        <f ca="1">'1行'!J81</f>
        <v xml:space="preserve">ニュープロパッチ4.5mg </v>
      </c>
      <c r="I81" t="str">
        <f ca="1">'1行'!O81</f>
        <v>4.5mg1枚×28袋 (3.2cm×3.2cm)</v>
      </c>
      <c r="J81" t="str">
        <f ca="1">'1行'!K81</f>
        <v>大塚製薬</v>
      </c>
      <c r="K81" t="str">
        <f ca="1">'1行'!F81</f>
        <v>4987035553212</v>
      </c>
      <c r="L81">
        <f ca="1">'1行'!D81</f>
        <v>1</v>
      </c>
      <c r="M81">
        <f ca="1">'1行'!L81</f>
        <v>1</v>
      </c>
      <c r="N81">
        <f ca="1">'1行'!E81</f>
        <v>0</v>
      </c>
    </row>
    <row r="82" spans="2:14" x14ac:dyDescent="0.45">
      <c r="B82" s="15"/>
      <c r="D82">
        <f ca="1">'1行'!M82</f>
        <v>25</v>
      </c>
      <c r="E82" t="str">
        <f ca="1">'1行'!G82</f>
        <v>2026/03/25</v>
      </c>
      <c r="F82" t="str">
        <f ca="1">'1行'!N82</f>
        <v>08:54:48</v>
      </c>
      <c r="G82" t="str">
        <f ca="1">'1行'!H82</f>
        <v>2026/04/01</v>
      </c>
      <c r="H82" t="str">
        <f ca="1">'1行'!J82</f>
        <v xml:space="preserve">ツムラ柴胡加竜骨牡蛎湯エキス顆粒(医療用) </v>
      </c>
      <c r="I82" t="str">
        <f ca="1">'1行'!O82</f>
        <v>分包 2.5g×189包</v>
      </c>
      <c r="J82" t="str">
        <f ca="1">'1行'!K82</f>
        <v>ツムラ</v>
      </c>
      <c r="K82" t="str">
        <f ca="1">'1行'!F82</f>
        <v>4987138801234</v>
      </c>
      <c r="L82">
        <f ca="1">'1行'!D82</f>
        <v>1</v>
      </c>
      <c r="M82">
        <f ca="1">'1行'!L82</f>
        <v>1</v>
      </c>
      <c r="N82">
        <f ca="1">'1行'!E82</f>
        <v>0</v>
      </c>
    </row>
    <row r="83" spans="2:14" x14ac:dyDescent="0.45">
      <c r="B83" s="15"/>
      <c r="D83">
        <f ca="1">'1行'!M83</f>
        <v>26</v>
      </c>
      <c r="E83" t="str">
        <f ca="1">'1行'!G83</f>
        <v>2026/03/25</v>
      </c>
      <c r="F83" t="str">
        <f ca="1">'1行'!N83</f>
        <v>08:54:48</v>
      </c>
      <c r="G83" t="str">
        <f ca="1">'1行'!H83</f>
        <v>2026/04/01</v>
      </c>
      <c r="H83" t="str">
        <f ca="1">'1行'!J83</f>
        <v>アナストロゾール錠1mg「サワイ」</v>
      </c>
      <c r="I83" t="str">
        <f ca="1">'1行'!O83</f>
        <v>1mg/錠 PTP 10錠×3</v>
      </c>
      <c r="J83" t="str">
        <f ca="1">'1行'!K83</f>
        <v>沢井製薬</v>
      </c>
      <c r="K83" t="str">
        <f ca="1">'1行'!F83</f>
        <v>4987080261070</v>
      </c>
      <c r="L83">
        <f ca="1">'1行'!D83</f>
        <v>1</v>
      </c>
      <c r="M83">
        <f ca="1">'1行'!L83</f>
        <v>1</v>
      </c>
      <c r="N83">
        <f ca="1">'1行'!E83</f>
        <v>0</v>
      </c>
    </row>
    <row r="84" spans="2:14" x14ac:dyDescent="0.45">
      <c r="B84" s="15"/>
      <c r="D84">
        <f ca="1">'1行'!M84</f>
        <v>27</v>
      </c>
      <c r="E84" t="str">
        <f ca="1">'1行'!G84</f>
        <v>2026/03/25</v>
      </c>
      <c r="F84" t="str">
        <f ca="1">'1行'!N84</f>
        <v>08:54:48</v>
      </c>
      <c r="G84" t="str">
        <f ca="1">'1行'!H84</f>
        <v>2026/04/01</v>
      </c>
      <c r="H84" t="str">
        <f ca="1">'1行'!J84</f>
        <v>コールタイジン点鼻液</v>
      </c>
      <c r="I84" t="str">
        <f ca="1">'1行'!O84</f>
        <v>15mL×10瓶</v>
      </c>
      <c r="J84" t="str">
        <f ca="1">'1行'!K84</f>
        <v>陽進堂</v>
      </c>
      <c r="K84" t="str">
        <f ca="1">'1行'!F84</f>
        <v>4987476123722</v>
      </c>
      <c r="L84">
        <f ca="1">'1行'!D84</f>
        <v>1</v>
      </c>
      <c r="M84">
        <f ca="1">'1行'!L84</f>
        <v>1</v>
      </c>
      <c r="N84">
        <f ca="1">'1行'!E84</f>
        <v>0</v>
      </c>
    </row>
    <row r="85" spans="2:14" x14ac:dyDescent="0.45">
      <c r="B85" s="15"/>
      <c r="D85">
        <f ca="1">'1行'!M85</f>
        <v>28</v>
      </c>
      <c r="E85" t="str">
        <f ca="1">'1行'!G85</f>
        <v>2026/03/25</v>
      </c>
      <c r="F85" t="str">
        <f ca="1">'1行'!N85</f>
        <v>08:54:48</v>
      </c>
      <c r="G85" t="str">
        <f ca="1">'1行'!H85</f>
        <v>2026/04/01</v>
      </c>
      <c r="H85" t="str">
        <f ca="1">'1行'!J85</f>
        <v xml:space="preserve">フルデカシン筋注25mg </v>
      </c>
      <c r="I85" t="str">
        <f ca="1">'1行'!O85</f>
        <v>25mg/1mL×5瓶</v>
      </c>
      <c r="J85" t="str">
        <f ca="1">'1行'!K85</f>
        <v>田辺ファーマ</v>
      </c>
      <c r="K85" t="str">
        <f ca="1">'1行'!F85</f>
        <v>4987128006762</v>
      </c>
      <c r="L85">
        <f ca="1">'1行'!D85</f>
        <v>1</v>
      </c>
      <c r="M85">
        <f ca="1">'1行'!L85</f>
        <v>1</v>
      </c>
      <c r="N85">
        <f ca="1">'1行'!E85</f>
        <v>0</v>
      </c>
    </row>
    <row r="86" spans="2:14" x14ac:dyDescent="0.45">
      <c r="B86" s="15"/>
      <c r="D86">
        <f ca="1">'1行'!M86</f>
        <v>29</v>
      </c>
      <c r="E86" t="str">
        <f ca="1">'1行'!G86</f>
        <v>2026/03/25</v>
      </c>
      <c r="F86" t="str">
        <f ca="1">'1行'!N86</f>
        <v>08:54:48</v>
      </c>
      <c r="G86" t="str">
        <f ca="1">'1行'!H86</f>
        <v>2026/04/01</v>
      </c>
      <c r="H86" t="str">
        <f ca="1">'1行'!J86</f>
        <v>ニコランジル錠5mg「サワイ」</v>
      </c>
      <c r="I86" t="str">
        <f ca="1">'1行'!O86</f>
        <v>5mg/錠 バラ 1000錠×1瓶</v>
      </c>
      <c r="J86" t="str">
        <f ca="1">'1行'!K86</f>
        <v>日本ジェネリック</v>
      </c>
      <c r="K86" t="str">
        <f ca="1">'1行'!F86</f>
        <v>4987792287382</v>
      </c>
      <c r="L86">
        <f ca="1">'1行'!D86</f>
        <v>1</v>
      </c>
      <c r="M86">
        <f ca="1">'1行'!L86</f>
        <v>1</v>
      </c>
      <c r="N86">
        <f ca="1">'1行'!E86</f>
        <v>0</v>
      </c>
    </row>
    <row r="87" spans="2:14" x14ac:dyDescent="0.45">
      <c r="B87" s="15"/>
      <c r="D87">
        <f ca="1">'1行'!M87</f>
        <v>30</v>
      </c>
      <c r="E87" t="str">
        <f ca="1">'1行'!G87</f>
        <v>2026/03/25</v>
      </c>
      <c r="F87" t="str">
        <f ca="1">'1行'!N87</f>
        <v>08:54:48</v>
      </c>
      <c r="G87" t="str">
        <f ca="1">'1行'!H87</f>
        <v>2026/04/01</v>
      </c>
      <c r="H87" t="str">
        <f ca="1">'1行'!J87</f>
        <v>ドンペリドン錠10mg「JG」</v>
      </c>
      <c r="I87" t="str">
        <f ca="1">'1行'!O87</f>
        <v>10mg/錠 PTP 10錠×100</v>
      </c>
      <c r="J87" t="str">
        <f ca="1">'1行'!K87</f>
        <v>日本ジェネリック</v>
      </c>
      <c r="K87" t="str">
        <f ca="1">'1行'!F87</f>
        <v>4987792286002</v>
      </c>
      <c r="L87">
        <f ca="1">'1行'!D87</f>
        <v>1</v>
      </c>
      <c r="M87">
        <f ca="1">'1行'!L87</f>
        <v>1</v>
      </c>
      <c r="N87">
        <f ca="1">'1行'!E87</f>
        <v>0</v>
      </c>
    </row>
    <row r="88" spans="2:14" x14ac:dyDescent="0.45">
      <c r="B88" s="15"/>
      <c r="D88">
        <f ca="1">'1行'!M88</f>
        <v>31</v>
      </c>
      <c r="E88" t="str">
        <f ca="1">'1行'!G88</f>
        <v>2026/03/25</v>
      </c>
      <c r="F88" t="str">
        <f ca="1">'1行'!N88</f>
        <v>08:54:48</v>
      </c>
      <c r="G88" t="str">
        <f ca="1">'1行'!H88</f>
        <v>2026/04/01</v>
      </c>
      <c r="H88" t="str">
        <f ca="1">'1行'!J88</f>
        <v xml:space="preserve">ツムラ半夏厚朴湯エキス顆粒(医療用) </v>
      </c>
      <c r="I88" t="str">
        <f ca="1">'1行'!O88</f>
        <v>分包 2.5g×189包</v>
      </c>
      <c r="J88" t="str">
        <f ca="1">'1行'!K88</f>
        <v>ツムラ</v>
      </c>
      <c r="K88" t="str">
        <f ca="1">'1行'!F88</f>
        <v>4987138801630</v>
      </c>
      <c r="L88">
        <f ca="1">'1行'!D88</f>
        <v>1</v>
      </c>
      <c r="M88">
        <f ca="1">'1行'!L88</f>
        <v>1</v>
      </c>
      <c r="N88">
        <f ca="1">'1行'!E88</f>
        <v>0</v>
      </c>
    </row>
    <row r="89" spans="2:14" x14ac:dyDescent="0.45">
      <c r="B89" s="15"/>
      <c r="D89">
        <f ca="1">'1行'!M89</f>
        <v>32</v>
      </c>
      <c r="E89" t="str">
        <f ca="1">'1行'!G89</f>
        <v>2026/03/25</v>
      </c>
      <c r="F89" t="str">
        <f ca="1">'1行'!N89</f>
        <v>08:54:48</v>
      </c>
      <c r="G89" t="str">
        <f ca="1">'1行'!H89</f>
        <v>2026/04/01</v>
      </c>
      <c r="H89" t="str">
        <f ca="1">'1行'!J89</f>
        <v xml:space="preserve">ヒルナミン錠(5mg) </v>
      </c>
      <c r="I89" t="str">
        <f ca="1">'1行'!O89</f>
        <v>5mg/錠 バラ 1000錠×1瓶</v>
      </c>
      <c r="J89" t="str">
        <f ca="1">'1行'!K89</f>
        <v>共和薬品工業</v>
      </c>
      <c r="K89" t="str">
        <f ca="1">'1行'!F89</f>
        <v>4987058682616</v>
      </c>
      <c r="L89">
        <f ca="1">'1行'!D89</f>
        <v>1</v>
      </c>
      <c r="M89">
        <f ca="1">'1行'!L89</f>
        <v>1</v>
      </c>
      <c r="N89">
        <f ca="1">'1行'!E89</f>
        <v>0</v>
      </c>
    </row>
    <row r="90" spans="2:14" x14ac:dyDescent="0.45">
      <c r="B90" s="15"/>
      <c r="D90">
        <f ca="1">'1行'!M90</f>
        <v>33</v>
      </c>
      <c r="E90" t="str">
        <f ca="1">'1行'!G90</f>
        <v>2026/03/25</v>
      </c>
      <c r="F90" t="str">
        <f ca="1">'1行'!N90</f>
        <v>08:54:48</v>
      </c>
      <c r="G90" t="str">
        <f ca="1">'1行'!H90</f>
        <v>2026/04/01</v>
      </c>
      <c r="H90" t="str">
        <f ca="1">'1行'!J90</f>
        <v xml:space="preserve">バナン錠100mg </v>
      </c>
      <c r="I90" t="str">
        <f ca="1">'1行'!O90</f>
        <v>100mg/錠 PTP 10錠×10</v>
      </c>
      <c r="J90" t="str">
        <f ca="1">'1行'!K90</f>
        <v>第一三共</v>
      </c>
      <c r="K90" t="str">
        <f ca="1">'1行'!F90</f>
        <v>4987081105113</v>
      </c>
      <c r="L90">
        <f ca="1">'1行'!D90</f>
        <v>1</v>
      </c>
      <c r="M90">
        <f ca="1">'1行'!L90</f>
        <v>1</v>
      </c>
      <c r="N90">
        <f ca="1">'1行'!E90</f>
        <v>0</v>
      </c>
    </row>
    <row r="91" spans="2:14" x14ac:dyDescent="0.45">
      <c r="B91" s="15"/>
      <c r="D91">
        <f ca="1">'1行'!M91</f>
        <v>34</v>
      </c>
      <c r="E91" t="str">
        <f ca="1">'1行'!G91</f>
        <v>2026/03/25</v>
      </c>
      <c r="F91" t="str">
        <f ca="1">'1行'!N91</f>
        <v>08:54:48</v>
      </c>
      <c r="G91" t="str">
        <f ca="1">'1行'!H91</f>
        <v>2026/04/01</v>
      </c>
      <c r="H91" t="str">
        <f ca="1">'1行'!J91</f>
        <v xml:space="preserve">トラゼンタ錠5mg </v>
      </c>
      <c r="I91" t="str">
        <f ca="1">'1行'!O91</f>
        <v>5mg/錠 PTP 10錠×10</v>
      </c>
      <c r="J91" t="str">
        <f ca="1">'1行'!K91</f>
        <v>日本ベーリンガーインゲルハイム</v>
      </c>
      <c r="K91" t="str">
        <f ca="1">'1行'!F91</f>
        <v>4987413870511</v>
      </c>
      <c r="L91">
        <f ca="1">'1行'!D91</f>
        <v>1</v>
      </c>
      <c r="M91">
        <f ca="1">'1行'!L91</f>
        <v>1</v>
      </c>
      <c r="N91">
        <f ca="1">'1行'!E91</f>
        <v>0</v>
      </c>
    </row>
    <row r="92" spans="2:14" x14ac:dyDescent="0.45">
      <c r="B92" s="15"/>
      <c r="D92">
        <f ca="1">'1行'!M92</f>
        <v>35</v>
      </c>
      <c r="E92" t="str">
        <f ca="1">'1行'!G92</f>
        <v>2026/03/25</v>
      </c>
      <c r="F92" t="str">
        <f ca="1">'1行'!N92</f>
        <v>08:54:48</v>
      </c>
      <c r="G92" t="str">
        <f ca="1">'1行'!H92</f>
        <v>2026/04/01</v>
      </c>
      <c r="H92" t="str">
        <f ca="1">'1行'!J92</f>
        <v>クラシエ柴苓湯エキス細粒</v>
      </c>
      <c r="I92" t="str">
        <f ca="1">'1行'!O92</f>
        <v>分包 2.7g×294包</v>
      </c>
      <c r="J92" t="str">
        <f ca="1">'1行'!K92</f>
        <v>クラシエ薬品</v>
      </c>
      <c r="K92" t="str">
        <f ca="1">'1行'!F92</f>
        <v>4987045642098</v>
      </c>
      <c r="L92">
        <f ca="1">'1行'!D92</f>
        <v>1</v>
      </c>
      <c r="M92">
        <f ca="1">'1行'!L92</f>
        <v>1</v>
      </c>
      <c r="N92">
        <f ca="1">'1行'!E92</f>
        <v>0</v>
      </c>
    </row>
    <row r="93" spans="2:14" x14ac:dyDescent="0.45">
      <c r="B93" s="15"/>
      <c r="D93">
        <f ca="1">'1行'!M93</f>
        <v>36</v>
      </c>
      <c r="E93" t="str">
        <f ca="1">'1行'!G93</f>
        <v>2026/03/25</v>
      </c>
      <c r="F93" t="str">
        <f ca="1">'1行'!N93</f>
        <v>08:54:48</v>
      </c>
      <c r="G93" t="str">
        <f ca="1">'1行'!H93</f>
        <v>2026/04/01</v>
      </c>
      <c r="H93" t="str">
        <f ca="1">'1行'!J93</f>
        <v>レトロゾール錠2.5mg「サワイ」</v>
      </c>
      <c r="I93" t="str">
        <f ca="1">'1行'!O93</f>
        <v>2.5mg/錠 PTP 10錠×3</v>
      </c>
      <c r="J93" t="str">
        <f ca="1">'1行'!K93</f>
        <v>沢井製薬</v>
      </c>
      <c r="K93" t="str">
        <f ca="1">'1行'!F93</f>
        <v>4987080409113</v>
      </c>
      <c r="L93">
        <f ca="1">'1行'!D93</f>
        <v>1</v>
      </c>
      <c r="M93">
        <f ca="1">'1行'!L93</f>
        <v>1</v>
      </c>
      <c r="N93">
        <f ca="1">'1行'!E93</f>
        <v>0</v>
      </c>
    </row>
    <row r="94" spans="2:14" x14ac:dyDescent="0.45">
      <c r="B94" s="15"/>
      <c r="D94">
        <f ca="1">'1行'!M94</f>
        <v>37</v>
      </c>
      <c r="E94" t="str">
        <f ca="1">'1行'!G94</f>
        <v>2026/03/25</v>
      </c>
      <c r="F94" t="str">
        <f ca="1">'1行'!N94</f>
        <v>08:54:48</v>
      </c>
      <c r="G94" t="str">
        <f ca="1">'1行'!H94</f>
        <v>2026/04/01</v>
      </c>
      <c r="H94" t="str">
        <f ca="1">'1行'!J94</f>
        <v xml:space="preserve">レキソタン錠2 </v>
      </c>
      <c r="I94" t="str">
        <f ca="1">'1行'!O94</f>
        <v>2mg/錠 PTP 10錠×10</v>
      </c>
      <c r="J94" t="str">
        <f ca="1">'1行'!K94</f>
        <v>サンド</v>
      </c>
      <c r="K94" t="str">
        <f ca="1">'1行'!F94</f>
        <v>4987614438107</v>
      </c>
      <c r="L94">
        <f ca="1">'1行'!D94</f>
        <v>5</v>
      </c>
      <c r="M94">
        <f ca="1">'1行'!L94</f>
        <v>5</v>
      </c>
      <c r="N94">
        <f ca="1">'1行'!E94</f>
        <v>0</v>
      </c>
    </row>
    <row r="95" spans="2:14" x14ac:dyDescent="0.45">
      <c r="B95" s="15"/>
      <c r="D95">
        <f ca="1">'1行'!M95</f>
        <v>38</v>
      </c>
      <c r="E95" t="str">
        <f ca="1">'1行'!G95</f>
        <v>2026/03/25</v>
      </c>
      <c r="F95" t="str">
        <f ca="1">'1行'!N95</f>
        <v>08:54:48</v>
      </c>
      <c r="G95" t="str">
        <f ca="1">'1行'!H95</f>
        <v>2026/04/01</v>
      </c>
      <c r="H95" t="str">
        <f ca="1">'1行'!J95</f>
        <v>エバスチンOD錠5mg「サワイ」</v>
      </c>
      <c r="I95" t="str">
        <f ca="1">'1行'!O95</f>
        <v>5mg/錠 PTP 10錠×10</v>
      </c>
      <c r="J95" t="str">
        <f ca="1">'1行'!K95</f>
        <v>沢井製薬</v>
      </c>
      <c r="K95" t="str">
        <f ca="1">'1行'!F95</f>
        <v>4987080117018</v>
      </c>
      <c r="L95">
        <f ca="1">'1行'!D95</f>
        <v>1</v>
      </c>
      <c r="M95">
        <f ca="1">'1行'!L95</f>
        <v>1</v>
      </c>
      <c r="N95">
        <f ca="1">'1行'!E95</f>
        <v>0</v>
      </c>
    </row>
    <row r="96" spans="2:14" x14ac:dyDescent="0.45">
      <c r="B96" s="15"/>
      <c r="D96">
        <f ca="1">'1行'!M96</f>
        <v>39</v>
      </c>
      <c r="E96" t="str">
        <f ca="1">'1行'!G96</f>
        <v>2026/03/25</v>
      </c>
      <c r="F96" t="str">
        <f ca="1">'1行'!N96</f>
        <v>08:54:48</v>
      </c>
      <c r="G96" t="str">
        <f ca="1">'1行'!H96</f>
        <v>2026/04/01</v>
      </c>
      <c r="H96" t="str">
        <f ca="1">'1行'!J96</f>
        <v>クロピドグレル錠75mg「JG」</v>
      </c>
      <c r="I96" t="str">
        <f ca="1">'1行'!O96</f>
        <v>75mg/錠 バラ 500錠×1瓶</v>
      </c>
      <c r="J96" t="str">
        <f ca="1">'1行'!K96</f>
        <v>日本ジェネリック</v>
      </c>
      <c r="K96" t="str">
        <f ca="1">'1行'!F96</f>
        <v>4987792313180</v>
      </c>
      <c r="L96">
        <f ca="1">'1行'!D96</f>
        <v>1</v>
      </c>
      <c r="M96">
        <f ca="1">'1行'!L96</f>
        <v>1</v>
      </c>
      <c r="N96">
        <f ca="1">'1行'!E96</f>
        <v>0</v>
      </c>
    </row>
    <row r="97" spans="2:14" x14ac:dyDescent="0.45">
      <c r="B97" s="15"/>
      <c r="D97">
        <f ca="1">'1行'!M97</f>
        <v>40</v>
      </c>
      <c r="E97" t="str">
        <f ca="1">'1行'!G97</f>
        <v>2026/03/25</v>
      </c>
      <c r="F97" t="str">
        <f ca="1">'1行'!N97</f>
        <v>08:54:48</v>
      </c>
      <c r="G97" t="str">
        <f ca="1">'1行'!H97</f>
        <v>2026/04/01</v>
      </c>
      <c r="H97" t="str">
        <f ca="1">'1行'!J97</f>
        <v>フロセミド錠20mg「NIG」</v>
      </c>
      <c r="I97" t="str">
        <f ca="1">'1行'!O97</f>
        <v>20mg/錠 バラ 1200錠×1瓶</v>
      </c>
      <c r="J97" t="str">
        <f ca="1">'1行'!K97</f>
        <v>武田薬品工業</v>
      </c>
      <c r="K97" t="str">
        <f ca="1">'1行'!F97</f>
        <v>4987123875264</v>
      </c>
      <c r="L97">
        <f ca="1">'1行'!D97</f>
        <v>1</v>
      </c>
      <c r="M97">
        <f ca="1">'1行'!L97</f>
        <v>1</v>
      </c>
      <c r="N97">
        <f ca="1">'1行'!E97</f>
        <v>0</v>
      </c>
    </row>
    <row r="98" spans="2:14" x14ac:dyDescent="0.45">
      <c r="B98" s="15"/>
      <c r="D98">
        <f ca="1">'1行'!M98</f>
        <v>41</v>
      </c>
      <c r="E98" t="str">
        <f ca="1">'1行'!G98</f>
        <v>2026/03/25</v>
      </c>
      <c r="F98" t="str">
        <f ca="1">'1行'!N98</f>
        <v>08:54:48</v>
      </c>
      <c r="G98" t="str">
        <f ca="1">'1行'!H98</f>
        <v>2026/04/01</v>
      </c>
      <c r="H98" t="str">
        <f ca="1">'1行'!J98</f>
        <v xml:space="preserve">タケキャブOD錠20mg </v>
      </c>
      <c r="I98" t="str">
        <f ca="1">'1行'!O98</f>
        <v>20mg/錠 PTP 10錠×10</v>
      </c>
      <c r="J98" t="str">
        <f ca="1">'1行'!K98</f>
        <v>武田薬品工業</v>
      </c>
      <c r="K98" t="str">
        <f ca="1">'1行'!F98</f>
        <v>4987123002752</v>
      </c>
      <c r="L98">
        <f ca="1">'1行'!D98</f>
        <v>1</v>
      </c>
      <c r="M98">
        <f ca="1">'1行'!L98</f>
        <v>1</v>
      </c>
      <c r="N98">
        <f ca="1">'1行'!E98</f>
        <v>0</v>
      </c>
    </row>
    <row r="99" spans="2:14" x14ac:dyDescent="0.45">
      <c r="B99" s="15"/>
      <c r="D99">
        <f ca="1">'1行'!M99</f>
        <v>42</v>
      </c>
      <c r="E99" t="str">
        <f ca="1">'1行'!G99</f>
        <v>2026/03/25</v>
      </c>
      <c r="F99" t="str">
        <f ca="1">'1行'!N99</f>
        <v>08:54:48</v>
      </c>
      <c r="G99" t="str">
        <f ca="1">'1行'!H99</f>
        <v>2026/04/01</v>
      </c>
      <c r="H99" t="str">
        <f ca="1">'1行'!J99</f>
        <v xml:space="preserve">レグテクト錠333mg </v>
      </c>
      <c r="I99" t="str">
        <f ca="1">'1行'!O99</f>
        <v>333mg/錠 バラ 500錠×1瓶</v>
      </c>
      <c r="J99" t="str">
        <f ca="1">'1行'!K99</f>
        <v>日本新薬</v>
      </c>
      <c r="K99" t="str">
        <f ca="1">'1行'!F99</f>
        <v>4987173018369</v>
      </c>
      <c r="L99">
        <f ca="1">'1行'!D99</f>
        <v>1</v>
      </c>
      <c r="M99">
        <f ca="1">'1行'!L99</f>
        <v>1</v>
      </c>
      <c r="N99">
        <f ca="1">'1行'!E99</f>
        <v>0</v>
      </c>
    </row>
    <row r="100" spans="2:14" x14ac:dyDescent="0.45">
      <c r="B100" s="15"/>
      <c r="D100">
        <f ca="1">'1行'!M100</f>
        <v>43</v>
      </c>
      <c r="E100" t="str">
        <f ca="1">'1行'!G100</f>
        <v>2026/03/25</v>
      </c>
      <c r="F100" t="str">
        <f ca="1">'1行'!N100</f>
        <v>08:54:48</v>
      </c>
      <c r="G100" t="str">
        <f ca="1">'1行'!H100</f>
        <v>2026/04/01</v>
      </c>
      <c r="H100" t="str">
        <f ca="1">'1行'!J100</f>
        <v>アリピプラゾール錠1mg「サワイ」</v>
      </c>
      <c r="I100" t="str">
        <f ca="1">'1行'!O100</f>
        <v>1mg/錠 PTP 10錠×10</v>
      </c>
      <c r="J100" t="str">
        <f ca="1">'1行'!K100</f>
        <v>沢井製薬</v>
      </c>
      <c r="K100" t="str">
        <f ca="1">'1行'!F100</f>
        <v>4987080271116</v>
      </c>
      <c r="L100">
        <f ca="1">'1行'!D100</f>
        <v>4</v>
      </c>
      <c r="M100">
        <f ca="1">'1行'!L100</f>
        <v>4</v>
      </c>
      <c r="N100">
        <f ca="1">'1行'!E100</f>
        <v>0</v>
      </c>
    </row>
    <row r="101" spans="2:14" x14ac:dyDescent="0.45">
      <c r="B101" s="15"/>
      <c r="D101">
        <f ca="1">'1行'!M101</f>
        <v>44</v>
      </c>
      <c r="E101" t="str">
        <f ca="1">'1行'!G101</f>
        <v>2026/03/25</v>
      </c>
      <c r="F101" t="str">
        <f ca="1">'1行'!N101</f>
        <v>08:54:48</v>
      </c>
      <c r="G101" t="str">
        <f ca="1">'1行'!H101</f>
        <v>2026/04/01</v>
      </c>
      <c r="H101" t="str">
        <f ca="1">'1行'!J101</f>
        <v>ノイロトロピン錠4単位</v>
      </c>
      <c r="I101" t="str">
        <f ca="1">'1行'!O101</f>
        <v>4単位/錠 PTP 10錠×100</v>
      </c>
      <c r="J101" t="str">
        <f ca="1">'1行'!K101</f>
        <v>日本臓器製薬</v>
      </c>
      <c r="K101" t="str">
        <f ca="1">'1行'!F101</f>
        <v>4987174111335</v>
      </c>
      <c r="L101">
        <f ca="1">'1行'!D101</f>
        <v>1</v>
      </c>
      <c r="M101">
        <f ca="1">'1行'!L101</f>
        <v>1</v>
      </c>
      <c r="N101">
        <f ca="1">'1行'!E101</f>
        <v>0</v>
      </c>
    </row>
    <row r="102" spans="2:14" x14ac:dyDescent="0.45">
      <c r="B102" s="15"/>
      <c r="D102">
        <f ca="1">'1行'!M102</f>
        <v>45</v>
      </c>
      <c r="E102" t="str">
        <f ca="1">'1行'!G102</f>
        <v>2026/03/25</v>
      </c>
      <c r="F102" t="str">
        <f ca="1">'1行'!N102</f>
        <v>08:54:48</v>
      </c>
      <c r="G102" t="str">
        <f ca="1">'1行'!H102</f>
        <v>2026/04/01</v>
      </c>
      <c r="H102" t="str">
        <f ca="1">'1行'!J102</f>
        <v>デュタステリドカプセル0.5mgAV「サワイ」</v>
      </c>
      <c r="I102" t="str">
        <f ca="1">'1行'!O102</f>
        <v>0.5mg/カプセル PTP 10カプセル×3</v>
      </c>
      <c r="J102" t="str">
        <f ca="1">'1行'!K102</f>
        <v>沢井製薬</v>
      </c>
      <c r="K102" t="str">
        <f ca="1">'1行'!F102</f>
        <v>4987080195115</v>
      </c>
      <c r="L102">
        <f ca="1">'1行'!D102</f>
        <v>3</v>
      </c>
      <c r="M102">
        <f ca="1">'1行'!L102</f>
        <v>3</v>
      </c>
      <c r="N102">
        <f ca="1">'1行'!E102</f>
        <v>0</v>
      </c>
    </row>
    <row r="103" spans="2:14" x14ac:dyDescent="0.45">
      <c r="B103" s="15"/>
      <c r="D103">
        <f ca="1">'1行'!M103</f>
        <v>46</v>
      </c>
      <c r="E103" t="str">
        <f ca="1">'1行'!G103</f>
        <v>2026/03/25</v>
      </c>
      <c r="F103" t="str">
        <f ca="1">'1行'!N103</f>
        <v>08:54:48</v>
      </c>
      <c r="G103" t="str">
        <f ca="1">'1行'!H103</f>
        <v>2026/04/01</v>
      </c>
      <c r="H103" t="str">
        <f ca="1">'1行'!J103</f>
        <v>トアラセット配合錠「オーハラ」</v>
      </c>
      <c r="I103" t="str">
        <f ca="1">'1行'!O103</f>
        <v>PTP 10錠×10</v>
      </c>
      <c r="J103" t="str">
        <f ca="1">'1行'!K103</f>
        <v>大原薬品工業</v>
      </c>
      <c r="K103" t="str">
        <f ca="1">'1行'!F103</f>
        <v>4987407239300</v>
      </c>
      <c r="L103">
        <f ca="1">'1行'!D103</f>
        <v>1</v>
      </c>
      <c r="M103">
        <f ca="1">'1行'!L103</f>
        <v>1</v>
      </c>
      <c r="N103">
        <f ca="1">'1行'!E103</f>
        <v>0</v>
      </c>
    </row>
    <row r="104" spans="2:14" x14ac:dyDescent="0.45">
      <c r="B104" s="15"/>
      <c r="D104">
        <f ca="1">'1行'!M104</f>
        <v>47</v>
      </c>
      <c r="E104" t="str">
        <f ca="1">'1行'!G104</f>
        <v>2026/03/25</v>
      </c>
      <c r="F104" t="str">
        <f ca="1">'1行'!N104</f>
        <v>08:54:48</v>
      </c>
      <c r="G104" t="str">
        <f ca="1">'1行'!H104</f>
        <v>2026/04/01</v>
      </c>
      <c r="H104" t="str">
        <f ca="1">'1行'!J104</f>
        <v xml:space="preserve">リオレサール錠5mg </v>
      </c>
      <c r="I104" t="str">
        <f ca="1">'1行'!O104</f>
        <v>5mg/錠 PTP 10錠×10</v>
      </c>
      <c r="J104" t="str">
        <f ca="1">'1行'!K104</f>
        <v>サンファーマ</v>
      </c>
      <c r="K104" t="str">
        <f ca="1">'1行'!F104</f>
        <v>4987047211445</v>
      </c>
      <c r="L104">
        <f ca="1">'1行'!D104</f>
        <v>1</v>
      </c>
      <c r="M104">
        <f ca="1">'1行'!L104</f>
        <v>1</v>
      </c>
      <c r="N104">
        <f ca="1">'1行'!E104</f>
        <v>0</v>
      </c>
    </row>
    <row r="105" spans="2:14" x14ac:dyDescent="0.45">
      <c r="B105" s="15"/>
      <c r="D105">
        <f ca="1">'1行'!M105</f>
        <v>48</v>
      </c>
      <c r="E105" t="str">
        <f ca="1">'1行'!G105</f>
        <v>2026/03/25</v>
      </c>
      <c r="F105" t="str">
        <f ca="1">'1行'!N105</f>
        <v>08:54:48</v>
      </c>
      <c r="G105" t="str">
        <f ca="1">'1行'!H105</f>
        <v>2026/04/01</v>
      </c>
      <c r="H105" t="str">
        <f ca="1">'1行'!J105</f>
        <v xml:space="preserve">ノベルジン錠25mg </v>
      </c>
      <c r="I105" t="str">
        <f ca="1">'1行'!O105</f>
        <v>25mg/錠 PTP 10錠×10</v>
      </c>
      <c r="J105" t="str">
        <f ca="1">'1行'!K105</f>
        <v>ノーベルファーマ</v>
      </c>
      <c r="K105" t="str">
        <f ca="1">'1行'!F105</f>
        <v>4987846101510</v>
      </c>
      <c r="L105">
        <f ca="1">'1行'!D105</f>
        <v>1</v>
      </c>
      <c r="M105">
        <f ca="1">'1行'!L105</f>
        <v>1</v>
      </c>
      <c r="N105">
        <f ca="1">'1行'!E105</f>
        <v>0</v>
      </c>
    </row>
    <row r="106" spans="2:14" x14ac:dyDescent="0.45">
      <c r="B106" s="15"/>
      <c r="D106">
        <f ca="1">'1行'!M106</f>
        <v>49</v>
      </c>
      <c r="E106" t="str">
        <f ca="1">'1行'!G106</f>
        <v>2026/03/25</v>
      </c>
      <c r="F106" t="str">
        <f ca="1">'1行'!N106</f>
        <v>08:54:48</v>
      </c>
      <c r="G106" t="str">
        <f ca="1">'1行'!H106</f>
        <v>2026/04/01</v>
      </c>
      <c r="H106" t="str">
        <f ca="1">'1行'!J106</f>
        <v xml:space="preserve">エンレスト錠100mg </v>
      </c>
      <c r="I106" t="str">
        <f ca="1">'1行'!O106</f>
        <v>100mg/錠 PTP 10錠×10</v>
      </c>
      <c r="J106" t="str">
        <f ca="1">'1行'!K106</f>
        <v>ノバルティスファーマ</v>
      </c>
      <c r="K106" t="str">
        <f ca="1">'1行'!F106</f>
        <v>4987443384415</v>
      </c>
      <c r="L106">
        <f ca="1">'1行'!D106</f>
        <v>1</v>
      </c>
      <c r="M106">
        <f ca="1">'1行'!L106</f>
        <v>1</v>
      </c>
      <c r="N106">
        <f ca="1">'1行'!E106</f>
        <v>0</v>
      </c>
    </row>
    <row r="107" spans="2:14" x14ac:dyDescent="0.45">
      <c r="B107" s="15"/>
      <c r="D107">
        <f ca="1">'1行'!M107</f>
        <v>50</v>
      </c>
      <c r="E107" t="str">
        <f ca="1">'1行'!G107</f>
        <v>2026/03/25</v>
      </c>
      <c r="F107" t="str">
        <f ca="1">'1行'!N107</f>
        <v>08:54:48</v>
      </c>
      <c r="G107" t="str">
        <f ca="1">'1行'!H107</f>
        <v>2026/04/01</v>
      </c>
      <c r="H107" t="str">
        <f ca="1">'1行'!J107</f>
        <v xml:space="preserve">タリージェ錠5mg </v>
      </c>
      <c r="I107" t="str">
        <f ca="1">'1行'!O107</f>
        <v>5mg/錠 PTP 10錠×10</v>
      </c>
      <c r="J107" t="str">
        <f ca="1">'1行'!K107</f>
        <v>第一三共</v>
      </c>
      <c r="K107" t="str">
        <f ca="1">'1行'!F107</f>
        <v>4987081108756</v>
      </c>
      <c r="L107">
        <f ca="1">'1行'!D107</f>
        <v>1</v>
      </c>
      <c r="M107">
        <f ca="1">'1行'!L107</f>
        <v>1</v>
      </c>
      <c r="N107">
        <f ca="1">'1行'!E107</f>
        <v>0</v>
      </c>
    </row>
    <row r="108" spans="2:14" x14ac:dyDescent="0.45">
      <c r="B108" s="15"/>
      <c r="D108">
        <f ca="1">'1行'!M108</f>
        <v>51</v>
      </c>
      <c r="E108" t="str">
        <f ca="1">'1行'!G108</f>
        <v>2026/03/25</v>
      </c>
      <c r="F108" t="str">
        <f ca="1">'1行'!N108</f>
        <v>08:54:48</v>
      </c>
      <c r="G108" t="str">
        <f ca="1">'1行'!H108</f>
        <v>2026/04/01</v>
      </c>
      <c r="H108" t="str">
        <f ca="1">'1行'!J108</f>
        <v xml:space="preserve">トラマールOD錠25mg </v>
      </c>
      <c r="I108" t="str">
        <f ca="1">'1行'!O108</f>
        <v>25mg/錠 PTP 10錠×10</v>
      </c>
      <c r="J108" t="str">
        <f ca="1">'1行'!K108</f>
        <v>日本新薬</v>
      </c>
      <c r="K108" t="str">
        <f ca="1">'1行'!F108</f>
        <v>4987173018550</v>
      </c>
      <c r="L108">
        <f ca="1">'1行'!D108</f>
        <v>1</v>
      </c>
      <c r="M108">
        <f ca="1">'1行'!L108</f>
        <v>1</v>
      </c>
      <c r="N108">
        <f ca="1">'1行'!E108</f>
        <v>0</v>
      </c>
    </row>
    <row r="109" spans="2:14" x14ac:dyDescent="0.45">
      <c r="B109" s="15"/>
      <c r="D109">
        <f ca="1">'1行'!M109</f>
        <v>52</v>
      </c>
      <c r="E109" t="str">
        <f ca="1">'1行'!G109</f>
        <v>2026/03/25</v>
      </c>
      <c r="F109" t="str">
        <f ca="1">'1行'!N109</f>
        <v>08:54:48</v>
      </c>
      <c r="G109" t="str">
        <f ca="1">'1行'!H109</f>
        <v>2026/04/01</v>
      </c>
      <c r="H109" t="str">
        <f ca="1">'1行'!J109</f>
        <v>ロキソプロフェンNaテープ100mg「DSEP」</v>
      </c>
      <c r="I109" t="str">
        <f ca="1">'1行'!O109</f>
        <v>10cm×14cm1枚 7枚×100袋</v>
      </c>
      <c r="J109" t="str">
        <f ca="1">'1行'!K109</f>
        <v>第一三共</v>
      </c>
      <c r="K109" t="str">
        <f ca="1">'1行'!F109</f>
        <v>4987081189984</v>
      </c>
      <c r="L109">
        <f ca="1">'1行'!D109</f>
        <v>1</v>
      </c>
      <c r="M109">
        <f ca="1">'1行'!L109</f>
        <v>1</v>
      </c>
      <c r="N109">
        <f ca="1">'1行'!E109</f>
        <v>0</v>
      </c>
    </row>
    <row r="110" spans="2:14" x14ac:dyDescent="0.45">
      <c r="B110" s="15"/>
      <c r="D110">
        <f ca="1">'1行'!M110</f>
        <v>53</v>
      </c>
      <c r="E110" t="str">
        <f ca="1">'1行'!G110</f>
        <v>2026/03/25</v>
      </c>
      <c r="F110" t="str">
        <f ca="1">'1行'!N110</f>
        <v>08:54:48</v>
      </c>
      <c r="G110" t="str">
        <f ca="1">'1行'!H110</f>
        <v>2026/04/01</v>
      </c>
      <c r="H110" t="str">
        <f ca="1">'1行'!J110</f>
        <v>ビオフェルミン錠剤</v>
      </c>
      <c r="I110" t="str">
        <f ca="1">'1行'!O110</f>
        <v>バラ 1000錠×1瓶</v>
      </c>
      <c r="J110" t="str">
        <f ca="1">'1行'!K110</f>
        <v>大正製薬</v>
      </c>
      <c r="K110" t="str">
        <f ca="1">'1行'!F110</f>
        <v>4987306066489</v>
      </c>
      <c r="L110">
        <f ca="1">'1行'!D110</f>
        <v>1</v>
      </c>
      <c r="M110">
        <f ca="1">'1行'!L110</f>
        <v>1</v>
      </c>
      <c r="N110">
        <f ca="1">'1行'!E110</f>
        <v>0</v>
      </c>
    </row>
    <row r="111" spans="2:14" x14ac:dyDescent="0.45">
      <c r="B111" s="15"/>
      <c r="D111">
        <f ca="1">'1行'!M111</f>
        <v>54</v>
      </c>
      <c r="E111" t="str">
        <f ca="1">'1行'!G111</f>
        <v>2026/03/25</v>
      </c>
      <c r="F111" t="str">
        <f ca="1">'1行'!N111</f>
        <v>08:54:48</v>
      </c>
      <c r="G111" t="str">
        <f ca="1">'1行'!H111</f>
        <v>2026/04/01</v>
      </c>
      <c r="H111" t="str">
        <f ca="1">'1行'!J111</f>
        <v>ジメチコン錠40mg「YD」</v>
      </c>
      <c r="I111" t="str">
        <f ca="1">'1行'!O111</f>
        <v>40mg/錠 バラ 1000錠×1袋</v>
      </c>
      <c r="J111" t="str">
        <f ca="1">'1行'!K111</f>
        <v>陽進堂</v>
      </c>
      <c r="K111" t="str">
        <f ca="1">'1行'!F111</f>
        <v>4987476171921</v>
      </c>
      <c r="L111">
        <f ca="1">'1行'!D111</f>
        <v>1</v>
      </c>
      <c r="M111">
        <f ca="1">'1行'!L111</f>
        <v>1</v>
      </c>
      <c r="N111">
        <f ca="1">'1行'!E111</f>
        <v>0</v>
      </c>
    </row>
    <row r="112" spans="2:14" x14ac:dyDescent="0.45">
      <c r="B112" s="15"/>
      <c r="D112">
        <f ca="1">'1行'!M112</f>
        <v>55</v>
      </c>
      <c r="E112" t="str">
        <f ca="1">'1行'!G112</f>
        <v>2026/03/25</v>
      </c>
      <c r="F112" t="str">
        <f ca="1">'1行'!N112</f>
        <v>08:54:48</v>
      </c>
      <c r="G112" t="str">
        <f ca="1">'1行'!H112</f>
        <v>2026/04/01</v>
      </c>
      <c r="H112" t="str">
        <f ca="1">'1行'!J112</f>
        <v>フ ェフ ゛キ ソス タッ トOD錠10mg「 サワ イ」</v>
      </c>
      <c r="I112" t="str">
        <f ca="1">'1行'!O112</f>
        <v>10mg/錠 PTP 10錠×10</v>
      </c>
      <c r="J112" t="str">
        <f ca="1">'1行'!K112</f>
        <v>沢井製薬</v>
      </c>
      <c r="K112" t="str">
        <f ca="1">'1行'!F112</f>
        <v>4987080281115</v>
      </c>
      <c r="L112">
        <f ca="1">'1行'!D112</f>
        <v>2</v>
      </c>
      <c r="M112">
        <f ca="1">'1行'!L112</f>
        <v>2</v>
      </c>
      <c r="N112">
        <f ca="1">'1行'!E112</f>
        <v>0</v>
      </c>
    </row>
    <row r="113" spans="2:14" x14ac:dyDescent="0.45">
      <c r="B113" s="15"/>
      <c r="D113">
        <f ca="1">'1行'!M113</f>
        <v>56</v>
      </c>
      <c r="E113" t="str">
        <f ca="1">'1行'!G113</f>
        <v>2026/03/25</v>
      </c>
      <c r="F113" t="str">
        <f ca="1">'1行'!N113</f>
        <v>08:54:48</v>
      </c>
      <c r="G113" t="str">
        <f ca="1">'1行'!H113</f>
        <v>2026/04/01</v>
      </c>
      <c r="H113" t="str">
        <f ca="1">'1行'!J113</f>
        <v xml:space="preserve">トランサミンカプセル250mg </v>
      </c>
      <c r="I113" t="str">
        <f ca="1">'1行'!O113</f>
        <v>250mg/カプセル PTP 10カプセル×10</v>
      </c>
      <c r="J113" t="str">
        <f ca="1">'1行'!K113</f>
        <v>第一三共</v>
      </c>
      <c r="K113" t="str">
        <f ca="1">'1行'!F113</f>
        <v>4987081104611</v>
      </c>
      <c r="L113">
        <f ca="1">'1行'!D113</f>
        <v>3</v>
      </c>
      <c r="M113">
        <f ca="1">'1行'!L113</f>
        <v>3</v>
      </c>
      <c r="N113">
        <f ca="1">'1行'!E113</f>
        <v>0</v>
      </c>
    </row>
    <row r="114" spans="2:14" x14ac:dyDescent="0.45">
      <c r="B114" s="15"/>
      <c r="D114">
        <f ca="1">'1行'!M114</f>
        <v>57</v>
      </c>
      <c r="E114" t="str">
        <f ca="1">'1行'!G114</f>
        <v>2026/03/25</v>
      </c>
      <c r="F114" t="str">
        <f ca="1">'1行'!N114</f>
        <v>08:54:48</v>
      </c>
      <c r="G114" t="str">
        <f ca="1">'1行'!H114</f>
        <v>2026/04/01</v>
      </c>
      <c r="H114" t="str">
        <f ca="1">'1行'!J114</f>
        <v xml:space="preserve">ツムラ小青竜湯エキス顆粒(医療用) </v>
      </c>
      <c r="I114" t="str">
        <f ca="1">'1行'!O114</f>
        <v>分包 3g×42包</v>
      </c>
      <c r="J114" t="str">
        <f ca="1">'1行'!K114</f>
        <v>ツムラ</v>
      </c>
      <c r="K114" t="str">
        <f ca="1">'1行'!F114</f>
        <v>4987138801944</v>
      </c>
      <c r="L114">
        <f ca="1">'1行'!D114</f>
        <v>1</v>
      </c>
      <c r="M114">
        <f ca="1">'1行'!L114</f>
        <v>1</v>
      </c>
      <c r="N114">
        <f ca="1">'1行'!E114</f>
        <v>0</v>
      </c>
    </row>
    <row r="115" spans="2:14" x14ac:dyDescent="0.45">
      <c r="B115" s="15"/>
      <c r="D115">
        <f ca="1">'1行'!M115</f>
        <v>58</v>
      </c>
      <c r="E115" t="str">
        <f ca="1">'1行'!G115</f>
        <v>2026/03/25</v>
      </c>
      <c r="F115" t="str">
        <f ca="1">'1行'!N115</f>
        <v>08:54:48</v>
      </c>
      <c r="G115" t="str">
        <f ca="1">'1行'!H115</f>
        <v>2026/04/01</v>
      </c>
      <c r="H115" t="str">
        <f ca="1">'1行'!J115</f>
        <v>クラシエ黄連解毒湯エキス細粒</v>
      </c>
      <c r="I115" t="str">
        <f ca="1">'1行'!O115</f>
        <v>分包 2g×42包</v>
      </c>
      <c r="J115" t="str">
        <f ca="1">'1行'!K115</f>
        <v>クラシエ薬品</v>
      </c>
      <c r="K115" t="str">
        <f ca="1">'1行'!F115</f>
        <v>4987045630194</v>
      </c>
      <c r="L115">
        <f ca="1">'1行'!D115</f>
        <v>2</v>
      </c>
      <c r="M115">
        <f ca="1">'1行'!L115</f>
        <v>2</v>
      </c>
      <c r="N115">
        <f ca="1">'1行'!E115</f>
        <v>0</v>
      </c>
    </row>
    <row r="116" spans="2:14" x14ac:dyDescent="0.45">
      <c r="B116" s="15"/>
      <c r="D116">
        <f ca="1">'1行'!M116</f>
        <v>59</v>
      </c>
      <c r="E116" t="str">
        <f ca="1">'1行'!G116</f>
        <v>2026/03/25</v>
      </c>
      <c r="F116" t="str">
        <f ca="1">'1行'!N116</f>
        <v>08:54:48</v>
      </c>
      <c r="G116" t="str">
        <f ca="1">'1行'!H116</f>
        <v>2026/04/01</v>
      </c>
      <c r="H116" t="str">
        <f ca="1">'1行'!J116</f>
        <v xml:space="preserve">ツムラ抑肝散エキス顆粒(医療用) </v>
      </c>
      <c r="I116" t="str">
        <f ca="1">'1行'!O116</f>
        <v>分包 2.5g×189包</v>
      </c>
      <c r="J116" t="str">
        <f ca="1">'1行'!K116</f>
        <v>ツムラ</v>
      </c>
      <c r="K116" t="str">
        <f ca="1">'1行'!F116</f>
        <v>4987138805430</v>
      </c>
      <c r="L116">
        <f ca="1">'1行'!D116</f>
        <v>10</v>
      </c>
      <c r="M116">
        <f ca="1">'1行'!L116</f>
        <v>10</v>
      </c>
      <c r="N116">
        <f ca="1">'1行'!E116</f>
        <v>0</v>
      </c>
    </row>
    <row r="117" spans="2:14" ht="18.600000000000001" thickBot="1" x14ac:dyDescent="0.5">
      <c r="B117" s="16"/>
      <c r="D117">
        <f ca="1">'1行'!M117</f>
        <v>60</v>
      </c>
      <c r="E117" t="str">
        <f ca="1">'1行'!G117</f>
        <v>2026/03/25</v>
      </c>
      <c r="F117" t="str">
        <f ca="1">'1行'!N117</f>
        <v>08:54:48</v>
      </c>
      <c r="G117" t="str">
        <f ca="1">'1行'!H117</f>
        <v>2026/04/01</v>
      </c>
      <c r="H117" t="str">
        <f ca="1">'1行'!J117</f>
        <v xml:space="preserve">ツムラ大建中湯エキス顆粒(医療用) </v>
      </c>
      <c r="I117" t="str">
        <f ca="1">'1行'!O117</f>
        <v>分包 2.5g×189包</v>
      </c>
      <c r="J117" t="str">
        <f ca="1">'1行'!K117</f>
        <v>ツムラ</v>
      </c>
      <c r="K117" t="str">
        <f ca="1">'1行'!F117</f>
        <v>4987138810038</v>
      </c>
      <c r="L117">
        <f ca="1">'1行'!D117</f>
        <v>10</v>
      </c>
      <c r="M117">
        <f ca="1">'1行'!L117</f>
        <v>10</v>
      </c>
      <c r="N117">
        <f ca="1">'1行'!E117</f>
        <v>0</v>
      </c>
    </row>
    <row r="118" spans="2:14" x14ac:dyDescent="0.45">
      <c r="B118" s="14" t="s">
        <v>8</v>
      </c>
      <c r="D118">
        <f ca="1">'1行'!M118</f>
        <v>1</v>
      </c>
      <c r="E118" t="str">
        <f ca="1">'1行'!G118</f>
        <v>2026/03/26</v>
      </c>
      <c r="F118" t="str">
        <f ca="1">'1行'!N118</f>
        <v>15:43:55</v>
      </c>
      <c r="G118" t="str">
        <f ca="1">'1行'!H118</f>
        <v>2026/03/26</v>
      </c>
      <c r="H118" t="str">
        <f ca="1">'1行'!J118</f>
        <v xml:space="preserve">スルバシリン静注用1.5g </v>
      </c>
      <c r="I118" t="str">
        <f ca="1">'1行'!O118</f>
        <v>(1.5g)1瓶×10瓶</v>
      </c>
      <c r="J118" t="str">
        <f ca="1">'1行'!K118</f>
        <v>Ｍｅｉｊｉ Ｓｅｉｋａ ファル</v>
      </c>
      <c r="K118" t="str">
        <f ca="1">'1行'!F118</f>
        <v>4987222664738</v>
      </c>
      <c r="L118">
        <f ca="1">'1行'!D118</f>
        <v>2</v>
      </c>
      <c r="M118">
        <f ca="1">'1行'!L118</f>
        <v>2</v>
      </c>
      <c r="N118">
        <f ca="1">'1行'!E118</f>
        <v>0</v>
      </c>
    </row>
    <row r="119" spans="2:14" x14ac:dyDescent="0.45">
      <c r="B119" s="15"/>
      <c r="C119" s="1" t="s">
        <v>2</v>
      </c>
      <c r="D119">
        <f ca="1">'1行'!M119</f>
        <v>2</v>
      </c>
      <c r="E119" t="str">
        <f ca="1">'1行'!G119</f>
        <v>2026/03/25</v>
      </c>
      <c r="F119" t="str">
        <f ca="1">'1行'!N119</f>
        <v>08:54:48</v>
      </c>
      <c r="G119" t="str">
        <f ca="1">'1行'!H119</f>
        <v>2026/04/01</v>
      </c>
      <c r="H119" t="str">
        <f ca="1">'1行'!J119</f>
        <v xml:space="preserve">アスパラ-CA錠200 </v>
      </c>
      <c r="I119" t="str">
        <f ca="1">'1行'!O119</f>
        <v>200mg/錠 PTP 10錠×10</v>
      </c>
      <c r="J119" t="str">
        <f ca="1">'1行'!K119</f>
        <v>ニプロ</v>
      </c>
      <c r="K119" t="str">
        <f ca="1">'1行'!F119</f>
        <v>4987190000064</v>
      </c>
      <c r="L119">
        <f ca="1">'1行'!D119</f>
        <v>3</v>
      </c>
      <c r="M119">
        <f ca="1">'1行'!L119</f>
        <v>3</v>
      </c>
      <c r="N119">
        <f ca="1">'1行'!E119</f>
        <v>0</v>
      </c>
    </row>
    <row r="120" spans="2:14" x14ac:dyDescent="0.45">
      <c r="B120" s="15"/>
      <c r="D120">
        <f ca="1">'1行'!M120</f>
        <v>3</v>
      </c>
      <c r="E120" t="str">
        <f ca="1">'1行'!G120</f>
        <v>2026/03/25</v>
      </c>
      <c r="F120" t="str">
        <f ca="1">'1行'!N120</f>
        <v>08:54:48</v>
      </c>
      <c r="G120" t="str">
        <f ca="1">'1行'!H120</f>
        <v>2026/04/01</v>
      </c>
      <c r="H120" t="str">
        <f ca="1">'1行'!J120</f>
        <v xml:space="preserve">アスパラカリウム散50% </v>
      </c>
      <c r="I120" t="str">
        <f ca="1">'1行'!O120</f>
        <v>50%1g バラ 500g×1袋 (缶)</v>
      </c>
      <c r="J120" t="str">
        <f ca="1">'1行'!K120</f>
        <v>ニプロ</v>
      </c>
      <c r="K120" t="str">
        <f ca="1">'1行'!F120</f>
        <v>4987190000057</v>
      </c>
      <c r="L120">
        <f ca="1">'1行'!D120</f>
        <v>1</v>
      </c>
      <c r="M120">
        <f ca="1">'1行'!L120</f>
        <v>1</v>
      </c>
      <c r="N120">
        <f ca="1">'1行'!E120</f>
        <v>0</v>
      </c>
    </row>
    <row r="121" spans="2:14" x14ac:dyDescent="0.45">
      <c r="B121" s="15"/>
      <c r="D121">
        <f ca="1">'1行'!M121</f>
        <v>4</v>
      </c>
      <c r="E121" t="str">
        <f ca="1">'1行'!G121</f>
        <v>2026/03/25</v>
      </c>
      <c r="F121" t="str">
        <f ca="1">'1行'!N121</f>
        <v>08:54:48</v>
      </c>
      <c r="G121" t="str">
        <f ca="1">'1行'!H121</f>
        <v>2026/04/01</v>
      </c>
      <c r="H121" t="str">
        <f ca="1">'1行'!J121</f>
        <v xml:space="preserve">メイロン静注7% </v>
      </c>
      <c r="I121" t="str">
        <f ca="1">'1行'!O121</f>
        <v>7%20mL1管×10管 (プラスチック)</v>
      </c>
      <c r="J121" t="str">
        <f ca="1">'1行'!K121</f>
        <v>大塚製薬</v>
      </c>
      <c r="K121" t="str">
        <f ca="1">'1行'!F121</f>
        <v>4987035187219</v>
      </c>
      <c r="L121">
        <f ca="1">'1行'!D121</f>
        <v>1</v>
      </c>
      <c r="M121">
        <f ca="1">'1行'!L121</f>
        <v>1</v>
      </c>
      <c r="N121">
        <f ca="1">'1行'!E121</f>
        <v>0</v>
      </c>
    </row>
    <row r="122" spans="2:14" x14ac:dyDescent="0.45">
      <c r="B122" s="15"/>
      <c r="D122">
        <f ca="1">'1行'!M122</f>
        <v>5</v>
      </c>
      <c r="E122" t="str">
        <f ca="1">'1行'!G122</f>
        <v>2026/03/25</v>
      </c>
      <c r="F122" t="str">
        <f ca="1">'1行'!N122</f>
        <v>08:54:48</v>
      </c>
      <c r="G122" t="str">
        <f ca="1">'1行'!H122</f>
        <v>2026/04/01</v>
      </c>
      <c r="H122" t="str">
        <f ca="1">'1行'!J122</f>
        <v xml:space="preserve">アタラックス錠25mg </v>
      </c>
      <c r="I122" t="str">
        <f ca="1">'1行'!O122</f>
        <v>25mg/錠 PTP 10錠×10</v>
      </c>
      <c r="J122" t="str">
        <f ca="1">'1行'!K122</f>
        <v>ファイザー</v>
      </c>
      <c r="K122" t="str">
        <f ca="1">'1行'!F122</f>
        <v>4987114362001</v>
      </c>
      <c r="L122">
        <f ca="1">'1行'!D122</f>
        <v>3</v>
      </c>
      <c r="M122">
        <f ca="1">'1行'!L122</f>
        <v>3</v>
      </c>
      <c r="N122">
        <f ca="1">'1行'!E122</f>
        <v>0</v>
      </c>
    </row>
    <row r="123" spans="2:14" x14ac:dyDescent="0.45">
      <c r="B123" s="15"/>
      <c r="D123">
        <f ca="1">'1行'!M123</f>
        <v>6</v>
      </c>
      <c r="E123" t="str">
        <f ca="1">'1行'!G123</f>
        <v>2026/03/25</v>
      </c>
      <c r="F123" t="str">
        <f ca="1">'1行'!N123</f>
        <v>08:54:48</v>
      </c>
      <c r="G123" t="str">
        <f ca="1">'1行'!H123</f>
        <v>2026/04/01</v>
      </c>
      <c r="H123" t="str">
        <f ca="1">'1行'!J123</f>
        <v xml:space="preserve">アスパラ-CA錠200 </v>
      </c>
      <c r="I123" t="str">
        <f ca="1">'1行'!O123</f>
        <v>200mg/錠 バラ 500錠×1袋 (缶)</v>
      </c>
      <c r="J123" t="str">
        <f ca="1">'1行'!K123</f>
        <v>ニプロ</v>
      </c>
      <c r="K123" t="str">
        <f ca="1">'1行'!F123</f>
        <v>4987190000088</v>
      </c>
      <c r="L123">
        <f ca="1">'1行'!D123</f>
        <v>2</v>
      </c>
      <c r="M123">
        <f ca="1">'1行'!L123</f>
        <v>2</v>
      </c>
      <c r="N123">
        <f ca="1">'1行'!E123</f>
        <v>0</v>
      </c>
    </row>
    <row r="124" spans="2:14" ht="18.600000000000001" thickBot="1" x14ac:dyDescent="0.5">
      <c r="B124" s="16"/>
      <c r="D124">
        <f ca="1">'1行'!M124</f>
        <v>7</v>
      </c>
      <c r="E124" t="str">
        <f ca="1">'1行'!G124</f>
        <v>2026/03/25</v>
      </c>
      <c r="F124" t="str">
        <f ca="1">'1行'!N124</f>
        <v>08:54:48</v>
      </c>
      <c r="G124" t="str">
        <f ca="1">'1行'!H124</f>
        <v>2026/04/01</v>
      </c>
      <c r="H124" t="str">
        <f ca="1">'1行'!J124</f>
        <v xml:space="preserve">アザルフィジンEN錠500mg </v>
      </c>
      <c r="I124" t="str">
        <f ca="1">'1行'!O124</f>
        <v>500mg/錠 PTP 10錠×10</v>
      </c>
      <c r="J124" t="str">
        <f ca="1">'1行'!K124</f>
        <v>あゆみ製薬</v>
      </c>
      <c r="K124" t="str">
        <f ca="1">'1行'!F124</f>
        <v>4987896000146</v>
      </c>
      <c r="L124">
        <f ca="1">'1行'!D124</f>
        <v>1</v>
      </c>
      <c r="M124">
        <f ca="1">'1行'!L124</f>
        <v>1</v>
      </c>
      <c r="N124">
        <f ca="1">'1行'!E124</f>
        <v>0</v>
      </c>
    </row>
    <row r="125" spans="2:14" x14ac:dyDescent="0.45">
      <c r="B125" s="14" t="s">
        <v>10</v>
      </c>
      <c r="D125">
        <f ca="1">'1行'!M125</f>
        <v>1</v>
      </c>
      <c r="E125" t="str">
        <f ca="1">'1行'!G125</f>
        <v>2026/03/17</v>
      </c>
      <c r="F125" t="str">
        <f ca="1">'1行'!N125</f>
        <v>16:06:01</v>
      </c>
      <c r="G125" t="str">
        <f ca="1">'1行'!H125</f>
        <v>2026/03/17</v>
      </c>
      <c r="H125" t="str">
        <f ca="1">'1行'!J125</f>
        <v xml:space="preserve">タンボコール錠50mg </v>
      </c>
      <c r="I125" t="str">
        <f ca="1">'1行'!O125</f>
        <v>50mg/錠 PTP 10錠×10</v>
      </c>
      <c r="J125" t="str">
        <f ca="1">'1行'!K125</f>
        <v>エーザイ</v>
      </c>
      <c r="K125" t="str">
        <f ca="1">'1行'!F125</f>
        <v>4987028213406</v>
      </c>
      <c r="L125">
        <f ca="1">'1行'!D125</f>
        <v>1</v>
      </c>
      <c r="M125">
        <f ca="1">'1行'!L125</f>
        <v>1</v>
      </c>
      <c r="N125">
        <f ca="1">'1行'!E125</f>
        <v>0</v>
      </c>
    </row>
    <row r="126" spans="2:14" x14ac:dyDescent="0.45">
      <c r="B126" s="15"/>
      <c r="D126">
        <f ca="1">'1行'!M126</f>
        <v>2</v>
      </c>
      <c r="E126" t="str">
        <f ca="1">'1行'!G126</f>
        <v>2026/03/26</v>
      </c>
      <c r="F126" t="str">
        <f ca="1">'1行'!N126</f>
        <v>15:43:55</v>
      </c>
      <c r="G126" t="str">
        <f ca="1">'1行'!H126</f>
        <v>2026/03/26</v>
      </c>
      <c r="H126" t="str">
        <f ca="1">'1行'!J126</f>
        <v xml:space="preserve">ポタコールR輸液 500ml </v>
      </c>
      <c r="I126" t="str">
        <f ca="1">'1行'!O126</f>
        <v>500mL1袋×20袋 (ソフトバッグ)</v>
      </c>
      <c r="J126" t="str">
        <f ca="1">'1行'!K126</f>
        <v>大塚製薬</v>
      </c>
      <c r="K126" t="str">
        <f ca="1">'1行'!F126</f>
        <v>4987035186601</v>
      </c>
      <c r="L126">
        <f ca="1">'1行'!D126</f>
        <v>2</v>
      </c>
      <c r="M126">
        <f ca="1">'1行'!L126</f>
        <v>2</v>
      </c>
      <c r="N126">
        <f ca="1">'1行'!E126</f>
        <v>0</v>
      </c>
    </row>
    <row r="127" spans="2:14" x14ac:dyDescent="0.45">
      <c r="B127" s="15"/>
      <c r="D127">
        <f ca="1">'1行'!M127</f>
        <v>3</v>
      </c>
      <c r="E127" t="str">
        <f ca="1">'1行'!G127</f>
        <v>2026/03/26</v>
      </c>
      <c r="F127" t="str">
        <f ca="1">'1行'!N127</f>
        <v>15:43:55</v>
      </c>
      <c r="G127" t="str">
        <f ca="1">'1行'!H127</f>
        <v>2026/03/26</v>
      </c>
      <c r="H127" t="str">
        <f ca="1">'1行'!J127</f>
        <v>トリフリード輸液</v>
      </c>
      <c r="I127" t="str">
        <f ca="1">'1行'!O127</f>
        <v>500mL1瓶又は1袋×20袋 (ソフトバッグ)</v>
      </c>
      <c r="J127" t="str">
        <f ca="1">'1行'!K127</f>
        <v>大塚製薬</v>
      </c>
      <c r="K127" t="str">
        <f ca="1">'1行'!F127</f>
        <v>4987035197904</v>
      </c>
      <c r="L127">
        <f ca="1">'1行'!D127</f>
        <v>2</v>
      </c>
      <c r="M127">
        <f ca="1">'1行'!L127</f>
        <v>2</v>
      </c>
      <c r="N127">
        <f ca="1">'1行'!E127</f>
        <v>0</v>
      </c>
    </row>
    <row r="128" spans="2:14" x14ac:dyDescent="0.45">
      <c r="B128" s="15"/>
      <c r="D128">
        <f ca="1">'1行'!M128</f>
        <v>4</v>
      </c>
      <c r="E128" t="str">
        <f ca="1">'1行'!G128</f>
        <v>2026/03/26</v>
      </c>
      <c r="F128" t="str">
        <f ca="1">'1行'!N128</f>
        <v>15:43:55</v>
      </c>
      <c r="G128" t="str">
        <f ca="1">'1行'!H128</f>
        <v>2026/03/26</v>
      </c>
      <c r="H128" t="str">
        <f ca="1">'1行'!J128</f>
        <v>ワンパル2号輸液</v>
      </c>
      <c r="I128" t="str">
        <f ca="1">'1行'!O128</f>
        <v>1200mL1キット×7キット</v>
      </c>
      <c r="J128" t="str">
        <f ca="1">'1行'!K128</f>
        <v>陽進堂</v>
      </c>
      <c r="K128" t="str">
        <f ca="1">'1行'!F128</f>
        <v>4987476173710</v>
      </c>
      <c r="L128">
        <f ca="1">'1行'!D128</f>
        <v>1</v>
      </c>
      <c r="M128">
        <f ca="1">'1行'!L128</f>
        <v>1</v>
      </c>
      <c r="N128">
        <f ca="1">'1行'!E128</f>
        <v>0</v>
      </c>
    </row>
    <row r="129" spans="2:14" x14ac:dyDescent="0.45">
      <c r="B129" s="15"/>
      <c r="D129">
        <f ca="1">'1行'!M129</f>
        <v>5</v>
      </c>
      <c r="E129" t="str">
        <f ca="1">'1行'!G129</f>
        <v>2026/03/25</v>
      </c>
      <c r="F129" t="str">
        <f ca="1">'1行'!N129</f>
        <v>08:54:48</v>
      </c>
      <c r="G129" t="str">
        <f ca="1">'1行'!H129</f>
        <v>2026/04/01</v>
      </c>
      <c r="H129" t="str">
        <f ca="1">'1行'!J129</f>
        <v xml:space="preserve">ポタコールR輸液 500ml </v>
      </c>
      <c r="I129" t="str">
        <f ca="1">'1行'!O129</f>
        <v>500mL1袋×20袋 (ソフトバッグ)</v>
      </c>
      <c r="J129" t="str">
        <f ca="1">'1行'!K129</f>
        <v>大塚製薬</v>
      </c>
      <c r="K129" t="str">
        <f ca="1">'1行'!F129</f>
        <v>4987035186601</v>
      </c>
      <c r="L129">
        <f ca="1">'1行'!D129</f>
        <v>5</v>
      </c>
      <c r="M129">
        <f ca="1">'1行'!L129</f>
        <v>5</v>
      </c>
      <c r="N129">
        <f ca="1">'1行'!E129</f>
        <v>0</v>
      </c>
    </row>
    <row r="130" spans="2:14" x14ac:dyDescent="0.45">
      <c r="B130" s="15"/>
      <c r="D130">
        <f ca="1">'1行'!M130</f>
        <v>6</v>
      </c>
      <c r="E130" t="str">
        <f ca="1">'1行'!G130</f>
        <v>2026/03/25</v>
      </c>
      <c r="F130" t="str">
        <f ca="1">'1行'!N130</f>
        <v>08:54:48</v>
      </c>
      <c r="G130" t="str">
        <f ca="1">'1行'!H130</f>
        <v>2026/04/01</v>
      </c>
      <c r="H130" t="str">
        <f ca="1">'1行'!J130</f>
        <v>トリフリード輸液</v>
      </c>
      <c r="I130" t="str">
        <f ca="1">'1行'!O130</f>
        <v>500mL1瓶又は1袋×20袋 (ソフトバッグ)</v>
      </c>
      <c r="J130" t="str">
        <f ca="1">'1行'!K130</f>
        <v>大塚製薬</v>
      </c>
      <c r="K130" t="str">
        <f ca="1">'1行'!F130</f>
        <v>4987035197904</v>
      </c>
      <c r="L130">
        <f ca="1">'1行'!D130</f>
        <v>5</v>
      </c>
      <c r="M130">
        <f ca="1">'1行'!L130</f>
        <v>5</v>
      </c>
      <c r="N130">
        <f ca="1">'1行'!E130</f>
        <v>0</v>
      </c>
    </row>
    <row r="131" spans="2:14" x14ac:dyDescent="0.45">
      <c r="B131" s="15"/>
      <c r="D131">
        <f ca="1">'1行'!M131</f>
        <v>7</v>
      </c>
      <c r="E131" t="str">
        <f ca="1">'1行'!G131</f>
        <v>2026/03/25</v>
      </c>
      <c r="F131" t="str">
        <f ca="1">'1行'!N131</f>
        <v>08:54:48</v>
      </c>
      <c r="G131" t="str">
        <f ca="1">'1行'!H131</f>
        <v>2026/04/01</v>
      </c>
      <c r="H131" t="str">
        <f ca="1">'1行'!J131</f>
        <v xml:space="preserve">ポタコールR輸液 250ml </v>
      </c>
      <c r="I131" t="str">
        <f ca="1">'1行'!O131</f>
        <v>250mL1袋×20袋 (ソフトバッグ)</v>
      </c>
      <c r="J131" t="str">
        <f ca="1">'1行'!K131</f>
        <v>大塚製薬</v>
      </c>
      <c r="K131" t="str">
        <f ca="1">'1行'!F131</f>
        <v>4987035186502</v>
      </c>
      <c r="L131">
        <f ca="1">'1行'!D131</f>
        <v>2</v>
      </c>
      <c r="M131">
        <f ca="1">'1行'!L131</f>
        <v>2</v>
      </c>
      <c r="N131">
        <f ca="1">'1行'!E131</f>
        <v>0</v>
      </c>
    </row>
    <row r="132" spans="2:14" x14ac:dyDescent="0.45">
      <c r="B132" s="15"/>
      <c r="D132">
        <f ca="1">'1行'!M132</f>
        <v>8</v>
      </c>
      <c r="E132" t="str">
        <f ca="1">'1行'!G132</f>
        <v>2026/03/25</v>
      </c>
      <c r="F132" t="str">
        <f ca="1">'1行'!N132</f>
        <v>08:54:48</v>
      </c>
      <c r="G132" t="str">
        <f ca="1">'1行'!H132</f>
        <v>2026/04/01</v>
      </c>
      <c r="H132" t="str">
        <f ca="1">'1行'!J132</f>
        <v xml:space="preserve">ダーブロック錠2mg </v>
      </c>
      <c r="I132" t="str">
        <f ca="1">'1行'!O132</f>
        <v>2mg/錠 PTP 10錠×10</v>
      </c>
      <c r="J132" t="str">
        <f ca="1">'1行'!K132</f>
        <v>協和キリン</v>
      </c>
      <c r="K132" t="str">
        <f ca="1">'1行'!F132</f>
        <v>4987057649306</v>
      </c>
      <c r="L132">
        <f ca="1">'1行'!D132</f>
        <v>1</v>
      </c>
      <c r="M132">
        <f ca="1">'1行'!L132</f>
        <v>1</v>
      </c>
      <c r="N132">
        <f ca="1">'1行'!E132</f>
        <v>0</v>
      </c>
    </row>
    <row r="133" spans="2:14" x14ac:dyDescent="0.45">
      <c r="B133" s="15"/>
      <c r="D133">
        <f ca="1">'1行'!M133</f>
        <v>9</v>
      </c>
      <c r="E133" t="str">
        <f ca="1">'1行'!G133</f>
        <v>2026/03/25</v>
      </c>
      <c r="F133" t="str">
        <f ca="1">'1行'!N133</f>
        <v>08:54:48</v>
      </c>
      <c r="G133" t="str">
        <f ca="1">'1行'!H133</f>
        <v>2026/04/01</v>
      </c>
      <c r="H133" t="str">
        <f ca="1">'1行'!J133</f>
        <v xml:space="preserve">ワソラン錠40mg </v>
      </c>
      <c r="I133" t="str">
        <f ca="1">'1行'!O133</f>
        <v>40mg/錠 バラ 100錠×1瓶</v>
      </c>
      <c r="J133" t="str">
        <f ca="1">'1行'!K133</f>
        <v>エーザイ</v>
      </c>
      <c r="K133" t="str">
        <f ca="1">'1行'!F133</f>
        <v>4987028220671</v>
      </c>
      <c r="L133">
        <f ca="1">'1行'!D133</f>
        <v>2</v>
      </c>
      <c r="M133">
        <f ca="1">'1行'!L133</f>
        <v>2</v>
      </c>
      <c r="N133">
        <f ca="1">'1行'!E133</f>
        <v>0</v>
      </c>
    </row>
    <row r="134" spans="2:14" x14ac:dyDescent="0.45">
      <c r="B134" s="15"/>
      <c r="D134">
        <f ca="1">'1行'!M134</f>
        <v>10</v>
      </c>
      <c r="E134" t="str">
        <f ca="1">'1行'!G134</f>
        <v>2026/03/25</v>
      </c>
      <c r="F134" t="str">
        <f ca="1">'1行'!N134</f>
        <v>08:54:48</v>
      </c>
      <c r="G134" t="str">
        <f ca="1">'1行'!H134</f>
        <v>2026/04/01</v>
      </c>
      <c r="H134" t="str">
        <f ca="1">'1行'!J134</f>
        <v xml:space="preserve">ベサコリン散5% </v>
      </c>
      <c r="I134" t="str">
        <f ca="1">'1行'!O134</f>
        <v>5%1g バラ 100g×1瓶</v>
      </c>
      <c r="J134" t="str">
        <f ca="1">'1行'!K134</f>
        <v>エーザイ</v>
      </c>
      <c r="K134" t="str">
        <f ca="1">'1行'!F134</f>
        <v>4987028207122</v>
      </c>
      <c r="L134">
        <f ca="1">'1行'!D134</f>
        <v>1</v>
      </c>
      <c r="M134">
        <f ca="1">'1行'!L134</f>
        <v>1</v>
      </c>
      <c r="N134">
        <f ca="1">'1行'!E134</f>
        <v>0</v>
      </c>
    </row>
    <row r="135" spans="2:14" x14ac:dyDescent="0.45">
      <c r="B135" s="15"/>
      <c r="D135">
        <f ca="1">'1行'!M135</f>
        <v>11</v>
      </c>
      <c r="E135" t="str">
        <f ca="1">'1行'!G135</f>
        <v>2026/03/25</v>
      </c>
      <c r="F135" t="str">
        <f ca="1">'1行'!N135</f>
        <v>08:54:48</v>
      </c>
      <c r="G135" t="str">
        <f ca="1">'1行'!H135</f>
        <v>2026/04/01</v>
      </c>
      <c r="H135" t="str">
        <f ca="1">'1行'!J135</f>
        <v>ポリスチレンスルホン酸Ca経口ゼリー20%分包25g「</v>
      </c>
      <c r="I135" t="str">
        <f ca="1">'1行'!O135</f>
        <v>20%25g1個×105個</v>
      </c>
      <c r="J135" t="str">
        <f ca="1">'1行'!K135</f>
        <v>三和化学研究所</v>
      </c>
      <c r="K135" t="str">
        <f ca="1">'1行'!F135</f>
        <v>4987086390651</v>
      </c>
      <c r="L135">
        <f ca="1">'1行'!D135</f>
        <v>1</v>
      </c>
      <c r="M135">
        <f ca="1">'1行'!L135</f>
        <v>1</v>
      </c>
      <c r="N135">
        <f ca="1">'1行'!E135</f>
        <v>0</v>
      </c>
    </row>
    <row r="136" spans="2:14" x14ac:dyDescent="0.45">
      <c r="B136" s="15"/>
      <c r="D136">
        <f ca="1">'1行'!M136</f>
        <v>12</v>
      </c>
      <c r="E136" t="str">
        <f ca="1">'1行'!G136</f>
        <v>2026/03/25</v>
      </c>
      <c r="F136" t="str">
        <f ca="1">'1行'!N136</f>
        <v>08:54:48</v>
      </c>
      <c r="G136" t="str">
        <f ca="1">'1行'!H136</f>
        <v>2026/04/01</v>
      </c>
      <c r="H136" t="str">
        <f ca="1">'1行'!J136</f>
        <v xml:space="preserve">レキサルティOD錠1mg </v>
      </c>
      <c r="I136" t="str">
        <f ca="1">'1行'!O136</f>
        <v>1mg/錠 バラ 500錠×1瓶</v>
      </c>
      <c r="J136" t="str">
        <f ca="1">'1行'!K136</f>
        <v>大塚製薬</v>
      </c>
      <c r="K136" t="str">
        <f ca="1">'1行'!F136</f>
        <v>4987035614715</v>
      </c>
      <c r="L136">
        <f ca="1">'1行'!D136</f>
        <v>1</v>
      </c>
      <c r="M136">
        <f ca="1">'1行'!L136</f>
        <v>1</v>
      </c>
      <c r="N136">
        <f ca="1">'1行'!E136</f>
        <v>0</v>
      </c>
    </row>
    <row r="137" spans="2:14" x14ac:dyDescent="0.45">
      <c r="B137" s="15"/>
      <c r="D137">
        <f ca="1">'1行'!M137</f>
        <v>13</v>
      </c>
      <c r="E137" t="str">
        <f ca="1">'1行'!G137</f>
        <v>2026/03/25</v>
      </c>
      <c r="F137" t="str">
        <f ca="1">'1行'!N137</f>
        <v>08:54:48</v>
      </c>
      <c r="G137" t="str">
        <f ca="1">'1行'!H137</f>
        <v>2026/04/01</v>
      </c>
      <c r="H137" t="str">
        <f ca="1">'1行'!J137</f>
        <v xml:space="preserve">クービビック錠25mg </v>
      </c>
      <c r="I137" t="str">
        <f ca="1">'1行'!O137</f>
        <v>25mg/錠 PTP 10錠×10</v>
      </c>
      <c r="J137" t="str">
        <f ca="1">'1行'!K137</f>
        <v>塩野義製薬</v>
      </c>
      <c r="K137" t="str">
        <f ca="1">'1行'!F137</f>
        <v>4987087043143</v>
      </c>
      <c r="L137">
        <f ca="1">'1行'!D137</f>
        <v>1</v>
      </c>
      <c r="M137">
        <f ca="1">'1行'!L137</f>
        <v>1</v>
      </c>
      <c r="N137">
        <f ca="1">'1行'!E137</f>
        <v>0</v>
      </c>
    </row>
    <row r="138" spans="2:14" x14ac:dyDescent="0.45">
      <c r="B138" s="15"/>
      <c r="D138">
        <f ca="1">'1行'!M138</f>
        <v>14</v>
      </c>
      <c r="E138" t="str">
        <f ca="1">'1行'!G138</f>
        <v>2026/03/25</v>
      </c>
      <c r="F138" t="str">
        <f ca="1">'1行'!N138</f>
        <v>08:54:48</v>
      </c>
      <c r="G138" t="str">
        <f ca="1">'1行'!H138</f>
        <v>2026/04/01</v>
      </c>
      <c r="H138" t="str">
        <f ca="1">'1行'!J138</f>
        <v xml:space="preserve">ムコスタ点眼液UD2% </v>
      </c>
      <c r="I138" t="str">
        <f ca="1">'1行'!O138</f>
        <v>2%0.35mL1本×112本</v>
      </c>
      <c r="J138" t="str">
        <f ca="1">'1行'!K138</f>
        <v>大塚製薬</v>
      </c>
      <c r="K138" t="str">
        <f ca="1">'1行'!F138</f>
        <v>4987035515616</v>
      </c>
      <c r="L138">
        <f ca="1">'1行'!D138</f>
        <v>1</v>
      </c>
      <c r="M138">
        <f ca="1">'1行'!L138</f>
        <v>1</v>
      </c>
      <c r="N138">
        <f ca="1">'1行'!E138</f>
        <v>0</v>
      </c>
    </row>
    <row r="139" spans="2:14" x14ac:dyDescent="0.45">
      <c r="B139" s="15"/>
      <c r="D139">
        <f ca="1">'1行'!M139</f>
        <v>15</v>
      </c>
      <c r="E139" t="str">
        <f ca="1">'1行'!G139</f>
        <v>2026/03/25</v>
      </c>
      <c r="F139" t="str">
        <f ca="1">'1行'!N139</f>
        <v>08:54:48</v>
      </c>
      <c r="G139" t="str">
        <f ca="1">'1行'!H139</f>
        <v>2026/04/01</v>
      </c>
      <c r="H139" t="str">
        <f ca="1">'1行'!J139</f>
        <v xml:space="preserve">カロナール錠200 </v>
      </c>
      <c r="I139" t="str">
        <f ca="1">'1行'!O139</f>
        <v>200mg/錠 バラ 500錠×1瓶</v>
      </c>
      <c r="J139" t="str">
        <f ca="1">'1行'!K139</f>
        <v>あゆみ製薬</v>
      </c>
      <c r="K139" t="str">
        <f ca="1">'1行'!F139</f>
        <v>4987896011029</v>
      </c>
      <c r="L139">
        <f ca="1">'1行'!D139</f>
        <v>1</v>
      </c>
      <c r="M139">
        <f ca="1">'1行'!L139</f>
        <v>1</v>
      </c>
      <c r="N139">
        <f ca="1">'1行'!E139</f>
        <v>0</v>
      </c>
    </row>
    <row r="140" spans="2:14" x14ac:dyDescent="0.45">
      <c r="B140" s="15"/>
      <c r="D140">
        <f ca="1">'1行'!M140</f>
        <v>16</v>
      </c>
      <c r="E140" t="str">
        <f ca="1">'1行'!G140</f>
        <v>2026/03/25</v>
      </c>
      <c r="F140" t="str">
        <f ca="1">'1行'!N140</f>
        <v>08:54:48</v>
      </c>
      <c r="G140" t="str">
        <f ca="1">'1行'!H140</f>
        <v>2026/04/01</v>
      </c>
      <c r="H140" t="str">
        <f ca="1">'1行'!J140</f>
        <v xml:space="preserve">ビラノアOD錠20mg </v>
      </c>
      <c r="I140" t="str">
        <f ca="1">'1行'!O140</f>
        <v>20mg/錠 PTP 10錠×50</v>
      </c>
      <c r="J140" t="str">
        <f ca="1">'1行'!K140</f>
        <v>Ｍｅｉｊｉ Ｓｅｉｋａ ファル</v>
      </c>
      <c r="K140" t="str">
        <f ca="1">'1行'!F140</f>
        <v>4987222002103</v>
      </c>
      <c r="L140">
        <f ca="1">'1行'!D140</f>
        <v>1</v>
      </c>
      <c r="M140">
        <f ca="1">'1行'!L140</f>
        <v>1</v>
      </c>
      <c r="N140">
        <f ca="1">'1行'!E140</f>
        <v>0</v>
      </c>
    </row>
    <row r="141" spans="2:14" ht="18.600000000000001" thickBot="1" x14ac:dyDescent="0.5">
      <c r="B141" s="16"/>
      <c r="D141">
        <f ca="1">'1行'!M141</f>
        <v>17</v>
      </c>
      <c r="E141" t="str">
        <f ca="1">'1行'!G141</f>
        <v>2026/03/25</v>
      </c>
      <c r="F141" t="str">
        <f ca="1">'1行'!N141</f>
        <v>08:54:48</v>
      </c>
      <c r="G141" t="str">
        <f ca="1">'1行'!H141</f>
        <v>2026/04/01</v>
      </c>
      <c r="H141" t="str">
        <f ca="1">'1行'!J141</f>
        <v xml:space="preserve">アリドネパッチ27.5mg </v>
      </c>
      <c r="I141" t="str">
        <f ca="1">'1行'!O141</f>
        <v>27.5mg1枚 1枚×28袋</v>
      </c>
      <c r="J141" t="str">
        <f ca="1">'1行'!K141</f>
        <v>興和</v>
      </c>
      <c r="K141" t="str">
        <f ca="1">'1行'!F141</f>
        <v>4987770525703</v>
      </c>
      <c r="L141">
        <f ca="1">'1行'!D141</f>
        <v>3</v>
      </c>
      <c r="M141">
        <f ca="1">'1行'!L141</f>
        <v>3</v>
      </c>
      <c r="N141">
        <f ca="1">'1行'!E141</f>
        <v>0</v>
      </c>
    </row>
    <row r="142" spans="2:14" s="7" customFormat="1" ht="18.600000000000001" thickTop="1" x14ac:dyDescent="0.45">
      <c r="B142" s="14" t="s">
        <v>11</v>
      </c>
      <c r="D142" s="7">
        <f ca="1">'1行'!M142</f>
        <v>1</v>
      </c>
      <c r="E142" s="7" t="str">
        <f ca="1">'1行'!G142</f>
        <v>2026/03/26</v>
      </c>
      <c r="F142" s="7" t="str">
        <f ca="1">'1行'!N142</f>
        <v>15:43:55</v>
      </c>
      <c r="G142" s="7" t="str">
        <f ca="1">'1行'!H142</f>
        <v>2026/03/26</v>
      </c>
      <c r="H142" s="7" t="str">
        <f ca="1">'1行'!J142</f>
        <v>オロパタジン塩酸塩OD錠5mg「トーワ」</v>
      </c>
      <c r="I142" s="7" t="str">
        <f ca="1">'1行'!O142</f>
        <v>5mg/錠 PTP 10錠×10</v>
      </c>
      <c r="J142" s="7" t="str">
        <f ca="1">'1行'!K142</f>
        <v>東和薬品</v>
      </c>
      <c r="K142" s="7" t="str">
        <f ca="1">'1行'!F142</f>
        <v>4987155095128</v>
      </c>
      <c r="L142" s="7">
        <f ca="1">'1行'!D142</f>
        <v>1</v>
      </c>
      <c r="M142" s="7">
        <f ca="1">'1行'!L142</f>
        <v>1</v>
      </c>
      <c r="N142" s="7">
        <f ca="1">'1行'!E142</f>
        <v>0</v>
      </c>
    </row>
    <row r="143" spans="2:14" x14ac:dyDescent="0.45">
      <c r="B143" s="15"/>
      <c r="D143">
        <f ca="1">'1行'!M143</f>
        <v>2</v>
      </c>
      <c r="E143" t="str">
        <f ca="1">'1行'!G143</f>
        <v>2026/03/25</v>
      </c>
      <c r="F143" t="str">
        <f ca="1">'1行'!N143</f>
        <v>08:54:48</v>
      </c>
      <c r="G143" t="str">
        <f ca="1">'1行'!H143</f>
        <v>2026/04/01</v>
      </c>
      <c r="H143" t="str">
        <f ca="1">'1行'!J143</f>
        <v>エスシタロプラムOD錠10mg「トーワ」</v>
      </c>
      <c r="I143" t="str">
        <f ca="1">'1行'!O143</f>
        <v>10mg/錠 PTP 10錠×10</v>
      </c>
      <c r="J143" t="str">
        <f ca="1">'1行'!K143</f>
        <v>東和薬品</v>
      </c>
      <c r="K143" t="str">
        <f ca="1">'1行'!F143</f>
        <v>4987155159172</v>
      </c>
      <c r="L143">
        <f ca="1">'1行'!D143</f>
        <v>2</v>
      </c>
      <c r="M143">
        <f ca="1">'1行'!L143</f>
        <v>2</v>
      </c>
      <c r="N143">
        <f ca="1">'1行'!E143</f>
        <v>0</v>
      </c>
    </row>
    <row r="144" spans="2:14" x14ac:dyDescent="0.45">
      <c r="B144" s="15"/>
      <c r="C144" s="1" t="s">
        <v>2</v>
      </c>
      <c r="D144">
        <f ca="1">'1行'!M144</f>
        <v>3</v>
      </c>
      <c r="E144" t="str">
        <f ca="1">'1行'!G144</f>
        <v>2026/03/25</v>
      </c>
      <c r="F144" t="str">
        <f ca="1">'1行'!N144</f>
        <v>08:54:48</v>
      </c>
      <c r="G144" t="str">
        <f ca="1">'1行'!H144</f>
        <v>2026/04/01</v>
      </c>
      <c r="H144" t="str">
        <f ca="1">'1行'!J144</f>
        <v>ボグリボースOD錠0.2mg「トーワ」</v>
      </c>
      <c r="I144" t="str">
        <f ca="1">'1行'!O144</f>
        <v>0.2mg/錠 PTP 10錠×10</v>
      </c>
      <c r="J144" t="str">
        <f ca="1">'1行'!K144</f>
        <v>東和薬品</v>
      </c>
      <c r="K144" t="str">
        <f ca="1">'1行'!F144</f>
        <v>4987155881011</v>
      </c>
      <c r="L144">
        <f ca="1">'1行'!D144</f>
        <v>1</v>
      </c>
      <c r="M144">
        <f ca="1">'1行'!L144</f>
        <v>1</v>
      </c>
      <c r="N144">
        <f ca="1">'1行'!E144</f>
        <v>0</v>
      </c>
    </row>
    <row r="145" spans="2:14" x14ac:dyDescent="0.45">
      <c r="B145" s="15"/>
      <c r="D145">
        <f ca="1">'1行'!M145</f>
        <v>4</v>
      </c>
      <c r="E145" t="str">
        <f ca="1">'1行'!G145</f>
        <v>2026/03/25</v>
      </c>
      <c r="F145" t="str">
        <f ca="1">'1行'!N145</f>
        <v>08:54:48</v>
      </c>
      <c r="G145" t="str">
        <f ca="1">'1行'!H145</f>
        <v>2026/04/01</v>
      </c>
      <c r="H145" t="str">
        <f ca="1">'1行'!J145</f>
        <v>レベチラセタム錠250mg「トーワ」</v>
      </c>
      <c r="I145" t="str">
        <f ca="1">'1行'!O145</f>
        <v>250mg/錠 PTP 10錠×10</v>
      </c>
      <c r="J145" t="str">
        <f ca="1">'1行'!K145</f>
        <v>東和薬品</v>
      </c>
      <c r="K145" t="str">
        <f ca="1">'1行'!F145</f>
        <v>4987155155174</v>
      </c>
      <c r="L145">
        <f ca="1">'1行'!D145</f>
        <v>2</v>
      </c>
      <c r="M145">
        <f ca="1">'1行'!L145</f>
        <v>2</v>
      </c>
      <c r="N145">
        <f ca="1">'1行'!E145</f>
        <v>0</v>
      </c>
    </row>
    <row r="146" spans="2:14" x14ac:dyDescent="0.45">
      <c r="B146" s="15"/>
      <c r="D146">
        <f ca="1">'1行'!M146</f>
        <v>5</v>
      </c>
      <c r="E146" t="str">
        <f ca="1">'1行'!G146</f>
        <v>2026/03/25</v>
      </c>
      <c r="F146" t="str">
        <f ca="1">'1行'!N146</f>
        <v>08:54:48</v>
      </c>
      <c r="G146" t="str">
        <f ca="1">'1行'!H146</f>
        <v>2026/04/01</v>
      </c>
      <c r="H146" t="str">
        <f ca="1">'1行'!J146</f>
        <v>ソリフェナシンコハク酸塩OD錠5mg「トーワ」</v>
      </c>
      <c r="I146" t="str">
        <f ca="1">'1行'!O146</f>
        <v>5mg/錠 PTP 10錠×10</v>
      </c>
      <c r="J146" t="str">
        <f ca="1">'1行'!K146</f>
        <v>東和薬品</v>
      </c>
      <c r="K146" t="str">
        <f ca="1">'1行'!F146</f>
        <v>4987155153071</v>
      </c>
      <c r="L146">
        <f ca="1">'1行'!D146</f>
        <v>1</v>
      </c>
      <c r="M146">
        <f ca="1">'1行'!L146</f>
        <v>1</v>
      </c>
      <c r="N146">
        <f ca="1">'1行'!E146</f>
        <v>0</v>
      </c>
    </row>
    <row r="147" spans="2:14" x14ac:dyDescent="0.45">
      <c r="B147" s="15"/>
      <c r="D147">
        <f ca="1">'1行'!M147</f>
        <v>6</v>
      </c>
      <c r="E147" t="str">
        <f ca="1">'1行'!G147</f>
        <v>2026/03/25</v>
      </c>
      <c r="F147" t="str">
        <f ca="1">'1行'!N147</f>
        <v>08:54:48</v>
      </c>
      <c r="G147" t="str">
        <f ca="1">'1行'!H147</f>
        <v>2026/04/01</v>
      </c>
      <c r="H147" t="str">
        <f ca="1">'1行'!J147</f>
        <v>エゼチミブOD錠10mg「トーワ」</v>
      </c>
      <c r="I147" t="str">
        <f ca="1">'1行'!O147</f>
        <v>10mg/錠 PTP 10錠×10</v>
      </c>
      <c r="J147" t="str">
        <f ca="1">'1行'!K147</f>
        <v>東和薬品</v>
      </c>
      <c r="K147" t="str">
        <f ca="1">'1行'!F147</f>
        <v>4987155148190</v>
      </c>
      <c r="L147">
        <f ca="1">'1行'!D147</f>
        <v>1</v>
      </c>
      <c r="M147">
        <f ca="1">'1行'!L147</f>
        <v>1</v>
      </c>
      <c r="N147">
        <f ca="1">'1行'!E147</f>
        <v>0</v>
      </c>
    </row>
    <row r="148" spans="2:14" x14ac:dyDescent="0.45">
      <c r="B148" s="15"/>
      <c r="D148">
        <f ca="1">'1行'!M148</f>
        <v>7</v>
      </c>
      <c r="E148" t="str">
        <f ca="1">'1行'!G148</f>
        <v>2026/03/25</v>
      </c>
      <c r="F148" t="str">
        <f ca="1">'1行'!N148</f>
        <v>08:54:48</v>
      </c>
      <c r="G148" t="str">
        <f ca="1">'1行'!H148</f>
        <v>2026/04/01</v>
      </c>
      <c r="H148" t="str">
        <f ca="1">'1行'!J148</f>
        <v>グリメピリド錠1mg「トーワ」</v>
      </c>
      <c r="I148" t="str">
        <f ca="1">'1行'!O148</f>
        <v>1mg/錠 バラ 500錠×1瓶</v>
      </c>
      <c r="J148" t="str">
        <f ca="1">'1行'!K148</f>
        <v>東和薬品</v>
      </c>
      <c r="K148" t="str">
        <f ca="1">'1行'!F148</f>
        <v>4987155491036</v>
      </c>
      <c r="L148">
        <f ca="1">'1行'!D148</f>
        <v>1</v>
      </c>
      <c r="M148">
        <f ca="1">'1行'!L148</f>
        <v>1</v>
      </c>
      <c r="N148">
        <f ca="1">'1行'!E148</f>
        <v>0</v>
      </c>
    </row>
    <row r="149" spans="2:14" x14ac:dyDescent="0.45">
      <c r="B149" s="15"/>
      <c r="D149">
        <f ca="1">'1行'!M149</f>
        <v>8</v>
      </c>
      <c r="E149" t="str">
        <f ca="1">'1行'!G149</f>
        <v>2026/03/25</v>
      </c>
      <c r="F149" t="str">
        <f ca="1">'1行'!N149</f>
        <v>08:54:48</v>
      </c>
      <c r="G149" t="str">
        <f ca="1">'1行'!H149</f>
        <v>2026/04/01</v>
      </c>
      <c r="H149" t="str">
        <f ca="1">'1行'!J149</f>
        <v>ブロムヘキシン塩酸塩錠4mg「トーワ」</v>
      </c>
      <c r="I149" t="str">
        <f ca="1">'1行'!O149</f>
        <v>4mg/錠 PTP 10錠×100</v>
      </c>
      <c r="J149" t="str">
        <f ca="1">'1行'!K149</f>
        <v>東和薬品</v>
      </c>
      <c r="K149" t="str">
        <f ca="1">'1行'!F149</f>
        <v>4987155139181</v>
      </c>
      <c r="L149">
        <f ca="1">'1行'!D149</f>
        <v>1</v>
      </c>
      <c r="M149">
        <f ca="1">'1行'!L149</f>
        <v>1</v>
      </c>
      <c r="N149">
        <f ca="1">'1行'!E149</f>
        <v>0</v>
      </c>
    </row>
    <row r="150" spans="2:14" x14ac:dyDescent="0.45">
      <c r="B150" s="15"/>
      <c r="D150">
        <f ca="1">'1行'!M150</f>
        <v>9</v>
      </c>
      <c r="E150" t="str">
        <f ca="1">'1行'!G150</f>
        <v>2026/03/25</v>
      </c>
      <c r="F150" t="str">
        <f ca="1">'1行'!N150</f>
        <v>08:54:48</v>
      </c>
      <c r="G150" t="str">
        <f ca="1">'1行'!H150</f>
        <v>2026/04/01</v>
      </c>
      <c r="H150" t="str">
        <f ca="1">'1行'!J150</f>
        <v>テオフィリン徐放U錠200mg「トーワ」</v>
      </c>
      <c r="I150" t="str">
        <f ca="1">'1行'!O150</f>
        <v>200mg/錠 PTP 10錠×10</v>
      </c>
      <c r="J150" t="str">
        <f ca="1">'1行'!K150</f>
        <v>東和薬品</v>
      </c>
      <c r="K150" t="str">
        <f ca="1">'1行'!F150</f>
        <v>4987155278071</v>
      </c>
      <c r="L150">
        <f ca="1">'1行'!D150</f>
        <v>1</v>
      </c>
      <c r="M150">
        <f ca="1">'1行'!L150</f>
        <v>1</v>
      </c>
      <c r="N150">
        <f ca="1">'1行'!E150</f>
        <v>0</v>
      </c>
    </row>
    <row r="151" spans="2:14" x14ac:dyDescent="0.45">
      <c r="B151" s="15"/>
      <c r="D151">
        <f ca="1">'1行'!M151</f>
        <v>10</v>
      </c>
      <c r="E151" t="str">
        <f ca="1">'1行'!G151</f>
        <v>2026/03/25</v>
      </c>
      <c r="F151" t="str">
        <f ca="1">'1行'!N151</f>
        <v>08:54:48</v>
      </c>
      <c r="G151" t="str">
        <f ca="1">'1行'!H151</f>
        <v>2026/04/01</v>
      </c>
      <c r="H151" t="str">
        <f ca="1">'1行'!J151</f>
        <v>メコバラミン錠500「トーワ」</v>
      </c>
      <c r="I151" t="str">
        <f ca="1">'1行'!O151</f>
        <v>0.5mg/錠 バラ 1000錠×1瓶</v>
      </c>
      <c r="J151" t="str">
        <f ca="1">'1行'!K151</f>
        <v>東和薬品</v>
      </c>
      <c r="K151" t="str">
        <f ca="1">'1行'!F151</f>
        <v>4987155207026</v>
      </c>
      <c r="L151">
        <f ca="1">'1行'!D151</f>
        <v>1</v>
      </c>
      <c r="M151">
        <f ca="1">'1行'!L151</f>
        <v>1</v>
      </c>
      <c r="N151">
        <f ca="1">'1行'!E151</f>
        <v>0</v>
      </c>
    </row>
    <row r="152" spans="2:14" x14ac:dyDescent="0.45">
      <c r="B152" s="15"/>
      <c r="D152">
        <f ca="1">'1行'!M152</f>
        <v>11</v>
      </c>
      <c r="E152" t="str">
        <f ca="1">'1行'!G152</f>
        <v>2026/03/25</v>
      </c>
      <c r="F152" t="str">
        <f ca="1">'1行'!N152</f>
        <v>08:54:48</v>
      </c>
      <c r="G152" t="str">
        <f ca="1">'1行'!H152</f>
        <v>2026/04/01</v>
      </c>
      <c r="H152" t="str">
        <f ca="1">'1行'!J152</f>
        <v>メコバラミン錠500「トーワ」</v>
      </c>
      <c r="I152" t="str">
        <f ca="1">'1行'!O152</f>
        <v>0.5mg/錠 PTP 10錠×100</v>
      </c>
      <c r="J152" t="str">
        <f ca="1">'1行'!K152</f>
        <v>東和薬品</v>
      </c>
      <c r="K152" t="str">
        <f ca="1">'1行'!F152</f>
        <v>4987155207040</v>
      </c>
      <c r="L152">
        <f ca="1">'1行'!D152</f>
        <v>1</v>
      </c>
      <c r="M152">
        <f ca="1">'1行'!L152</f>
        <v>1</v>
      </c>
      <c r="N152">
        <f ca="1">'1行'!E152</f>
        <v>0</v>
      </c>
    </row>
    <row r="153" spans="2:14" x14ac:dyDescent="0.45">
      <c r="B153" s="15"/>
      <c r="D153">
        <f ca="1">'1行'!M153</f>
        <v>12</v>
      </c>
      <c r="E153" t="str">
        <f ca="1">'1行'!G153</f>
        <v>2026/03/25</v>
      </c>
      <c r="F153" t="str">
        <f ca="1">'1行'!N153</f>
        <v>08:54:48</v>
      </c>
      <c r="G153" t="str">
        <f ca="1">'1行'!H153</f>
        <v>2026/04/01</v>
      </c>
      <c r="H153" t="str">
        <f ca="1">'1行'!J153</f>
        <v>エスシタロプラムOD錠10mg「トーワ」</v>
      </c>
      <c r="I153" t="str">
        <f ca="1">'1行'!O153</f>
        <v>10mg/錠 バラ 300錠×1瓶</v>
      </c>
      <c r="J153" t="str">
        <f ca="1">'1行'!K153</f>
        <v>東和薬品</v>
      </c>
      <c r="K153" t="str">
        <f ca="1">'1行'!F153</f>
        <v>4987155159196</v>
      </c>
      <c r="L153">
        <f ca="1">'1行'!D153</f>
        <v>1</v>
      </c>
      <c r="M153">
        <f ca="1">'1行'!L153</f>
        <v>1</v>
      </c>
      <c r="N153">
        <f ca="1">'1行'!E153</f>
        <v>0</v>
      </c>
    </row>
    <row r="154" spans="2:14" x14ac:dyDescent="0.45">
      <c r="B154" s="15"/>
      <c r="D154">
        <f ca="1">'1行'!M154</f>
        <v>13</v>
      </c>
      <c r="E154" t="str">
        <f ca="1">'1行'!G154</f>
        <v>2026/03/25</v>
      </c>
      <c r="F154" t="str">
        <f ca="1">'1行'!N154</f>
        <v>08:54:48</v>
      </c>
      <c r="G154" t="str">
        <f ca="1">'1行'!H154</f>
        <v>2026/04/01</v>
      </c>
      <c r="H154" t="str">
        <f ca="1">'1行'!J154</f>
        <v>エスゾピクロン錠1mg「トーワ」</v>
      </c>
      <c r="I154" t="str">
        <f ca="1">'1行'!O154</f>
        <v>1mg/錠 バラ 100錠×1瓶</v>
      </c>
      <c r="J154" t="str">
        <f ca="1">'1行'!K154</f>
        <v>東和薬品</v>
      </c>
      <c r="K154" t="str">
        <f ca="1">'1行'!F154</f>
        <v>4987155154092</v>
      </c>
      <c r="L154">
        <f ca="1">'1行'!D154</f>
        <v>5</v>
      </c>
      <c r="M154">
        <f ca="1">'1行'!L154</f>
        <v>5</v>
      </c>
      <c r="N154">
        <f ca="1">'1行'!E154</f>
        <v>0</v>
      </c>
    </row>
    <row r="155" spans="2:14" x14ac:dyDescent="0.45">
      <c r="B155" s="15"/>
      <c r="D155">
        <f ca="1">'1行'!M155</f>
        <v>14</v>
      </c>
      <c r="E155" t="str">
        <f ca="1">'1行'!G155</f>
        <v>2026/03/25</v>
      </c>
      <c r="F155" t="str">
        <f ca="1">'1行'!N155</f>
        <v>08:54:48</v>
      </c>
      <c r="G155" t="str">
        <f ca="1">'1行'!H155</f>
        <v>2026/04/01</v>
      </c>
      <c r="H155" t="str">
        <f ca="1">'1行'!J155</f>
        <v>ビソプロロールフマル酸塩錠0.625mg「トーワ」</v>
      </c>
      <c r="I155" t="str">
        <f ca="1">'1行'!O155</f>
        <v>0.625mg/錠 PTP 10錠×10</v>
      </c>
      <c r="J155" t="str">
        <f ca="1">'1行'!K155</f>
        <v>東和薬品</v>
      </c>
      <c r="K155" t="str">
        <f ca="1">'1行'!F155</f>
        <v>4987155107159</v>
      </c>
      <c r="L155">
        <f ca="1">'1行'!D155</f>
        <v>3</v>
      </c>
      <c r="M155">
        <f ca="1">'1行'!L155</f>
        <v>3</v>
      </c>
      <c r="N155">
        <f ca="1">'1行'!E155</f>
        <v>0</v>
      </c>
    </row>
    <row r="156" spans="2:14" x14ac:dyDescent="0.45">
      <c r="B156" s="15"/>
      <c r="D156">
        <f ca="1">'1行'!M156</f>
        <v>15</v>
      </c>
      <c r="E156" t="str">
        <f ca="1">'1行'!G156</f>
        <v>2026/03/25</v>
      </c>
      <c r="F156" t="str">
        <f ca="1">'1行'!N156</f>
        <v>08:54:48</v>
      </c>
      <c r="G156" t="str">
        <f ca="1">'1行'!H156</f>
        <v>2026/04/01</v>
      </c>
      <c r="H156" t="str">
        <f ca="1">'1行'!J156</f>
        <v>イバンドロン酸静注1mgシリンジ「トーワ」</v>
      </c>
      <c r="I156" t="str">
        <f ca="1">'1行'!O156</f>
        <v>1mg1mL1筒×10筒</v>
      </c>
      <c r="J156" t="str">
        <f ca="1">'1行'!K156</f>
        <v>東和薬品</v>
      </c>
      <c r="K156" t="str">
        <f ca="1">'1行'!F156</f>
        <v>4987155159547</v>
      </c>
      <c r="L156">
        <f ca="1">'1行'!D156</f>
        <v>1</v>
      </c>
      <c r="M156">
        <f ca="1">'1行'!L156</f>
        <v>1</v>
      </c>
      <c r="N156">
        <f ca="1">'1行'!E156</f>
        <v>0</v>
      </c>
    </row>
    <row r="157" spans="2:14" x14ac:dyDescent="0.45">
      <c r="B157" s="15"/>
      <c r="D157">
        <f ca="1">'1行'!M157</f>
        <v>16</v>
      </c>
      <c r="E157" t="str">
        <f ca="1">'1行'!G157</f>
        <v>2026/03/25</v>
      </c>
      <c r="F157" t="str">
        <f ca="1">'1行'!N157</f>
        <v>08:54:48</v>
      </c>
      <c r="G157" t="str">
        <f ca="1">'1行'!H157</f>
        <v>2026/04/01</v>
      </c>
      <c r="H157" t="str">
        <f ca="1">'1行'!J157</f>
        <v>チザニジン錠1mg「トーワ」</v>
      </c>
      <c r="I157" t="str">
        <f ca="1">'1行'!O157</f>
        <v>1mg/錠 PTP 10錠×10</v>
      </c>
      <c r="J157" t="str">
        <f ca="1">'1行'!K157</f>
        <v>東和薬品</v>
      </c>
      <c r="K157" t="str">
        <f ca="1">'1行'!F157</f>
        <v>4987155097108</v>
      </c>
      <c r="L157">
        <f ca="1">'1行'!D157</f>
        <v>1</v>
      </c>
      <c r="M157">
        <f ca="1">'1行'!L157</f>
        <v>1</v>
      </c>
      <c r="N157">
        <f ca="1">'1行'!E157</f>
        <v>0</v>
      </c>
    </row>
    <row r="158" spans="2:14" x14ac:dyDescent="0.45">
      <c r="B158" s="15"/>
      <c r="D158">
        <f ca="1">'1行'!M158</f>
        <v>17</v>
      </c>
      <c r="E158" t="str">
        <f ca="1">'1行'!G158</f>
        <v>2026/03/25</v>
      </c>
      <c r="F158" t="str">
        <f ca="1">'1行'!N158</f>
        <v>08:54:48</v>
      </c>
      <c r="G158" t="str">
        <f ca="1">'1行'!H158</f>
        <v>2026/04/01</v>
      </c>
      <c r="H158" t="str">
        <f ca="1">'1行'!J158</f>
        <v>ラメルテオン錠8mg「トーワ」</v>
      </c>
      <c r="I158" t="str">
        <f ca="1">'1行'!O158</f>
        <v>8mg/錠 バラ 300錠×1瓶</v>
      </c>
      <c r="J158" t="str">
        <f ca="1">'1行'!K158</f>
        <v>東和薬品</v>
      </c>
      <c r="K158" t="str">
        <f ca="1">'1行'!F158</f>
        <v>4987155159295</v>
      </c>
      <c r="L158">
        <f ca="1">'1行'!D158</f>
        <v>2</v>
      </c>
      <c r="M158">
        <f ca="1">'1行'!L158</f>
        <v>2</v>
      </c>
      <c r="N158">
        <f ca="1">'1行'!E158</f>
        <v>0</v>
      </c>
    </row>
    <row r="159" spans="2:14" ht="18.600000000000001" thickBot="1" x14ac:dyDescent="0.5">
      <c r="B159" s="16"/>
      <c r="D159">
        <f ca="1">'1行'!M159</f>
        <v>18</v>
      </c>
      <c r="E159" t="str">
        <f ca="1">'1行'!G159</f>
        <v>2026/03/25</v>
      </c>
      <c r="F159" t="str">
        <f ca="1">'1行'!N159</f>
        <v>08:54:48</v>
      </c>
      <c r="G159" t="str">
        <f ca="1">'1行'!H159</f>
        <v>2026/04/01</v>
      </c>
      <c r="H159" t="str">
        <f ca="1">'1行'!J159</f>
        <v>ビソプロロールフマル酸塩錠2.5mg「トーワ」</v>
      </c>
      <c r="I159" t="str">
        <f ca="1">'1行'!O159</f>
        <v>2.5mg/錠 PTP 10錠×10</v>
      </c>
      <c r="J159" t="str">
        <f ca="1">'1行'!K159</f>
        <v>東和薬品</v>
      </c>
      <c r="K159" t="str">
        <f ca="1">'1行'!F159</f>
        <v>4987155289046</v>
      </c>
      <c r="L159">
        <f ca="1">'1行'!D159</f>
        <v>3</v>
      </c>
      <c r="M159">
        <f ca="1">'1行'!L159</f>
        <v>3</v>
      </c>
      <c r="N159">
        <f ca="1">'1行'!E159</f>
        <v>0</v>
      </c>
    </row>
    <row r="160" spans="2:14" s="7" customFormat="1" ht="18.600000000000001" thickTop="1" x14ac:dyDescent="0.45">
      <c r="B160" s="17" t="s">
        <v>13</v>
      </c>
      <c r="D160" s="7">
        <f ca="1">'1行'!M160</f>
        <v>1</v>
      </c>
      <c r="E160" s="7" t="str">
        <f ca="1">'1行'!G160</f>
        <v>2026/03/09</v>
      </c>
      <c r="F160" s="7" t="str">
        <f ca="1">'1行'!N160</f>
        <v>16:08:58</v>
      </c>
      <c r="G160" s="7" t="str">
        <f ca="1">'1行'!H160</f>
        <v>2026/03/09</v>
      </c>
      <c r="H160" s="7" t="str">
        <f ca="1">'1行'!J160</f>
        <v>テルビナフィン塩酸塩クリーム1%「サワイ」</v>
      </c>
      <c r="I160" s="7" t="str">
        <f ca="1">'1行'!O160</f>
        <v>1%1g 10g×10本 (アルミニウムチューブ)</v>
      </c>
      <c r="J160" s="7" t="str">
        <f ca="1">'1行'!K160</f>
        <v>沢井製薬</v>
      </c>
      <c r="K160" s="7" t="str">
        <f ca="1">'1行'!F160</f>
        <v>4987080036111</v>
      </c>
      <c r="L160" s="7">
        <f ca="1">'1行'!D160</f>
        <v>5</v>
      </c>
      <c r="M160" s="7">
        <f ca="1">'1行'!L160</f>
        <v>5</v>
      </c>
      <c r="N160" s="7">
        <f ca="1">'1行'!E160</f>
        <v>0</v>
      </c>
    </row>
    <row r="161" spans="2:14" s="8" customFormat="1" x14ac:dyDescent="0.45">
      <c r="B161" s="15"/>
      <c r="D161" s="8">
        <f ca="1">'1行'!M161</f>
        <v>2</v>
      </c>
      <c r="E161" s="8" t="str">
        <f ca="1">'1行'!G161</f>
        <v>2026/03/25</v>
      </c>
      <c r="F161" s="8" t="str">
        <f ca="1">'1行'!N161</f>
        <v>08:54:48</v>
      </c>
      <c r="G161" s="8" t="str">
        <f ca="1">'1行'!H161</f>
        <v>2026/04/01</v>
      </c>
      <c r="H161" s="8" t="str">
        <f ca="1">'1行'!J161</f>
        <v>カモスタットメシル酸塩錠100mg「サワイ」</v>
      </c>
      <c r="I161" s="8" t="str">
        <f ca="1">'1行'!O161</f>
        <v>100mg/錠 PTP 10錠×10</v>
      </c>
      <c r="J161" s="8" t="str">
        <f ca="1">'1行'!K161</f>
        <v>沢井製薬</v>
      </c>
      <c r="K161" s="8" t="str">
        <f ca="1">'1行'!F161</f>
        <v>4987080197010</v>
      </c>
      <c r="L161" s="8">
        <f ca="1">'1行'!D161</f>
        <v>1</v>
      </c>
      <c r="M161" s="8">
        <f ca="1">'1行'!L161</f>
        <v>1</v>
      </c>
      <c r="N161" s="8">
        <f ca="1">'1行'!E161</f>
        <v>0</v>
      </c>
    </row>
    <row r="162" spans="2:14" s="8" customFormat="1" x14ac:dyDescent="0.45">
      <c r="B162" s="15"/>
      <c r="D162" s="8">
        <f ca="1">'1行'!M162</f>
        <v>3</v>
      </c>
      <c r="E162" s="8" t="str">
        <f ca="1">'1行'!G162</f>
        <v>2026/03/25</v>
      </c>
      <c r="F162" s="8" t="str">
        <f ca="1">'1行'!N162</f>
        <v>08:54:48</v>
      </c>
      <c r="G162" s="8" t="str">
        <f ca="1">'1行'!H162</f>
        <v>2026/04/01</v>
      </c>
      <c r="H162" s="8" t="str">
        <f ca="1">'1行'!J162</f>
        <v>シロドシンOD錠4mg「KMP」</v>
      </c>
      <c r="I162" s="8" t="str">
        <f ca="1">'1行'!O162</f>
        <v>4mg/錠 PTP 10錠×10</v>
      </c>
      <c r="J162" s="8" t="str">
        <f ca="1">'1行'!K162</f>
        <v>共創未来ファーマ</v>
      </c>
      <c r="K162" s="8" t="str">
        <f ca="1">'1行'!F162</f>
        <v>4987885022340</v>
      </c>
      <c r="L162" s="8">
        <f ca="1">'1行'!D162</f>
        <v>2</v>
      </c>
      <c r="M162" s="8">
        <f ca="1">'1行'!L162</f>
        <v>2</v>
      </c>
      <c r="N162" s="8">
        <f ca="1">'1行'!E162</f>
        <v>0</v>
      </c>
    </row>
    <row r="163" spans="2:14" s="9" customFormat="1" ht="18.600000000000001" thickBot="1" x14ac:dyDescent="0.5">
      <c r="B163" s="18"/>
      <c r="D163" s="9">
        <f ca="1">'1行'!M163</f>
        <v>4</v>
      </c>
      <c r="E163" s="9" t="str">
        <f ca="1">'1行'!G163</f>
        <v>2026/03/25</v>
      </c>
      <c r="F163" s="9" t="str">
        <f ca="1">'1行'!N163</f>
        <v>08:54:48</v>
      </c>
      <c r="G163" s="9" t="str">
        <f ca="1">'1行'!H163</f>
        <v>2026/04/01</v>
      </c>
      <c r="H163" s="9" t="str">
        <f ca="1">'1行'!J163</f>
        <v xml:space="preserve">ヒルドイドソフト軟膏0.3% </v>
      </c>
      <c r="I163" s="9" t="str">
        <f ca="1">'1行'!O163</f>
        <v>25g×10本 (ポリエチレンチューブ)</v>
      </c>
      <c r="J163" s="9" t="str">
        <f ca="1">'1行'!K163</f>
        <v>マルホ</v>
      </c>
      <c r="K163" s="9" t="str">
        <f ca="1">'1行'!F163</f>
        <v>4987213052810</v>
      </c>
      <c r="L163" s="9">
        <f ca="1">'1行'!D163</f>
        <v>1</v>
      </c>
      <c r="M163" s="9">
        <f ca="1">'1行'!L163</f>
        <v>1</v>
      </c>
      <c r="N163" s="9">
        <f ca="1">'1行'!E163</f>
        <v>0</v>
      </c>
    </row>
    <row r="164" spans="2:14" ht="18.600000000000001" thickTop="1" x14ac:dyDescent="0.45"/>
  </sheetData>
  <mergeCells count="6">
    <mergeCell ref="B5:B57"/>
    <mergeCell ref="B58:B117"/>
    <mergeCell ref="B118:B124"/>
    <mergeCell ref="B125:B141"/>
    <mergeCell ref="B142:B159"/>
    <mergeCell ref="B160:B16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5EFC-E82D-478B-8D5D-5B8F689DA5BE}">
  <dimension ref="B4:P163"/>
  <sheetViews>
    <sheetView workbookViewId="0">
      <selection activeCell="K3" sqref="K3"/>
    </sheetView>
  </sheetViews>
  <sheetFormatPr defaultRowHeight="18" x14ac:dyDescent="0.45"/>
  <cols>
    <col min="1" max="1" width="2.69921875" customWidth="1"/>
    <col min="2" max="2" width="4.3984375" bestFit="1" customWidth="1"/>
    <col min="3" max="3" width="154.69921875" bestFit="1" customWidth="1"/>
    <col min="4" max="5" width="6.796875" bestFit="1" customWidth="1"/>
    <col min="6" max="6" width="15.296875" style="4" bestFit="1" customWidth="1"/>
    <col min="7" max="7" width="11.296875" style="4" bestFit="1" customWidth="1"/>
    <col min="8" max="8" width="11.296875" bestFit="1" customWidth="1"/>
    <col min="9" max="9" width="60.796875" bestFit="1" customWidth="1"/>
    <col min="10" max="10" width="60.796875" customWidth="1"/>
    <col min="11" max="11" width="29.69921875" bestFit="1" customWidth="1"/>
    <col min="15" max="15" width="64.59765625" bestFit="1" customWidth="1"/>
    <col min="16" max="16" width="20.09765625" bestFit="1" customWidth="1"/>
  </cols>
  <sheetData>
    <row r="4" spans="2:16" x14ac:dyDescent="0.45">
      <c r="C4" t="s">
        <v>370</v>
      </c>
      <c r="D4" t="s">
        <v>367</v>
      </c>
      <c r="E4" t="s">
        <v>365</v>
      </c>
      <c r="F4" s="4" t="s">
        <v>366</v>
      </c>
      <c r="G4" s="4" t="s">
        <v>361</v>
      </c>
      <c r="H4" t="s">
        <v>362</v>
      </c>
      <c r="I4" t="s">
        <v>374</v>
      </c>
      <c r="J4" t="s">
        <v>389</v>
      </c>
      <c r="K4" t="s">
        <v>388</v>
      </c>
      <c r="L4" t="s">
        <v>368</v>
      </c>
      <c r="M4" t="s">
        <v>369</v>
      </c>
      <c r="N4" t="s">
        <v>372</v>
      </c>
      <c r="O4" t="s">
        <v>371</v>
      </c>
      <c r="P4" t="s">
        <v>373</v>
      </c>
    </row>
    <row r="5" spans="2:16" x14ac:dyDescent="0.45">
      <c r="B5">
        <v>0</v>
      </c>
      <c r="C5" t="str">
        <f ca="1">_xlfn.CONCAT(OFFSET(元!$B$10,'1行'!B5,0)," ",OFFSET(元!$B$12,'1行'!B5,0))</f>
        <v>2026/02/09 2026/02/09 セパゾン錠1 アルフレッサファーマ 2 1 15:44:45 1mg/錠 PTP 10錠×10 4987274132872 2 0</v>
      </c>
      <c r="D5" cm="1">
        <f t="array" aca="1" ref="D5" ca="1">INDEX(_xlfn.FILTERXML("&lt;t&gt;&lt;s&gt;" &amp; SUBSTITUTE(C5," ","&lt;/s&gt;&lt;s&gt;") &amp; "&lt;/s&gt;&lt;/t&gt;","//s[number(.)=number(.)]"),
       COUNT(_xlfn.FILTERXML("&lt;t&gt;&lt;s&gt;" &amp; SUBSTITUTE(C5," ","&lt;/s&gt;&lt;s&gt;") &amp; "&lt;/s&gt;&lt;/t&gt;","//s[number(.)=number(.)]"))-1)</f>
        <v>2</v>
      </c>
      <c r="E5" cm="1">
        <f t="array" aca="1" ref="E5" ca="1">INDEX(_xlfn.FILTERXML("&lt;t&gt;&lt;s&gt;" &amp; SUBSTITUTE(C5," ","&lt;/s&gt;&lt;s&gt;") &amp; "&lt;/s&gt;&lt;/t&gt;","//s[number(.)=number(.)]"),
       COUNT(_xlfn.FILTERXML("&lt;t&gt;&lt;s&gt;" &amp; SUBSTITUTE(C5," ","&lt;/s&gt;&lt;s&gt;") &amp; "&lt;/s&gt;&lt;/t&gt;","//s[number(.)=number(.)]")))</f>
        <v>0</v>
      </c>
      <c r="F5" s="4" t="str">
        <f ca="1">TRIM(RIGHT(SUBSTITUTE(C5," "&amp;D5&amp;" "&amp;E5,""),13))</f>
        <v>4987274132872</v>
      </c>
      <c r="G5" s="4" t="str">
        <f ca="1">LEFT(C5,10)</f>
        <v>2026/02/09</v>
      </c>
      <c r="H5" t="str">
        <f ca="1">MID(C5,12,10)</f>
        <v>2026/02/09</v>
      </c>
      <c r="I5" t="str">
        <f ca="1">_xlfn.LET(
  _xlpm.s, _xlfn.TEXTAFTER(C5, " " &amp; H5 &amp; " "),
  TRIM(_xlfn.TEXTBEFORE(_xlpm.s, " " &amp; L5 &amp; " "))
)</f>
        <v>セパゾン錠1 アルフレッサファーマ</v>
      </c>
      <c r="J5" t="str">
        <f ca="1">LEFT(I5, LEN(I5) - LEN(K5))</f>
        <v xml:space="preserve">セパゾン錠1 </v>
      </c>
      <c r="K5" t="str" cm="1">
        <f t="array" aca="1" ref="K5" ca="1">_xlfn.LET(
  _xlpm.s, SUBSTITUTE(SUBSTITUTE(I5," ",""),"　",""),
  _xlpm.dic, SUBSTITUTE(SUBSTITUTE(メーカー!$A$1:$A$100," ",""),"　",""),
  _xlpm.pos, MATCH(TRUE, RIGHT(_xlpm.s, LEN(_xlpm.dic)) = _xlpm.dic, 0),
  INDEX(メーカー!$A$1:$A$100, _xlpm.pos)
)</f>
        <v>アルフレッサファーマ</v>
      </c>
      <c r="L5" cm="1">
        <f t="array" aca="1" ref="L5" ca="1">INDEX(_xlfn.FILTERXML("&lt;t&gt;&lt;s&gt;" &amp; SUBSTITUTE(MID(C5,23,999)," ","&lt;/s&gt;&lt;s&gt;") &amp; "&lt;/s&gt;&lt;/t&gt;","//s[number(.)=number(.)]"),1)</f>
        <v>2</v>
      </c>
      <c r="M5" cm="1">
        <f t="array" aca="1" ref="M5" ca="1">INDEX(
  _xlfn.FILTERXML("&lt;t&gt;&lt;s&gt;" &amp; SUBSTITUTE(MID(C5, 22 + LEN(I5) + 1, 999), " ", "&lt;/s&gt;&lt;s&gt;") &amp; "&lt;/s&gt;&lt;/t&gt;",
            "//s[number(.)=number(.)]"),
  2
)</f>
        <v>1</v>
      </c>
      <c r="N5" t="str" cm="1">
        <f t="array" aca="1" ref="N5" ca="1">_xlfn.REGEXEXTRACT(C5, "\d{2}:\d{2}:\d{2}")</f>
        <v>15:44:45</v>
      </c>
      <c r="O5" t="str">
        <f ca="1">TRIM(SUBSTITUTE(_xlfn.TEXTAFTER(C5, " " &amp; N5 &amp; " "), F5 &amp; " " &amp; D5 &amp; " " &amp; E5, ""))</f>
        <v>1mg/錠 PTP 10錠×10</v>
      </c>
      <c r="P5" t="str">
        <f ca="1">TRIM(LEFT(_xlfn.TEXTAFTER(C5, I5 &amp; " "), FIND(" ", _xlfn.TEXTAFTER(C5, I5 &amp; " "))-1))</f>
        <v>2</v>
      </c>
    </row>
    <row r="6" spans="2:16" x14ac:dyDescent="0.45">
      <c r="B6">
        <f>B5+4</f>
        <v>4</v>
      </c>
      <c r="C6" t="str">
        <f ca="1">_xlfn.CONCAT(OFFSET(元!$B$10,'1行'!B6,0)," ",OFFSET(元!$B$12,'1行'!B6,0))</f>
        <v>2026/03/25 2026/04/01 マーズレンS配合顆粒寿製薬 1 2 08:54:48 バラ 500g×2袋4987071129112 1 0</v>
      </c>
      <c r="D6" cm="1">
        <f t="array" aca="1" ref="D6" ca="1">INDEX(_xlfn.FILTERXML("&lt;t&gt;&lt;s&gt;" &amp; SUBSTITUTE(C6," ","&lt;/s&gt;&lt;s&gt;") &amp; "&lt;/s&gt;&lt;/t&gt;","//s[number(.)=number(.)]"),
       COUNT(_xlfn.FILTERXML("&lt;t&gt;&lt;s&gt;" &amp; SUBSTITUTE(C6," ","&lt;/s&gt;&lt;s&gt;") &amp; "&lt;/s&gt;&lt;/t&gt;","//s[number(.)=number(.)]"))-1)</f>
        <v>1</v>
      </c>
      <c r="E6" cm="1">
        <f t="array" aca="1" ref="E6" ca="1">INDEX(_xlfn.FILTERXML("&lt;t&gt;&lt;s&gt;" &amp; SUBSTITUTE(C6," ","&lt;/s&gt;&lt;s&gt;") &amp; "&lt;/s&gt;&lt;/t&gt;","//s[number(.)=number(.)]"),
       COUNT(_xlfn.FILTERXML("&lt;t&gt;&lt;s&gt;" &amp; SUBSTITUTE(C6," ","&lt;/s&gt;&lt;s&gt;") &amp; "&lt;/s&gt;&lt;/t&gt;","//s[number(.)=number(.)]")))</f>
        <v>0</v>
      </c>
      <c r="F6" s="4" t="str">
        <f t="shared" ref="F6:F69" ca="1" si="0">TRIM(RIGHT(SUBSTITUTE(C6," "&amp;D6&amp;" "&amp;E6,""),13))</f>
        <v>4987071129112</v>
      </c>
      <c r="G6" s="4" t="str">
        <f t="shared" ref="G6:G69" ca="1" si="1">LEFT(C6,10)</f>
        <v>2026/03/25</v>
      </c>
      <c r="H6" t="str">
        <f t="shared" ref="H6:H69" ca="1" si="2">MID(C6,12,10)</f>
        <v>2026/04/01</v>
      </c>
      <c r="I6" t="str">
        <f t="shared" ref="I6:I69" ca="1" si="3">_xlfn.LET(
  _xlpm.s, _xlfn.TEXTAFTER(C6, " " &amp; H6 &amp; " "),
  TRIM(_xlfn.TEXTBEFORE(_xlpm.s, " " &amp; L6 &amp; " "))
)</f>
        <v>マーズレンS配合顆粒寿製薬</v>
      </c>
      <c r="J6" t="str">
        <f t="shared" ref="J6:J69" ca="1" si="4">LEFT(I6, LEN(I6) - LEN(K6))</f>
        <v>マーズレンS配合顆粒</v>
      </c>
      <c r="K6" t="str" cm="1">
        <f t="array" aca="1" ref="K6" ca="1">_xlfn.LET(
  _xlpm.s, SUBSTITUTE(SUBSTITUTE(I6," ",""),"　",""),
  _xlpm.dic, SUBSTITUTE(SUBSTITUTE(メーカー!$A$1:$A$100," ",""),"　",""),
  _xlpm.pos, MATCH(TRUE, RIGHT(_xlpm.s, LEN(_xlpm.dic)) = _xlpm.dic, 0),
  INDEX(メーカー!$A$1:$A$100, _xlpm.pos)
)</f>
        <v>寿製薬</v>
      </c>
      <c r="L6" cm="1">
        <f t="array" aca="1" ref="L6" ca="1">INDEX(_xlfn.FILTERXML("&lt;t&gt;&lt;s&gt;" &amp; SUBSTITUTE(MID(C6,23,999)," ","&lt;/s&gt;&lt;s&gt;") &amp; "&lt;/s&gt;&lt;/t&gt;","//s[number(.)=number(.)]"),1)</f>
        <v>1</v>
      </c>
      <c r="M6" cm="1">
        <f t="array" aca="1" ref="M6" ca="1">INDEX(
  _xlfn.FILTERXML("&lt;t&gt;&lt;s&gt;" &amp; SUBSTITUTE(MID(C6, 22 + LEN(I6) + 1, 999), " ", "&lt;/s&gt;&lt;s&gt;") &amp; "&lt;/s&gt;&lt;/t&gt;",
            "//s[number(.)=number(.)]"),
  2
)</f>
        <v>2</v>
      </c>
      <c r="N6" t="str" cm="1">
        <f t="array" aca="1" ref="N6" ca="1">_xlfn.REGEXEXTRACT(C6, "\d{2}:\d{2}:\d{2}")</f>
        <v>08:54:48</v>
      </c>
      <c r="O6" t="str">
        <f t="shared" ref="O6:O69" ca="1" si="5">TRIM(SUBSTITUTE(_xlfn.TEXTAFTER(C6, " " &amp; N6 &amp; " "), F6 &amp; " " &amp; D6 &amp; " " &amp; E6, ""))</f>
        <v>バラ 500g×2袋</v>
      </c>
      <c r="P6" t="str">
        <f t="shared" ref="P6:P69" ca="1" si="6">TRIM(LEFT(_xlfn.TEXTAFTER(C6, I6 &amp; " "), FIND(" ", _xlfn.TEXTAFTER(C6, I6 &amp; " "))-1))</f>
        <v>1</v>
      </c>
    </row>
    <row r="7" spans="2:16" x14ac:dyDescent="0.45">
      <c r="B7">
        <f t="shared" ref="B7:B70" si="7">B6+4</f>
        <v>8</v>
      </c>
      <c r="C7" t="str">
        <f ca="1">_xlfn.CONCAT(OFFSET(元!$B$10,'1行'!B7,0)," ",OFFSET(元!$B$12,'1行'!B7,0))</f>
        <v>2026/03/25 2026/04/01 クエチアピン細粒50%「アメル」共和薬品工業 1 3 08:54:48 50%1g バラ 100g×1瓶4987058197530 1 0</v>
      </c>
      <c r="D7" cm="1">
        <f t="array" aca="1" ref="D7" ca="1">INDEX(_xlfn.FILTERXML("&lt;t&gt;&lt;s&gt;" &amp; SUBSTITUTE(C7," ","&lt;/s&gt;&lt;s&gt;") &amp; "&lt;/s&gt;&lt;/t&gt;","//s[number(.)=number(.)]"),
       COUNT(_xlfn.FILTERXML("&lt;t&gt;&lt;s&gt;" &amp; SUBSTITUTE(C7," ","&lt;/s&gt;&lt;s&gt;") &amp; "&lt;/s&gt;&lt;/t&gt;","//s[number(.)=number(.)]"))-1)</f>
        <v>1</v>
      </c>
      <c r="E7" cm="1">
        <f t="array" aca="1" ref="E7" ca="1">INDEX(_xlfn.FILTERXML("&lt;t&gt;&lt;s&gt;" &amp; SUBSTITUTE(C7," ","&lt;/s&gt;&lt;s&gt;") &amp; "&lt;/s&gt;&lt;/t&gt;","//s[number(.)=number(.)]"),
       COUNT(_xlfn.FILTERXML("&lt;t&gt;&lt;s&gt;" &amp; SUBSTITUTE(C7," ","&lt;/s&gt;&lt;s&gt;") &amp; "&lt;/s&gt;&lt;/t&gt;","//s[number(.)=number(.)]")))</f>
        <v>0</v>
      </c>
      <c r="F7" s="4" t="str">
        <f t="shared" ca="1" si="0"/>
        <v>4987058197530</v>
      </c>
      <c r="G7" s="4" t="str">
        <f t="shared" ca="1" si="1"/>
        <v>2026/03/25</v>
      </c>
      <c r="H7" t="str">
        <f t="shared" ca="1" si="2"/>
        <v>2026/04/01</v>
      </c>
      <c r="I7" t="str">
        <f t="shared" ca="1" si="3"/>
        <v>クエチアピン細粒50%「アメル」共和薬品工業</v>
      </c>
      <c r="J7" t="str">
        <f t="shared" ca="1" si="4"/>
        <v>クエチアピン細粒50%「アメル」</v>
      </c>
      <c r="K7" t="str" cm="1">
        <f t="array" aca="1" ref="K7" ca="1">_xlfn.LET(
  _xlpm.s, SUBSTITUTE(SUBSTITUTE(I7,"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7" cm="1">
        <f t="array" aca="1" ref="L7" ca="1">INDEX(_xlfn.FILTERXML("&lt;t&gt;&lt;s&gt;" &amp; SUBSTITUTE(MID(C7,23,999)," ","&lt;/s&gt;&lt;s&gt;") &amp; "&lt;/s&gt;&lt;/t&gt;","//s[number(.)=number(.)]"),1)</f>
        <v>1</v>
      </c>
      <c r="M7" cm="1">
        <f t="array" aca="1" ref="M7" ca="1">INDEX(
  _xlfn.FILTERXML("&lt;t&gt;&lt;s&gt;" &amp; SUBSTITUTE(MID(C7, 22 + LEN(I7) + 1, 999), " ", "&lt;/s&gt;&lt;s&gt;") &amp; "&lt;/s&gt;&lt;/t&gt;",
            "//s[number(.)=number(.)]"),
  2
)</f>
        <v>3</v>
      </c>
      <c r="N7" t="str" cm="1">
        <f t="array" aca="1" ref="N7" ca="1">_xlfn.REGEXEXTRACT(C7, "\d{2}:\d{2}:\d{2}")</f>
        <v>08:54:48</v>
      </c>
      <c r="O7" t="str">
        <f t="shared" ca="1" si="5"/>
        <v>50%1g バラ 100g×1瓶</v>
      </c>
      <c r="P7" t="str">
        <f t="shared" ca="1" si="6"/>
        <v>1</v>
      </c>
    </row>
    <row r="8" spans="2:16" x14ac:dyDescent="0.45">
      <c r="B8">
        <f t="shared" si="7"/>
        <v>12</v>
      </c>
      <c r="C8" t="str">
        <f ca="1">_xlfn.CONCAT(OFFSET(元!$B$10,'1行'!B8,0)," ",OFFSET(元!$B$12,'1行'!B8,0))</f>
        <v>2026/03/25 2026/04/01 ジプレキサザイディス錠5mg チェプラファーム 1 4 08:54:48 5mg/錠 7錠×50 (ブリスター) 4987994500173 1 0</v>
      </c>
      <c r="D8" cm="1">
        <f t="array" aca="1" ref="D8" ca="1">INDEX(_xlfn.FILTERXML("&lt;t&gt;&lt;s&gt;" &amp; SUBSTITUTE(C8," ","&lt;/s&gt;&lt;s&gt;") &amp; "&lt;/s&gt;&lt;/t&gt;","//s[number(.)=number(.)]"),
       COUNT(_xlfn.FILTERXML("&lt;t&gt;&lt;s&gt;" &amp; SUBSTITUTE(C8," ","&lt;/s&gt;&lt;s&gt;") &amp; "&lt;/s&gt;&lt;/t&gt;","//s[number(.)=number(.)]"))-1)</f>
        <v>1</v>
      </c>
      <c r="E8" cm="1">
        <f t="array" aca="1" ref="E8" ca="1">INDEX(_xlfn.FILTERXML("&lt;t&gt;&lt;s&gt;" &amp; SUBSTITUTE(C8," ","&lt;/s&gt;&lt;s&gt;") &amp; "&lt;/s&gt;&lt;/t&gt;","//s[number(.)=number(.)]"),
       COUNT(_xlfn.FILTERXML("&lt;t&gt;&lt;s&gt;" &amp; SUBSTITUTE(C8," ","&lt;/s&gt;&lt;s&gt;") &amp; "&lt;/s&gt;&lt;/t&gt;","//s[number(.)=number(.)]")))</f>
        <v>0</v>
      </c>
      <c r="F8" s="4" t="str">
        <f t="shared" ca="1" si="0"/>
        <v>4987994500173</v>
      </c>
      <c r="G8" s="4" t="str">
        <f t="shared" ca="1" si="1"/>
        <v>2026/03/25</v>
      </c>
      <c r="H8" t="str">
        <f t="shared" ca="1" si="2"/>
        <v>2026/04/01</v>
      </c>
      <c r="I8" t="str">
        <f t="shared" ca="1" si="3"/>
        <v>ジプレキサザイディス錠5mg チェプラファーム</v>
      </c>
      <c r="J8" t="str">
        <f t="shared" ca="1" si="4"/>
        <v xml:space="preserve">ジプレキサザイディス錠5mg </v>
      </c>
      <c r="K8" t="str" cm="1">
        <f t="array" aca="1" ref="K8" ca="1">_xlfn.LET(
  _xlpm.s, SUBSTITUTE(SUBSTITUTE(I8," ",""),"　",""),
  _xlpm.dic, SUBSTITUTE(SUBSTITUTE(メーカー!$A$1:$A$100," ",""),"　",""),
  _xlpm.pos, MATCH(TRUE, RIGHT(_xlpm.s, LEN(_xlpm.dic)) = _xlpm.dic, 0),
  INDEX(メーカー!$A$1:$A$100, _xlpm.pos)
)</f>
        <v>チェプラファーム</v>
      </c>
      <c r="L8" cm="1">
        <f t="array" aca="1" ref="L8" ca="1">INDEX(_xlfn.FILTERXML("&lt;t&gt;&lt;s&gt;" &amp; SUBSTITUTE(MID(C8,23,999)," ","&lt;/s&gt;&lt;s&gt;") &amp; "&lt;/s&gt;&lt;/t&gt;","//s[number(.)=number(.)]"),1)</f>
        <v>1</v>
      </c>
      <c r="M8" cm="1">
        <f t="array" aca="1" ref="M8" ca="1">INDEX(
  _xlfn.FILTERXML("&lt;t&gt;&lt;s&gt;" &amp; SUBSTITUTE(MID(C8, 22 + LEN(I8) + 1, 999), " ", "&lt;/s&gt;&lt;s&gt;") &amp; "&lt;/s&gt;&lt;/t&gt;",
            "//s[number(.)=number(.)]"),
  2
)</f>
        <v>4</v>
      </c>
      <c r="N8" t="str" cm="1">
        <f t="array" aca="1" ref="N8" ca="1">_xlfn.REGEXEXTRACT(C8, "\d{2}:\d{2}:\d{2}")</f>
        <v>08:54:48</v>
      </c>
      <c r="O8" t="str">
        <f t="shared" ca="1" si="5"/>
        <v>5mg/錠 7錠×50 (ブリスター)</v>
      </c>
      <c r="P8" t="str">
        <f t="shared" ca="1" si="6"/>
        <v>1</v>
      </c>
    </row>
    <row r="9" spans="2:16" x14ac:dyDescent="0.45">
      <c r="B9">
        <f t="shared" si="7"/>
        <v>16</v>
      </c>
      <c r="C9" t="str">
        <f ca="1">_xlfn.CONCAT(OFFSET(元!$B$10,'1行'!B9,0)," ",OFFSET(元!$B$12,'1行'!B9,0))</f>
        <v>2026/03/25 2026/04/01 ハーフジゴキシンKY錠0.125 トーアエイヨー 1 5 08:54:48 0.125mg/錠 PTP 10錠×10 4987142731114 1 0</v>
      </c>
      <c r="D9" cm="1">
        <f t="array" aca="1" ref="D9" ca="1">INDEX(_xlfn.FILTERXML("&lt;t&gt;&lt;s&gt;" &amp; SUBSTITUTE(C9," ","&lt;/s&gt;&lt;s&gt;") &amp; "&lt;/s&gt;&lt;/t&gt;","//s[number(.)=number(.)]"),
       COUNT(_xlfn.FILTERXML("&lt;t&gt;&lt;s&gt;" &amp; SUBSTITUTE(C9," ","&lt;/s&gt;&lt;s&gt;") &amp; "&lt;/s&gt;&lt;/t&gt;","//s[number(.)=number(.)]"))-1)</f>
        <v>1</v>
      </c>
      <c r="E9" cm="1">
        <f t="array" aca="1" ref="E9" ca="1">INDEX(_xlfn.FILTERXML("&lt;t&gt;&lt;s&gt;" &amp; SUBSTITUTE(C9," ","&lt;/s&gt;&lt;s&gt;") &amp; "&lt;/s&gt;&lt;/t&gt;","//s[number(.)=number(.)]"),
       COUNT(_xlfn.FILTERXML("&lt;t&gt;&lt;s&gt;" &amp; SUBSTITUTE(C9," ","&lt;/s&gt;&lt;s&gt;") &amp; "&lt;/s&gt;&lt;/t&gt;","//s[number(.)=number(.)]")))</f>
        <v>0</v>
      </c>
      <c r="F9" s="4" t="str">
        <f t="shared" ca="1" si="0"/>
        <v>4987142731114</v>
      </c>
      <c r="G9" s="4" t="str">
        <f t="shared" ca="1" si="1"/>
        <v>2026/03/25</v>
      </c>
      <c r="H9" t="str">
        <f t="shared" ca="1" si="2"/>
        <v>2026/04/01</v>
      </c>
      <c r="I9" t="str">
        <f t="shared" ca="1" si="3"/>
        <v>ハーフジゴキシンKY錠0.125 トーアエイヨー</v>
      </c>
      <c r="J9" t="str">
        <f t="shared" ca="1" si="4"/>
        <v xml:space="preserve">ハーフジゴキシンKY錠0.125 </v>
      </c>
      <c r="K9" t="str" cm="1">
        <f t="array" aca="1" ref="K9" ca="1">_xlfn.LET(
  _xlpm.s, SUBSTITUTE(SUBSTITUTE(I9," ",""),"　",""),
  _xlpm.dic, SUBSTITUTE(SUBSTITUTE(メーカー!$A$1:$A$100," ",""),"　",""),
  _xlpm.pos, MATCH(TRUE, RIGHT(_xlpm.s, LEN(_xlpm.dic)) = _xlpm.dic, 0),
  INDEX(メーカー!$A$1:$A$100, _xlpm.pos)
)</f>
        <v>トーアエイヨー</v>
      </c>
      <c r="L9" cm="1">
        <f t="array" aca="1" ref="L9" ca="1">INDEX(_xlfn.FILTERXML("&lt;t&gt;&lt;s&gt;" &amp; SUBSTITUTE(MID(C9,23,999)," ","&lt;/s&gt;&lt;s&gt;") &amp; "&lt;/s&gt;&lt;/t&gt;","//s[number(.)=number(.)]"),1)</f>
        <v>1</v>
      </c>
      <c r="M9" cm="1">
        <f t="array" aca="1" ref="M9" ca="1">INDEX(
  _xlfn.FILTERXML("&lt;t&gt;&lt;s&gt;" &amp; SUBSTITUTE(MID(C9, 22 + LEN(I9) + 1, 999), " ", "&lt;/s&gt;&lt;s&gt;") &amp; "&lt;/s&gt;&lt;/t&gt;",
            "//s[number(.)=number(.)]"),
  2
)</f>
        <v>5</v>
      </c>
      <c r="N9" t="str" cm="1">
        <f t="array" aca="1" ref="N9" ca="1">_xlfn.REGEXEXTRACT(C9, "\d{2}:\d{2}:\d{2}")</f>
        <v>08:54:48</v>
      </c>
      <c r="O9" t="str">
        <f t="shared" ca="1" si="5"/>
        <v>0.125mg/錠 PTP 10錠×10</v>
      </c>
      <c r="P9" t="str">
        <f t="shared" ca="1" si="6"/>
        <v>1</v>
      </c>
    </row>
    <row r="10" spans="2:16" x14ac:dyDescent="0.45">
      <c r="B10">
        <f t="shared" si="7"/>
        <v>20</v>
      </c>
      <c r="C10" t="str">
        <f ca="1">_xlfn.CONCAT(OFFSET(元!$B$10,'1行'!B10,0)," ",OFFSET(元!$B$12,'1行'!B10,0))</f>
        <v>2026/03/25 2026/04/01 シクレスト舌下錠10mg Ｍｅｉｊｉ　Ｓｅｉｋａ　ファル 2 6 08:54:48 10mg/錠 PTP 10錠×10 4987222674232 2 0</v>
      </c>
      <c r="D10" cm="1">
        <f t="array" aca="1" ref="D10" ca="1">INDEX(_xlfn.FILTERXML("&lt;t&gt;&lt;s&gt;" &amp; SUBSTITUTE(C10," ","&lt;/s&gt;&lt;s&gt;") &amp; "&lt;/s&gt;&lt;/t&gt;","//s[number(.)=number(.)]"),
       COUNT(_xlfn.FILTERXML("&lt;t&gt;&lt;s&gt;" &amp; SUBSTITUTE(C10," ","&lt;/s&gt;&lt;s&gt;") &amp; "&lt;/s&gt;&lt;/t&gt;","//s[number(.)=number(.)]"))-1)</f>
        <v>2</v>
      </c>
      <c r="E10" cm="1">
        <f t="array" aca="1" ref="E10" ca="1">INDEX(_xlfn.FILTERXML("&lt;t&gt;&lt;s&gt;" &amp; SUBSTITUTE(C10," ","&lt;/s&gt;&lt;s&gt;") &amp; "&lt;/s&gt;&lt;/t&gt;","//s[number(.)=number(.)]"),
       COUNT(_xlfn.FILTERXML("&lt;t&gt;&lt;s&gt;" &amp; SUBSTITUTE(C10," ","&lt;/s&gt;&lt;s&gt;") &amp; "&lt;/s&gt;&lt;/t&gt;","//s[number(.)=number(.)]")))</f>
        <v>0</v>
      </c>
      <c r="F10" s="4" t="str">
        <f t="shared" ca="1" si="0"/>
        <v>4987222674232</v>
      </c>
      <c r="G10" s="4" t="str">
        <f t="shared" ca="1" si="1"/>
        <v>2026/03/25</v>
      </c>
      <c r="H10" t="str">
        <f t="shared" ca="1" si="2"/>
        <v>2026/04/01</v>
      </c>
      <c r="I10" t="str">
        <f t="shared" ca="1" si="3"/>
        <v>シクレスト舌下錠10mg Ｍｅｉｊｉ　Ｓｅｉｋａ　ファル</v>
      </c>
      <c r="J10" t="str">
        <f t="shared" ca="1" si="4"/>
        <v xml:space="preserve">シクレスト舌下錠10mg </v>
      </c>
      <c r="K10" t="str" cm="1">
        <f t="array" aca="1" ref="K10" ca="1">_xlfn.LET(
  _xlpm.s, SUBSTITUTE(SUBSTITUTE(I10," ",""),"　",""),
  _xlpm.dic, SUBSTITUTE(SUBSTITUTE(メーカー!$A$1:$A$100," ",""),"　",""),
  _xlpm.pos, MATCH(TRUE, RIGHT(_xlpm.s, LEN(_xlpm.dic)) = _xlpm.dic, 0),
  INDEX(メーカー!$A$1:$A$100, _xlpm.pos)
)</f>
        <v>Ｍｅｉｊｉ Ｓｅｉｋａ ファル</v>
      </c>
      <c r="L10" cm="1">
        <f t="array" aca="1" ref="L10" ca="1">INDEX(_xlfn.FILTERXML("&lt;t&gt;&lt;s&gt;" &amp; SUBSTITUTE(MID(C10,23,999)," ","&lt;/s&gt;&lt;s&gt;") &amp; "&lt;/s&gt;&lt;/t&gt;","//s[number(.)=number(.)]"),1)</f>
        <v>2</v>
      </c>
      <c r="M10" cm="1">
        <f t="array" aca="1" ref="M10" ca="1">INDEX(
  _xlfn.FILTERXML("&lt;t&gt;&lt;s&gt;" &amp; SUBSTITUTE(MID(C10, 22 + LEN(I10) + 1, 999), " ", "&lt;/s&gt;&lt;s&gt;") &amp; "&lt;/s&gt;&lt;/t&gt;",
            "//s[number(.)=number(.)]"),
  2
)</f>
        <v>6</v>
      </c>
      <c r="N10" t="str" cm="1">
        <f t="array" aca="1" ref="N10" ca="1">_xlfn.REGEXEXTRACT(C10, "\d{2}:\d{2}:\d{2}")</f>
        <v>08:54:48</v>
      </c>
      <c r="O10" t="str">
        <f t="shared" ca="1" si="5"/>
        <v>10mg/錠 PTP 10錠×10</v>
      </c>
      <c r="P10" t="str">
        <f t="shared" ca="1" si="6"/>
        <v>2</v>
      </c>
    </row>
    <row r="11" spans="2:16" x14ac:dyDescent="0.45">
      <c r="B11">
        <f t="shared" si="7"/>
        <v>24</v>
      </c>
      <c r="C11" t="str">
        <f ca="1">_xlfn.CONCAT(OFFSET(元!$B$10,'1行'!B11,0)," ",OFFSET(元!$B$12,'1行'!B11,0))</f>
        <v>2026/03/25 2026/04/01 シクレスト舌下錠5mg Ｍｅｉｊｉ　Ｓｅｉｋａ　ファル 2 7 08:54:48 5mg/錠 PTP 10錠×10 4987222673730 2 0</v>
      </c>
      <c r="D11" cm="1">
        <f t="array" aca="1" ref="D11" ca="1">INDEX(_xlfn.FILTERXML("&lt;t&gt;&lt;s&gt;" &amp; SUBSTITUTE(C11," ","&lt;/s&gt;&lt;s&gt;") &amp; "&lt;/s&gt;&lt;/t&gt;","//s[number(.)=number(.)]"),
       COUNT(_xlfn.FILTERXML("&lt;t&gt;&lt;s&gt;" &amp; SUBSTITUTE(C11," ","&lt;/s&gt;&lt;s&gt;") &amp; "&lt;/s&gt;&lt;/t&gt;","//s[number(.)=number(.)]"))-1)</f>
        <v>2</v>
      </c>
      <c r="E11" cm="1">
        <f t="array" aca="1" ref="E11" ca="1">INDEX(_xlfn.FILTERXML("&lt;t&gt;&lt;s&gt;" &amp; SUBSTITUTE(C11," ","&lt;/s&gt;&lt;s&gt;") &amp; "&lt;/s&gt;&lt;/t&gt;","//s[number(.)=number(.)]"),
       COUNT(_xlfn.FILTERXML("&lt;t&gt;&lt;s&gt;" &amp; SUBSTITUTE(C11," ","&lt;/s&gt;&lt;s&gt;") &amp; "&lt;/s&gt;&lt;/t&gt;","//s[number(.)=number(.)]")))</f>
        <v>0</v>
      </c>
      <c r="F11" s="4" t="str">
        <f t="shared" ca="1" si="0"/>
        <v>4987222673730</v>
      </c>
      <c r="G11" s="4" t="str">
        <f t="shared" ca="1" si="1"/>
        <v>2026/03/25</v>
      </c>
      <c r="H11" t="str">
        <f t="shared" ca="1" si="2"/>
        <v>2026/04/01</v>
      </c>
      <c r="I11" t="str">
        <f t="shared" ca="1" si="3"/>
        <v>シクレスト舌下錠5mg Ｍｅｉｊｉ　Ｓｅｉｋａ　ファル</v>
      </c>
      <c r="J11" t="str">
        <f t="shared" ca="1" si="4"/>
        <v xml:space="preserve">シクレスト舌下錠5mg </v>
      </c>
      <c r="K11" t="str" cm="1">
        <f t="array" aca="1" ref="K11" ca="1">_xlfn.LET(
  _xlpm.s, SUBSTITUTE(SUBSTITUTE(I11," ",""),"　",""),
  _xlpm.dic, SUBSTITUTE(SUBSTITUTE(メーカー!$A$1:$A$100," ",""),"　",""),
  _xlpm.pos, MATCH(TRUE, RIGHT(_xlpm.s, LEN(_xlpm.dic)) = _xlpm.dic, 0),
  INDEX(メーカー!$A$1:$A$100, _xlpm.pos)
)</f>
        <v>Ｍｅｉｊｉ Ｓｅｉｋａ ファル</v>
      </c>
      <c r="L11" cm="1">
        <f t="array" aca="1" ref="L11" ca="1">INDEX(_xlfn.FILTERXML("&lt;t&gt;&lt;s&gt;" &amp; SUBSTITUTE(MID(C11,23,999)," ","&lt;/s&gt;&lt;s&gt;") &amp; "&lt;/s&gt;&lt;/t&gt;","//s[number(.)=number(.)]"),1)</f>
        <v>2</v>
      </c>
      <c r="M11" cm="1">
        <f t="array" aca="1" ref="M11" ca="1">INDEX(
  _xlfn.FILTERXML("&lt;t&gt;&lt;s&gt;" &amp; SUBSTITUTE(MID(C11, 22 + LEN(I11) + 1, 999), " ", "&lt;/s&gt;&lt;s&gt;") &amp; "&lt;/s&gt;&lt;/t&gt;",
            "//s[number(.)=number(.)]"),
  2
)</f>
        <v>7</v>
      </c>
      <c r="N11" t="str" cm="1">
        <f t="array" aca="1" ref="N11" ca="1">_xlfn.REGEXEXTRACT(C11, "\d{2}:\d{2}:\d{2}")</f>
        <v>08:54:48</v>
      </c>
      <c r="O11" t="str">
        <f t="shared" ca="1" si="5"/>
        <v>5mg/錠 PTP 10錠×10</v>
      </c>
      <c r="P11" t="str">
        <f t="shared" ca="1" si="6"/>
        <v>2</v>
      </c>
    </row>
    <row r="12" spans="2:16" x14ac:dyDescent="0.45">
      <c r="B12">
        <f t="shared" si="7"/>
        <v>28</v>
      </c>
      <c r="C12" t="str">
        <f ca="1">_xlfn.CONCAT(OFFSET(元!$B$10,'1行'!B12,0)," ",OFFSET(元!$B$12,'1行'!B12,0))</f>
        <v>2026/03/25 2026/04/01 マグミット錠500mg 丸石製薬 1 8 08:54:48 500mg/錠 バラ 500錠×1瓶4987211127398 1 0</v>
      </c>
      <c r="D12" cm="1">
        <f t="array" aca="1" ref="D12" ca="1">INDEX(_xlfn.FILTERXML("&lt;t&gt;&lt;s&gt;" &amp; SUBSTITUTE(C12," ","&lt;/s&gt;&lt;s&gt;") &amp; "&lt;/s&gt;&lt;/t&gt;","//s[number(.)=number(.)]"),
       COUNT(_xlfn.FILTERXML("&lt;t&gt;&lt;s&gt;" &amp; SUBSTITUTE(C12," ","&lt;/s&gt;&lt;s&gt;") &amp; "&lt;/s&gt;&lt;/t&gt;","//s[number(.)=number(.)]"))-1)</f>
        <v>1</v>
      </c>
      <c r="E12" cm="1">
        <f t="array" aca="1" ref="E12" ca="1">INDEX(_xlfn.FILTERXML("&lt;t&gt;&lt;s&gt;" &amp; SUBSTITUTE(C12," ","&lt;/s&gt;&lt;s&gt;") &amp; "&lt;/s&gt;&lt;/t&gt;","//s[number(.)=number(.)]"),
       COUNT(_xlfn.FILTERXML("&lt;t&gt;&lt;s&gt;" &amp; SUBSTITUTE(C12," ","&lt;/s&gt;&lt;s&gt;") &amp; "&lt;/s&gt;&lt;/t&gt;","//s[number(.)=number(.)]")))</f>
        <v>0</v>
      </c>
      <c r="F12" s="4" t="str">
        <f t="shared" ca="1" si="0"/>
        <v>4987211127398</v>
      </c>
      <c r="G12" s="4" t="str">
        <f t="shared" ca="1" si="1"/>
        <v>2026/03/25</v>
      </c>
      <c r="H12" t="str">
        <f t="shared" ca="1" si="2"/>
        <v>2026/04/01</v>
      </c>
      <c r="I12" t="str">
        <f t="shared" ca="1" si="3"/>
        <v>マグミット錠500mg 丸石製薬</v>
      </c>
      <c r="J12" t="str">
        <f t="shared" ca="1" si="4"/>
        <v xml:space="preserve">マグミット錠500mg </v>
      </c>
      <c r="K12" t="str" cm="1">
        <f t="array" aca="1" ref="K12" ca="1">_xlfn.LET(
  _xlpm.s, SUBSTITUTE(SUBSTITUTE(I12," ",""),"　",""),
  _xlpm.dic, SUBSTITUTE(SUBSTITUTE(メーカー!$A$1:$A$100," ",""),"　",""),
  _xlpm.pos, MATCH(TRUE, RIGHT(_xlpm.s, LEN(_xlpm.dic)) = _xlpm.dic, 0),
  INDEX(メーカー!$A$1:$A$100, _xlpm.pos)
)</f>
        <v>丸石製薬</v>
      </c>
      <c r="L12" cm="1">
        <f t="array" aca="1" ref="L12" ca="1">INDEX(_xlfn.FILTERXML("&lt;t&gt;&lt;s&gt;" &amp; SUBSTITUTE(MID(C12,23,999)," ","&lt;/s&gt;&lt;s&gt;") &amp; "&lt;/s&gt;&lt;/t&gt;","//s[number(.)=number(.)]"),1)</f>
        <v>1</v>
      </c>
      <c r="M12" cm="1">
        <f t="array" aca="1" ref="M12" ca="1">INDEX(
  _xlfn.FILTERXML("&lt;t&gt;&lt;s&gt;" &amp; SUBSTITUTE(MID(C12, 22 + LEN(I12) + 1, 999), " ", "&lt;/s&gt;&lt;s&gt;") &amp; "&lt;/s&gt;&lt;/t&gt;",
            "//s[number(.)=number(.)]"),
  2
)</f>
        <v>8</v>
      </c>
      <c r="N12" t="str" cm="1">
        <f t="array" aca="1" ref="N12" ca="1">_xlfn.REGEXEXTRACT(C12, "\d{2}:\d{2}:\d{2}")</f>
        <v>08:54:48</v>
      </c>
      <c r="O12" t="str">
        <f t="shared" ca="1" si="5"/>
        <v>500mg/錠 バラ 500錠×1瓶</v>
      </c>
      <c r="P12" t="str">
        <f t="shared" ca="1" si="6"/>
        <v>1</v>
      </c>
    </row>
    <row r="13" spans="2:16" x14ac:dyDescent="0.45">
      <c r="B13">
        <f t="shared" si="7"/>
        <v>32</v>
      </c>
      <c r="C13" t="str">
        <f ca="1">_xlfn.CONCAT(OFFSET(元!$B$10,'1行'!B13,0)," ",OFFSET(元!$B$12,'1行'!B13,0))</f>
        <v>2026/03/25 2026/04/01 クエチアピン錠200mg「アメル」共和薬品工業 1 9 08:54:48 200mg/錠 バラ 500錠×1瓶4987058196557 1 0</v>
      </c>
      <c r="D13" cm="1">
        <f t="array" aca="1" ref="D13" ca="1">INDEX(_xlfn.FILTERXML("&lt;t&gt;&lt;s&gt;" &amp; SUBSTITUTE(C13," ","&lt;/s&gt;&lt;s&gt;") &amp; "&lt;/s&gt;&lt;/t&gt;","//s[number(.)=number(.)]"),
       COUNT(_xlfn.FILTERXML("&lt;t&gt;&lt;s&gt;" &amp; SUBSTITUTE(C13," ","&lt;/s&gt;&lt;s&gt;") &amp; "&lt;/s&gt;&lt;/t&gt;","//s[number(.)=number(.)]"))-1)</f>
        <v>1</v>
      </c>
      <c r="E13" cm="1">
        <f t="array" aca="1" ref="E13" ca="1">INDEX(_xlfn.FILTERXML("&lt;t&gt;&lt;s&gt;" &amp; SUBSTITUTE(C13," ","&lt;/s&gt;&lt;s&gt;") &amp; "&lt;/s&gt;&lt;/t&gt;","//s[number(.)=number(.)]"),
       COUNT(_xlfn.FILTERXML("&lt;t&gt;&lt;s&gt;" &amp; SUBSTITUTE(C13," ","&lt;/s&gt;&lt;s&gt;") &amp; "&lt;/s&gt;&lt;/t&gt;","//s[number(.)=number(.)]")))</f>
        <v>0</v>
      </c>
      <c r="F13" s="4" t="str">
        <f t="shared" ca="1" si="0"/>
        <v>4987058196557</v>
      </c>
      <c r="G13" s="4" t="str">
        <f t="shared" ca="1" si="1"/>
        <v>2026/03/25</v>
      </c>
      <c r="H13" t="str">
        <f t="shared" ca="1" si="2"/>
        <v>2026/04/01</v>
      </c>
      <c r="I13" t="str">
        <f t="shared" ca="1" si="3"/>
        <v>クエチアピン錠200mg「アメル」共和薬品工業</v>
      </c>
      <c r="J13" t="str">
        <f t="shared" ca="1" si="4"/>
        <v>クエチアピン錠200mg「アメル」</v>
      </c>
      <c r="K13" t="str" cm="1">
        <f t="array" aca="1" ref="K13" ca="1">_xlfn.LET(
  _xlpm.s, SUBSTITUTE(SUBSTITUTE(I13,"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13" cm="1">
        <f t="array" aca="1" ref="L13" ca="1">INDEX(_xlfn.FILTERXML("&lt;t&gt;&lt;s&gt;" &amp; SUBSTITUTE(MID(C13,23,999)," ","&lt;/s&gt;&lt;s&gt;") &amp; "&lt;/s&gt;&lt;/t&gt;","//s[number(.)=number(.)]"),1)</f>
        <v>1</v>
      </c>
      <c r="M13" cm="1">
        <f t="array" aca="1" ref="M13" ca="1">INDEX(
  _xlfn.FILTERXML("&lt;t&gt;&lt;s&gt;" &amp; SUBSTITUTE(MID(C13, 22 + LEN(I13) + 1, 999), " ", "&lt;/s&gt;&lt;s&gt;") &amp; "&lt;/s&gt;&lt;/t&gt;",
            "//s[number(.)=number(.)]"),
  2
)</f>
        <v>9</v>
      </c>
      <c r="N13" t="str" cm="1">
        <f t="array" aca="1" ref="N13" ca="1">_xlfn.REGEXEXTRACT(C13, "\d{2}:\d{2}:\d{2}")</f>
        <v>08:54:48</v>
      </c>
      <c r="O13" t="str">
        <f t="shared" ca="1" si="5"/>
        <v>200mg/錠 バラ 500錠×1瓶</v>
      </c>
      <c r="P13" t="str">
        <f t="shared" ca="1" si="6"/>
        <v>1</v>
      </c>
    </row>
    <row r="14" spans="2:16" x14ac:dyDescent="0.45">
      <c r="B14">
        <f t="shared" si="7"/>
        <v>36</v>
      </c>
      <c r="C14" t="str">
        <f ca="1">_xlfn.CONCAT(OFFSET(元!$B$10,'1行'!B14,0)," ",OFFSET(元!$B$12,'1行'!B14,0))</f>
        <v>2026/03/25 2026/04/01 リスパダール細粒1% ヤンセンファーマ 1 10 08:54:48 10mg/g バラ 100g×1瓶4987672393189 1 0</v>
      </c>
      <c r="D14" cm="1">
        <f t="array" aca="1" ref="D14" ca="1">INDEX(_xlfn.FILTERXML("&lt;t&gt;&lt;s&gt;" &amp; SUBSTITUTE(C14," ","&lt;/s&gt;&lt;s&gt;") &amp; "&lt;/s&gt;&lt;/t&gt;","//s[number(.)=number(.)]"),
       COUNT(_xlfn.FILTERXML("&lt;t&gt;&lt;s&gt;" &amp; SUBSTITUTE(C14," ","&lt;/s&gt;&lt;s&gt;") &amp; "&lt;/s&gt;&lt;/t&gt;","//s[number(.)=number(.)]"))-1)</f>
        <v>1</v>
      </c>
      <c r="E14" cm="1">
        <f t="array" aca="1" ref="E14" ca="1">INDEX(_xlfn.FILTERXML("&lt;t&gt;&lt;s&gt;" &amp; SUBSTITUTE(C14," ","&lt;/s&gt;&lt;s&gt;") &amp; "&lt;/s&gt;&lt;/t&gt;","//s[number(.)=number(.)]"),
       COUNT(_xlfn.FILTERXML("&lt;t&gt;&lt;s&gt;" &amp; SUBSTITUTE(C14," ","&lt;/s&gt;&lt;s&gt;") &amp; "&lt;/s&gt;&lt;/t&gt;","//s[number(.)=number(.)]")))</f>
        <v>0</v>
      </c>
      <c r="F14" s="4" t="str">
        <f t="shared" ca="1" si="0"/>
        <v>4987672393189</v>
      </c>
      <c r="G14" s="4" t="str">
        <f t="shared" ca="1" si="1"/>
        <v>2026/03/25</v>
      </c>
      <c r="H14" t="str">
        <f t="shared" ca="1" si="2"/>
        <v>2026/04/01</v>
      </c>
      <c r="I14" t="str">
        <f t="shared" ca="1" si="3"/>
        <v>リスパダール細粒1% ヤンセンファーマ</v>
      </c>
      <c r="J14" t="str">
        <f t="shared" ca="1" si="4"/>
        <v xml:space="preserve">リスパダール細粒1% </v>
      </c>
      <c r="K14" t="str" cm="1">
        <f t="array" aca="1" ref="K14" ca="1">_xlfn.LET(
  _xlpm.s, SUBSTITUTE(SUBSTITUTE(I14," ",""),"　",""),
  _xlpm.dic, SUBSTITUTE(SUBSTITUTE(メーカー!$A$1:$A$100," ",""),"　",""),
  _xlpm.pos, MATCH(TRUE, RIGHT(_xlpm.s, LEN(_xlpm.dic)) = _xlpm.dic, 0),
  INDEX(メーカー!$A$1:$A$100, _xlpm.pos)
)</f>
        <v>ヤンセンファーマ</v>
      </c>
      <c r="L14" cm="1">
        <f t="array" aca="1" ref="L14" ca="1">INDEX(_xlfn.FILTERXML("&lt;t&gt;&lt;s&gt;" &amp; SUBSTITUTE(MID(C14,23,999)," ","&lt;/s&gt;&lt;s&gt;") &amp; "&lt;/s&gt;&lt;/t&gt;","//s[number(.)=number(.)]"),1)</f>
        <v>1</v>
      </c>
      <c r="M14" cm="1">
        <f t="array" aca="1" ref="M14" ca="1">INDEX(
  _xlfn.FILTERXML("&lt;t&gt;&lt;s&gt;" &amp; SUBSTITUTE(MID(C14, 22 + LEN(I14) + 1, 999), " ", "&lt;/s&gt;&lt;s&gt;") &amp; "&lt;/s&gt;&lt;/t&gt;",
            "//s[number(.)=number(.)]"),
  2
)</f>
        <v>10</v>
      </c>
      <c r="N14" t="str" cm="1">
        <f t="array" aca="1" ref="N14" ca="1">_xlfn.REGEXEXTRACT(C14, "\d{2}:\d{2}:\d{2}")</f>
        <v>08:54:48</v>
      </c>
      <c r="O14" t="str">
        <f t="shared" ca="1" si="5"/>
        <v>10mg/g バラ 100g×1瓶</v>
      </c>
      <c r="P14" t="str">
        <f t="shared" ca="1" si="6"/>
        <v>1</v>
      </c>
    </row>
    <row r="15" spans="2:16" x14ac:dyDescent="0.45">
      <c r="B15">
        <f t="shared" si="7"/>
        <v>40</v>
      </c>
      <c r="C15" t="str">
        <f ca="1">_xlfn.CONCAT(OFFSET(元!$B$10,'1行'!B15,0)," ",OFFSET(元!$B$12,'1行'!B15,0))</f>
        <v>2026/03/25 2026/04/01 ゼプリオン水懸筋注75mgシリンジ住友ファーマ 1 11 08:54:48 75mg1キット×1キット4987116011143 1 0</v>
      </c>
      <c r="D15" cm="1">
        <f t="array" aca="1" ref="D15" ca="1">INDEX(_xlfn.FILTERXML("&lt;t&gt;&lt;s&gt;" &amp; SUBSTITUTE(C15," ","&lt;/s&gt;&lt;s&gt;") &amp; "&lt;/s&gt;&lt;/t&gt;","//s[number(.)=number(.)]"),
       COUNT(_xlfn.FILTERXML("&lt;t&gt;&lt;s&gt;" &amp; SUBSTITUTE(C15," ","&lt;/s&gt;&lt;s&gt;") &amp; "&lt;/s&gt;&lt;/t&gt;","//s[number(.)=number(.)]"))-1)</f>
        <v>1</v>
      </c>
      <c r="E15" cm="1">
        <f t="array" aca="1" ref="E15" ca="1">INDEX(_xlfn.FILTERXML("&lt;t&gt;&lt;s&gt;" &amp; SUBSTITUTE(C15," ","&lt;/s&gt;&lt;s&gt;") &amp; "&lt;/s&gt;&lt;/t&gt;","//s[number(.)=number(.)]"),
       COUNT(_xlfn.FILTERXML("&lt;t&gt;&lt;s&gt;" &amp; SUBSTITUTE(C15," ","&lt;/s&gt;&lt;s&gt;") &amp; "&lt;/s&gt;&lt;/t&gt;","//s[number(.)=number(.)]")))</f>
        <v>0</v>
      </c>
      <c r="F15" s="4" t="str">
        <f t="shared" ca="1" si="0"/>
        <v>4987116011143</v>
      </c>
      <c r="G15" s="4" t="str">
        <f t="shared" ca="1" si="1"/>
        <v>2026/03/25</v>
      </c>
      <c r="H15" t="str">
        <f t="shared" ca="1" si="2"/>
        <v>2026/04/01</v>
      </c>
      <c r="I15" t="str">
        <f t="shared" ca="1" si="3"/>
        <v>ゼプリオン水懸筋注75mgシリンジ住友ファーマ</v>
      </c>
      <c r="J15" t="str">
        <f t="shared" ca="1" si="4"/>
        <v>ゼプリオン水懸筋注75mgシリンジ</v>
      </c>
      <c r="K15" t="str" cm="1">
        <f t="array" aca="1" ref="K15" ca="1">_xlfn.LET(
  _xlpm.s, SUBSTITUTE(SUBSTITUTE(I15," ",""),"　",""),
  _xlpm.dic, SUBSTITUTE(SUBSTITUTE(メーカー!$A$1:$A$100," ",""),"　",""),
  _xlpm.pos, MATCH(TRUE, RIGHT(_xlpm.s, LEN(_xlpm.dic)) = _xlpm.dic, 0),
  INDEX(メーカー!$A$1:$A$100, _xlpm.pos)
)</f>
        <v>住友ファーマ</v>
      </c>
      <c r="L15" cm="1">
        <f t="array" aca="1" ref="L15" ca="1">INDEX(_xlfn.FILTERXML("&lt;t&gt;&lt;s&gt;" &amp; SUBSTITUTE(MID(C15,23,999)," ","&lt;/s&gt;&lt;s&gt;") &amp; "&lt;/s&gt;&lt;/t&gt;","//s[number(.)=number(.)]"),1)</f>
        <v>1</v>
      </c>
      <c r="M15" cm="1">
        <f t="array" aca="1" ref="M15" ca="1">INDEX(
  _xlfn.FILTERXML("&lt;t&gt;&lt;s&gt;" &amp; SUBSTITUTE(MID(C15, 22 + LEN(I15) + 1, 999), " ", "&lt;/s&gt;&lt;s&gt;") &amp; "&lt;/s&gt;&lt;/t&gt;",
            "//s[number(.)=number(.)]"),
  2
)</f>
        <v>11</v>
      </c>
      <c r="N15" t="str" cm="1">
        <f t="array" aca="1" ref="N15" ca="1">_xlfn.REGEXEXTRACT(C15, "\d{2}:\d{2}:\d{2}")</f>
        <v>08:54:48</v>
      </c>
      <c r="O15" t="str">
        <f t="shared" ca="1" si="5"/>
        <v>75mg1キット×1キット</v>
      </c>
      <c r="P15" t="str">
        <f t="shared" ca="1" si="6"/>
        <v>1</v>
      </c>
    </row>
    <row r="16" spans="2:16" x14ac:dyDescent="0.45">
      <c r="B16">
        <f t="shared" si="7"/>
        <v>44</v>
      </c>
      <c r="C16" t="str">
        <f ca="1">_xlfn.CONCAT(OFFSET(元!$B$10,'1行'!B16,0)," ",OFFSET(元!$B$12,'1行'!B16,0))</f>
        <v>2026/03/25 2026/04/01 クエチアピン錠100mg「アメル」共和薬品工業 1 12 08:54:48 100mg/錠 バラ 1000錠×1瓶4987058195611 1 0</v>
      </c>
      <c r="D16" cm="1">
        <f t="array" aca="1" ref="D16" ca="1">INDEX(_xlfn.FILTERXML("&lt;t&gt;&lt;s&gt;" &amp; SUBSTITUTE(C16," ","&lt;/s&gt;&lt;s&gt;") &amp; "&lt;/s&gt;&lt;/t&gt;","//s[number(.)=number(.)]"),
       COUNT(_xlfn.FILTERXML("&lt;t&gt;&lt;s&gt;" &amp; SUBSTITUTE(C16," ","&lt;/s&gt;&lt;s&gt;") &amp; "&lt;/s&gt;&lt;/t&gt;","//s[number(.)=number(.)]"))-1)</f>
        <v>1</v>
      </c>
      <c r="E16" cm="1">
        <f t="array" aca="1" ref="E16" ca="1">INDEX(_xlfn.FILTERXML("&lt;t&gt;&lt;s&gt;" &amp; SUBSTITUTE(C16," ","&lt;/s&gt;&lt;s&gt;") &amp; "&lt;/s&gt;&lt;/t&gt;","//s[number(.)=number(.)]"),
       COUNT(_xlfn.FILTERXML("&lt;t&gt;&lt;s&gt;" &amp; SUBSTITUTE(C16," ","&lt;/s&gt;&lt;s&gt;") &amp; "&lt;/s&gt;&lt;/t&gt;","//s[number(.)=number(.)]")))</f>
        <v>0</v>
      </c>
      <c r="F16" s="4" t="str">
        <f t="shared" ca="1" si="0"/>
        <v>4987058195611</v>
      </c>
      <c r="G16" s="4" t="str">
        <f t="shared" ca="1" si="1"/>
        <v>2026/03/25</v>
      </c>
      <c r="H16" t="str">
        <f t="shared" ca="1" si="2"/>
        <v>2026/04/01</v>
      </c>
      <c r="I16" t="str">
        <f t="shared" ca="1" si="3"/>
        <v>クエチアピン錠100mg「アメル」共和薬品工業</v>
      </c>
      <c r="J16" t="str">
        <f t="shared" ca="1" si="4"/>
        <v>クエチアピン錠100mg「アメル」</v>
      </c>
      <c r="K16" t="str" cm="1">
        <f t="array" aca="1" ref="K16" ca="1">_xlfn.LET(
  _xlpm.s, SUBSTITUTE(SUBSTITUTE(I16,"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16" cm="1">
        <f t="array" aca="1" ref="L16" ca="1">INDEX(_xlfn.FILTERXML("&lt;t&gt;&lt;s&gt;" &amp; SUBSTITUTE(MID(C16,23,999)," ","&lt;/s&gt;&lt;s&gt;") &amp; "&lt;/s&gt;&lt;/t&gt;","//s[number(.)=number(.)]"),1)</f>
        <v>1</v>
      </c>
      <c r="M16" cm="1">
        <f t="array" aca="1" ref="M16" ca="1">INDEX(
  _xlfn.FILTERXML("&lt;t&gt;&lt;s&gt;" &amp; SUBSTITUTE(MID(C16, 22 + LEN(I16) + 1, 999), " ", "&lt;/s&gt;&lt;s&gt;") &amp; "&lt;/s&gt;&lt;/t&gt;",
            "//s[number(.)=number(.)]"),
  2
)</f>
        <v>12</v>
      </c>
      <c r="N16" t="str" cm="1">
        <f t="array" aca="1" ref="N16" ca="1">_xlfn.REGEXEXTRACT(C16, "\d{2}:\d{2}:\d{2}")</f>
        <v>08:54:48</v>
      </c>
      <c r="O16" t="str">
        <f t="shared" ca="1" si="5"/>
        <v>100mg/錠 バラ 1000錠×1瓶</v>
      </c>
      <c r="P16" t="str">
        <f t="shared" ca="1" si="6"/>
        <v>1</v>
      </c>
    </row>
    <row r="17" spans="2:16" x14ac:dyDescent="0.45">
      <c r="B17">
        <f t="shared" si="7"/>
        <v>48</v>
      </c>
      <c r="C17" t="str">
        <f ca="1">_xlfn.CONCAT(OFFSET(元!$B$10,'1行'!B17,0)," ",OFFSET(元!$B$12,'1行'!B17,0))</f>
        <v>2026/03/25 2026/04/01 シングレア錠10mg オルガノン 1 13 08:54:48 10mg/錠 PTP 10錠×10 4987954807175 1 0</v>
      </c>
      <c r="D17" cm="1">
        <f t="array" aca="1" ref="D17" ca="1">INDEX(_xlfn.FILTERXML("&lt;t&gt;&lt;s&gt;" &amp; SUBSTITUTE(C17," ","&lt;/s&gt;&lt;s&gt;") &amp; "&lt;/s&gt;&lt;/t&gt;","//s[number(.)=number(.)]"),
       COUNT(_xlfn.FILTERXML("&lt;t&gt;&lt;s&gt;" &amp; SUBSTITUTE(C17," ","&lt;/s&gt;&lt;s&gt;") &amp; "&lt;/s&gt;&lt;/t&gt;","//s[number(.)=number(.)]"))-1)</f>
        <v>1</v>
      </c>
      <c r="E17" cm="1">
        <f t="array" aca="1" ref="E17" ca="1">INDEX(_xlfn.FILTERXML("&lt;t&gt;&lt;s&gt;" &amp; SUBSTITUTE(C17," ","&lt;/s&gt;&lt;s&gt;") &amp; "&lt;/s&gt;&lt;/t&gt;","//s[number(.)=number(.)]"),
       COUNT(_xlfn.FILTERXML("&lt;t&gt;&lt;s&gt;" &amp; SUBSTITUTE(C17," ","&lt;/s&gt;&lt;s&gt;") &amp; "&lt;/s&gt;&lt;/t&gt;","//s[number(.)=number(.)]")))</f>
        <v>0</v>
      </c>
      <c r="F17" s="4" t="str">
        <f t="shared" ca="1" si="0"/>
        <v>4987954807175</v>
      </c>
      <c r="G17" s="4" t="str">
        <f t="shared" ca="1" si="1"/>
        <v>2026/03/25</v>
      </c>
      <c r="H17" t="str">
        <f t="shared" ca="1" si="2"/>
        <v>2026/04/01</v>
      </c>
      <c r="I17" t="str">
        <f t="shared" ca="1" si="3"/>
        <v>シングレア錠10mg オルガノン</v>
      </c>
      <c r="J17" t="str">
        <f t="shared" ca="1" si="4"/>
        <v xml:space="preserve">シングレア錠10mg </v>
      </c>
      <c r="K17" t="str" cm="1">
        <f t="array" aca="1" ref="K17" ca="1">_xlfn.LET(
  _xlpm.s, SUBSTITUTE(SUBSTITUTE(I17," ",""),"　",""),
  _xlpm.dic, SUBSTITUTE(SUBSTITUTE(メーカー!$A$1:$A$100," ",""),"　",""),
  _xlpm.pos, MATCH(TRUE, RIGHT(_xlpm.s, LEN(_xlpm.dic)) = _xlpm.dic, 0),
  INDEX(メーカー!$A$1:$A$100, _xlpm.pos)
)</f>
        <v>オルガノン</v>
      </c>
      <c r="L17" cm="1">
        <f t="array" aca="1" ref="L17" ca="1">INDEX(_xlfn.FILTERXML("&lt;t&gt;&lt;s&gt;" &amp; SUBSTITUTE(MID(C17,23,999)," ","&lt;/s&gt;&lt;s&gt;") &amp; "&lt;/s&gt;&lt;/t&gt;","//s[number(.)=number(.)]"),1)</f>
        <v>1</v>
      </c>
      <c r="M17" cm="1">
        <f t="array" aca="1" ref="M17" ca="1">INDEX(
  _xlfn.FILTERXML("&lt;t&gt;&lt;s&gt;" &amp; SUBSTITUTE(MID(C17, 22 + LEN(I17) + 1, 999), " ", "&lt;/s&gt;&lt;s&gt;") &amp; "&lt;/s&gt;&lt;/t&gt;",
            "//s[number(.)=number(.)]"),
  2
)</f>
        <v>13</v>
      </c>
      <c r="N17" t="str" cm="1">
        <f t="array" aca="1" ref="N17" ca="1">_xlfn.REGEXEXTRACT(C17, "\d{2}:\d{2}:\d{2}")</f>
        <v>08:54:48</v>
      </c>
      <c r="O17" t="str">
        <f t="shared" ca="1" si="5"/>
        <v>10mg/錠 PTP 10錠×10</v>
      </c>
      <c r="P17" t="str">
        <f t="shared" ca="1" si="6"/>
        <v>1</v>
      </c>
    </row>
    <row r="18" spans="2:16" x14ac:dyDescent="0.45">
      <c r="B18">
        <f t="shared" si="7"/>
        <v>52</v>
      </c>
      <c r="C18" t="str">
        <f ca="1">_xlfn.CONCAT(OFFSET(元!$B$10,'1行'!B18,0)," ",OFFSET(元!$B$12,'1行'!B18,0))</f>
        <v>2026/03/25 2026/04/01 炭酸リチウム錠200mg「大正」大正製薬 4 14 08:54:48 200mg/錠 PTP 10錠×10 4987306054202 4 0</v>
      </c>
      <c r="D18" cm="1">
        <f t="array" aca="1" ref="D18" ca="1">INDEX(_xlfn.FILTERXML("&lt;t&gt;&lt;s&gt;" &amp; SUBSTITUTE(C18," ","&lt;/s&gt;&lt;s&gt;") &amp; "&lt;/s&gt;&lt;/t&gt;","//s[number(.)=number(.)]"),
       COUNT(_xlfn.FILTERXML("&lt;t&gt;&lt;s&gt;" &amp; SUBSTITUTE(C18," ","&lt;/s&gt;&lt;s&gt;") &amp; "&lt;/s&gt;&lt;/t&gt;","//s[number(.)=number(.)]"))-1)</f>
        <v>4</v>
      </c>
      <c r="E18" cm="1">
        <f t="array" aca="1" ref="E18" ca="1">INDEX(_xlfn.FILTERXML("&lt;t&gt;&lt;s&gt;" &amp; SUBSTITUTE(C18," ","&lt;/s&gt;&lt;s&gt;") &amp; "&lt;/s&gt;&lt;/t&gt;","//s[number(.)=number(.)]"),
       COUNT(_xlfn.FILTERXML("&lt;t&gt;&lt;s&gt;" &amp; SUBSTITUTE(C18," ","&lt;/s&gt;&lt;s&gt;") &amp; "&lt;/s&gt;&lt;/t&gt;","//s[number(.)=number(.)]")))</f>
        <v>0</v>
      </c>
      <c r="F18" s="4" t="str">
        <f t="shared" ca="1" si="0"/>
        <v>4987306054202</v>
      </c>
      <c r="G18" s="4" t="str">
        <f t="shared" ca="1" si="1"/>
        <v>2026/03/25</v>
      </c>
      <c r="H18" t="str">
        <f t="shared" ca="1" si="2"/>
        <v>2026/04/01</v>
      </c>
      <c r="I18" t="str">
        <f t="shared" ca="1" si="3"/>
        <v>炭酸リチウム錠200mg「大正」大正製薬</v>
      </c>
      <c r="J18" t="str">
        <f t="shared" ca="1" si="4"/>
        <v>炭酸リチウム錠200mg「大正」</v>
      </c>
      <c r="K18" t="str" cm="1">
        <f t="array" aca="1" ref="K18" ca="1">_xlfn.LET(
  _xlpm.s, SUBSTITUTE(SUBSTITUTE(I18," ",""),"　",""),
  _xlpm.dic, SUBSTITUTE(SUBSTITUTE(メーカー!$A$1:$A$100," ",""),"　",""),
  _xlpm.pos, MATCH(TRUE, RIGHT(_xlpm.s, LEN(_xlpm.dic)) = _xlpm.dic, 0),
  INDEX(メーカー!$A$1:$A$100, _xlpm.pos)
)</f>
        <v>大正製薬</v>
      </c>
      <c r="L18" cm="1">
        <f t="array" aca="1" ref="L18" ca="1">INDEX(_xlfn.FILTERXML("&lt;t&gt;&lt;s&gt;" &amp; SUBSTITUTE(MID(C18,23,999)," ","&lt;/s&gt;&lt;s&gt;") &amp; "&lt;/s&gt;&lt;/t&gt;","//s[number(.)=number(.)]"),1)</f>
        <v>4</v>
      </c>
      <c r="M18" cm="1">
        <f t="array" aca="1" ref="M18" ca="1">INDEX(
  _xlfn.FILTERXML("&lt;t&gt;&lt;s&gt;" &amp; SUBSTITUTE(MID(C18, 22 + LEN(I18) + 1, 999), " ", "&lt;/s&gt;&lt;s&gt;") &amp; "&lt;/s&gt;&lt;/t&gt;",
            "//s[number(.)=number(.)]"),
  2
)</f>
        <v>14</v>
      </c>
      <c r="N18" t="str" cm="1">
        <f t="array" aca="1" ref="N18" ca="1">_xlfn.REGEXEXTRACT(C18, "\d{2}:\d{2}:\d{2}")</f>
        <v>08:54:48</v>
      </c>
      <c r="O18" t="str">
        <f t="shared" ca="1" si="5"/>
        <v>200mg/錠 PTP 10錠×10</v>
      </c>
      <c r="P18" t="str">
        <f t="shared" ca="1" si="6"/>
        <v>4</v>
      </c>
    </row>
    <row r="19" spans="2:16" x14ac:dyDescent="0.45">
      <c r="B19">
        <f t="shared" si="7"/>
        <v>56</v>
      </c>
      <c r="C19" t="str">
        <f ca="1">_xlfn.CONCAT(OFFSET(元!$B$10,'1行'!B19,0)," ",OFFSET(元!$B$12,'1行'!B19,0))</f>
        <v>2026/03/25 2026/04/01 炭酸リチウム錠200mg「大正」大正製薬 1 15 08:54:48 200mg/錠 バラ 1000錠×1瓶4987306054240 1 0</v>
      </c>
      <c r="D19" cm="1">
        <f t="array" aca="1" ref="D19" ca="1">INDEX(_xlfn.FILTERXML("&lt;t&gt;&lt;s&gt;" &amp; SUBSTITUTE(C19," ","&lt;/s&gt;&lt;s&gt;") &amp; "&lt;/s&gt;&lt;/t&gt;","//s[number(.)=number(.)]"),
       COUNT(_xlfn.FILTERXML("&lt;t&gt;&lt;s&gt;" &amp; SUBSTITUTE(C19," ","&lt;/s&gt;&lt;s&gt;") &amp; "&lt;/s&gt;&lt;/t&gt;","//s[number(.)=number(.)]"))-1)</f>
        <v>1</v>
      </c>
      <c r="E19" cm="1">
        <f t="array" aca="1" ref="E19" ca="1">INDEX(_xlfn.FILTERXML("&lt;t&gt;&lt;s&gt;" &amp; SUBSTITUTE(C19," ","&lt;/s&gt;&lt;s&gt;") &amp; "&lt;/s&gt;&lt;/t&gt;","//s[number(.)=number(.)]"),
       COUNT(_xlfn.FILTERXML("&lt;t&gt;&lt;s&gt;" &amp; SUBSTITUTE(C19," ","&lt;/s&gt;&lt;s&gt;") &amp; "&lt;/s&gt;&lt;/t&gt;","//s[number(.)=number(.)]")))</f>
        <v>0</v>
      </c>
      <c r="F19" s="4" t="str">
        <f t="shared" ca="1" si="0"/>
        <v>4987306054240</v>
      </c>
      <c r="G19" s="4" t="str">
        <f t="shared" ca="1" si="1"/>
        <v>2026/03/25</v>
      </c>
      <c r="H19" t="str">
        <f t="shared" ca="1" si="2"/>
        <v>2026/04/01</v>
      </c>
      <c r="I19" t="str">
        <f t="shared" ca="1" si="3"/>
        <v>炭酸リチウム錠200mg「大正」大正製薬</v>
      </c>
      <c r="J19" t="str">
        <f t="shared" ca="1" si="4"/>
        <v>炭酸リチウム錠200mg「大正」</v>
      </c>
      <c r="K19" t="str" cm="1">
        <f t="array" aca="1" ref="K19" ca="1">_xlfn.LET(
  _xlpm.s, SUBSTITUTE(SUBSTITUTE(I19," ",""),"　",""),
  _xlpm.dic, SUBSTITUTE(SUBSTITUTE(メーカー!$A$1:$A$100," ",""),"　",""),
  _xlpm.pos, MATCH(TRUE, RIGHT(_xlpm.s, LEN(_xlpm.dic)) = _xlpm.dic, 0),
  INDEX(メーカー!$A$1:$A$100, _xlpm.pos)
)</f>
        <v>大正製薬</v>
      </c>
      <c r="L19" cm="1">
        <f t="array" aca="1" ref="L19" ca="1">INDEX(_xlfn.FILTERXML("&lt;t&gt;&lt;s&gt;" &amp; SUBSTITUTE(MID(C19,23,999)," ","&lt;/s&gt;&lt;s&gt;") &amp; "&lt;/s&gt;&lt;/t&gt;","//s[number(.)=number(.)]"),1)</f>
        <v>1</v>
      </c>
      <c r="M19" cm="1">
        <f t="array" aca="1" ref="M19" ca="1">INDEX(
  _xlfn.FILTERXML("&lt;t&gt;&lt;s&gt;" &amp; SUBSTITUTE(MID(C19, 22 + LEN(I19) + 1, 999), " ", "&lt;/s&gt;&lt;s&gt;") &amp; "&lt;/s&gt;&lt;/t&gt;",
            "//s[number(.)=number(.)]"),
  2
)</f>
        <v>15</v>
      </c>
      <c r="N19" t="str" cm="1">
        <f t="array" aca="1" ref="N19" ca="1">_xlfn.REGEXEXTRACT(C19, "\d{2}:\d{2}:\d{2}")</f>
        <v>08:54:48</v>
      </c>
      <c r="O19" t="str">
        <f t="shared" ca="1" si="5"/>
        <v>200mg/錠 バラ 1000錠×1瓶</v>
      </c>
      <c r="P19" t="str">
        <f t="shared" ca="1" si="6"/>
        <v>1</v>
      </c>
    </row>
    <row r="20" spans="2:16" x14ac:dyDescent="0.45">
      <c r="B20">
        <f t="shared" si="7"/>
        <v>60</v>
      </c>
      <c r="C20" t="str">
        <f ca="1">_xlfn.CONCAT(OFFSET(元!$B$10,'1行'!B20,0)," ",OFFSET(元!$B$12,'1行'!B20,0))</f>
        <v>2026/03/25 2026/04/01 グランダキシン錠50 持田製薬 1 16 08:54:48 50mg/錠 PTP 10錠×10 4987224045009 1 0</v>
      </c>
      <c r="D20" cm="1">
        <f t="array" aca="1" ref="D20" ca="1">INDEX(_xlfn.FILTERXML("&lt;t&gt;&lt;s&gt;" &amp; SUBSTITUTE(C20," ","&lt;/s&gt;&lt;s&gt;") &amp; "&lt;/s&gt;&lt;/t&gt;","//s[number(.)=number(.)]"),
       COUNT(_xlfn.FILTERXML("&lt;t&gt;&lt;s&gt;" &amp; SUBSTITUTE(C20," ","&lt;/s&gt;&lt;s&gt;") &amp; "&lt;/s&gt;&lt;/t&gt;","//s[number(.)=number(.)]"))-1)</f>
        <v>1</v>
      </c>
      <c r="E20" cm="1">
        <f t="array" aca="1" ref="E20" ca="1">INDEX(_xlfn.FILTERXML("&lt;t&gt;&lt;s&gt;" &amp; SUBSTITUTE(C20," ","&lt;/s&gt;&lt;s&gt;") &amp; "&lt;/s&gt;&lt;/t&gt;","//s[number(.)=number(.)]"),
       COUNT(_xlfn.FILTERXML("&lt;t&gt;&lt;s&gt;" &amp; SUBSTITUTE(C20," ","&lt;/s&gt;&lt;s&gt;") &amp; "&lt;/s&gt;&lt;/t&gt;","//s[number(.)=number(.)]")))</f>
        <v>0</v>
      </c>
      <c r="F20" s="4" t="str">
        <f t="shared" ca="1" si="0"/>
        <v>4987224045009</v>
      </c>
      <c r="G20" s="4" t="str">
        <f t="shared" ca="1" si="1"/>
        <v>2026/03/25</v>
      </c>
      <c r="H20" t="str">
        <f t="shared" ca="1" si="2"/>
        <v>2026/04/01</v>
      </c>
      <c r="I20" t="str">
        <f t="shared" ca="1" si="3"/>
        <v>グランダキシン錠50 持田製薬</v>
      </c>
      <c r="J20" t="str">
        <f t="shared" ca="1" si="4"/>
        <v xml:space="preserve">グランダキシン錠50 </v>
      </c>
      <c r="K20" t="str" cm="1">
        <f t="array" aca="1" ref="K20" ca="1">_xlfn.LET(
  _xlpm.s, SUBSTITUTE(SUBSTITUTE(I20," ",""),"　",""),
  _xlpm.dic, SUBSTITUTE(SUBSTITUTE(メーカー!$A$1:$A$100," ",""),"　",""),
  _xlpm.pos, MATCH(TRUE, RIGHT(_xlpm.s, LEN(_xlpm.dic)) = _xlpm.dic, 0),
  INDEX(メーカー!$A$1:$A$100, _xlpm.pos)
)</f>
        <v>持田製薬</v>
      </c>
      <c r="L20" cm="1">
        <f t="array" aca="1" ref="L20" ca="1">INDEX(_xlfn.FILTERXML("&lt;t&gt;&lt;s&gt;" &amp; SUBSTITUTE(MID(C20,23,999)," ","&lt;/s&gt;&lt;s&gt;") &amp; "&lt;/s&gt;&lt;/t&gt;","//s[number(.)=number(.)]"),1)</f>
        <v>1</v>
      </c>
      <c r="M20" cm="1">
        <f t="array" aca="1" ref="M20" ca="1">INDEX(
  _xlfn.FILTERXML("&lt;t&gt;&lt;s&gt;" &amp; SUBSTITUTE(MID(C20, 22 + LEN(I20) + 1, 999), " ", "&lt;/s&gt;&lt;s&gt;") &amp; "&lt;/s&gt;&lt;/t&gt;",
            "//s[number(.)=number(.)]"),
  2
)</f>
        <v>16</v>
      </c>
      <c r="N20" t="str" cm="1">
        <f t="array" aca="1" ref="N20" ca="1">_xlfn.REGEXEXTRACT(C20, "\d{2}:\d{2}:\d{2}")</f>
        <v>08:54:48</v>
      </c>
      <c r="O20" t="str">
        <f t="shared" ca="1" si="5"/>
        <v>50mg/錠 PTP 10錠×10</v>
      </c>
      <c r="P20" t="str">
        <f t="shared" ca="1" si="6"/>
        <v>1</v>
      </c>
    </row>
    <row r="21" spans="2:16" x14ac:dyDescent="0.45">
      <c r="B21">
        <f t="shared" si="7"/>
        <v>64</v>
      </c>
      <c r="C21" t="str">
        <f ca="1">_xlfn.CONCAT(OFFSET(元!$B$10,'1行'!B21,0)," ",OFFSET(元!$B$12,'1行'!B21,0))</f>
        <v>2026/03/25 2026/04/01 レルパックス錠20mg ヴィアトリス製薬 2 17 08:54:48 20mg/錠 PTP 10錠×1 (患者さん用パッケージ入り) 4987901012706 2 0</v>
      </c>
      <c r="D21" cm="1">
        <f t="array" aca="1" ref="D21" ca="1">INDEX(_xlfn.FILTERXML("&lt;t&gt;&lt;s&gt;" &amp; SUBSTITUTE(C21," ","&lt;/s&gt;&lt;s&gt;") &amp; "&lt;/s&gt;&lt;/t&gt;","//s[number(.)=number(.)]"),
       COUNT(_xlfn.FILTERXML("&lt;t&gt;&lt;s&gt;" &amp; SUBSTITUTE(C21," ","&lt;/s&gt;&lt;s&gt;") &amp; "&lt;/s&gt;&lt;/t&gt;","//s[number(.)=number(.)]"))-1)</f>
        <v>2</v>
      </c>
      <c r="E21" cm="1">
        <f t="array" aca="1" ref="E21" ca="1">INDEX(_xlfn.FILTERXML("&lt;t&gt;&lt;s&gt;" &amp; SUBSTITUTE(C21," ","&lt;/s&gt;&lt;s&gt;") &amp; "&lt;/s&gt;&lt;/t&gt;","//s[number(.)=number(.)]"),
       COUNT(_xlfn.FILTERXML("&lt;t&gt;&lt;s&gt;" &amp; SUBSTITUTE(C21," ","&lt;/s&gt;&lt;s&gt;") &amp; "&lt;/s&gt;&lt;/t&gt;","//s[number(.)=number(.)]")))</f>
        <v>0</v>
      </c>
      <c r="F21" s="4" t="str">
        <f t="shared" ca="1" si="0"/>
        <v>4987901012706</v>
      </c>
      <c r="G21" s="4" t="str">
        <f t="shared" ca="1" si="1"/>
        <v>2026/03/25</v>
      </c>
      <c r="H21" t="str">
        <f t="shared" ca="1" si="2"/>
        <v>2026/04/01</v>
      </c>
      <c r="I21" t="str">
        <f t="shared" ca="1" si="3"/>
        <v>レルパックス錠20mg ヴィアトリス製薬</v>
      </c>
      <c r="J21" t="str">
        <f t="shared" ca="1" si="4"/>
        <v xml:space="preserve">レルパックス錠20mg </v>
      </c>
      <c r="K21" t="str" cm="1">
        <f t="array" aca="1" ref="K21" ca="1">_xlfn.LET(
  _xlpm.s, SUBSTITUTE(SUBSTITUTE(I21," ",""),"　",""),
  _xlpm.dic, SUBSTITUTE(SUBSTITUTE(メーカー!$A$1:$A$100," ",""),"　",""),
  _xlpm.pos, MATCH(TRUE, RIGHT(_xlpm.s, LEN(_xlpm.dic)) = _xlpm.dic, 0),
  INDEX(メーカー!$A$1:$A$100, _xlpm.pos)
)</f>
        <v>ヴィアトリス製薬</v>
      </c>
      <c r="L21" cm="1">
        <f t="array" aca="1" ref="L21" ca="1">INDEX(_xlfn.FILTERXML("&lt;t&gt;&lt;s&gt;" &amp; SUBSTITUTE(MID(C21,23,999)," ","&lt;/s&gt;&lt;s&gt;") &amp; "&lt;/s&gt;&lt;/t&gt;","//s[number(.)=number(.)]"),1)</f>
        <v>2</v>
      </c>
      <c r="M21" cm="1">
        <f t="array" aca="1" ref="M21" ca="1">INDEX(
  _xlfn.FILTERXML("&lt;t&gt;&lt;s&gt;" &amp; SUBSTITUTE(MID(C21, 22 + LEN(I21) + 1, 999), " ", "&lt;/s&gt;&lt;s&gt;") &amp; "&lt;/s&gt;&lt;/t&gt;",
            "//s[number(.)=number(.)]"),
  2
)</f>
        <v>17</v>
      </c>
      <c r="N21" t="str" cm="1">
        <f t="array" aca="1" ref="N21" ca="1">_xlfn.REGEXEXTRACT(C21, "\d{2}:\d{2}:\d{2}")</f>
        <v>08:54:48</v>
      </c>
      <c r="O21" t="str">
        <f t="shared" ca="1" si="5"/>
        <v>20mg/錠 PTP 10錠×1 (患者さん用パッケージ入り)</v>
      </c>
      <c r="P21" t="str">
        <f t="shared" ca="1" si="6"/>
        <v>2</v>
      </c>
    </row>
    <row r="22" spans="2:16" x14ac:dyDescent="0.45">
      <c r="B22">
        <f t="shared" si="7"/>
        <v>68</v>
      </c>
      <c r="C22" t="str">
        <f ca="1">_xlfn.CONCAT(OFFSET(元!$B$10,'1行'!B22,0)," ",OFFSET(元!$B$12,'1行'!B22,0))</f>
        <v>2026/03/25 2026/04/01 ノイロビタン配合錠ＬＴＬファーマ 1 18 08:54:48 バラ 1000錠×1瓶4987919100211 1 0</v>
      </c>
      <c r="D22" cm="1">
        <f t="array" aca="1" ref="D22" ca="1">INDEX(_xlfn.FILTERXML("&lt;t&gt;&lt;s&gt;" &amp; SUBSTITUTE(C22," ","&lt;/s&gt;&lt;s&gt;") &amp; "&lt;/s&gt;&lt;/t&gt;","//s[number(.)=number(.)]"),
       COUNT(_xlfn.FILTERXML("&lt;t&gt;&lt;s&gt;" &amp; SUBSTITUTE(C22," ","&lt;/s&gt;&lt;s&gt;") &amp; "&lt;/s&gt;&lt;/t&gt;","//s[number(.)=number(.)]"))-1)</f>
        <v>1</v>
      </c>
      <c r="E22" cm="1">
        <f t="array" aca="1" ref="E22" ca="1">INDEX(_xlfn.FILTERXML("&lt;t&gt;&lt;s&gt;" &amp; SUBSTITUTE(C22," ","&lt;/s&gt;&lt;s&gt;") &amp; "&lt;/s&gt;&lt;/t&gt;","//s[number(.)=number(.)]"),
       COUNT(_xlfn.FILTERXML("&lt;t&gt;&lt;s&gt;" &amp; SUBSTITUTE(C22," ","&lt;/s&gt;&lt;s&gt;") &amp; "&lt;/s&gt;&lt;/t&gt;","//s[number(.)=number(.)]")))</f>
        <v>0</v>
      </c>
      <c r="F22" s="4" t="str">
        <f t="shared" ca="1" si="0"/>
        <v>4987919100211</v>
      </c>
      <c r="G22" s="4" t="str">
        <f t="shared" ca="1" si="1"/>
        <v>2026/03/25</v>
      </c>
      <c r="H22" t="str">
        <f t="shared" ca="1" si="2"/>
        <v>2026/04/01</v>
      </c>
      <c r="I22" t="str">
        <f t="shared" ca="1" si="3"/>
        <v>ノイロビタン配合錠ＬＴＬファーマ</v>
      </c>
      <c r="J22" t="str">
        <f t="shared" ca="1" si="4"/>
        <v>ノイロビタン配合錠</v>
      </c>
      <c r="K22" t="str" cm="1">
        <f t="array" aca="1" ref="K22" ca="1">_xlfn.LET(
  _xlpm.s, SUBSTITUTE(SUBSTITUTE(I22," ",""),"　",""),
  _xlpm.dic, SUBSTITUTE(SUBSTITUTE(メーカー!$A$1:$A$100," ",""),"　",""),
  _xlpm.pos, MATCH(TRUE, RIGHT(_xlpm.s, LEN(_xlpm.dic)) = _xlpm.dic, 0),
  INDEX(メーカー!$A$1:$A$100, _xlpm.pos)
)</f>
        <v>ＬＴＬファーマ</v>
      </c>
      <c r="L22" cm="1">
        <f t="array" aca="1" ref="L22" ca="1">INDEX(_xlfn.FILTERXML("&lt;t&gt;&lt;s&gt;" &amp; SUBSTITUTE(MID(C22,23,999)," ","&lt;/s&gt;&lt;s&gt;") &amp; "&lt;/s&gt;&lt;/t&gt;","//s[number(.)=number(.)]"),1)</f>
        <v>1</v>
      </c>
      <c r="M22" cm="1">
        <f t="array" aca="1" ref="M22" ca="1">INDEX(
  _xlfn.FILTERXML("&lt;t&gt;&lt;s&gt;" &amp; SUBSTITUTE(MID(C22, 22 + LEN(I22) + 1, 999), " ", "&lt;/s&gt;&lt;s&gt;") &amp; "&lt;/s&gt;&lt;/t&gt;",
            "//s[number(.)=number(.)]"),
  2
)</f>
        <v>18</v>
      </c>
      <c r="N22" t="str" cm="1">
        <f t="array" aca="1" ref="N22" ca="1">_xlfn.REGEXEXTRACT(C22, "\d{2}:\d{2}:\d{2}")</f>
        <v>08:54:48</v>
      </c>
      <c r="O22" t="str">
        <f t="shared" ca="1" si="5"/>
        <v>バラ 1000錠×1瓶</v>
      </c>
      <c r="P22" t="str">
        <f t="shared" ca="1" si="6"/>
        <v>1</v>
      </c>
    </row>
    <row r="23" spans="2:16" x14ac:dyDescent="0.45">
      <c r="B23">
        <f t="shared" si="7"/>
        <v>72</v>
      </c>
      <c r="C23" t="str">
        <f ca="1">_xlfn.CONCAT(OFFSET(元!$B$10,'1行'!B23,0)," ",OFFSET(元!$B$12,'1行'!B23,0))</f>
        <v>2026/03/25 2026/04/01 フォシーガ錠5mg 小野薬品工業 5 19 08:54:48 5mg/錠 PTP 10錠×10 4987039454386 5 0</v>
      </c>
      <c r="D23" cm="1">
        <f t="array" aca="1" ref="D23" ca="1">INDEX(_xlfn.FILTERXML("&lt;t&gt;&lt;s&gt;" &amp; SUBSTITUTE(C23," ","&lt;/s&gt;&lt;s&gt;") &amp; "&lt;/s&gt;&lt;/t&gt;","//s[number(.)=number(.)]"),
       COUNT(_xlfn.FILTERXML("&lt;t&gt;&lt;s&gt;" &amp; SUBSTITUTE(C23," ","&lt;/s&gt;&lt;s&gt;") &amp; "&lt;/s&gt;&lt;/t&gt;","//s[number(.)=number(.)]"))-1)</f>
        <v>5</v>
      </c>
      <c r="E23" cm="1">
        <f t="array" aca="1" ref="E23" ca="1">INDEX(_xlfn.FILTERXML("&lt;t&gt;&lt;s&gt;" &amp; SUBSTITUTE(C23," ","&lt;/s&gt;&lt;s&gt;") &amp; "&lt;/s&gt;&lt;/t&gt;","//s[number(.)=number(.)]"),
       COUNT(_xlfn.FILTERXML("&lt;t&gt;&lt;s&gt;" &amp; SUBSTITUTE(C23," ","&lt;/s&gt;&lt;s&gt;") &amp; "&lt;/s&gt;&lt;/t&gt;","//s[number(.)=number(.)]")))</f>
        <v>0</v>
      </c>
      <c r="F23" s="4" t="str">
        <f t="shared" ca="1" si="0"/>
        <v>4987039454386</v>
      </c>
      <c r="G23" s="4" t="str">
        <f t="shared" ca="1" si="1"/>
        <v>2026/03/25</v>
      </c>
      <c r="H23" t="str">
        <f t="shared" ca="1" si="2"/>
        <v>2026/04/01</v>
      </c>
      <c r="I23" t="str">
        <f t="shared" ca="1" si="3"/>
        <v>フォシーガ錠5mg 小野薬品工業</v>
      </c>
      <c r="J23" t="str">
        <f t="shared" ca="1" si="4"/>
        <v xml:space="preserve">フォシーガ錠5mg </v>
      </c>
      <c r="K23" t="str" cm="1">
        <f t="array" aca="1" ref="K23" ca="1">_xlfn.LET(
  _xlpm.s, SUBSTITUTE(SUBSTITUTE(I23," ",""),"　",""),
  _xlpm.dic, SUBSTITUTE(SUBSTITUTE(メーカー!$A$1:$A$100," ",""),"　",""),
  _xlpm.pos, MATCH(TRUE, RIGHT(_xlpm.s, LEN(_xlpm.dic)) = _xlpm.dic, 0),
  INDEX(メーカー!$A$1:$A$100, _xlpm.pos)
)</f>
        <v>小野薬品工業</v>
      </c>
      <c r="L23" cm="1">
        <f t="array" aca="1" ref="L23" ca="1">INDEX(_xlfn.FILTERXML("&lt;t&gt;&lt;s&gt;" &amp; SUBSTITUTE(MID(C23,23,999)," ","&lt;/s&gt;&lt;s&gt;") &amp; "&lt;/s&gt;&lt;/t&gt;","//s[number(.)=number(.)]"),1)</f>
        <v>5</v>
      </c>
      <c r="M23" cm="1">
        <f t="array" aca="1" ref="M23" ca="1">INDEX(
  _xlfn.FILTERXML("&lt;t&gt;&lt;s&gt;" &amp; SUBSTITUTE(MID(C23, 22 + LEN(I23) + 1, 999), " ", "&lt;/s&gt;&lt;s&gt;") &amp; "&lt;/s&gt;&lt;/t&gt;",
            "//s[number(.)=number(.)]"),
  2
)</f>
        <v>19</v>
      </c>
      <c r="N23" t="str" cm="1">
        <f t="array" aca="1" ref="N23" ca="1">_xlfn.REGEXEXTRACT(C23, "\d{2}:\d{2}:\d{2}")</f>
        <v>08:54:48</v>
      </c>
      <c r="O23" t="str">
        <f t="shared" ca="1" si="5"/>
        <v>5mg/錠 PTP 10錠×10</v>
      </c>
      <c r="P23" t="str">
        <f t="shared" ca="1" si="6"/>
        <v>5</v>
      </c>
    </row>
    <row r="24" spans="2:16" x14ac:dyDescent="0.45">
      <c r="B24">
        <f t="shared" si="7"/>
        <v>76</v>
      </c>
      <c r="C24" t="str">
        <f ca="1">_xlfn.CONCAT(OFFSET(元!$B$10,'1行'!B24,0)," ",OFFSET(元!$B$12,'1行'!B24,0))</f>
        <v>2026/03/25 2026/04/01 フェロミア錠50mg エーザイ 1 20 08:54:48 鉄50mg/錠 バラ 500錠×1瓶4987028213468 1 0</v>
      </c>
      <c r="D24" cm="1">
        <f t="array" aca="1" ref="D24" ca="1">INDEX(_xlfn.FILTERXML("&lt;t&gt;&lt;s&gt;" &amp; SUBSTITUTE(C24," ","&lt;/s&gt;&lt;s&gt;") &amp; "&lt;/s&gt;&lt;/t&gt;","//s[number(.)=number(.)]"),
       COUNT(_xlfn.FILTERXML("&lt;t&gt;&lt;s&gt;" &amp; SUBSTITUTE(C24," ","&lt;/s&gt;&lt;s&gt;") &amp; "&lt;/s&gt;&lt;/t&gt;","//s[number(.)=number(.)]"))-1)</f>
        <v>1</v>
      </c>
      <c r="E24" cm="1">
        <f t="array" aca="1" ref="E24" ca="1">INDEX(_xlfn.FILTERXML("&lt;t&gt;&lt;s&gt;" &amp; SUBSTITUTE(C24," ","&lt;/s&gt;&lt;s&gt;") &amp; "&lt;/s&gt;&lt;/t&gt;","//s[number(.)=number(.)]"),
       COUNT(_xlfn.FILTERXML("&lt;t&gt;&lt;s&gt;" &amp; SUBSTITUTE(C24," ","&lt;/s&gt;&lt;s&gt;") &amp; "&lt;/s&gt;&lt;/t&gt;","//s[number(.)=number(.)]")))</f>
        <v>0</v>
      </c>
      <c r="F24" s="4" t="str">
        <f t="shared" ca="1" si="0"/>
        <v>4987028213468</v>
      </c>
      <c r="G24" s="4" t="str">
        <f t="shared" ca="1" si="1"/>
        <v>2026/03/25</v>
      </c>
      <c r="H24" t="str">
        <f t="shared" ca="1" si="2"/>
        <v>2026/04/01</v>
      </c>
      <c r="I24" t="str">
        <f t="shared" ca="1" si="3"/>
        <v>フェロミア錠50mg エーザイ</v>
      </c>
      <c r="J24" t="str">
        <f t="shared" ca="1" si="4"/>
        <v xml:space="preserve">フェロミア錠50mg </v>
      </c>
      <c r="K24" t="str" cm="1">
        <f t="array" aca="1" ref="K24" ca="1">_xlfn.LET(
  _xlpm.s, SUBSTITUTE(SUBSTITUTE(I24," ",""),"　",""),
  _xlpm.dic, SUBSTITUTE(SUBSTITUTE(メーカー!$A$1:$A$100," ",""),"　",""),
  _xlpm.pos, MATCH(TRUE, RIGHT(_xlpm.s, LEN(_xlpm.dic)) = _xlpm.dic, 0),
  INDEX(メーカー!$A$1:$A$100, _xlpm.pos)
)</f>
        <v>エーザイ</v>
      </c>
      <c r="L24" cm="1">
        <f t="array" aca="1" ref="L24" ca="1">INDEX(_xlfn.FILTERXML("&lt;t&gt;&lt;s&gt;" &amp; SUBSTITUTE(MID(C24,23,999)," ","&lt;/s&gt;&lt;s&gt;") &amp; "&lt;/s&gt;&lt;/t&gt;","//s[number(.)=number(.)]"),1)</f>
        <v>1</v>
      </c>
      <c r="M24" cm="1">
        <f t="array" aca="1" ref="M24" ca="1">INDEX(
  _xlfn.FILTERXML("&lt;t&gt;&lt;s&gt;" &amp; SUBSTITUTE(MID(C24, 22 + LEN(I24) + 1, 999), " ", "&lt;/s&gt;&lt;s&gt;") &amp; "&lt;/s&gt;&lt;/t&gt;",
            "//s[number(.)=number(.)]"),
  2
)</f>
        <v>20</v>
      </c>
      <c r="N24" t="str" cm="1">
        <f t="array" aca="1" ref="N24" ca="1">_xlfn.REGEXEXTRACT(C24, "\d{2}:\d{2}:\d{2}")</f>
        <v>08:54:48</v>
      </c>
      <c r="O24" t="str">
        <f t="shared" ca="1" si="5"/>
        <v>鉄50mg/錠 バラ 500錠×1瓶</v>
      </c>
      <c r="P24" t="str">
        <f t="shared" ca="1" si="6"/>
        <v>1</v>
      </c>
    </row>
    <row r="25" spans="2:16" x14ac:dyDescent="0.45">
      <c r="B25">
        <f t="shared" si="7"/>
        <v>80</v>
      </c>
      <c r="C25" t="str">
        <f ca="1">_xlfn.CONCAT(OFFSET(元!$B$10,'1行'!B25,0)," ",OFFSET(元!$B$12,'1行'!B25,0))</f>
        <v>2026/03/25 2026/04/01 アスパラギン酸カリウム注10mEqキット「テルモ」テルモ 1 21 08:54:48 17.12%10mL1キット×10キット (PFMS専用針1本添付) 4987350027979 1 0</v>
      </c>
      <c r="D25" cm="1">
        <f t="array" aca="1" ref="D25" ca="1">INDEX(_xlfn.FILTERXML("&lt;t&gt;&lt;s&gt;" &amp; SUBSTITUTE(C25," ","&lt;/s&gt;&lt;s&gt;") &amp; "&lt;/s&gt;&lt;/t&gt;","//s[number(.)=number(.)]"),
       COUNT(_xlfn.FILTERXML("&lt;t&gt;&lt;s&gt;" &amp; SUBSTITUTE(C25," ","&lt;/s&gt;&lt;s&gt;") &amp; "&lt;/s&gt;&lt;/t&gt;","//s[number(.)=number(.)]"))-1)</f>
        <v>1</v>
      </c>
      <c r="E25" cm="1">
        <f t="array" aca="1" ref="E25" ca="1">INDEX(_xlfn.FILTERXML("&lt;t&gt;&lt;s&gt;" &amp; SUBSTITUTE(C25," ","&lt;/s&gt;&lt;s&gt;") &amp; "&lt;/s&gt;&lt;/t&gt;","//s[number(.)=number(.)]"),
       COUNT(_xlfn.FILTERXML("&lt;t&gt;&lt;s&gt;" &amp; SUBSTITUTE(C25," ","&lt;/s&gt;&lt;s&gt;") &amp; "&lt;/s&gt;&lt;/t&gt;","//s[number(.)=number(.)]")))</f>
        <v>0</v>
      </c>
      <c r="F25" s="4" t="str">
        <f t="shared" ca="1" si="0"/>
        <v>4987350027979</v>
      </c>
      <c r="G25" s="4" t="str">
        <f t="shared" ca="1" si="1"/>
        <v>2026/03/25</v>
      </c>
      <c r="H25" t="str">
        <f t="shared" ca="1" si="2"/>
        <v>2026/04/01</v>
      </c>
      <c r="I25" t="str">
        <f t="shared" ca="1" si="3"/>
        <v>アスパラギン酸カリウム注10mEqキット「テルモ」テルモ</v>
      </c>
      <c r="J25" t="str">
        <f t="shared" ca="1" si="4"/>
        <v>アスパラギン酸カリウム注10mEqキット「テルモ」</v>
      </c>
      <c r="K25" t="str" cm="1">
        <f t="array" aca="1" ref="K25" ca="1">_xlfn.LET(
  _xlpm.s, SUBSTITUTE(SUBSTITUTE(I25," ",""),"　",""),
  _xlpm.dic, SUBSTITUTE(SUBSTITUTE(メーカー!$A$1:$A$100," ",""),"　",""),
  _xlpm.pos, MATCH(TRUE, RIGHT(_xlpm.s, LEN(_xlpm.dic)) = _xlpm.dic, 0),
  INDEX(メーカー!$A$1:$A$100, _xlpm.pos)
)</f>
        <v>テルモ</v>
      </c>
      <c r="L25" cm="1">
        <f t="array" aca="1" ref="L25" ca="1">INDEX(_xlfn.FILTERXML("&lt;t&gt;&lt;s&gt;" &amp; SUBSTITUTE(MID(C25,23,999)," ","&lt;/s&gt;&lt;s&gt;") &amp; "&lt;/s&gt;&lt;/t&gt;","//s[number(.)=number(.)]"),1)</f>
        <v>1</v>
      </c>
      <c r="M25" cm="1">
        <f t="array" aca="1" ref="M25" ca="1">INDEX(
  _xlfn.FILTERXML("&lt;t&gt;&lt;s&gt;" &amp; SUBSTITUTE(MID(C25, 22 + LEN(I25) + 1, 999), " ", "&lt;/s&gt;&lt;s&gt;") &amp; "&lt;/s&gt;&lt;/t&gt;",
            "//s[number(.)=number(.)]"),
  2
)</f>
        <v>21</v>
      </c>
      <c r="N25" t="str" cm="1">
        <f t="array" aca="1" ref="N25" ca="1">_xlfn.REGEXEXTRACT(C25, "\d{2}:\d{2}:\d{2}")</f>
        <v>08:54:48</v>
      </c>
      <c r="O25" t="str">
        <f t="shared" ca="1" si="5"/>
        <v>17.12%10mL1キット×10キット (PFMS専用針1本添付)</v>
      </c>
      <c r="P25" t="str">
        <f t="shared" ca="1" si="6"/>
        <v>1</v>
      </c>
    </row>
    <row r="26" spans="2:16" x14ac:dyDescent="0.45">
      <c r="B26">
        <f t="shared" si="7"/>
        <v>84</v>
      </c>
      <c r="C26" t="str">
        <f ca="1">_xlfn.CONCAT(OFFSET(元!$B$10,'1行'!B26,0)," ",OFFSET(元!$B$12,'1行'!B26,0))</f>
        <v>2026/03/25 2026/04/01 ビペリデン塩酸塩錠1mg「アメル」共和薬品工業 1 22 08:54:48 1mg/錠 バラ 1000錠×1瓶4987058097274 1 0</v>
      </c>
      <c r="D26" cm="1">
        <f t="array" aca="1" ref="D26" ca="1">INDEX(_xlfn.FILTERXML("&lt;t&gt;&lt;s&gt;" &amp; SUBSTITUTE(C26," ","&lt;/s&gt;&lt;s&gt;") &amp; "&lt;/s&gt;&lt;/t&gt;","//s[number(.)=number(.)]"),
       COUNT(_xlfn.FILTERXML("&lt;t&gt;&lt;s&gt;" &amp; SUBSTITUTE(C26," ","&lt;/s&gt;&lt;s&gt;") &amp; "&lt;/s&gt;&lt;/t&gt;","//s[number(.)=number(.)]"))-1)</f>
        <v>1</v>
      </c>
      <c r="E26" cm="1">
        <f t="array" aca="1" ref="E26" ca="1">INDEX(_xlfn.FILTERXML("&lt;t&gt;&lt;s&gt;" &amp; SUBSTITUTE(C26," ","&lt;/s&gt;&lt;s&gt;") &amp; "&lt;/s&gt;&lt;/t&gt;","//s[number(.)=number(.)]"),
       COUNT(_xlfn.FILTERXML("&lt;t&gt;&lt;s&gt;" &amp; SUBSTITUTE(C26," ","&lt;/s&gt;&lt;s&gt;") &amp; "&lt;/s&gt;&lt;/t&gt;","//s[number(.)=number(.)]")))</f>
        <v>0</v>
      </c>
      <c r="F26" s="4" t="str">
        <f t="shared" ca="1" si="0"/>
        <v>4987058097274</v>
      </c>
      <c r="G26" s="4" t="str">
        <f t="shared" ca="1" si="1"/>
        <v>2026/03/25</v>
      </c>
      <c r="H26" t="str">
        <f t="shared" ca="1" si="2"/>
        <v>2026/04/01</v>
      </c>
      <c r="I26" t="str">
        <f t="shared" ca="1" si="3"/>
        <v>ビペリデン塩酸塩錠1mg「アメル」共和薬品工業</v>
      </c>
      <c r="J26" t="str">
        <f t="shared" ca="1" si="4"/>
        <v>ビペリデン塩酸塩錠1mg「アメル」</v>
      </c>
      <c r="K26" t="str" cm="1">
        <f t="array" aca="1" ref="K26" ca="1">_xlfn.LET(
  _xlpm.s, SUBSTITUTE(SUBSTITUTE(I26,"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26" cm="1">
        <f t="array" aca="1" ref="L26" ca="1">INDEX(_xlfn.FILTERXML("&lt;t&gt;&lt;s&gt;" &amp; SUBSTITUTE(MID(C26,23,999)," ","&lt;/s&gt;&lt;s&gt;") &amp; "&lt;/s&gt;&lt;/t&gt;","//s[number(.)=number(.)]"),1)</f>
        <v>1</v>
      </c>
      <c r="M26" cm="1">
        <f t="array" aca="1" ref="M26" ca="1">INDEX(
  _xlfn.FILTERXML("&lt;t&gt;&lt;s&gt;" &amp; SUBSTITUTE(MID(C26, 22 + LEN(I26) + 1, 999), " ", "&lt;/s&gt;&lt;s&gt;") &amp; "&lt;/s&gt;&lt;/t&gt;",
            "//s[number(.)=number(.)]"),
  2
)</f>
        <v>22</v>
      </c>
      <c r="N26" t="str" cm="1">
        <f t="array" aca="1" ref="N26" ca="1">_xlfn.REGEXEXTRACT(C26, "\d{2}:\d{2}:\d{2}")</f>
        <v>08:54:48</v>
      </c>
      <c r="O26" t="str">
        <f t="shared" ca="1" si="5"/>
        <v>1mg/錠 バラ 1000錠×1瓶</v>
      </c>
      <c r="P26" t="str">
        <f t="shared" ca="1" si="6"/>
        <v>1</v>
      </c>
    </row>
    <row r="27" spans="2:16" x14ac:dyDescent="0.45">
      <c r="B27">
        <f t="shared" si="7"/>
        <v>88</v>
      </c>
      <c r="C27" t="str">
        <f ca="1">_xlfn.CONCAT(OFFSET(元!$B$10,'1行'!B27,0)," ",OFFSET(元!$B$12,'1行'!B27,0))</f>
        <v>2026/03/25 2026/04/01 ベルソムラ錠15mg 第一三共 1 23 08:54:48 15mg/錠 PTP 10錠×50 4987081109227 1 0</v>
      </c>
      <c r="D27" cm="1">
        <f t="array" aca="1" ref="D27" ca="1">INDEX(_xlfn.FILTERXML("&lt;t&gt;&lt;s&gt;" &amp; SUBSTITUTE(C27," ","&lt;/s&gt;&lt;s&gt;") &amp; "&lt;/s&gt;&lt;/t&gt;","//s[number(.)=number(.)]"),
       COUNT(_xlfn.FILTERXML("&lt;t&gt;&lt;s&gt;" &amp; SUBSTITUTE(C27," ","&lt;/s&gt;&lt;s&gt;") &amp; "&lt;/s&gt;&lt;/t&gt;","//s[number(.)=number(.)]"))-1)</f>
        <v>1</v>
      </c>
      <c r="E27" cm="1">
        <f t="array" aca="1" ref="E27" ca="1">INDEX(_xlfn.FILTERXML("&lt;t&gt;&lt;s&gt;" &amp; SUBSTITUTE(C27," ","&lt;/s&gt;&lt;s&gt;") &amp; "&lt;/s&gt;&lt;/t&gt;","//s[number(.)=number(.)]"),
       COUNT(_xlfn.FILTERXML("&lt;t&gt;&lt;s&gt;" &amp; SUBSTITUTE(C27," ","&lt;/s&gt;&lt;s&gt;") &amp; "&lt;/s&gt;&lt;/t&gt;","//s[number(.)=number(.)]")))</f>
        <v>0</v>
      </c>
      <c r="F27" s="4" t="str">
        <f t="shared" ca="1" si="0"/>
        <v>4987081109227</v>
      </c>
      <c r="G27" s="4" t="str">
        <f t="shared" ca="1" si="1"/>
        <v>2026/03/25</v>
      </c>
      <c r="H27" t="str">
        <f t="shared" ca="1" si="2"/>
        <v>2026/04/01</v>
      </c>
      <c r="I27" t="str">
        <f t="shared" ca="1" si="3"/>
        <v>ベルソムラ錠15mg 第一三共</v>
      </c>
      <c r="J27" t="str">
        <f t="shared" ca="1" si="4"/>
        <v xml:space="preserve">ベルソムラ錠15mg </v>
      </c>
      <c r="K27" t="str" cm="1">
        <f t="array" aca="1" ref="K27" ca="1">_xlfn.LET(
  _xlpm.s, SUBSTITUTE(SUBSTITUTE(I27," ",""),"　",""),
  _xlpm.dic, SUBSTITUTE(SUBSTITUTE(メーカー!$A$1:$A$100," ",""),"　",""),
  _xlpm.pos, MATCH(TRUE, RIGHT(_xlpm.s, LEN(_xlpm.dic)) = _xlpm.dic, 0),
  INDEX(メーカー!$A$1:$A$100, _xlpm.pos)
)</f>
        <v>第一三共</v>
      </c>
      <c r="L27" cm="1">
        <f t="array" aca="1" ref="L27" ca="1">INDEX(_xlfn.FILTERXML("&lt;t&gt;&lt;s&gt;" &amp; SUBSTITUTE(MID(C27,23,999)," ","&lt;/s&gt;&lt;s&gt;") &amp; "&lt;/s&gt;&lt;/t&gt;","//s[number(.)=number(.)]"),1)</f>
        <v>1</v>
      </c>
      <c r="M27" cm="1">
        <f t="array" aca="1" ref="M27" ca="1">INDEX(
  _xlfn.FILTERXML("&lt;t&gt;&lt;s&gt;" &amp; SUBSTITUTE(MID(C27, 22 + LEN(I27) + 1, 999), " ", "&lt;/s&gt;&lt;s&gt;") &amp; "&lt;/s&gt;&lt;/t&gt;",
            "//s[number(.)=number(.)]"),
  2
)</f>
        <v>23</v>
      </c>
      <c r="N27" t="str" cm="1">
        <f t="array" aca="1" ref="N27" ca="1">_xlfn.REGEXEXTRACT(C27, "\d{2}:\d{2}:\d{2}")</f>
        <v>08:54:48</v>
      </c>
      <c r="O27" t="str">
        <f t="shared" ca="1" si="5"/>
        <v>15mg/錠 PTP 10錠×50</v>
      </c>
      <c r="P27" t="str">
        <f t="shared" ca="1" si="6"/>
        <v>1</v>
      </c>
    </row>
    <row r="28" spans="2:16" x14ac:dyDescent="0.45">
      <c r="B28">
        <f t="shared" si="7"/>
        <v>92</v>
      </c>
      <c r="C28" t="str">
        <f ca="1">_xlfn.CONCAT(OFFSET(元!$B$10,'1行'!B28,0)," ",OFFSET(元!$B$12,'1行'!B28,0))</f>
        <v>2026/03/25 2026/04/01 メイラックス錠1mg Ｍｅｉｊｉ　Ｓｅｉｋａ　ファル 1 24 08:54:48 1mg/錠 PTP 10錠×50 4987222742450 1 0</v>
      </c>
      <c r="D28" cm="1">
        <f t="array" aca="1" ref="D28" ca="1">INDEX(_xlfn.FILTERXML("&lt;t&gt;&lt;s&gt;" &amp; SUBSTITUTE(C28," ","&lt;/s&gt;&lt;s&gt;") &amp; "&lt;/s&gt;&lt;/t&gt;","//s[number(.)=number(.)]"),
       COUNT(_xlfn.FILTERXML("&lt;t&gt;&lt;s&gt;" &amp; SUBSTITUTE(C28," ","&lt;/s&gt;&lt;s&gt;") &amp; "&lt;/s&gt;&lt;/t&gt;","//s[number(.)=number(.)]"))-1)</f>
        <v>1</v>
      </c>
      <c r="E28" cm="1">
        <f t="array" aca="1" ref="E28" ca="1">INDEX(_xlfn.FILTERXML("&lt;t&gt;&lt;s&gt;" &amp; SUBSTITUTE(C28," ","&lt;/s&gt;&lt;s&gt;") &amp; "&lt;/s&gt;&lt;/t&gt;","//s[number(.)=number(.)]"),
       COUNT(_xlfn.FILTERXML("&lt;t&gt;&lt;s&gt;" &amp; SUBSTITUTE(C28," ","&lt;/s&gt;&lt;s&gt;") &amp; "&lt;/s&gt;&lt;/t&gt;","//s[number(.)=number(.)]")))</f>
        <v>0</v>
      </c>
      <c r="F28" s="4" t="str">
        <f t="shared" ca="1" si="0"/>
        <v>4987222742450</v>
      </c>
      <c r="G28" s="4" t="str">
        <f t="shared" ca="1" si="1"/>
        <v>2026/03/25</v>
      </c>
      <c r="H28" t="str">
        <f t="shared" ca="1" si="2"/>
        <v>2026/04/01</v>
      </c>
      <c r="I28" t="str">
        <f t="shared" ca="1" si="3"/>
        <v>メイラックス錠1mg Ｍｅｉｊｉ　Ｓｅｉｋａ　ファル</v>
      </c>
      <c r="J28" t="str">
        <f t="shared" ca="1" si="4"/>
        <v xml:space="preserve">メイラックス錠1mg </v>
      </c>
      <c r="K28" t="str" cm="1">
        <f t="array" aca="1" ref="K28" ca="1">_xlfn.LET(
  _xlpm.s, SUBSTITUTE(SUBSTITUTE(I28," ",""),"　",""),
  _xlpm.dic, SUBSTITUTE(SUBSTITUTE(メーカー!$A$1:$A$100," ",""),"　",""),
  _xlpm.pos, MATCH(TRUE, RIGHT(_xlpm.s, LEN(_xlpm.dic)) = _xlpm.dic, 0),
  INDEX(メーカー!$A$1:$A$100, _xlpm.pos)
)</f>
        <v>Ｍｅｉｊｉ Ｓｅｉｋａ ファル</v>
      </c>
      <c r="L28" cm="1">
        <f t="array" aca="1" ref="L28" ca="1">INDEX(_xlfn.FILTERXML("&lt;t&gt;&lt;s&gt;" &amp; SUBSTITUTE(MID(C28,23,999)," ","&lt;/s&gt;&lt;s&gt;") &amp; "&lt;/s&gt;&lt;/t&gt;","//s[number(.)=number(.)]"),1)</f>
        <v>1</v>
      </c>
      <c r="M28" cm="1">
        <f t="array" aca="1" ref="M28" ca="1">INDEX(
  _xlfn.FILTERXML("&lt;t&gt;&lt;s&gt;" &amp; SUBSTITUTE(MID(C28, 22 + LEN(I28) + 1, 999), " ", "&lt;/s&gt;&lt;s&gt;") &amp; "&lt;/s&gt;&lt;/t&gt;",
            "//s[number(.)=number(.)]"),
  2
)</f>
        <v>24</v>
      </c>
      <c r="N28" t="str" cm="1">
        <f t="array" aca="1" ref="N28" ca="1">_xlfn.REGEXEXTRACT(C28, "\d{2}:\d{2}:\d{2}")</f>
        <v>08:54:48</v>
      </c>
      <c r="O28" t="str">
        <f t="shared" ca="1" si="5"/>
        <v>1mg/錠 PTP 10錠×50</v>
      </c>
      <c r="P28" t="str">
        <f t="shared" ca="1" si="6"/>
        <v>1</v>
      </c>
    </row>
    <row r="29" spans="2:16" x14ac:dyDescent="0.45">
      <c r="B29">
        <f t="shared" si="7"/>
        <v>96</v>
      </c>
      <c r="C29" t="str">
        <f ca="1">_xlfn.CONCAT(OFFSET(元!$B$10,'1行'!B29,0)," ",OFFSET(元!$B$12,'1行'!B29,0))</f>
        <v>2026/03/25 2026/04/01 デュロキセチンカプセル20mg「DSEP」第一三共 1 25 08:54:48 20mg/カプセル バラ 500カプセル×1瓶4987081188444 1 0</v>
      </c>
      <c r="D29" cm="1">
        <f t="array" aca="1" ref="D29" ca="1">INDEX(_xlfn.FILTERXML("&lt;t&gt;&lt;s&gt;" &amp; SUBSTITUTE(C29," ","&lt;/s&gt;&lt;s&gt;") &amp; "&lt;/s&gt;&lt;/t&gt;","//s[number(.)=number(.)]"),
       COUNT(_xlfn.FILTERXML("&lt;t&gt;&lt;s&gt;" &amp; SUBSTITUTE(C29," ","&lt;/s&gt;&lt;s&gt;") &amp; "&lt;/s&gt;&lt;/t&gt;","//s[number(.)=number(.)]"))-1)</f>
        <v>1</v>
      </c>
      <c r="E29" cm="1">
        <f t="array" aca="1" ref="E29" ca="1">INDEX(_xlfn.FILTERXML("&lt;t&gt;&lt;s&gt;" &amp; SUBSTITUTE(C29," ","&lt;/s&gt;&lt;s&gt;") &amp; "&lt;/s&gt;&lt;/t&gt;","//s[number(.)=number(.)]"),
       COUNT(_xlfn.FILTERXML("&lt;t&gt;&lt;s&gt;" &amp; SUBSTITUTE(C29," ","&lt;/s&gt;&lt;s&gt;") &amp; "&lt;/s&gt;&lt;/t&gt;","//s[number(.)=number(.)]")))</f>
        <v>0</v>
      </c>
      <c r="F29" s="4" t="str">
        <f t="shared" ca="1" si="0"/>
        <v>4987081188444</v>
      </c>
      <c r="G29" s="4" t="str">
        <f t="shared" ca="1" si="1"/>
        <v>2026/03/25</v>
      </c>
      <c r="H29" t="str">
        <f t="shared" ca="1" si="2"/>
        <v>2026/04/01</v>
      </c>
      <c r="I29" t="str">
        <f t="shared" ca="1" si="3"/>
        <v>デュロキセチンカプセル20mg「DSEP」第一三共</v>
      </c>
      <c r="J29" t="str">
        <f t="shared" ca="1" si="4"/>
        <v>デュロキセチンカプセル20mg「DSEP」</v>
      </c>
      <c r="K29" t="str" cm="1">
        <f t="array" aca="1" ref="K29" ca="1">_xlfn.LET(
  _xlpm.s, SUBSTITUTE(SUBSTITUTE(I29," ",""),"　",""),
  _xlpm.dic, SUBSTITUTE(SUBSTITUTE(メーカー!$A$1:$A$100," ",""),"　",""),
  _xlpm.pos, MATCH(TRUE, RIGHT(_xlpm.s, LEN(_xlpm.dic)) = _xlpm.dic, 0),
  INDEX(メーカー!$A$1:$A$100, _xlpm.pos)
)</f>
        <v>第一三共</v>
      </c>
      <c r="L29" cm="1">
        <f t="array" aca="1" ref="L29" ca="1">INDEX(_xlfn.FILTERXML("&lt;t&gt;&lt;s&gt;" &amp; SUBSTITUTE(MID(C29,23,999)," ","&lt;/s&gt;&lt;s&gt;") &amp; "&lt;/s&gt;&lt;/t&gt;","//s[number(.)=number(.)]"),1)</f>
        <v>1</v>
      </c>
      <c r="M29" cm="1">
        <f t="array" aca="1" ref="M29" ca="1">INDEX(
  _xlfn.FILTERXML("&lt;t&gt;&lt;s&gt;" &amp; SUBSTITUTE(MID(C29, 22 + LEN(I29) + 1, 999), " ", "&lt;/s&gt;&lt;s&gt;") &amp; "&lt;/s&gt;&lt;/t&gt;",
            "//s[number(.)=number(.)]"),
  2
)</f>
        <v>25</v>
      </c>
      <c r="N29" t="str" cm="1">
        <f t="array" aca="1" ref="N29" ca="1">_xlfn.REGEXEXTRACT(C29, "\d{2}:\d{2}:\d{2}")</f>
        <v>08:54:48</v>
      </c>
      <c r="O29" t="str">
        <f t="shared" ca="1" si="5"/>
        <v>20mg/カプセル バラ 500カプセル×1瓶</v>
      </c>
      <c r="P29" t="str">
        <f t="shared" ca="1" si="6"/>
        <v>1</v>
      </c>
    </row>
    <row r="30" spans="2:16" x14ac:dyDescent="0.45">
      <c r="B30">
        <f t="shared" si="7"/>
        <v>100</v>
      </c>
      <c r="C30" t="str">
        <f ca="1">_xlfn.CONCAT(OFFSET(元!$B$10,'1行'!B30,0)," ",OFFSET(元!$B$12,'1行'!B30,0))</f>
        <v>2026/03/25 2026/04/01 チラーヂンS錠25μg 武田薬品工業 1 26 08:54:48 25μg/錠 バラ 500錠×1瓶4987123155120 1 0</v>
      </c>
      <c r="D30" cm="1">
        <f t="array" aca="1" ref="D30" ca="1">INDEX(_xlfn.FILTERXML("&lt;t&gt;&lt;s&gt;" &amp; SUBSTITUTE(C30," ","&lt;/s&gt;&lt;s&gt;") &amp; "&lt;/s&gt;&lt;/t&gt;","//s[number(.)=number(.)]"),
       COUNT(_xlfn.FILTERXML("&lt;t&gt;&lt;s&gt;" &amp; SUBSTITUTE(C30," ","&lt;/s&gt;&lt;s&gt;") &amp; "&lt;/s&gt;&lt;/t&gt;","//s[number(.)=number(.)]"))-1)</f>
        <v>1</v>
      </c>
      <c r="E30" cm="1">
        <f t="array" aca="1" ref="E30" ca="1">INDEX(_xlfn.FILTERXML("&lt;t&gt;&lt;s&gt;" &amp; SUBSTITUTE(C30," ","&lt;/s&gt;&lt;s&gt;") &amp; "&lt;/s&gt;&lt;/t&gt;","//s[number(.)=number(.)]"),
       COUNT(_xlfn.FILTERXML("&lt;t&gt;&lt;s&gt;" &amp; SUBSTITUTE(C30," ","&lt;/s&gt;&lt;s&gt;") &amp; "&lt;/s&gt;&lt;/t&gt;","//s[number(.)=number(.)]")))</f>
        <v>0</v>
      </c>
      <c r="F30" s="4" t="str">
        <f t="shared" ca="1" si="0"/>
        <v>4987123155120</v>
      </c>
      <c r="G30" s="4" t="str">
        <f t="shared" ca="1" si="1"/>
        <v>2026/03/25</v>
      </c>
      <c r="H30" t="str">
        <f t="shared" ca="1" si="2"/>
        <v>2026/04/01</v>
      </c>
      <c r="I30" t="str">
        <f t="shared" ca="1" si="3"/>
        <v>チラーヂンS錠25μg 武田薬品工業</v>
      </c>
      <c r="J30" t="str">
        <f t="shared" ca="1" si="4"/>
        <v xml:space="preserve">チラーヂンS錠25μg </v>
      </c>
      <c r="K30" t="str" cm="1">
        <f t="array" aca="1" ref="K30" ca="1">_xlfn.LET(
  _xlpm.s, SUBSTITUTE(SUBSTITUTE(I30," ",""),"　",""),
  _xlpm.dic, SUBSTITUTE(SUBSTITUTE(メーカー!$A$1:$A$100," ",""),"　",""),
  _xlpm.pos, MATCH(TRUE, RIGHT(_xlpm.s, LEN(_xlpm.dic)) = _xlpm.dic, 0),
  INDEX(メーカー!$A$1:$A$100, _xlpm.pos)
)</f>
        <v>武田薬品工業</v>
      </c>
      <c r="L30" cm="1">
        <f t="array" aca="1" ref="L30" ca="1">INDEX(_xlfn.FILTERXML("&lt;t&gt;&lt;s&gt;" &amp; SUBSTITUTE(MID(C30,23,999)," ","&lt;/s&gt;&lt;s&gt;") &amp; "&lt;/s&gt;&lt;/t&gt;","//s[number(.)=number(.)]"),1)</f>
        <v>1</v>
      </c>
      <c r="M30" cm="1">
        <f t="array" aca="1" ref="M30" ca="1">INDEX(
  _xlfn.FILTERXML("&lt;t&gt;&lt;s&gt;" &amp; SUBSTITUTE(MID(C30, 22 + LEN(I30) + 1, 999), " ", "&lt;/s&gt;&lt;s&gt;") &amp; "&lt;/s&gt;&lt;/t&gt;",
            "//s[number(.)=number(.)]"),
  2
)</f>
        <v>26</v>
      </c>
      <c r="N30" t="str" cm="1">
        <f t="array" aca="1" ref="N30" ca="1">_xlfn.REGEXEXTRACT(C30, "\d{2}:\d{2}:\d{2}")</f>
        <v>08:54:48</v>
      </c>
      <c r="O30" t="str">
        <f t="shared" ca="1" si="5"/>
        <v>25μg/錠 バラ 500錠×1瓶</v>
      </c>
      <c r="P30" t="str">
        <f t="shared" ca="1" si="6"/>
        <v>1</v>
      </c>
    </row>
    <row r="31" spans="2:16" x14ac:dyDescent="0.45">
      <c r="B31">
        <f t="shared" si="7"/>
        <v>104</v>
      </c>
      <c r="C31" t="str">
        <f ca="1">_xlfn.CONCAT(OFFSET(元!$B$10,'1行'!B31,0)," ",OFFSET(元!$B$12,'1行'!B31,0))</f>
        <v>2026/03/25 2026/04/01 アクトシン軟膏3% マルホ 1 27 08:54:48 3%1g 30g×1本 (ポリエチレンチューブ) 4987213109101 1 0</v>
      </c>
      <c r="D31" cm="1">
        <f t="array" aca="1" ref="D31" ca="1">INDEX(_xlfn.FILTERXML("&lt;t&gt;&lt;s&gt;" &amp; SUBSTITUTE(C31," ","&lt;/s&gt;&lt;s&gt;") &amp; "&lt;/s&gt;&lt;/t&gt;","//s[number(.)=number(.)]"),
       COUNT(_xlfn.FILTERXML("&lt;t&gt;&lt;s&gt;" &amp; SUBSTITUTE(C31," ","&lt;/s&gt;&lt;s&gt;") &amp; "&lt;/s&gt;&lt;/t&gt;","//s[number(.)=number(.)]"))-1)</f>
        <v>1</v>
      </c>
      <c r="E31" cm="1">
        <f t="array" aca="1" ref="E31" ca="1">INDEX(_xlfn.FILTERXML("&lt;t&gt;&lt;s&gt;" &amp; SUBSTITUTE(C31," ","&lt;/s&gt;&lt;s&gt;") &amp; "&lt;/s&gt;&lt;/t&gt;","//s[number(.)=number(.)]"),
       COUNT(_xlfn.FILTERXML("&lt;t&gt;&lt;s&gt;" &amp; SUBSTITUTE(C31," ","&lt;/s&gt;&lt;s&gt;") &amp; "&lt;/s&gt;&lt;/t&gt;","//s[number(.)=number(.)]")))</f>
        <v>0</v>
      </c>
      <c r="F31" s="4" t="str">
        <f t="shared" ca="1" si="0"/>
        <v>4987213109101</v>
      </c>
      <c r="G31" s="4" t="str">
        <f t="shared" ca="1" si="1"/>
        <v>2026/03/25</v>
      </c>
      <c r="H31" t="str">
        <f t="shared" ca="1" si="2"/>
        <v>2026/04/01</v>
      </c>
      <c r="I31" t="str">
        <f t="shared" ca="1" si="3"/>
        <v>アクトシン軟膏3% マルホ</v>
      </c>
      <c r="J31" t="str">
        <f t="shared" ca="1" si="4"/>
        <v xml:space="preserve">アクトシン軟膏3% </v>
      </c>
      <c r="K31" t="str" cm="1">
        <f t="array" aca="1" ref="K31" ca="1">_xlfn.LET(
  _xlpm.s, SUBSTITUTE(SUBSTITUTE(I31," ",""),"　",""),
  _xlpm.dic, SUBSTITUTE(SUBSTITUTE(メーカー!$A$1:$A$100," ",""),"　",""),
  _xlpm.pos, MATCH(TRUE, RIGHT(_xlpm.s, LEN(_xlpm.dic)) = _xlpm.dic, 0),
  INDEX(メーカー!$A$1:$A$100, _xlpm.pos)
)</f>
        <v>マルホ</v>
      </c>
      <c r="L31" cm="1">
        <f t="array" aca="1" ref="L31" ca="1">INDEX(_xlfn.FILTERXML("&lt;t&gt;&lt;s&gt;" &amp; SUBSTITUTE(MID(C31,23,999)," ","&lt;/s&gt;&lt;s&gt;") &amp; "&lt;/s&gt;&lt;/t&gt;","//s[number(.)=number(.)]"),1)</f>
        <v>1</v>
      </c>
      <c r="M31" cm="1">
        <f t="array" aca="1" ref="M31" ca="1">INDEX(
  _xlfn.FILTERXML("&lt;t&gt;&lt;s&gt;" &amp; SUBSTITUTE(MID(C31, 22 + LEN(I31) + 1, 999), " ", "&lt;/s&gt;&lt;s&gt;") &amp; "&lt;/s&gt;&lt;/t&gt;",
            "//s[number(.)=number(.)]"),
  2
)</f>
        <v>27</v>
      </c>
      <c r="N31" t="str" cm="1">
        <f t="array" aca="1" ref="N31" ca="1">_xlfn.REGEXEXTRACT(C31, "\d{2}:\d{2}:\d{2}")</f>
        <v>08:54:48</v>
      </c>
      <c r="O31" t="str">
        <f t="shared" ca="1" si="5"/>
        <v>3%1g 30g×1本 (ポリエチレンチューブ)</v>
      </c>
      <c r="P31" t="str">
        <f t="shared" ca="1" si="6"/>
        <v>1</v>
      </c>
    </row>
    <row r="32" spans="2:16" x14ac:dyDescent="0.45">
      <c r="B32">
        <f t="shared" si="7"/>
        <v>108</v>
      </c>
      <c r="C32" t="str">
        <f ca="1">_xlfn.CONCAT(OFFSET(元!$B$10,'1行'!B32,0)," ",OFFSET(元!$B$12,'1行'!B32,0))</f>
        <v>2026/03/25 2026/04/01 エブランチルカプセル15mg 三和化学研究所 1 28 08:54:48 15mg/カプセル バラ 500カプセル×1瓶4987086511094 1 0</v>
      </c>
      <c r="D32" cm="1">
        <f t="array" aca="1" ref="D32" ca="1">INDEX(_xlfn.FILTERXML("&lt;t&gt;&lt;s&gt;" &amp; SUBSTITUTE(C32," ","&lt;/s&gt;&lt;s&gt;") &amp; "&lt;/s&gt;&lt;/t&gt;","//s[number(.)=number(.)]"),
       COUNT(_xlfn.FILTERXML("&lt;t&gt;&lt;s&gt;" &amp; SUBSTITUTE(C32," ","&lt;/s&gt;&lt;s&gt;") &amp; "&lt;/s&gt;&lt;/t&gt;","//s[number(.)=number(.)]"))-1)</f>
        <v>1</v>
      </c>
      <c r="E32" cm="1">
        <f t="array" aca="1" ref="E32" ca="1">INDEX(_xlfn.FILTERXML("&lt;t&gt;&lt;s&gt;" &amp; SUBSTITUTE(C32," ","&lt;/s&gt;&lt;s&gt;") &amp; "&lt;/s&gt;&lt;/t&gt;","//s[number(.)=number(.)]"),
       COUNT(_xlfn.FILTERXML("&lt;t&gt;&lt;s&gt;" &amp; SUBSTITUTE(C32," ","&lt;/s&gt;&lt;s&gt;") &amp; "&lt;/s&gt;&lt;/t&gt;","//s[number(.)=number(.)]")))</f>
        <v>0</v>
      </c>
      <c r="F32" s="4" t="str">
        <f t="shared" ca="1" si="0"/>
        <v>4987086511094</v>
      </c>
      <c r="G32" s="4" t="str">
        <f t="shared" ca="1" si="1"/>
        <v>2026/03/25</v>
      </c>
      <c r="H32" t="str">
        <f t="shared" ca="1" si="2"/>
        <v>2026/04/01</v>
      </c>
      <c r="I32" t="str">
        <f t="shared" ca="1" si="3"/>
        <v>エブランチルカプセル15mg 三和化学研究所</v>
      </c>
      <c r="J32" t="str">
        <f t="shared" ca="1" si="4"/>
        <v xml:space="preserve">エブランチルカプセル15mg </v>
      </c>
      <c r="K32" t="str" cm="1">
        <f t="array" aca="1" ref="K32" ca="1">_xlfn.LET(
  _xlpm.s, SUBSTITUTE(SUBSTITUTE(I32," ",""),"　",""),
  _xlpm.dic, SUBSTITUTE(SUBSTITUTE(メーカー!$A$1:$A$100," ",""),"　",""),
  _xlpm.pos, MATCH(TRUE, RIGHT(_xlpm.s, LEN(_xlpm.dic)) = _xlpm.dic, 0),
  INDEX(メーカー!$A$1:$A$100, _xlpm.pos)
)</f>
        <v>三和化学研究所</v>
      </c>
      <c r="L32" cm="1">
        <f t="array" aca="1" ref="L32" ca="1">INDEX(_xlfn.FILTERXML("&lt;t&gt;&lt;s&gt;" &amp; SUBSTITUTE(MID(C32,23,999)," ","&lt;/s&gt;&lt;s&gt;") &amp; "&lt;/s&gt;&lt;/t&gt;","//s[number(.)=number(.)]"),1)</f>
        <v>1</v>
      </c>
      <c r="M32" cm="1">
        <f t="array" aca="1" ref="M32" ca="1">INDEX(
  _xlfn.FILTERXML("&lt;t&gt;&lt;s&gt;" &amp; SUBSTITUTE(MID(C32, 22 + LEN(I32) + 1, 999), " ", "&lt;/s&gt;&lt;s&gt;") &amp; "&lt;/s&gt;&lt;/t&gt;",
            "//s[number(.)=number(.)]"),
  2
)</f>
        <v>28</v>
      </c>
      <c r="N32" t="str" cm="1">
        <f t="array" aca="1" ref="N32" ca="1">_xlfn.REGEXEXTRACT(C32, "\d{2}:\d{2}:\d{2}")</f>
        <v>08:54:48</v>
      </c>
      <c r="O32" t="str">
        <f t="shared" ca="1" si="5"/>
        <v>15mg/カプセル バラ 500カプセル×1瓶</v>
      </c>
      <c r="P32" t="str">
        <f t="shared" ca="1" si="6"/>
        <v>1</v>
      </c>
    </row>
    <row r="33" spans="2:16" x14ac:dyDescent="0.45">
      <c r="B33">
        <f t="shared" si="7"/>
        <v>112</v>
      </c>
      <c r="C33" t="str">
        <f ca="1">_xlfn.CONCAT(OFFSET(元!$B$10,'1行'!B33,0)," ",OFFSET(元!$B$12,'1行'!B33,0))</f>
        <v>2026/03/25 2026/04/01 ラコサミド錠50mg「JG」日本ジェネリック 2 29 08:54:48 50mg/錠 PTP 10錠×10 4987792104023 2 0</v>
      </c>
      <c r="D33" cm="1">
        <f t="array" aca="1" ref="D33" ca="1">INDEX(_xlfn.FILTERXML("&lt;t&gt;&lt;s&gt;" &amp; SUBSTITUTE(C33," ","&lt;/s&gt;&lt;s&gt;") &amp; "&lt;/s&gt;&lt;/t&gt;","//s[number(.)=number(.)]"),
       COUNT(_xlfn.FILTERXML("&lt;t&gt;&lt;s&gt;" &amp; SUBSTITUTE(C33," ","&lt;/s&gt;&lt;s&gt;") &amp; "&lt;/s&gt;&lt;/t&gt;","//s[number(.)=number(.)]"))-1)</f>
        <v>2</v>
      </c>
      <c r="E33" cm="1">
        <f t="array" aca="1" ref="E33" ca="1">INDEX(_xlfn.FILTERXML("&lt;t&gt;&lt;s&gt;" &amp; SUBSTITUTE(C33," ","&lt;/s&gt;&lt;s&gt;") &amp; "&lt;/s&gt;&lt;/t&gt;","//s[number(.)=number(.)]"),
       COUNT(_xlfn.FILTERXML("&lt;t&gt;&lt;s&gt;" &amp; SUBSTITUTE(C33," ","&lt;/s&gt;&lt;s&gt;") &amp; "&lt;/s&gt;&lt;/t&gt;","//s[number(.)=number(.)]")))</f>
        <v>0</v>
      </c>
      <c r="F33" s="4" t="str">
        <f t="shared" ca="1" si="0"/>
        <v>4987792104023</v>
      </c>
      <c r="G33" s="4" t="str">
        <f t="shared" ca="1" si="1"/>
        <v>2026/03/25</v>
      </c>
      <c r="H33" t="str">
        <f t="shared" ca="1" si="2"/>
        <v>2026/04/01</v>
      </c>
      <c r="I33" t="str">
        <f t="shared" ca="1" si="3"/>
        <v>ラコサミド錠50mg「JG」日本ジェネリック</v>
      </c>
      <c r="J33" t="str">
        <f t="shared" ca="1" si="4"/>
        <v>ラコサミド錠50mg「JG」</v>
      </c>
      <c r="K33" t="str" cm="1">
        <f t="array" aca="1" ref="K33" ca="1">_xlfn.LET(
  _xlpm.s, SUBSTITUTE(SUBSTITUTE(I33," ",""),"　",""),
  _xlpm.dic, SUBSTITUTE(SUBSTITUTE(メーカー!$A$1:$A$100," ",""),"　",""),
  _xlpm.pos, MATCH(TRUE, RIGHT(_xlpm.s, LEN(_xlpm.dic)) = _xlpm.dic, 0),
  INDEX(メーカー!$A$1:$A$100, _xlpm.pos)
)</f>
        <v>日本ジェネリック</v>
      </c>
      <c r="L33" cm="1">
        <f t="array" aca="1" ref="L33" ca="1">INDEX(_xlfn.FILTERXML("&lt;t&gt;&lt;s&gt;" &amp; SUBSTITUTE(MID(C33,23,999)," ","&lt;/s&gt;&lt;s&gt;") &amp; "&lt;/s&gt;&lt;/t&gt;","//s[number(.)=number(.)]"),1)</f>
        <v>2</v>
      </c>
      <c r="M33" cm="1">
        <f t="array" aca="1" ref="M33" ca="1">INDEX(
  _xlfn.FILTERXML("&lt;t&gt;&lt;s&gt;" &amp; SUBSTITUTE(MID(C33, 22 + LEN(I33) + 1, 999), " ", "&lt;/s&gt;&lt;s&gt;") &amp; "&lt;/s&gt;&lt;/t&gt;",
            "//s[number(.)=number(.)]"),
  2
)</f>
        <v>29</v>
      </c>
      <c r="N33" t="str" cm="1">
        <f t="array" aca="1" ref="N33" ca="1">_xlfn.REGEXEXTRACT(C33, "\d{2}:\d{2}:\d{2}")</f>
        <v>08:54:48</v>
      </c>
      <c r="O33" t="str">
        <f t="shared" ca="1" si="5"/>
        <v>50mg/錠 PTP 10錠×10</v>
      </c>
      <c r="P33" t="str">
        <f t="shared" ca="1" si="6"/>
        <v>2</v>
      </c>
    </row>
    <row r="34" spans="2:16" x14ac:dyDescent="0.45">
      <c r="B34">
        <f t="shared" si="7"/>
        <v>116</v>
      </c>
      <c r="C34" t="str">
        <f ca="1">_xlfn.CONCAT(OFFSET(元!$B$10,'1行'!B34,0)," ",OFFSET(元!$B$12,'1行'!B34,0))</f>
        <v>2026/03/25 2026/04/01 セララ錠50mg ヴィアトリス製薬 1 30 08:54:48 50mg/錠 PTP 10錠×10 4987901006200 1 0</v>
      </c>
      <c r="D34" cm="1">
        <f t="array" aca="1" ref="D34" ca="1">INDEX(_xlfn.FILTERXML("&lt;t&gt;&lt;s&gt;" &amp; SUBSTITUTE(C34," ","&lt;/s&gt;&lt;s&gt;") &amp; "&lt;/s&gt;&lt;/t&gt;","//s[number(.)=number(.)]"),
       COUNT(_xlfn.FILTERXML("&lt;t&gt;&lt;s&gt;" &amp; SUBSTITUTE(C34," ","&lt;/s&gt;&lt;s&gt;") &amp; "&lt;/s&gt;&lt;/t&gt;","//s[number(.)=number(.)]"))-1)</f>
        <v>1</v>
      </c>
      <c r="E34" cm="1">
        <f t="array" aca="1" ref="E34" ca="1">INDEX(_xlfn.FILTERXML("&lt;t&gt;&lt;s&gt;" &amp; SUBSTITUTE(C34," ","&lt;/s&gt;&lt;s&gt;") &amp; "&lt;/s&gt;&lt;/t&gt;","//s[number(.)=number(.)]"),
       COUNT(_xlfn.FILTERXML("&lt;t&gt;&lt;s&gt;" &amp; SUBSTITUTE(C34," ","&lt;/s&gt;&lt;s&gt;") &amp; "&lt;/s&gt;&lt;/t&gt;","//s[number(.)=number(.)]")))</f>
        <v>0</v>
      </c>
      <c r="F34" s="4" t="str">
        <f t="shared" ca="1" si="0"/>
        <v>4987901006200</v>
      </c>
      <c r="G34" s="4" t="str">
        <f t="shared" ca="1" si="1"/>
        <v>2026/03/25</v>
      </c>
      <c r="H34" t="str">
        <f t="shared" ca="1" si="2"/>
        <v>2026/04/01</v>
      </c>
      <c r="I34" t="str">
        <f t="shared" ca="1" si="3"/>
        <v>セララ錠50mg ヴィアトリス製薬</v>
      </c>
      <c r="J34" t="str">
        <f t="shared" ca="1" si="4"/>
        <v xml:space="preserve">セララ錠50mg </v>
      </c>
      <c r="K34" t="str" cm="1">
        <f t="array" aca="1" ref="K34" ca="1">_xlfn.LET(
  _xlpm.s, SUBSTITUTE(SUBSTITUTE(I34," ",""),"　",""),
  _xlpm.dic, SUBSTITUTE(SUBSTITUTE(メーカー!$A$1:$A$100," ",""),"　",""),
  _xlpm.pos, MATCH(TRUE, RIGHT(_xlpm.s, LEN(_xlpm.dic)) = _xlpm.dic, 0),
  INDEX(メーカー!$A$1:$A$100, _xlpm.pos)
)</f>
        <v>ヴィアトリス製薬</v>
      </c>
      <c r="L34" cm="1">
        <f t="array" aca="1" ref="L34" ca="1">INDEX(_xlfn.FILTERXML("&lt;t&gt;&lt;s&gt;" &amp; SUBSTITUTE(MID(C34,23,999)," ","&lt;/s&gt;&lt;s&gt;") &amp; "&lt;/s&gt;&lt;/t&gt;","//s[number(.)=number(.)]"),1)</f>
        <v>1</v>
      </c>
      <c r="M34" cm="1">
        <f t="array" aca="1" ref="M34" ca="1">INDEX(
  _xlfn.FILTERXML("&lt;t&gt;&lt;s&gt;" &amp; SUBSTITUTE(MID(C34, 22 + LEN(I34) + 1, 999), " ", "&lt;/s&gt;&lt;s&gt;") &amp; "&lt;/s&gt;&lt;/t&gt;",
            "//s[number(.)=number(.)]"),
  2
)</f>
        <v>30</v>
      </c>
      <c r="N34" t="str" cm="1">
        <f t="array" aca="1" ref="N34" ca="1">_xlfn.REGEXEXTRACT(C34, "\d{2}:\d{2}:\d{2}")</f>
        <v>08:54:48</v>
      </c>
      <c r="O34" t="str">
        <f t="shared" ca="1" si="5"/>
        <v>50mg/錠 PTP 10錠×10</v>
      </c>
      <c r="P34" t="str">
        <f t="shared" ca="1" si="6"/>
        <v>1</v>
      </c>
    </row>
    <row r="35" spans="2:16" x14ac:dyDescent="0.45">
      <c r="B35" s="3">
        <f>B34+20</f>
        <v>136</v>
      </c>
      <c r="C35" t="str">
        <f ca="1">_xlfn.CONCAT(OFFSET(元!$B$10,'1行'!B35,0)," ",OFFSET(元!$B$12,'1行'!B35,0))</f>
        <v>2026/03/25 2026/04/01 オルメテックOD錠10mg 第一三共 1 31 08:54:48 10mg/錠 PTP 10錠×10 4987081103119 1 0</v>
      </c>
      <c r="D35" cm="1">
        <f t="array" aca="1" ref="D35" ca="1">INDEX(_xlfn.FILTERXML("&lt;t&gt;&lt;s&gt;" &amp; SUBSTITUTE(C35," ","&lt;/s&gt;&lt;s&gt;") &amp; "&lt;/s&gt;&lt;/t&gt;","//s[number(.)=number(.)]"),
       COUNT(_xlfn.FILTERXML("&lt;t&gt;&lt;s&gt;" &amp; SUBSTITUTE(C35," ","&lt;/s&gt;&lt;s&gt;") &amp; "&lt;/s&gt;&lt;/t&gt;","//s[number(.)=number(.)]"))-1)</f>
        <v>1</v>
      </c>
      <c r="E35" cm="1">
        <f t="array" aca="1" ref="E35" ca="1">INDEX(_xlfn.FILTERXML("&lt;t&gt;&lt;s&gt;" &amp; SUBSTITUTE(C35," ","&lt;/s&gt;&lt;s&gt;") &amp; "&lt;/s&gt;&lt;/t&gt;","//s[number(.)=number(.)]"),
       COUNT(_xlfn.FILTERXML("&lt;t&gt;&lt;s&gt;" &amp; SUBSTITUTE(C35," ","&lt;/s&gt;&lt;s&gt;") &amp; "&lt;/s&gt;&lt;/t&gt;","//s[number(.)=number(.)]")))</f>
        <v>0</v>
      </c>
      <c r="F35" s="4" t="str">
        <f t="shared" ca="1" si="0"/>
        <v>4987081103119</v>
      </c>
      <c r="G35" s="4" t="str">
        <f t="shared" ca="1" si="1"/>
        <v>2026/03/25</v>
      </c>
      <c r="H35" t="str">
        <f t="shared" ca="1" si="2"/>
        <v>2026/04/01</v>
      </c>
      <c r="I35" t="str">
        <f t="shared" ca="1" si="3"/>
        <v>オルメテックOD錠10mg 第一三共</v>
      </c>
      <c r="J35" t="str">
        <f t="shared" ca="1" si="4"/>
        <v xml:space="preserve">オルメテックOD錠10mg </v>
      </c>
      <c r="K35" t="str" cm="1">
        <f t="array" aca="1" ref="K35" ca="1">_xlfn.LET(
  _xlpm.s, SUBSTITUTE(SUBSTITUTE(I35," ",""),"　",""),
  _xlpm.dic, SUBSTITUTE(SUBSTITUTE(メーカー!$A$1:$A$100," ",""),"　",""),
  _xlpm.pos, MATCH(TRUE, RIGHT(_xlpm.s, LEN(_xlpm.dic)) = _xlpm.dic, 0),
  INDEX(メーカー!$A$1:$A$100, _xlpm.pos)
)</f>
        <v>第一三共</v>
      </c>
      <c r="L35" cm="1">
        <f t="array" aca="1" ref="L35" ca="1">INDEX(_xlfn.FILTERXML("&lt;t&gt;&lt;s&gt;" &amp; SUBSTITUTE(MID(C35,23,999)," ","&lt;/s&gt;&lt;s&gt;") &amp; "&lt;/s&gt;&lt;/t&gt;","//s[number(.)=number(.)]"),1)</f>
        <v>1</v>
      </c>
      <c r="M35" cm="1">
        <f t="array" aca="1" ref="M35" ca="1">INDEX(
  _xlfn.FILTERXML("&lt;t&gt;&lt;s&gt;" &amp; SUBSTITUTE(MID(C35, 22 + LEN(I35) + 1, 999), " ", "&lt;/s&gt;&lt;s&gt;") &amp; "&lt;/s&gt;&lt;/t&gt;",
            "//s[number(.)=number(.)]"),
  2
)</f>
        <v>31</v>
      </c>
      <c r="N35" t="str" cm="1">
        <f t="array" aca="1" ref="N35" ca="1">_xlfn.REGEXEXTRACT(C35, "\d{2}:\d{2}:\d{2}")</f>
        <v>08:54:48</v>
      </c>
      <c r="O35" t="str">
        <f t="shared" ca="1" si="5"/>
        <v>10mg/錠 PTP 10錠×10</v>
      </c>
      <c r="P35" t="str">
        <f t="shared" ca="1" si="6"/>
        <v>1</v>
      </c>
    </row>
    <row r="36" spans="2:16" x14ac:dyDescent="0.45">
      <c r="B36">
        <f t="shared" si="7"/>
        <v>140</v>
      </c>
      <c r="C36" t="str">
        <f ca="1">_xlfn.CONCAT(OFFSET(元!$B$10,'1行'!B36,0)," ",OFFSET(元!$B$12,'1行'!B36,0))</f>
        <v>2026/03/25 2026/04/01 ビプレッソ徐放錠150mg 共和薬品工業 1 32 08:54:48 150mg/錠 PTP 10錠×10 4987058784280 1 0</v>
      </c>
      <c r="D36" cm="1">
        <f t="array" aca="1" ref="D36" ca="1">INDEX(_xlfn.FILTERXML("&lt;t&gt;&lt;s&gt;" &amp; SUBSTITUTE(C36," ","&lt;/s&gt;&lt;s&gt;") &amp; "&lt;/s&gt;&lt;/t&gt;","//s[number(.)=number(.)]"),
       COUNT(_xlfn.FILTERXML("&lt;t&gt;&lt;s&gt;" &amp; SUBSTITUTE(C36," ","&lt;/s&gt;&lt;s&gt;") &amp; "&lt;/s&gt;&lt;/t&gt;","//s[number(.)=number(.)]"))-1)</f>
        <v>1</v>
      </c>
      <c r="E36" cm="1">
        <f t="array" aca="1" ref="E36" ca="1">INDEX(_xlfn.FILTERXML("&lt;t&gt;&lt;s&gt;" &amp; SUBSTITUTE(C36," ","&lt;/s&gt;&lt;s&gt;") &amp; "&lt;/s&gt;&lt;/t&gt;","//s[number(.)=number(.)]"),
       COUNT(_xlfn.FILTERXML("&lt;t&gt;&lt;s&gt;" &amp; SUBSTITUTE(C36," ","&lt;/s&gt;&lt;s&gt;") &amp; "&lt;/s&gt;&lt;/t&gt;","//s[number(.)=number(.)]")))</f>
        <v>0</v>
      </c>
      <c r="F36" s="4" t="str">
        <f t="shared" ca="1" si="0"/>
        <v>4987058784280</v>
      </c>
      <c r="G36" s="4" t="str">
        <f t="shared" ca="1" si="1"/>
        <v>2026/03/25</v>
      </c>
      <c r="H36" t="str">
        <f t="shared" ca="1" si="2"/>
        <v>2026/04/01</v>
      </c>
      <c r="I36" t="str">
        <f t="shared" ca="1" si="3"/>
        <v>ビプレッソ徐放錠150mg 共和薬品工業</v>
      </c>
      <c r="J36" t="str">
        <f t="shared" ca="1" si="4"/>
        <v xml:space="preserve">ビプレッソ徐放錠150mg </v>
      </c>
      <c r="K36" t="str" cm="1">
        <f t="array" aca="1" ref="K36" ca="1">_xlfn.LET(
  _xlpm.s, SUBSTITUTE(SUBSTITUTE(I36,"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36" cm="1">
        <f t="array" aca="1" ref="L36" ca="1">INDEX(_xlfn.FILTERXML("&lt;t&gt;&lt;s&gt;" &amp; SUBSTITUTE(MID(C36,23,999)," ","&lt;/s&gt;&lt;s&gt;") &amp; "&lt;/s&gt;&lt;/t&gt;","//s[number(.)=number(.)]"),1)</f>
        <v>1</v>
      </c>
      <c r="M36" cm="1">
        <f t="array" aca="1" ref="M36" ca="1">INDEX(
  _xlfn.FILTERXML("&lt;t&gt;&lt;s&gt;" &amp; SUBSTITUTE(MID(C36, 22 + LEN(I36) + 1, 999), " ", "&lt;/s&gt;&lt;s&gt;") &amp; "&lt;/s&gt;&lt;/t&gt;",
            "//s[number(.)=number(.)]"),
  2
)</f>
        <v>32</v>
      </c>
      <c r="N36" t="str" cm="1">
        <f t="array" aca="1" ref="N36" ca="1">_xlfn.REGEXEXTRACT(C36, "\d{2}:\d{2}:\d{2}")</f>
        <v>08:54:48</v>
      </c>
      <c r="O36" t="str">
        <f t="shared" ca="1" si="5"/>
        <v>150mg/錠 PTP 10錠×10</v>
      </c>
      <c r="P36" t="str">
        <f t="shared" ca="1" si="6"/>
        <v>1</v>
      </c>
    </row>
    <row r="37" spans="2:16" x14ac:dyDescent="0.45">
      <c r="B37">
        <f t="shared" si="7"/>
        <v>144</v>
      </c>
      <c r="C37" t="str">
        <f ca="1">_xlfn.CONCAT(OFFSET(元!$B$10,'1行'!B37,0)," ",OFFSET(元!$B$12,'1行'!B37,0))</f>
        <v>2026/03/25 2026/04/01 ビソノテープ2mg トーアエイヨー 1 33 08:54:48 2mg1枚×70袋 (3cm×3cm) 4987142381203 1 0</v>
      </c>
      <c r="D37" cm="1">
        <f t="array" aca="1" ref="D37" ca="1">INDEX(_xlfn.FILTERXML("&lt;t&gt;&lt;s&gt;" &amp; SUBSTITUTE(C37," ","&lt;/s&gt;&lt;s&gt;") &amp; "&lt;/s&gt;&lt;/t&gt;","//s[number(.)=number(.)]"),
       COUNT(_xlfn.FILTERXML("&lt;t&gt;&lt;s&gt;" &amp; SUBSTITUTE(C37," ","&lt;/s&gt;&lt;s&gt;") &amp; "&lt;/s&gt;&lt;/t&gt;","//s[number(.)=number(.)]"))-1)</f>
        <v>1</v>
      </c>
      <c r="E37" cm="1">
        <f t="array" aca="1" ref="E37" ca="1">INDEX(_xlfn.FILTERXML("&lt;t&gt;&lt;s&gt;" &amp; SUBSTITUTE(C37," ","&lt;/s&gt;&lt;s&gt;") &amp; "&lt;/s&gt;&lt;/t&gt;","//s[number(.)=number(.)]"),
       COUNT(_xlfn.FILTERXML("&lt;t&gt;&lt;s&gt;" &amp; SUBSTITUTE(C37," ","&lt;/s&gt;&lt;s&gt;") &amp; "&lt;/s&gt;&lt;/t&gt;","//s[number(.)=number(.)]")))</f>
        <v>0</v>
      </c>
      <c r="F37" s="4" t="str">
        <f t="shared" ca="1" si="0"/>
        <v>4987142381203</v>
      </c>
      <c r="G37" s="4" t="str">
        <f t="shared" ca="1" si="1"/>
        <v>2026/03/25</v>
      </c>
      <c r="H37" t="str">
        <f t="shared" ca="1" si="2"/>
        <v>2026/04/01</v>
      </c>
      <c r="I37" t="str">
        <f t="shared" ca="1" si="3"/>
        <v>ビソノテープ2mg トーアエイヨー</v>
      </c>
      <c r="J37" t="str">
        <f t="shared" ca="1" si="4"/>
        <v xml:space="preserve">ビソノテープ2mg </v>
      </c>
      <c r="K37" t="str" cm="1">
        <f t="array" aca="1" ref="K37" ca="1">_xlfn.LET(
  _xlpm.s, SUBSTITUTE(SUBSTITUTE(I37," ",""),"　",""),
  _xlpm.dic, SUBSTITUTE(SUBSTITUTE(メーカー!$A$1:$A$100," ",""),"　",""),
  _xlpm.pos, MATCH(TRUE, RIGHT(_xlpm.s, LEN(_xlpm.dic)) = _xlpm.dic, 0),
  INDEX(メーカー!$A$1:$A$100, _xlpm.pos)
)</f>
        <v>トーアエイヨー</v>
      </c>
      <c r="L37" cm="1">
        <f t="array" aca="1" ref="L37" ca="1">INDEX(_xlfn.FILTERXML("&lt;t&gt;&lt;s&gt;" &amp; SUBSTITUTE(MID(C37,23,999)," ","&lt;/s&gt;&lt;s&gt;") &amp; "&lt;/s&gt;&lt;/t&gt;","//s[number(.)=number(.)]"),1)</f>
        <v>1</v>
      </c>
      <c r="M37" cm="1">
        <f t="array" aca="1" ref="M37" ca="1">INDEX(
  _xlfn.FILTERXML("&lt;t&gt;&lt;s&gt;" &amp; SUBSTITUTE(MID(C37, 22 + LEN(I37) + 1, 999), " ", "&lt;/s&gt;&lt;s&gt;") &amp; "&lt;/s&gt;&lt;/t&gt;",
            "//s[number(.)=number(.)]"),
  2
)</f>
        <v>33</v>
      </c>
      <c r="N37" t="str" cm="1">
        <f t="array" aca="1" ref="N37" ca="1">_xlfn.REGEXEXTRACT(C37, "\d{2}:\d{2}:\d{2}")</f>
        <v>08:54:48</v>
      </c>
      <c r="O37" t="str">
        <f t="shared" ca="1" si="5"/>
        <v>2mg1枚×70袋 (3cm×3cm)</v>
      </c>
      <c r="P37" t="str">
        <f t="shared" ca="1" si="6"/>
        <v>1</v>
      </c>
    </row>
    <row r="38" spans="2:16" x14ac:dyDescent="0.45">
      <c r="B38">
        <f t="shared" si="7"/>
        <v>148</v>
      </c>
      <c r="C38" t="str">
        <f ca="1">_xlfn.CONCAT(OFFSET(元!$B$10,'1行'!B38,0)," ",OFFSET(元!$B$12,'1行'!B38,0))</f>
        <v>2026/03/25 2026/04/01 ビソノテープ4mg トーアエイヨー 1 34 08:54:48 4mg1枚×70袋 (4.25cm×4.25cm) 4987142381401 1 0</v>
      </c>
      <c r="D38" cm="1">
        <f t="array" aca="1" ref="D38" ca="1">INDEX(_xlfn.FILTERXML("&lt;t&gt;&lt;s&gt;" &amp; SUBSTITUTE(C38," ","&lt;/s&gt;&lt;s&gt;") &amp; "&lt;/s&gt;&lt;/t&gt;","//s[number(.)=number(.)]"),
       COUNT(_xlfn.FILTERXML("&lt;t&gt;&lt;s&gt;" &amp; SUBSTITUTE(C38," ","&lt;/s&gt;&lt;s&gt;") &amp; "&lt;/s&gt;&lt;/t&gt;","//s[number(.)=number(.)]"))-1)</f>
        <v>1</v>
      </c>
      <c r="E38" cm="1">
        <f t="array" aca="1" ref="E38" ca="1">INDEX(_xlfn.FILTERXML("&lt;t&gt;&lt;s&gt;" &amp; SUBSTITUTE(C38," ","&lt;/s&gt;&lt;s&gt;") &amp; "&lt;/s&gt;&lt;/t&gt;","//s[number(.)=number(.)]"),
       COUNT(_xlfn.FILTERXML("&lt;t&gt;&lt;s&gt;" &amp; SUBSTITUTE(C38," ","&lt;/s&gt;&lt;s&gt;") &amp; "&lt;/s&gt;&lt;/t&gt;","//s[number(.)=number(.)]")))</f>
        <v>0</v>
      </c>
      <c r="F38" s="4" t="str">
        <f t="shared" ca="1" si="0"/>
        <v>4987142381401</v>
      </c>
      <c r="G38" s="4" t="str">
        <f t="shared" ca="1" si="1"/>
        <v>2026/03/25</v>
      </c>
      <c r="H38" t="str">
        <f t="shared" ca="1" si="2"/>
        <v>2026/04/01</v>
      </c>
      <c r="I38" t="str">
        <f t="shared" ca="1" si="3"/>
        <v>ビソノテープ4mg トーアエイヨー</v>
      </c>
      <c r="J38" t="str">
        <f t="shared" ca="1" si="4"/>
        <v xml:space="preserve">ビソノテープ4mg </v>
      </c>
      <c r="K38" t="str" cm="1">
        <f t="array" aca="1" ref="K38" ca="1">_xlfn.LET(
  _xlpm.s, SUBSTITUTE(SUBSTITUTE(I38," ",""),"　",""),
  _xlpm.dic, SUBSTITUTE(SUBSTITUTE(メーカー!$A$1:$A$100," ",""),"　",""),
  _xlpm.pos, MATCH(TRUE, RIGHT(_xlpm.s, LEN(_xlpm.dic)) = _xlpm.dic, 0),
  INDEX(メーカー!$A$1:$A$100, _xlpm.pos)
)</f>
        <v>トーアエイヨー</v>
      </c>
      <c r="L38" cm="1">
        <f t="array" aca="1" ref="L38" ca="1">INDEX(_xlfn.FILTERXML("&lt;t&gt;&lt;s&gt;" &amp; SUBSTITUTE(MID(C38,23,999)," ","&lt;/s&gt;&lt;s&gt;") &amp; "&lt;/s&gt;&lt;/t&gt;","//s[number(.)=number(.)]"),1)</f>
        <v>1</v>
      </c>
      <c r="M38" cm="1">
        <f t="array" aca="1" ref="M38" ca="1">INDEX(
  _xlfn.FILTERXML("&lt;t&gt;&lt;s&gt;" &amp; SUBSTITUTE(MID(C38, 22 + LEN(I38) + 1, 999), " ", "&lt;/s&gt;&lt;s&gt;") &amp; "&lt;/s&gt;&lt;/t&gt;",
            "//s[number(.)=number(.)]"),
  2
)</f>
        <v>34</v>
      </c>
      <c r="N38" t="str" cm="1">
        <f t="array" aca="1" ref="N38" ca="1">_xlfn.REGEXEXTRACT(C38, "\d{2}:\d{2}:\d{2}")</f>
        <v>08:54:48</v>
      </c>
      <c r="O38" t="str">
        <f t="shared" ca="1" si="5"/>
        <v>4mg1枚×70袋 (4.25cm×4.25cm)</v>
      </c>
      <c r="P38" t="str">
        <f t="shared" ca="1" si="6"/>
        <v>1</v>
      </c>
    </row>
    <row r="39" spans="2:16" x14ac:dyDescent="0.45">
      <c r="B39">
        <f t="shared" si="7"/>
        <v>152</v>
      </c>
      <c r="C39" t="str">
        <f ca="1">_xlfn.CONCAT(OFFSET(元!$B$10,'1行'!B39,0)," ",OFFSET(元!$B$12,'1行'!B39,0))</f>
        <v>2026/03/25 2026/04/01 フルニトラゼパム錠1mg「アメル」共和薬品工業 1 35 08:54:48 1mg/錠 PTP 10錠×100 4987058565117 1 0</v>
      </c>
      <c r="D39" cm="1">
        <f t="array" aca="1" ref="D39" ca="1">INDEX(_xlfn.FILTERXML("&lt;t&gt;&lt;s&gt;" &amp; SUBSTITUTE(C39," ","&lt;/s&gt;&lt;s&gt;") &amp; "&lt;/s&gt;&lt;/t&gt;","//s[number(.)=number(.)]"),
       COUNT(_xlfn.FILTERXML("&lt;t&gt;&lt;s&gt;" &amp; SUBSTITUTE(C39," ","&lt;/s&gt;&lt;s&gt;") &amp; "&lt;/s&gt;&lt;/t&gt;","//s[number(.)=number(.)]"))-1)</f>
        <v>1</v>
      </c>
      <c r="E39" cm="1">
        <f t="array" aca="1" ref="E39" ca="1">INDEX(_xlfn.FILTERXML("&lt;t&gt;&lt;s&gt;" &amp; SUBSTITUTE(C39," ","&lt;/s&gt;&lt;s&gt;") &amp; "&lt;/s&gt;&lt;/t&gt;","//s[number(.)=number(.)]"),
       COUNT(_xlfn.FILTERXML("&lt;t&gt;&lt;s&gt;" &amp; SUBSTITUTE(C39," ","&lt;/s&gt;&lt;s&gt;") &amp; "&lt;/s&gt;&lt;/t&gt;","//s[number(.)=number(.)]")))</f>
        <v>0</v>
      </c>
      <c r="F39" s="4" t="str">
        <f t="shared" ca="1" si="0"/>
        <v>4987058565117</v>
      </c>
      <c r="G39" s="4" t="str">
        <f t="shared" ca="1" si="1"/>
        <v>2026/03/25</v>
      </c>
      <c r="H39" t="str">
        <f t="shared" ca="1" si="2"/>
        <v>2026/04/01</v>
      </c>
      <c r="I39" t="str">
        <f t="shared" ca="1" si="3"/>
        <v>フルニトラゼパム錠1mg「アメル」共和薬品工業</v>
      </c>
      <c r="J39" t="str">
        <f t="shared" ca="1" si="4"/>
        <v>フルニトラゼパム錠1mg「アメル」</v>
      </c>
      <c r="K39" t="str" cm="1">
        <f t="array" aca="1" ref="K39" ca="1">_xlfn.LET(
  _xlpm.s, SUBSTITUTE(SUBSTITUTE(I39,"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39" cm="1">
        <f t="array" aca="1" ref="L39" ca="1">INDEX(_xlfn.FILTERXML("&lt;t&gt;&lt;s&gt;" &amp; SUBSTITUTE(MID(C39,23,999)," ","&lt;/s&gt;&lt;s&gt;") &amp; "&lt;/s&gt;&lt;/t&gt;","//s[number(.)=number(.)]"),1)</f>
        <v>1</v>
      </c>
      <c r="M39" cm="1">
        <f t="array" aca="1" ref="M39" ca="1">INDEX(
  _xlfn.FILTERXML("&lt;t&gt;&lt;s&gt;" &amp; SUBSTITUTE(MID(C39, 22 + LEN(I39) + 1, 999), " ", "&lt;/s&gt;&lt;s&gt;") &amp; "&lt;/s&gt;&lt;/t&gt;",
            "//s[number(.)=number(.)]"),
  2
)</f>
        <v>35</v>
      </c>
      <c r="N39" t="str" cm="1">
        <f t="array" aca="1" ref="N39" ca="1">_xlfn.REGEXEXTRACT(C39, "\d{2}:\d{2}:\d{2}")</f>
        <v>08:54:48</v>
      </c>
      <c r="O39" t="str">
        <f t="shared" ca="1" si="5"/>
        <v>1mg/錠 PTP 10錠×100</v>
      </c>
      <c r="P39" t="str">
        <f t="shared" ca="1" si="6"/>
        <v>1</v>
      </c>
    </row>
    <row r="40" spans="2:16" x14ac:dyDescent="0.45">
      <c r="B40">
        <f t="shared" si="7"/>
        <v>156</v>
      </c>
      <c r="C40" t="str">
        <f ca="1">_xlfn.CONCAT(OFFSET(元!$B$10,'1行'!B40,0)," ",OFFSET(元!$B$12,'1行'!B40,0))</f>
        <v>2026/03/25 2026/04/01 フルニトラゼパム錠2mg「アメル」共和薬品工業 1 36 08:54:48 2mg/錠 PTP 10錠×100 4987058566114 1 0</v>
      </c>
      <c r="D40" cm="1">
        <f t="array" aca="1" ref="D40" ca="1">INDEX(_xlfn.FILTERXML("&lt;t&gt;&lt;s&gt;" &amp; SUBSTITUTE(C40," ","&lt;/s&gt;&lt;s&gt;") &amp; "&lt;/s&gt;&lt;/t&gt;","//s[number(.)=number(.)]"),
       COUNT(_xlfn.FILTERXML("&lt;t&gt;&lt;s&gt;" &amp; SUBSTITUTE(C40," ","&lt;/s&gt;&lt;s&gt;") &amp; "&lt;/s&gt;&lt;/t&gt;","//s[number(.)=number(.)]"))-1)</f>
        <v>1</v>
      </c>
      <c r="E40" cm="1">
        <f t="array" aca="1" ref="E40" ca="1">INDEX(_xlfn.FILTERXML("&lt;t&gt;&lt;s&gt;" &amp; SUBSTITUTE(C40," ","&lt;/s&gt;&lt;s&gt;") &amp; "&lt;/s&gt;&lt;/t&gt;","//s[number(.)=number(.)]"),
       COUNT(_xlfn.FILTERXML("&lt;t&gt;&lt;s&gt;" &amp; SUBSTITUTE(C40," ","&lt;/s&gt;&lt;s&gt;") &amp; "&lt;/s&gt;&lt;/t&gt;","//s[number(.)=number(.)]")))</f>
        <v>0</v>
      </c>
      <c r="F40" s="4" t="str">
        <f t="shared" ca="1" si="0"/>
        <v>4987058566114</v>
      </c>
      <c r="G40" s="4" t="str">
        <f t="shared" ca="1" si="1"/>
        <v>2026/03/25</v>
      </c>
      <c r="H40" t="str">
        <f t="shared" ca="1" si="2"/>
        <v>2026/04/01</v>
      </c>
      <c r="I40" t="str">
        <f t="shared" ca="1" si="3"/>
        <v>フルニトラゼパム錠2mg「アメル」共和薬品工業</v>
      </c>
      <c r="J40" t="str">
        <f t="shared" ca="1" si="4"/>
        <v>フルニトラゼパム錠2mg「アメル」</v>
      </c>
      <c r="K40" t="str" cm="1">
        <f t="array" aca="1" ref="K40" ca="1">_xlfn.LET(
  _xlpm.s, SUBSTITUTE(SUBSTITUTE(I40,"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40" cm="1">
        <f t="array" aca="1" ref="L40" ca="1">INDEX(_xlfn.FILTERXML("&lt;t&gt;&lt;s&gt;" &amp; SUBSTITUTE(MID(C40,23,999)," ","&lt;/s&gt;&lt;s&gt;") &amp; "&lt;/s&gt;&lt;/t&gt;","//s[number(.)=number(.)]"),1)</f>
        <v>1</v>
      </c>
      <c r="M40" cm="1">
        <f t="array" aca="1" ref="M40" ca="1">INDEX(
  _xlfn.FILTERXML("&lt;t&gt;&lt;s&gt;" &amp; SUBSTITUTE(MID(C40, 22 + LEN(I40) + 1, 999), " ", "&lt;/s&gt;&lt;s&gt;") &amp; "&lt;/s&gt;&lt;/t&gt;",
            "//s[number(.)=number(.)]"),
  2
)</f>
        <v>36</v>
      </c>
      <c r="N40" t="str" cm="1">
        <f t="array" aca="1" ref="N40" ca="1">_xlfn.REGEXEXTRACT(C40, "\d{2}:\d{2}:\d{2}")</f>
        <v>08:54:48</v>
      </c>
      <c r="O40" t="str">
        <f t="shared" ca="1" si="5"/>
        <v>2mg/錠 PTP 10錠×100</v>
      </c>
      <c r="P40" t="str">
        <f t="shared" ca="1" si="6"/>
        <v>1</v>
      </c>
    </row>
    <row r="41" spans="2:16" x14ac:dyDescent="0.45">
      <c r="B41">
        <f t="shared" si="7"/>
        <v>160</v>
      </c>
      <c r="C41" t="str">
        <f ca="1">_xlfn.CONCAT(OFFSET(元!$B$10,'1行'!B41,0)," ",OFFSET(元!$B$12,'1行'!B41,0))</f>
        <v>2026/03/25 2026/04/01 セレスタミン配合錠高田製薬 1 37 08:54:48 バラ 100錠×1瓶4987120246012 1 0</v>
      </c>
      <c r="D41" cm="1">
        <f t="array" aca="1" ref="D41" ca="1">INDEX(_xlfn.FILTERXML("&lt;t&gt;&lt;s&gt;" &amp; SUBSTITUTE(C41," ","&lt;/s&gt;&lt;s&gt;") &amp; "&lt;/s&gt;&lt;/t&gt;","//s[number(.)=number(.)]"),
       COUNT(_xlfn.FILTERXML("&lt;t&gt;&lt;s&gt;" &amp; SUBSTITUTE(C41," ","&lt;/s&gt;&lt;s&gt;") &amp; "&lt;/s&gt;&lt;/t&gt;","//s[number(.)=number(.)]"))-1)</f>
        <v>1</v>
      </c>
      <c r="E41" cm="1">
        <f t="array" aca="1" ref="E41" ca="1">INDEX(_xlfn.FILTERXML("&lt;t&gt;&lt;s&gt;" &amp; SUBSTITUTE(C41," ","&lt;/s&gt;&lt;s&gt;") &amp; "&lt;/s&gt;&lt;/t&gt;","//s[number(.)=number(.)]"),
       COUNT(_xlfn.FILTERXML("&lt;t&gt;&lt;s&gt;" &amp; SUBSTITUTE(C41," ","&lt;/s&gt;&lt;s&gt;") &amp; "&lt;/s&gt;&lt;/t&gt;","//s[number(.)=number(.)]")))</f>
        <v>0</v>
      </c>
      <c r="F41" s="4" t="str">
        <f t="shared" ca="1" si="0"/>
        <v>4987120246012</v>
      </c>
      <c r="G41" s="4" t="str">
        <f t="shared" ca="1" si="1"/>
        <v>2026/03/25</v>
      </c>
      <c r="H41" t="str">
        <f t="shared" ca="1" si="2"/>
        <v>2026/04/01</v>
      </c>
      <c r="I41" t="str">
        <f t="shared" ca="1" si="3"/>
        <v>セレスタミン配合錠高田製薬</v>
      </c>
      <c r="J41" t="str">
        <f t="shared" ca="1" si="4"/>
        <v>セレスタミン配合錠</v>
      </c>
      <c r="K41" t="str" cm="1">
        <f t="array" aca="1" ref="K41" ca="1">_xlfn.LET(
  _xlpm.s, SUBSTITUTE(SUBSTITUTE(I41," ",""),"　",""),
  _xlpm.dic, SUBSTITUTE(SUBSTITUTE(メーカー!$A$1:$A$100," ",""),"　",""),
  _xlpm.pos, MATCH(TRUE, RIGHT(_xlpm.s, LEN(_xlpm.dic)) = _xlpm.dic, 0),
  INDEX(メーカー!$A$1:$A$100, _xlpm.pos)
)</f>
        <v>高田製薬</v>
      </c>
      <c r="L41" cm="1">
        <f t="array" aca="1" ref="L41" ca="1">INDEX(_xlfn.FILTERXML("&lt;t&gt;&lt;s&gt;" &amp; SUBSTITUTE(MID(C41,23,999)," ","&lt;/s&gt;&lt;s&gt;") &amp; "&lt;/s&gt;&lt;/t&gt;","//s[number(.)=number(.)]"),1)</f>
        <v>1</v>
      </c>
      <c r="M41" cm="1">
        <f t="array" aca="1" ref="M41" ca="1">INDEX(
  _xlfn.FILTERXML("&lt;t&gt;&lt;s&gt;" &amp; SUBSTITUTE(MID(C41, 22 + LEN(I41) + 1, 999), " ", "&lt;/s&gt;&lt;s&gt;") &amp; "&lt;/s&gt;&lt;/t&gt;",
            "//s[number(.)=number(.)]"),
  2
)</f>
        <v>37</v>
      </c>
      <c r="N41" t="str" cm="1">
        <f t="array" aca="1" ref="N41" ca="1">_xlfn.REGEXEXTRACT(C41, "\d{2}:\d{2}:\d{2}")</f>
        <v>08:54:48</v>
      </c>
      <c r="O41" t="str">
        <f t="shared" ca="1" si="5"/>
        <v>バラ 100錠×1瓶</v>
      </c>
      <c r="P41" t="str">
        <f t="shared" ca="1" si="6"/>
        <v>1</v>
      </c>
    </row>
    <row r="42" spans="2:16" x14ac:dyDescent="0.45">
      <c r="B42">
        <f t="shared" si="7"/>
        <v>164</v>
      </c>
      <c r="C42" t="str">
        <f ca="1">_xlfn.CONCAT(OFFSET(元!$B$10,'1行'!B42,0)," ",OFFSET(元!$B$12,'1行'!B42,0))</f>
        <v>2026/03/25 2026/04/01 フルニトラゼパム錠1mg「アメル」共和薬品工業 1 38 08:54:48 1mg/錠 バラ 1000錠×1瓶4987058565612 1 0</v>
      </c>
      <c r="D42" cm="1">
        <f t="array" aca="1" ref="D42" ca="1">INDEX(_xlfn.FILTERXML("&lt;t&gt;&lt;s&gt;" &amp; SUBSTITUTE(C42," ","&lt;/s&gt;&lt;s&gt;") &amp; "&lt;/s&gt;&lt;/t&gt;","//s[number(.)=number(.)]"),
       COUNT(_xlfn.FILTERXML("&lt;t&gt;&lt;s&gt;" &amp; SUBSTITUTE(C42," ","&lt;/s&gt;&lt;s&gt;") &amp; "&lt;/s&gt;&lt;/t&gt;","//s[number(.)=number(.)]"))-1)</f>
        <v>1</v>
      </c>
      <c r="E42" cm="1">
        <f t="array" aca="1" ref="E42" ca="1">INDEX(_xlfn.FILTERXML("&lt;t&gt;&lt;s&gt;" &amp; SUBSTITUTE(C42," ","&lt;/s&gt;&lt;s&gt;") &amp; "&lt;/s&gt;&lt;/t&gt;","//s[number(.)=number(.)]"),
       COUNT(_xlfn.FILTERXML("&lt;t&gt;&lt;s&gt;" &amp; SUBSTITUTE(C42," ","&lt;/s&gt;&lt;s&gt;") &amp; "&lt;/s&gt;&lt;/t&gt;","//s[number(.)=number(.)]")))</f>
        <v>0</v>
      </c>
      <c r="F42" s="4" t="str">
        <f t="shared" ca="1" si="0"/>
        <v>4987058565612</v>
      </c>
      <c r="G42" s="4" t="str">
        <f t="shared" ca="1" si="1"/>
        <v>2026/03/25</v>
      </c>
      <c r="H42" t="str">
        <f t="shared" ca="1" si="2"/>
        <v>2026/04/01</v>
      </c>
      <c r="I42" t="str">
        <f t="shared" ca="1" si="3"/>
        <v>フルニトラゼパム錠1mg「アメル」共和薬品工業</v>
      </c>
      <c r="J42" t="str">
        <f t="shared" ca="1" si="4"/>
        <v>フルニトラゼパム錠1mg「アメル」</v>
      </c>
      <c r="K42" t="str" cm="1">
        <f t="array" aca="1" ref="K42" ca="1">_xlfn.LET(
  _xlpm.s, SUBSTITUTE(SUBSTITUTE(I42,"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42" cm="1">
        <f t="array" aca="1" ref="L42" ca="1">INDEX(_xlfn.FILTERXML("&lt;t&gt;&lt;s&gt;" &amp; SUBSTITUTE(MID(C42,23,999)," ","&lt;/s&gt;&lt;s&gt;") &amp; "&lt;/s&gt;&lt;/t&gt;","//s[number(.)=number(.)]"),1)</f>
        <v>1</v>
      </c>
      <c r="M42" cm="1">
        <f t="array" aca="1" ref="M42" ca="1">INDEX(
  _xlfn.FILTERXML("&lt;t&gt;&lt;s&gt;" &amp; SUBSTITUTE(MID(C42, 22 + LEN(I42) + 1, 999), " ", "&lt;/s&gt;&lt;s&gt;") &amp; "&lt;/s&gt;&lt;/t&gt;",
            "//s[number(.)=number(.)]"),
  2
)</f>
        <v>38</v>
      </c>
      <c r="N42" t="str" cm="1">
        <f t="array" aca="1" ref="N42" ca="1">_xlfn.REGEXEXTRACT(C42, "\d{2}:\d{2}:\d{2}")</f>
        <v>08:54:48</v>
      </c>
      <c r="O42" t="str">
        <f t="shared" ca="1" si="5"/>
        <v>1mg/錠 バラ 1000錠×1瓶</v>
      </c>
      <c r="P42" t="str">
        <f t="shared" ca="1" si="6"/>
        <v>1</v>
      </c>
    </row>
    <row r="43" spans="2:16" x14ac:dyDescent="0.45">
      <c r="B43">
        <f t="shared" si="7"/>
        <v>168</v>
      </c>
      <c r="C43" t="str">
        <f ca="1">_xlfn.CONCAT(OFFSET(元!$B$10,'1行'!B43,0)," ",OFFSET(元!$B$12,'1行'!B43,0))</f>
        <v>2026/03/25 2026/04/01 フルニトラゼパム錠2mg「アメル」共和薬品工業 1 39 08:54:48 2mg/錠 バラ 1000錠×1瓶4987058566619 1 0</v>
      </c>
      <c r="D43" cm="1">
        <f t="array" aca="1" ref="D43" ca="1">INDEX(_xlfn.FILTERXML("&lt;t&gt;&lt;s&gt;" &amp; SUBSTITUTE(C43," ","&lt;/s&gt;&lt;s&gt;") &amp; "&lt;/s&gt;&lt;/t&gt;","//s[number(.)=number(.)]"),
       COUNT(_xlfn.FILTERXML("&lt;t&gt;&lt;s&gt;" &amp; SUBSTITUTE(C43," ","&lt;/s&gt;&lt;s&gt;") &amp; "&lt;/s&gt;&lt;/t&gt;","//s[number(.)=number(.)]"))-1)</f>
        <v>1</v>
      </c>
      <c r="E43" cm="1">
        <f t="array" aca="1" ref="E43" ca="1">INDEX(_xlfn.FILTERXML("&lt;t&gt;&lt;s&gt;" &amp; SUBSTITUTE(C43," ","&lt;/s&gt;&lt;s&gt;") &amp; "&lt;/s&gt;&lt;/t&gt;","//s[number(.)=number(.)]"),
       COUNT(_xlfn.FILTERXML("&lt;t&gt;&lt;s&gt;" &amp; SUBSTITUTE(C43," ","&lt;/s&gt;&lt;s&gt;") &amp; "&lt;/s&gt;&lt;/t&gt;","//s[number(.)=number(.)]")))</f>
        <v>0</v>
      </c>
      <c r="F43" s="4" t="str">
        <f t="shared" ca="1" si="0"/>
        <v>4987058566619</v>
      </c>
      <c r="G43" s="4" t="str">
        <f t="shared" ca="1" si="1"/>
        <v>2026/03/25</v>
      </c>
      <c r="H43" t="str">
        <f t="shared" ca="1" si="2"/>
        <v>2026/04/01</v>
      </c>
      <c r="I43" t="str">
        <f t="shared" ca="1" si="3"/>
        <v>フルニトラゼパム錠2mg「アメル」共和薬品工業</v>
      </c>
      <c r="J43" t="str">
        <f t="shared" ca="1" si="4"/>
        <v>フルニトラゼパム錠2mg「アメル」</v>
      </c>
      <c r="K43" t="str" cm="1">
        <f t="array" aca="1" ref="K43" ca="1">_xlfn.LET(
  _xlpm.s, SUBSTITUTE(SUBSTITUTE(I43,"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43" cm="1">
        <f t="array" aca="1" ref="L43" ca="1">INDEX(_xlfn.FILTERXML("&lt;t&gt;&lt;s&gt;" &amp; SUBSTITUTE(MID(C43,23,999)," ","&lt;/s&gt;&lt;s&gt;") &amp; "&lt;/s&gt;&lt;/t&gt;","//s[number(.)=number(.)]"),1)</f>
        <v>1</v>
      </c>
      <c r="M43" cm="1">
        <f t="array" aca="1" ref="M43" ca="1">INDEX(
  _xlfn.FILTERXML("&lt;t&gt;&lt;s&gt;" &amp; SUBSTITUTE(MID(C43, 22 + LEN(I43) + 1, 999), " ", "&lt;/s&gt;&lt;s&gt;") &amp; "&lt;/s&gt;&lt;/t&gt;",
            "//s[number(.)=number(.)]"),
  2
)</f>
        <v>39</v>
      </c>
      <c r="N43" t="str" cm="1">
        <f t="array" aca="1" ref="N43" ca="1">_xlfn.REGEXEXTRACT(C43, "\d{2}:\d{2}:\d{2}")</f>
        <v>08:54:48</v>
      </c>
      <c r="O43" t="str">
        <f t="shared" ca="1" si="5"/>
        <v>2mg/錠 バラ 1000錠×1瓶</v>
      </c>
      <c r="P43" t="str">
        <f t="shared" ca="1" si="6"/>
        <v>1</v>
      </c>
    </row>
    <row r="44" spans="2:16" x14ac:dyDescent="0.45">
      <c r="B44">
        <f t="shared" si="7"/>
        <v>172</v>
      </c>
      <c r="C44" t="str">
        <f ca="1">_xlfn.CONCAT(OFFSET(元!$B$10,'1行'!B44,0)," ",OFFSET(元!$B$12,'1行'!B44,0))</f>
        <v>2026/03/25 2026/04/01 クエチアピン錠25mg「アメル」共和薬品工業 2 40 08:54:48 25mg/錠 バラ 1000錠×1瓶4987058193617 2 0</v>
      </c>
      <c r="D44" cm="1">
        <f t="array" aca="1" ref="D44" ca="1">INDEX(_xlfn.FILTERXML("&lt;t&gt;&lt;s&gt;" &amp; SUBSTITUTE(C44," ","&lt;/s&gt;&lt;s&gt;") &amp; "&lt;/s&gt;&lt;/t&gt;","//s[number(.)=number(.)]"),
       COUNT(_xlfn.FILTERXML("&lt;t&gt;&lt;s&gt;" &amp; SUBSTITUTE(C44," ","&lt;/s&gt;&lt;s&gt;") &amp; "&lt;/s&gt;&lt;/t&gt;","//s[number(.)=number(.)]"))-1)</f>
        <v>2</v>
      </c>
      <c r="E44" cm="1">
        <f t="array" aca="1" ref="E44" ca="1">INDEX(_xlfn.FILTERXML("&lt;t&gt;&lt;s&gt;" &amp; SUBSTITUTE(C44," ","&lt;/s&gt;&lt;s&gt;") &amp; "&lt;/s&gt;&lt;/t&gt;","//s[number(.)=number(.)]"),
       COUNT(_xlfn.FILTERXML("&lt;t&gt;&lt;s&gt;" &amp; SUBSTITUTE(C44," ","&lt;/s&gt;&lt;s&gt;") &amp; "&lt;/s&gt;&lt;/t&gt;","//s[number(.)=number(.)]")))</f>
        <v>0</v>
      </c>
      <c r="F44" s="4" t="str">
        <f t="shared" ca="1" si="0"/>
        <v>4987058193617</v>
      </c>
      <c r="G44" s="4" t="str">
        <f t="shared" ca="1" si="1"/>
        <v>2026/03/25</v>
      </c>
      <c r="H44" t="str">
        <f t="shared" ca="1" si="2"/>
        <v>2026/04/01</v>
      </c>
      <c r="I44" t="str">
        <f t="shared" ca="1" si="3"/>
        <v>クエチアピン錠25mg「アメル」共和薬品工業</v>
      </c>
      <c r="J44" t="str">
        <f t="shared" ca="1" si="4"/>
        <v>クエチアピン錠25mg「アメル」</v>
      </c>
      <c r="K44" t="str" cm="1">
        <f t="array" aca="1" ref="K44" ca="1">_xlfn.LET(
  _xlpm.s, SUBSTITUTE(SUBSTITUTE(I44,"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44" cm="1">
        <f t="array" aca="1" ref="L44" ca="1">INDEX(_xlfn.FILTERXML("&lt;t&gt;&lt;s&gt;" &amp; SUBSTITUTE(MID(C44,23,999)," ","&lt;/s&gt;&lt;s&gt;") &amp; "&lt;/s&gt;&lt;/t&gt;","//s[number(.)=number(.)]"),1)</f>
        <v>2</v>
      </c>
      <c r="M44" cm="1">
        <f t="array" aca="1" ref="M44" ca="1">INDEX(
  _xlfn.FILTERXML("&lt;t&gt;&lt;s&gt;" &amp; SUBSTITUTE(MID(C44, 22 + LEN(I44) + 1, 999), " ", "&lt;/s&gt;&lt;s&gt;") &amp; "&lt;/s&gt;&lt;/t&gt;",
            "//s[number(.)=number(.)]"),
  2
)</f>
        <v>40</v>
      </c>
      <c r="N44" t="str" cm="1">
        <f t="array" aca="1" ref="N44" ca="1">_xlfn.REGEXEXTRACT(C44, "\d{2}:\d{2}:\d{2}")</f>
        <v>08:54:48</v>
      </c>
      <c r="O44" t="str">
        <f t="shared" ca="1" si="5"/>
        <v>25mg/錠 バラ 1000錠×1瓶</v>
      </c>
      <c r="P44" t="str">
        <f t="shared" ca="1" si="6"/>
        <v>2</v>
      </c>
    </row>
    <row r="45" spans="2:16" x14ac:dyDescent="0.45">
      <c r="B45">
        <f t="shared" si="7"/>
        <v>176</v>
      </c>
      <c r="C45" t="str">
        <f ca="1">_xlfn.CONCAT(OFFSET(元!$B$10,'1行'!B45,0)," ",OFFSET(元!$B$12,'1行'!B45,0))</f>
        <v>2026/03/25 2026/04/01 デパケンR錠200mg 日医工 1 41 08:54:48 200mg/錠 バラ 1000錠×1瓶4987376850223 1 0</v>
      </c>
      <c r="D45" cm="1">
        <f t="array" aca="1" ref="D45" ca="1">INDEX(_xlfn.FILTERXML("&lt;t&gt;&lt;s&gt;" &amp; SUBSTITUTE(C45," ","&lt;/s&gt;&lt;s&gt;") &amp; "&lt;/s&gt;&lt;/t&gt;","//s[number(.)=number(.)]"),
       COUNT(_xlfn.FILTERXML("&lt;t&gt;&lt;s&gt;" &amp; SUBSTITUTE(C45," ","&lt;/s&gt;&lt;s&gt;") &amp; "&lt;/s&gt;&lt;/t&gt;","//s[number(.)=number(.)]"))-1)</f>
        <v>1</v>
      </c>
      <c r="E45" cm="1">
        <f t="array" aca="1" ref="E45" ca="1">INDEX(_xlfn.FILTERXML("&lt;t&gt;&lt;s&gt;" &amp; SUBSTITUTE(C45," ","&lt;/s&gt;&lt;s&gt;") &amp; "&lt;/s&gt;&lt;/t&gt;","//s[number(.)=number(.)]"),
       COUNT(_xlfn.FILTERXML("&lt;t&gt;&lt;s&gt;" &amp; SUBSTITUTE(C45," ","&lt;/s&gt;&lt;s&gt;") &amp; "&lt;/s&gt;&lt;/t&gt;","//s[number(.)=number(.)]")))</f>
        <v>0</v>
      </c>
      <c r="F45" s="4" t="str">
        <f t="shared" ca="1" si="0"/>
        <v>4987376850223</v>
      </c>
      <c r="G45" s="4" t="str">
        <f t="shared" ca="1" si="1"/>
        <v>2026/03/25</v>
      </c>
      <c r="H45" t="str">
        <f t="shared" ca="1" si="2"/>
        <v>2026/04/01</v>
      </c>
      <c r="I45" t="str">
        <f t="shared" ca="1" si="3"/>
        <v>デパケンR錠200mg 日医工</v>
      </c>
      <c r="J45" t="str">
        <f t="shared" ca="1" si="4"/>
        <v xml:space="preserve">デパケンR錠200mg </v>
      </c>
      <c r="K45" t="str" cm="1">
        <f t="array" aca="1" ref="K45" ca="1">_xlfn.LET(
  _xlpm.s, SUBSTITUTE(SUBSTITUTE(I45," ",""),"　",""),
  _xlpm.dic, SUBSTITUTE(SUBSTITUTE(メーカー!$A$1:$A$100," ",""),"　",""),
  _xlpm.pos, MATCH(TRUE, RIGHT(_xlpm.s, LEN(_xlpm.dic)) = _xlpm.dic, 0),
  INDEX(メーカー!$A$1:$A$100, _xlpm.pos)
)</f>
        <v>日医工</v>
      </c>
      <c r="L45" cm="1">
        <f t="array" aca="1" ref="L45" ca="1">INDEX(_xlfn.FILTERXML("&lt;t&gt;&lt;s&gt;" &amp; SUBSTITUTE(MID(C45,23,999)," ","&lt;/s&gt;&lt;s&gt;") &amp; "&lt;/s&gt;&lt;/t&gt;","//s[number(.)=number(.)]"),1)</f>
        <v>1</v>
      </c>
      <c r="M45" cm="1">
        <f t="array" aca="1" ref="M45" ca="1">INDEX(
  _xlfn.FILTERXML("&lt;t&gt;&lt;s&gt;" &amp; SUBSTITUTE(MID(C45, 22 + LEN(I45) + 1, 999), " ", "&lt;/s&gt;&lt;s&gt;") &amp; "&lt;/s&gt;&lt;/t&gt;",
            "//s[number(.)=number(.)]"),
  2
)</f>
        <v>41</v>
      </c>
      <c r="N45" t="str" cm="1">
        <f t="array" aca="1" ref="N45" ca="1">_xlfn.REGEXEXTRACT(C45, "\d{2}:\d{2}:\d{2}")</f>
        <v>08:54:48</v>
      </c>
      <c r="O45" t="str">
        <f t="shared" ca="1" si="5"/>
        <v>200mg/錠 バラ 1000錠×1瓶</v>
      </c>
      <c r="P45" t="str">
        <f t="shared" ca="1" si="6"/>
        <v>1</v>
      </c>
    </row>
    <row r="46" spans="2:16" x14ac:dyDescent="0.45">
      <c r="B46">
        <f t="shared" si="7"/>
        <v>180</v>
      </c>
      <c r="C46" t="str">
        <f ca="1">_xlfn.CONCAT(OFFSET(元!$B$10,'1行'!B46,0)," ",OFFSET(元!$B$12,'1行'!B46,0))</f>
        <v>2026/03/25 2026/04/01 イベニティ皮下注105mgシリンジアステラス製薬 5 42 08:54:48 105mg1.17mL1筒×2筒4987233105220 5 0</v>
      </c>
      <c r="D46" cm="1">
        <f t="array" aca="1" ref="D46" ca="1">INDEX(_xlfn.FILTERXML("&lt;t&gt;&lt;s&gt;" &amp; SUBSTITUTE(C46," ","&lt;/s&gt;&lt;s&gt;") &amp; "&lt;/s&gt;&lt;/t&gt;","//s[number(.)=number(.)]"),
       COUNT(_xlfn.FILTERXML("&lt;t&gt;&lt;s&gt;" &amp; SUBSTITUTE(C46," ","&lt;/s&gt;&lt;s&gt;") &amp; "&lt;/s&gt;&lt;/t&gt;","//s[number(.)=number(.)]"))-1)</f>
        <v>5</v>
      </c>
      <c r="E46" cm="1">
        <f t="array" aca="1" ref="E46" ca="1">INDEX(_xlfn.FILTERXML("&lt;t&gt;&lt;s&gt;" &amp; SUBSTITUTE(C46," ","&lt;/s&gt;&lt;s&gt;") &amp; "&lt;/s&gt;&lt;/t&gt;","//s[number(.)=number(.)]"),
       COUNT(_xlfn.FILTERXML("&lt;t&gt;&lt;s&gt;" &amp; SUBSTITUTE(C46," ","&lt;/s&gt;&lt;s&gt;") &amp; "&lt;/s&gt;&lt;/t&gt;","//s[number(.)=number(.)]")))</f>
        <v>0</v>
      </c>
      <c r="F46" s="4" t="str">
        <f t="shared" ca="1" si="0"/>
        <v>4987233105220</v>
      </c>
      <c r="G46" s="4" t="str">
        <f t="shared" ca="1" si="1"/>
        <v>2026/03/25</v>
      </c>
      <c r="H46" t="str">
        <f t="shared" ca="1" si="2"/>
        <v>2026/04/01</v>
      </c>
      <c r="I46" t="str">
        <f t="shared" ca="1" si="3"/>
        <v>イベニティ皮下注105mgシリンジアステラス製薬</v>
      </c>
      <c r="J46" t="str">
        <f t="shared" ca="1" si="4"/>
        <v>イベニティ皮下注105mgシリンジ</v>
      </c>
      <c r="K46" t="str" cm="1">
        <f t="array" aca="1" ref="K46" ca="1">_xlfn.LET(
  _xlpm.s, SUBSTITUTE(SUBSTITUTE(I46," ",""),"　",""),
  _xlpm.dic, SUBSTITUTE(SUBSTITUTE(メーカー!$A$1:$A$100," ",""),"　",""),
  _xlpm.pos, MATCH(TRUE, RIGHT(_xlpm.s, LEN(_xlpm.dic)) = _xlpm.dic, 0),
  INDEX(メーカー!$A$1:$A$100, _xlpm.pos)
)</f>
        <v>アステラス製薬</v>
      </c>
      <c r="L46" cm="1">
        <f t="array" aca="1" ref="L46" ca="1">INDEX(_xlfn.FILTERXML("&lt;t&gt;&lt;s&gt;" &amp; SUBSTITUTE(MID(C46,23,999)," ","&lt;/s&gt;&lt;s&gt;") &amp; "&lt;/s&gt;&lt;/t&gt;","//s[number(.)=number(.)]"),1)</f>
        <v>5</v>
      </c>
      <c r="M46" cm="1">
        <f t="array" aca="1" ref="M46" ca="1">INDEX(
  _xlfn.FILTERXML("&lt;t&gt;&lt;s&gt;" &amp; SUBSTITUTE(MID(C46, 22 + LEN(I46) + 1, 999), " ", "&lt;/s&gt;&lt;s&gt;") &amp; "&lt;/s&gt;&lt;/t&gt;",
            "//s[number(.)=number(.)]"),
  2
)</f>
        <v>42</v>
      </c>
      <c r="N46" t="str" cm="1">
        <f t="array" aca="1" ref="N46" ca="1">_xlfn.REGEXEXTRACT(C46, "\d{2}:\d{2}:\d{2}")</f>
        <v>08:54:48</v>
      </c>
      <c r="O46" t="str">
        <f t="shared" ca="1" si="5"/>
        <v>105mg1.17mL1筒×2筒</v>
      </c>
      <c r="P46" t="str">
        <f t="shared" ca="1" si="6"/>
        <v>5</v>
      </c>
    </row>
    <row r="47" spans="2:16" x14ac:dyDescent="0.45">
      <c r="B47">
        <f t="shared" si="7"/>
        <v>184</v>
      </c>
      <c r="C47" t="str">
        <f ca="1">_xlfn.CONCAT(OFFSET(元!$B$10,'1行'!B47,0)," ",OFFSET(元!$B$12,'1行'!B47,0))</f>
        <v>2026/03/25 2026/04/01 プレガバリンOD錠75mg「サワイ」沢井製薬 1 43 08:54:48 75mg/錠 PTP 10錠×10 4987080471714 1 0</v>
      </c>
      <c r="D47" cm="1">
        <f t="array" aca="1" ref="D47" ca="1">INDEX(_xlfn.FILTERXML("&lt;t&gt;&lt;s&gt;" &amp; SUBSTITUTE(C47," ","&lt;/s&gt;&lt;s&gt;") &amp; "&lt;/s&gt;&lt;/t&gt;","//s[number(.)=number(.)]"),
       COUNT(_xlfn.FILTERXML("&lt;t&gt;&lt;s&gt;" &amp; SUBSTITUTE(C47," ","&lt;/s&gt;&lt;s&gt;") &amp; "&lt;/s&gt;&lt;/t&gt;","//s[number(.)=number(.)]"))-1)</f>
        <v>1</v>
      </c>
      <c r="E47" cm="1">
        <f t="array" aca="1" ref="E47" ca="1">INDEX(_xlfn.FILTERXML("&lt;t&gt;&lt;s&gt;" &amp; SUBSTITUTE(C47," ","&lt;/s&gt;&lt;s&gt;") &amp; "&lt;/s&gt;&lt;/t&gt;","//s[number(.)=number(.)]"),
       COUNT(_xlfn.FILTERXML("&lt;t&gt;&lt;s&gt;" &amp; SUBSTITUTE(C47," ","&lt;/s&gt;&lt;s&gt;") &amp; "&lt;/s&gt;&lt;/t&gt;","//s[number(.)=number(.)]")))</f>
        <v>0</v>
      </c>
      <c r="F47" s="4" t="str">
        <f t="shared" ca="1" si="0"/>
        <v>4987080471714</v>
      </c>
      <c r="G47" s="4" t="str">
        <f t="shared" ca="1" si="1"/>
        <v>2026/03/25</v>
      </c>
      <c r="H47" t="str">
        <f t="shared" ca="1" si="2"/>
        <v>2026/04/01</v>
      </c>
      <c r="I47" t="str">
        <f t="shared" ca="1" si="3"/>
        <v>プレガバリンOD錠75mg「サワイ」沢井製薬</v>
      </c>
      <c r="J47" t="str">
        <f t="shared" ca="1" si="4"/>
        <v>プレガバリンOD錠75mg「サワイ」</v>
      </c>
      <c r="K47" t="str" cm="1">
        <f t="array" aca="1" ref="K47" ca="1">_xlfn.LET(
  _xlpm.s, SUBSTITUTE(SUBSTITUTE(I47," ",""),"　",""),
  _xlpm.dic, SUBSTITUTE(SUBSTITUTE(メーカー!$A$1:$A$100," ",""),"　",""),
  _xlpm.pos, MATCH(TRUE, RIGHT(_xlpm.s, LEN(_xlpm.dic)) = _xlpm.dic, 0),
  INDEX(メーカー!$A$1:$A$100, _xlpm.pos)
)</f>
        <v>沢井製薬</v>
      </c>
      <c r="L47" cm="1">
        <f t="array" aca="1" ref="L47" ca="1">INDEX(_xlfn.FILTERXML("&lt;t&gt;&lt;s&gt;" &amp; SUBSTITUTE(MID(C47,23,999)," ","&lt;/s&gt;&lt;s&gt;") &amp; "&lt;/s&gt;&lt;/t&gt;","//s[number(.)=number(.)]"),1)</f>
        <v>1</v>
      </c>
      <c r="M47" cm="1">
        <f t="array" aca="1" ref="M47" ca="1">INDEX(
  _xlfn.FILTERXML("&lt;t&gt;&lt;s&gt;" &amp; SUBSTITUTE(MID(C47, 22 + LEN(I47) + 1, 999), " ", "&lt;/s&gt;&lt;s&gt;") &amp; "&lt;/s&gt;&lt;/t&gt;",
            "//s[number(.)=number(.)]"),
  2
)</f>
        <v>43</v>
      </c>
      <c r="N47" t="str" cm="1">
        <f t="array" aca="1" ref="N47" ca="1">_xlfn.REGEXEXTRACT(C47, "\d{2}:\d{2}:\d{2}")</f>
        <v>08:54:48</v>
      </c>
      <c r="O47" t="str">
        <f t="shared" ca="1" si="5"/>
        <v>75mg/錠 PTP 10錠×10</v>
      </c>
      <c r="P47" t="str">
        <f t="shared" ca="1" si="6"/>
        <v>1</v>
      </c>
    </row>
    <row r="48" spans="2:16" x14ac:dyDescent="0.45">
      <c r="B48">
        <f t="shared" si="7"/>
        <v>188</v>
      </c>
      <c r="C48" t="str">
        <f ca="1">_xlfn.CONCAT(OFFSET(元!$B$10,'1行'!B48,0)," ",OFFSET(元!$B$12,'1行'!B48,0))</f>
        <v>2026/03/25 2026/04/01 ロゼレム錠8mg 武田薬品工業 1 44 08:54:48 8mg/錠 PTP 10錠×10 4987123143936 1 0</v>
      </c>
      <c r="D48" cm="1">
        <f t="array" aca="1" ref="D48" ca="1">INDEX(_xlfn.FILTERXML("&lt;t&gt;&lt;s&gt;" &amp; SUBSTITUTE(C48," ","&lt;/s&gt;&lt;s&gt;") &amp; "&lt;/s&gt;&lt;/t&gt;","//s[number(.)=number(.)]"),
       COUNT(_xlfn.FILTERXML("&lt;t&gt;&lt;s&gt;" &amp; SUBSTITUTE(C48," ","&lt;/s&gt;&lt;s&gt;") &amp; "&lt;/s&gt;&lt;/t&gt;","//s[number(.)=number(.)]"))-1)</f>
        <v>1</v>
      </c>
      <c r="E48" cm="1">
        <f t="array" aca="1" ref="E48" ca="1">INDEX(_xlfn.FILTERXML("&lt;t&gt;&lt;s&gt;" &amp; SUBSTITUTE(C48," ","&lt;/s&gt;&lt;s&gt;") &amp; "&lt;/s&gt;&lt;/t&gt;","//s[number(.)=number(.)]"),
       COUNT(_xlfn.FILTERXML("&lt;t&gt;&lt;s&gt;" &amp; SUBSTITUTE(C48," ","&lt;/s&gt;&lt;s&gt;") &amp; "&lt;/s&gt;&lt;/t&gt;","//s[number(.)=number(.)]")))</f>
        <v>0</v>
      </c>
      <c r="F48" s="4" t="str">
        <f t="shared" ca="1" si="0"/>
        <v>4987123143936</v>
      </c>
      <c r="G48" s="4" t="str">
        <f t="shared" ca="1" si="1"/>
        <v>2026/03/25</v>
      </c>
      <c r="H48" t="str">
        <f t="shared" ca="1" si="2"/>
        <v>2026/04/01</v>
      </c>
      <c r="I48" t="str">
        <f t="shared" ca="1" si="3"/>
        <v>ロゼレム錠8mg 武田薬品工業</v>
      </c>
      <c r="J48" t="str">
        <f t="shared" ca="1" si="4"/>
        <v xml:space="preserve">ロゼレム錠8mg </v>
      </c>
      <c r="K48" t="str" cm="1">
        <f t="array" aca="1" ref="K48" ca="1">_xlfn.LET(
  _xlpm.s, SUBSTITUTE(SUBSTITUTE(I48," ",""),"　",""),
  _xlpm.dic, SUBSTITUTE(SUBSTITUTE(メーカー!$A$1:$A$100," ",""),"　",""),
  _xlpm.pos, MATCH(TRUE, RIGHT(_xlpm.s, LEN(_xlpm.dic)) = _xlpm.dic, 0),
  INDEX(メーカー!$A$1:$A$100, _xlpm.pos)
)</f>
        <v>武田薬品工業</v>
      </c>
      <c r="L48" cm="1">
        <f t="array" aca="1" ref="L48" ca="1">INDEX(_xlfn.FILTERXML("&lt;t&gt;&lt;s&gt;" &amp; SUBSTITUTE(MID(C48,23,999)," ","&lt;/s&gt;&lt;s&gt;") &amp; "&lt;/s&gt;&lt;/t&gt;","//s[number(.)=number(.)]"),1)</f>
        <v>1</v>
      </c>
      <c r="M48" cm="1">
        <f t="array" aca="1" ref="M48" ca="1">INDEX(
  _xlfn.FILTERXML("&lt;t&gt;&lt;s&gt;" &amp; SUBSTITUTE(MID(C48, 22 + LEN(I48) + 1, 999), " ", "&lt;/s&gt;&lt;s&gt;") &amp; "&lt;/s&gt;&lt;/t&gt;",
            "//s[number(.)=number(.)]"),
  2
)</f>
        <v>44</v>
      </c>
      <c r="N48" t="str" cm="1">
        <f t="array" aca="1" ref="N48" ca="1">_xlfn.REGEXEXTRACT(C48, "\d{2}:\d{2}:\d{2}")</f>
        <v>08:54:48</v>
      </c>
      <c r="O48" t="str">
        <f t="shared" ca="1" si="5"/>
        <v>8mg/錠 PTP 10錠×10</v>
      </c>
      <c r="P48" t="str">
        <f t="shared" ca="1" si="6"/>
        <v>1</v>
      </c>
    </row>
    <row r="49" spans="2:16" x14ac:dyDescent="0.45">
      <c r="B49">
        <f t="shared" si="7"/>
        <v>192</v>
      </c>
      <c r="C49" t="str">
        <f ca="1">_xlfn.CONCAT(OFFSET(元!$B$10,'1行'!B49,0)," ",OFFSET(元!$B$12,'1行'!B49,0))</f>
        <v>2026/03/25 2026/04/01 メマンチン塩酸塩OD錠20mg「DSEP」第一三共 5 45 08:54:48 20mg/錠 バラ 100錠×1瓶4987081189427 5 0</v>
      </c>
      <c r="D49" cm="1">
        <f t="array" aca="1" ref="D49" ca="1">INDEX(_xlfn.FILTERXML("&lt;t&gt;&lt;s&gt;" &amp; SUBSTITUTE(C49," ","&lt;/s&gt;&lt;s&gt;") &amp; "&lt;/s&gt;&lt;/t&gt;","//s[number(.)=number(.)]"),
       COUNT(_xlfn.FILTERXML("&lt;t&gt;&lt;s&gt;" &amp; SUBSTITUTE(C49," ","&lt;/s&gt;&lt;s&gt;") &amp; "&lt;/s&gt;&lt;/t&gt;","//s[number(.)=number(.)]"))-1)</f>
        <v>5</v>
      </c>
      <c r="E49" cm="1">
        <f t="array" aca="1" ref="E49" ca="1">INDEX(_xlfn.FILTERXML("&lt;t&gt;&lt;s&gt;" &amp; SUBSTITUTE(C49," ","&lt;/s&gt;&lt;s&gt;") &amp; "&lt;/s&gt;&lt;/t&gt;","//s[number(.)=number(.)]"),
       COUNT(_xlfn.FILTERXML("&lt;t&gt;&lt;s&gt;" &amp; SUBSTITUTE(C49," ","&lt;/s&gt;&lt;s&gt;") &amp; "&lt;/s&gt;&lt;/t&gt;","//s[number(.)=number(.)]")))</f>
        <v>0</v>
      </c>
      <c r="F49" s="4" t="str">
        <f t="shared" ca="1" si="0"/>
        <v>4987081189427</v>
      </c>
      <c r="G49" s="4" t="str">
        <f t="shared" ca="1" si="1"/>
        <v>2026/03/25</v>
      </c>
      <c r="H49" t="str">
        <f t="shared" ca="1" si="2"/>
        <v>2026/04/01</v>
      </c>
      <c r="I49" t="str">
        <f t="shared" ca="1" si="3"/>
        <v>メマンチン塩酸塩OD錠20mg「DSEP」第一三共</v>
      </c>
      <c r="J49" t="str">
        <f t="shared" ca="1" si="4"/>
        <v>メマンチン塩酸塩OD錠20mg「DSEP」</v>
      </c>
      <c r="K49" t="str" cm="1">
        <f t="array" aca="1" ref="K49" ca="1">_xlfn.LET(
  _xlpm.s, SUBSTITUTE(SUBSTITUTE(I49," ",""),"　",""),
  _xlpm.dic, SUBSTITUTE(SUBSTITUTE(メーカー!$A$1:$A$100," ",""),"　",""),
  _xlpm.pos, MATCH(TRUE, RIGHT(_xlpm.s, LEN(_xlpm.dic)) = _xlpm.dic, 0),
  INDEX(メーカー!$A$1:$A$100, _xlpm.pos)
)</f>
        <v>第一三共</v>
      </c>
      <c r="L49" cm="1">
        <f t="array" aca="1" ref="L49" ca="1">INDEX(_xlfn.FILTERXML("&lt;t&gt;&lt;s&gt;" &amp; SUBSTITUTE(MID(C49,23,999)," ","&lt;/s&gt;&lt;s&gt;") &amp; "&lt;/s&gt;&lt;/t&gt;","//s[number(.)=number(.)]"),1)</f>
        <v>5</v>
      </c>
      <c r="M49" cm="1">
        <f t="array" aca="1" ref="M49" ca="1">INDEX(
  _xlfn.FILTERXML("&lt;t&gt;&lt;s&gt;" &amp; SUBSTITUTE(MID(C49, 22 + LEN(I49) + 1, 999), " ", "&lt;/s&gt;&lt;s&gt;") &amp; "&lt;/s&gt;&lt;/t&gt;",
            "//s[number(.)=number(.)]"),
  2
)</f>
        <v>45</v>
      </c>
      <c r="N49" t="str" cm="1">
        <f t="array" aca="1" ref="N49" ca="1">_xlfn.REGEXEXTRACT(C49, "\d{2}:\d{2}:\d{2}")</f>
        <v>08:54:48</v>
      </c>
      <c r="O49" t="str">
        <f t="shared" ca="1" si="5"/>
        <v>20mg/錠 バラ 100錠×1瓶</v>
      </c>
      <c r="P49" t="str">
        <f t="shared" ca="1" si="6"/>
        <v>5</v>
      </c>
    </row>
    <row r="50" spans="2:16" x14ac:dyDescent="0.45">
      <c r="B50">
        <f t="shared" si="7"/>
        <v>196</v>
      </c>
      <c r="C50" t="str">
        <f ca="1">_xlfn.CONCAT(OFFSET(元!$B$10,'1行'!B50,0)," ",OFFSET(元!$B$12,'1行'!B50,0))</f>
        <v>2026/03/25 2026/04/01 メマンチン塩酸塩OD錠5mg「DSEP」第一三共 5 46 08:54:48 5mg/錠 バラ 100錠×1瓶4987081189328 5 0</v>
      </c>
      <c r="D50" cm="1">
        <f t="array" aca="1" ref="D50" ca="1">INDEX(_xlfn.FILTERXML("&lt;t&gt;&lt;s&gt;" &amp; SUBSTITUTE(C50," ","&lt;/s&gt;&lt;s&gt;") &amp; "&lt;/s&gt;&lt;/t&gt;","//s[number(.)=number(.)]"),
       COUNT(_xlfn.FILTERXML("&lt;t&gt;&lt;s&gt;" &amp; SUBSTITUTE(C50," ","&lt;/s&gt;&lt;s&gt;") &amp; "&lt;/s&gt;&lt;/t&gt;","//s[number(.)=number(.)]"))-1)</f>
        <v>5</v>
      </c>
      <c r="E50" cm="1">
        <f t="array" aca="1" ref="E50" ca="1">INDEX(_xlfn.FILTERXML("&lt;t&gt;&lt;s&gt;" &amp; SUBSTITUTE(C50," ","&lt;/s&gt;&lt;s&gt;") &amp; "&lt;/s&gt;&lt;/t&gt;","//s[number(.)=number(.)]"),
       COUNT(_xlfn.FILTERXML("&lt;t&gt;&lt;s&gt;" &amp; SUBSTITUTE(C50," ","&lt;/s&gt;&lt;s&gt;") &amp; "&lt;/s&gt;&lt;/t&gt;","//s[number(.)=number(.)]")))</f>
        <v>0</v>
      </c>
      <c r="F50" s="4" t="str">
        <f t="shared" ca="1" si="0"/>
        <v>4987081189328</v>
      </c>
      <c r="G50" s="4" t="str">
        <f t="shared" ca="1" si="1"/>
        <v>2026/03/25</v>
      </c>
      <c r="H50" t="str">
        <f t="shared" ca="1" si="2"/>
        <v>2026/04/01</v>
      </c>
      <c r="I50" t="str">
        <f t="shared" ca="1" si="3"/>
        <v>メマンチン塩酸塩OD錠5mg「DSEP」第一三共</v>
      </c>
      <c r="J50" t="str">
        <f t="shared" ca="1" si="4"/>
        <v>メマンチン塩酸塩OD錠5mg「DSEP」</v>
      </c>
      <c r="K50" t="str" cm="1">
        <f t="array" aca="1" ref="K50" ca="1">_xlfn.LET(
  _xlpm.s, SUBSTITUTE(SUBSTITUTE(I50," ",""),"　",""),
  _xlpm.dic, SUBSTITUTE(SUBSTITUTE(メーカー!$A$1:$A$100," ",""),"　",""),
  _xlpm.pos, MATCH(TRUE, RIGHT(_xlpm.s, LEN(_xlpm.dic)) = _xlpm.dic, 0),
  INDEX(メーカー!$A$1:$A$100, _xlpm.pos)
)</f>
        <v>第一三共</v>
      </c>
      <c r="L50" cm="1">
        <f t="array" aca="1" ref="L50" ca="1">INDEX(_xlfn.FILTERXML("&lt;t&gt;&lt;s&gt;" &amp; SUBSTITUTE(MID(C50,23,999)," ","&lt;/s&gt;&lt;s&gt;") &amp; "&lt;/s&gt;&lt;/t&gt;","//s[number(.)=number(.)]"),1)</f>
        <v>5</v>
      </c>
      <c r="M50" cm="1">
        <f t="array" aca="1" ref="M50" ca="1">INDEX(
  _xlfn.FILTERXML("&lt;t&gt;&lt;s&gt;" &amp; SUBSTITUTE(MID(C50, 22 + LEN(I50) + 1, 999), " ", "&lt;/s&gt;&lt;s&gt;") &amp; "&lt;/s&gt;&lt;/t&gt;",
            "//s[number(.)=number(.)]"),
  2
)</f>
        <v>46</v>
      </c>
      <c r="N50" t="str" cm="1">
        <f t="array" aca="1" ref="N50" ca="1">_xlfn.REGEXEXTRACT(C50, "\d{2}:\d{2}:\d{2}")</f>
        <v>08:54:48</v>
      </c>
      <c r="O50" t="str">
        <f t="shared" ca="1" si="5"/>
        <v>5mg/錠 バラ 100錠×1瓶</v>
      </c>
      <c r="P50" t="str">
        <f t="shared" ca="1" si="6"/>
        <v>5</v>
      </c>
    </row>
    <row r="51" spans="2:16" x14ac:dyDescent="0.45">
      <c r="B51">
        <f t="shared" si="7"/>
        <v>200</v>
      </c>
      <c r="C51" t="str">
        <f ca="1">_xlfn.CONCAT(OFFSET(元!$B$10,'1行'!B51,0)," ",OFFSET(元!$B$12,'1行'!B51,0))</f>
        <v>2026/03/25 2026/04/01 ベルソムラ錠20mg 第一三共 3 47 08:54:48 20mg/錠 PTP 10錠×10 4987081109234 3 0</v>
      </c>
      <c r="D51" cm="1">
        <f t="array" aca="1" ref="D51" ca="1">INDEX(_xlfn.FILTERXML("&lt;t&gt;&lt;s&gt;" &amp; SUBSTITUTE(C51," ","&lt;/s&gt;&lt;s&gt;") &amp; "&lt;/s&gt;&lt;/t&gt;","//s[number(.)=number(.)]"),
       COUNT(_xlfn.FILTERXML("&lt;t&gt;&lt;s&gt;" &amp; SUBSTITUTE(C51," ","&lt;/s&gt;&lt;s&gt;") &amp; "&lt;/s&gt;&lt;/t&gt;","//s[number(.)=number(.)]"))-1)</f>
        <v>3</v>
      </c>
      <c r="E51" cm="1">
        <f t="array" aca="1" ref="E51" ca="1">INDEX(_xlfn.FILTERXML("&lt;t&gt;&lt;s&gt;" &amp; SUBSTITUTE(C51," ","&lt;/s&gt;&lt;s&gt;") &amp; "&lt;/s&gt;&lt;/t&gt;","//s[number(.)=number(.)]"),
       COUNT(_xlfn.FILTERXML("&lt;t&gt;&lt;s&gt;" &amp; SUBSTITUTE(C51," ","&lt;/s&gt;&lt;s&gt;") &amp; "&lt;/s&gt;&lt;/t&gt;","//s[number(.)=number(.)]")))</f>
        <v>0</v>
      </c>
      <c r="F51" s="4" t="str">
        <f t="shared" ca="1" si="0"/>
        <v>4987081109234</v>
      </c>
      <c r="G51" s="4" t="str">
        <f t="shared" ca="1" si="1"/>
        <v>2026/03/25</v>
      </c>
      <c r="H51" t="str">
        <f t="shared" ca="1" si="2"/>
        <v>2026/04/01</v>
      </c>
      <c r="I51" t="str">
        <f t="shared" ca="1" si="3"/>
        <v>ベルソムラ錠20mg 第一三共</v>
      </c>
      <c r="J51" t="str">
        <f t="shared" ca="1" si="4"/>
        <v xml:space="preserve">ベルソムラ錠20mg </v>
      </c>
      <c r="K51" t="str" cm="1">
        <f t="array" aca="1" ref="K51" ca="1">_xlfn.LET(
  _xlpm.s, SUBSTITUTE(SUBSTITUTE(I51," ",""),"　",""),
  _xlpm.dic, SUBSTITUTE(SUBSTITUTE(メーカー!$A$1:$A$100," ",""),"　",""),
  _xlpm.pos, MATCH(TRUE, RIGHT(_xlpm.s, LEN(_xlpm.dic)) = _xlpm.dic, 0),
  INDEX(メーカー!$A$1:$A$100, _xlpm.pos)
)</f>
        <v>第一三共</v>
      </c>
      <c r="L51" cm="1">
        <f t="array" aca="1" ref="L51" ca="1">INDEX(_xlfn.FILTERXML("&lt;t&gt;&lt;s&gt;" &amp; SUBSTITUTE(MID(C51,23,999)," ","&lt;/s&gt;&lt;s&gt;") &amp; "&lt;/s&gt;&lt;/t&gt;","//s[number(.)=number(.)]"),1)</f>
        <v>3</v>
      </c>
      <c r="M51" cm="1">
        <f t="array" aca="1" ref="M51" ca="1">INDEX(
  _xlfn.FILTERXML("&lt;t&gt;&lt;s&gt;" &amp; SUBSTITUTE(MID(C51, 22 + LEN(I51) + 1, 999), " ", "&lt;/s&gt;&lt;s&gt;") &amp; "&lt;/s&gt;&lt;/t&gt;",
            "//s[number(.)=number(.)]"),
  2
)</f>
        <v>47</v>
      </c>
      <c r="N51" t="str" cm="1">
        <f t="array" aca="1" ref="N51" ca="1">_xlfn.REGEXEXTRACT(C51, "\d{2}:\d{2}:\d{2}")</f>
        <v>08:54:48</v>
      </c>
      <c r="O51" t="str">
        <f t="shared" ca="1" si="5"/>
        <v>20mg/錠 PTP 10錠×10</v>
      </c>
      <c r="P51" t="str">
        <f t="shared" ca="1" si="6"/>
        <v>3</v>
      </c>
    </row>
    <row r="52" spans="2:16" x14ac:dyDescent="0.45">
      <c r="B52">
        <f t="shared" si="7"/>
        <v>204</v>
      </c>
      <c r="C52" t="str">
        <f ca="1">_xlfn.CONCAT(OFFSET(元!$B$10,'1行'!B52,0)," ",OFFSET(元!$B$12,'1行'!B52,0))</f>
        <v>2026/03/25 2026/04/01 フィコンパ錠2mg エーザイ 1 48 08:54:48 2mg/錠 PTP 14錠×4 4987028203940 1 0</v>
      </c>
      <c r="D52" cm="1">
        <f t="array" aca="1" ref="D52" ca="1">INDEX(_xlfn.FILTERXML("&lt;t&gt;&lt;s&gt;" &amp; SUBSTITUTE(C52," ","&lt;/s&gt;&lt;s&gt;") &amp; "&lt;/s&gt;&lt;/t&gt;","//s[number(.)=number(.)]"),
       COUNT(_xlfn.FILTERXML("&lt;t&gt;&lt;s&gt;" &amp; SUBSTITUTE(C52," ","&lt;/s&gt;&lt;s&gt;") &amp; "&lt;/s&gt;&lt;/t&gt;","//s[number(.)=number(.)]"))-1)</f>
        <v>1</v>
      </c>
      <c r="E52" cm="1">
        <f t="array" aca="1" ref="E52" ca="1">INDEX(_xlfn.FILTERXML("&lt;t&gt;&lt;s&gt;" &amp; SUBSTITUTE(C52," ","&lt;/s&gt;&lt;s&gt;") &amp; "&lt;/s&gt;&lt;/t&gt;","//s[number(.)=number(.)]"),
       COUNT(_xlfn.FILTERXML("&lt;t&gt;&lt;s&gt;" &amp; SUBSTITUTE(C52," ","&lt;/s&gt;&lt;s&gt;") &amp; "&lt;/s&gt;&lt;/t&gt;","//s[number(.)=number(.)]")))</f>
        <v>0</v>
      </c>
      <c r="F52" s="4" t="str">
        <f t="shared" ca="1" si="0"/>
        <v>4987028203940</v>
      </c>
      <c r="G52" s="4" t="str">
        <f t="shared" ca="1" si="1"/>
        <v>2026/03/25</v>
      </c>
      <c r="H52" t="str">
        <f t="shared" ca="1" si="2"/>
        <v>2026/04/01</v>
      </c>
      <c r="I52" t="str">
        <f t="shared" ca="1" si="3"/>
        <v>フィコンパ錠2mg エーザイ</v>
      </c>
      <c r="J52" t="str">
        <f t="shared" ca="1" si="4"/>
        <v xml:space="preserve">フィコンパ錠2mg </v>
      </c>
      <c r="K52" t="str" cm="1">
        <f t="array" aca="1" ref="K52" ca="1">_xlfn.LET(
  _xlpm.s, SUBSTITUTE(SUBSTITUTE(I52," ",""),"　",""),
  _xlpm.dic, SUBSTITUTE(SUBSTITUTE(メーカー!$A$1:$A$100," ",""),"　",""),
  _xlpm.pos, MATCH(TRUE, RIGHT(_xlpm.s, LEN(_xlpm.dic)) = _xlpm.dic, 0),
  INDEX(メーカー!$A$1:$A$100, _xlpm.pos)
)</f>
        <v>エーザイ</v>
      </c>
      <c r="L52" cm="1">
        <f t="array" aca="1" ref="L52" ca="1">INDEX(_xlfn.FILTERXML("&lt;t&gt;&lt;s&gt;" &amp; SUBSTITUTE(MID(C52,23,999)," ","&lt;/s&gt;&lt;s&gt;") &amp; "&lt;/s&gt;&lt;/t&gt;","//s[number(.)=number(.)]"),1)</f>
        <v>1</v>
      </c>
      <c r="M52" cm="1">
        <f t="array" aca="1" ref="M52" ca="1">INDEX(
  _xlfn.FILTERXML("&lt;t&gt;&lt;s&gt;" &amp; SUBSTITUTE(MID(C52, 22 + LEN(I52) + 1, 999), " ", "&lt;/s&gt;&lt;s&gt;") &amp; "&lt;/s&gt;&lt;/t&gt;",
            "//s[number(.)=number(.)]"),
  2
)</f>
        <v>48</v>
      </c>
      <c r="N52" t="str" cm="1">
        <f t="array" aca="1" ref="N52" ca="1">_xlfn.REGEXEXTRACT(C52, "\d{2}:\d{2}:\d{2}")</f>
        <v>08:54:48</v>
      </c>
      <c r="O52" t="str">
        <f t="shared" ca="1" si="5"/>
        <v>2mg/錠 PTP 14錠×4</v>
      </c>
      <c r="P52" t="str">
        <f t="shared" ca="1" si="6"/>
        <v>1</v>
      </c>
    </row>
    <row r="53" spans="2:16" x14ac:dyDescent="0.45">
      <c r="B53">
        <f t="shared" si="7"/>
        <v>208</v>
      </c>
      <c r="C53" t="str">
        <f ca="1">_xlfn.CONCAT(OFFSET(元!$B$10,'1行'!B53,0)," ",OFFSET(元!$B$12,'1行'!B53,0))</f>
        <v>2026/03/25 2026/04/01 アジルサルタンOD錠20mg「サワイ」沢井製薬 2 49 08:54:48 20mg/錠 PTP 10錠×10 4987080075516 2 0</v>
      </c>
      <c r="D53" cm="1">
        <f t="array" aca="1" ref="D53" ca="1">INDEX(_xlfn.FILTERXML("&lt;t&gt;&lt;s&gt;" &amp; SUBSTITUTE(C53," ","&lt;/s&gt;&lt;s&gt;") &amp; "&lt;/s&gt;&lt;/t&gt;","//s[number(.)=number(.)]"),
       COUNT(_xlfn.FILTERXML("&lt;t&gt;&lt;s&gt;" &amp; SUBSTITUTE(C53," ","&lt;/s&gt;&lt;s&gt;") &amp; "&lt;/s&gt;&lt;/t&gt;","//s[number(.)=number(.)]"))-1)</f>
        <v>2</v>
      </c>
      <c r="E53" cm="1">
        <f t="array" aca="1" ref="E53" ca="1">INDEX(_xlfn.FILTERXML("&lt;t&gt;&lt;s&gt;" &amp; SUBSTITUTE(C53," ","&lt;/s&gt;&lt;s&gt;") &amp; "&lt;/s&gt;&lt;/t&gt;","//s[number(.)=number(.)]"),
       COUNT(_xlfn.FILTERXML("&lt;t&gt;&lt;s&gt;" &amp; SUBSTITUTE(C53," ","&lt;/s&gt;&lt;s&gt;") &amp; "&lt;/s&gt;&lt;/t&gt;","//s[number(.)=number(.)]")))</f>
        <v>0</v>
      </c>
      <c r="F53" s="4" t="str">
        <f t="shared" ca="1" si="0"/>
        <v>4987080075516</v>
      </c>
      <c r="G53" s="4" t="str">
        <f t="shared" ca="1" si="1"/>
        <v>2026/03/25</v>
      </c>
      <c r="H53" t="str">
        <f t="shared" ca="1" si="2"/>
        <v>2026/04/01</v>
      </c>
      <c r="I53" t="str">
        <f t="shared" ca="1" si="3"/>
        <v>アジルサルタンOD錠20mg「サワイ」沢井製薬</v>
      </c>
      <c r="J53" t="str">
        <f t="shared" ca="1" si="4"/>
        <v>アジルサルタンOD錠20mg「サワイ」</v>
      </c>
      <c r="K53" t="str" cm="1">
        <f t="array" aca="1" ref="K53" ca="1">_xlfn.LET(
  _xlpm.s, SUBSTITUTE(SUBSTITUTE(I53," ",""),"　",""),
  _xlpm.dic, SUBSTITUTE(SUBSTITUTE(メーカー!$A$1:$A$100," ",""),"　",""),
  _xlpm.pos, MATCH(TRUE, RIGHT(_xlpm.s, LEN(_xlpm.dic)) = _xlpm.dic, 0),
  INDEX(メーカー!$A$1:$A$100, _xlpm.pos)
)</f>
        <v>沢井製薬</v>
      </c>
      <c r="L53" cm="1">
        <f t="array" aca="1" ref="L53" ca="1">INDEX(_xlfn.FILTERXML("&lt;t&gt;&lt;s&gt;" &amp; SUBSTITUTE(MID(C53,23,999)," ","&lt;/s&gt;&lt;s&gt;") &amp; "&lt;/s&gt;&lt;/t&gt;","//s[number(.)=number(.)]"),1)</f>
        <v>2</v>
      </c>
      <c r="M53" cm="1">
        <f t="array" aca="1" ref="M53" ca="1">INDEX(
  _xlfn.FILTERXML("&lt;t&gt;&lt;s&gt;" &amp; SUBSTITUTE(MID(C53, 22 + LEN(I53) + 1, 999), " ", "&lt;/s&gt;&lt;s&gt;") &amp; "&lt;/s&gt;&lt;/t&gt;",
            "//s[number(.)=number(.)]"),
  2
)</f>
        <v>49</v>
      </c>
      <c r="N53" t="str" cm="1">
        <f t="array" aca="1" ref="N53" ca="1">_xlfn.REGEXEXTRACT(C53, "\d{2}:\d{2}:\d{2}")</f>
        <v>08:54:48</v>
      </c>
      <c r="O53" t="str">
        <f t="shared" ca="1" si="5"/>
        <v>20mg/錠 PTP 10錠×10</v>
      </c>
      <c r="P53" t="str">
        <f t="shared" ca="1" si="6"/>
        <v>2</v>
      </c>
    </row>
    <row r="54" spans="2:16" x14ac:dyDescent="0.45">
      <c r="B54">
        <f t="shared" si="7"/>
        <v>212</v>
      </c>
      <c r="C54" t="str">
        <f ca="1">_xlfn.CONCAT(OFFSET(元!$B$10,'1行'!B54,0)," ",OFFSET(元!$B$12,'1行'!B54,0))</f>
        <v>2026/03/25 2026/04/01 アミティーザカプセル24μg ヴィアトリス製薬 1 50 08:54:48 24μg/カプセル PTP 10カプセル×50 4987901110303 1 0</v>
      </c>
      <c r="D54" cm="1">
        <f t="array" aca="1" ref="D54" ca="1">INDEX(_xlfn.FILTERXML("&lt;t&gt;&lt;s&gt;" &amp; SUBSTITUTE(C54," ","&lt;/s&gt;&lt;s&gt;") &amp; "&lt;/s&gt;&lt;/t&gt;","//s[number(.)=number(.)]"),
       COUNT(_xlfn.FILTERXML("&lt;t&gt;&lt;s&gt;" &amp; SUBSTITUTE(C54," ","&lt;/s&gt;&lt;s&gt;") &amp; "&lt;/s&gt;&lt;/t&gt;","//s[number(.)=number(.)]"))-1)</f>
        <v>1</v>
      </c>
      <c r="E54" cm="1">
        <f t="array" aca="1" ref="E54" ca="1">INDEX(_xlfn.FILTERXML("&lt;t&gt;&lt;s&gt;" &amp; SUBSTITUTE(C54," ","&lt;/s&gt;&lt;s&gt;") &amp; "&lt;/s&gt;&lt;/t&gt;","//s[number(.)=number(.)]"),
       COUNT(_xlfn.FILTERXML("&lt;t&gt;&lt;s&gt;" &amp; SUBSTITUTE(C54," ","&lt;/s&gt;&lt;s&gt;") &amp; "&lt;/s&gt;&lt;/t&gt;","//s[number(.)=number(.)]")))</f>
        <v>0</v>
      </c>
      <c r="F54" s="4" t="str">
        <f t="shared" ca="1" si="0"/>
        <v>4987901110303</v>
      </c>
      <c r="G54" s="4" t="str">
        <f t="shared" ca="1" si="1"/>
        <v>2026/03/25</v>
      </c>
      <c r="H54" t="str">
        <f t="shared" ca="1" si="2"/>
        <v>2026/04/01</v>
      </c>
      <c r="I54" t="str">
        <f t="shared" ca="1" si="3"/>
        <v>アミティーザカプセル24μg ヴィアトリス製薬</v>
      </c>
      <c r="J54" t="str">
        <f t="shared" ca="1" si="4"/>
        <v xml:space="preserve">アミティーザカプセル24μg </v>
      </c>
      <c r="K54" t="str" cm="1">
        <f t="array" aca="1" ref="K54" ca="1">_xlfn.LET(
  _xlpm.s, SUBSTITUTE(SUBSTITUTE(I54," ",""),"　",""),
  _xlpm.dic, SUBSTITUTE(SUBSTITUTE(メーカー!$A$1:$A$100," ",""),"　",""),
  _xlpm.pos, MATCH(TRUE, RIGHT(_xlpm.s, LEN(_xlpm.dic)) = _xlpm.dic, 0),
  INDEX(メーカー!$A$1:$A$100, _xlpm.pos)
)</f>
        <v>ヴィアトリス製薬</v>
      </c>
      <c r="L54" cm="1">
        <f t="array" aca="1" ref="L54" ca="1">INDEX(_xlfn.FILTERXML("&lt;t&gt;&lt;s&gt;" &amp; SUBSTITUTE(MID(C54,23,999)," ","&lt;/s&gt;&lt;s&gt;") &amp; "&lt;/s&gt;&lt;/t&gt;","//s[number(.)=number(.)]"),1)</f>
        <v>1</v>
      </c>
      <c r="M54" cm="1">
        <f t="array" aca="1" ref="M54" ca="1">INDEX(
  _xlfn.FILTERXML("&lt;t&gt;&lt;s&gt;" &amp; SUBSTITUTE(MID(C54, 22 + LEN(I54) + 1, 999), " ", "&lt;/s&gt;&lt;s&gt;") &amp; "&lt;/s&gt;&lt;/t&gt;",
            "//s[number(.)=number(.)]"),
  2
)</f>
        <v>50</v>
      </c>
      <c r="N54" t="str" cm="1">
        <f t="array" aca="1" ref="N54" ca="1">_xlfn.REGEXEXTRACT(C54, "\d{2}:\d{2}:\d{2}")</f>
        <v>08:54:48</v>
      </c>
      <c r="O54" t="str">
        <f t="shared" ca="1" si="5"/>
        <v>24μg/カプセル PTP 10カプセル×50</v>
      </c>
      <c r="P54" t="str">
        <f t="shared" ca="1" si="6"/>
        <v>1</v>
      </c>
    </row>
    <row r="55" spans="2:16" x14ac:dyDescent="0.45">
      <c r="B55">
        <f t="shared" si="7"/>
        <v>216</v>
      </c>
      <c r="C55" t="str">
        <f ca="1">_xlfn.CONCAT(OFFSET(元!$B$10,'1行'!B55,0)," ",OFFSET(元!$B$12,'1行'!B55,0))</f>
        <v>2026/03/25 2026/04/01 リスパダール内用液1mg/mL ヤンセンファーマ 5 51 08:54:48 1mg/mL 1mL×50包4987672794160 5 0</v>
      </c>
      <c r="D55" cm="1">
        <f t="array" aca="1" ref="D55" ca="1">INDEX(_xlfn.FILTERXML("&lt;t&gt;&lt;s&gt;" &amp; SUBSTITUTE(C55," ","&lt;/s&gt;&lt;s&gt;") &amp; "&lt;/s&gt;&lt;/t&gt;","//s[number(.)=number(.)]"),
       COUNT(_xlfn.FILTERXML("&lt;t&gt;&lt;s&gt;" &amp; SUBSTITUTE(C55," ","&lt;/s&gt;&lt;s&gt;") &amp; "&lt;/s&gt;&lt;/t&gt;","//s[number(.)=number(.)]"))-1)</f>
        <v>5</v>
      </c>
      <c r="E55" cm="1">
        <f t="array" aca="1" ref="E55" ca="1">INDEX(_xlfn.FILTERXML("&lt;t&gt;&lt;s&gt;" &amp; SUBSTITUTE(C55," ","&lt;/s&gt;&lt;s&gt;") &amp; "&lt;/s&gt;&lt;/t&gt;","//s[number(.)=number(.)]"),
       COUNT(_xlfn.FILTERXML("&lt;t&gt;&lt;s&gt;" &amp; SUBSTITUTE(C55," ","&lt;/s&gt;&lt;s&gt;") &amp; "&lt;/s&gt;&lt;/t&gt;","//s[number(.)=number(.)]")))</f>
        <v>0</v>
      </c>
      <c r="F55" s="4" t="str">
        <f t="shared" ca="1" si="0"/>
        <v>4987672794160</v>
      </c>
      <c r="G55" s="4" t="str">
        <f t="shared" ca="1" si="1"/>
        <v>2026/03/25</v>
      </c>
      <c r="H55" t="str">
        <f t="shared" ca="1" si="2"/>
        <v>2026/04/01</v>
      </c>
      <c r="I55" t="str">
        <f t="shared" ca="1" si="3"/>
        <v>リスパダール内用液1mg/mL ヤンセンファーマ</v>
      </c>
      <c r="J55" t="str">
        <f t="shared" ca="1" si="4"/>
        <v xml:space="preserve">リスパダール内用液1mg/mL </v>
      </c>
      <c r="K55" t="str" cm="1">
        <f t="array" aca="1" ref="K55" ca="1">_xlfn.LET(
  _xlpm.s, SUBSTITUTE(SUBSTITUTE(I55," ",""),"　",""),
  _xlpm.dic, SUBSTITUTE(SUBSTITUTE(メーカー!$A$1:$A$100," ",""),"　",""),
  _xlpm.pos, MATCH(TRUE, RIGHT(_xlpm.s, LEN(_xlpm.dic)) = _xlpm.dic, 0),
  INDEX(メーカー!$A$1:$A$100, _xlpm.pos)
)</f>
        <v>ヤンセンファーマ</v>
      </c>
      <c r="L55" cm="1">
        <f t="array" aca="1" ref="L55" ca="1">INDEX(_xlfn.FILTERXML("&lt;t&gt;&lt;s&gt;" &amp; SUBSTITUTE(MID(C55,23,999)," ","&lt;/s&gt;&lt;s&gt;") &amp; "&lt;/s&gt;&lt;/t&gt;","//s[number(.)=number(.)]"),1)</f>
        <v>5</v>
      </c>
      <c r="M55" cm="1">
        <f t="array" aca="1" ref="M55" ca="1">INDEX(
  _xlfn.FILTERXML("&lt;t&gt;&lt;s&gt;" &amp; SUBSTITUTE(MID(C55, 22 + LEN(I55) + 1, 999), " ", "&lt;/s&gt;&lt;s&gt;") &amp; "&lt;/s&gt;&lt;/t&gt;",
            "//s[number(.)=number(.)]"),
  2
)</f>
        <v>51</v>
      </c>
      <c r="N55" t="str" cm="1">
        <f t="array" aca="1" ref="N55" ca="1">_xlfn.REGEXEXTRACT(C55, "\d{2}:\d{2}:\d{2}")</f>
        <v>08:54:48</v>
      </c>
      <c r="O55" t="str">
        <f t="shared" ca="1" si="5"/>
        <v>1mg/mL 1mL×50包</v>
      </c>
      <c r="P55" t="str">
        <f t="shared" ca="1" si="6"/>
        <v>5</v>
      </c>
    </row>
    <row r="56" spans="2:16" x14ac:dyDescent="0.45">
      <c r="B56">
        <f t="shared" si="7"/>
        <v>220</v>
      </c>
      <c r="C56" t="str">
        <f ca="1">_xlfn.CONCAT(OFFSET(元!$B$10,'1行'!B56,0)," ",OFFSET(元!$B$12,'1行'!B56,0))</f>
        <v>2026/03/25 2026/04/01 トレシーバ注 フレックスタッチノボノルディスクファーマ 1 52 08:54:48 300単位1キット×2キット4987616003167 1 0</v>
      </c>
      <c r="D56" cm="1">
        <f t="array" aca="1" ref="D56" ca="1">INDEX(_xlfn.FILTERXML("&lt;t&gt;&lt;s&gt;" &amp; SUBSTITUTE(C56," ","&lt;/s&gt;&lt;s&gt;") &amp; "&lt;/s&gt;&lt;/t&gt;","//s[number(.)=number(.)]"),
       COUNT(_xlfn.FILTERXML("&lt;t&gt;&lt;s&gt;" &amp; SUBSTITUTE(C56," ","&lt;/s&gt;&lt;s&gt;") &amp; "&lt;/s&gt;&lt;/t&gt;","//s[number(.)=number(.)]"))-1)</f>
        <v>1</v>
      </c>
      <c r="E56" cm="1">
        <f t="array" aca="1" ref="E56" ca="1">INDEX(_xlfn.FILTERXML("&lt;t&gt;&lt;s&gt;" &amp; SUBSTITUTE(C56," ","&lt;/s&gt;&lt;s&gt;") &amp; "&lt;/s&gt;&lt;/t&gt;","//s[number(.)=number(.)]"),
       COUNT(_xlfn.FILTERXML("&lt;t&gt;&lt;s&gt;" &amp; SUBSTITUTE(C56," ","&lt;/s&gt;&lt;s&gt;") &amp; "&lt;/s&gt;&lt;/t&gt;","//s[number(.)=number(.)]")))</f>
        <v>0</v>
      </c>
      <c r="F56" s="4" t="str">
        <f t="shared" ca="1" si="0"/>
        <v>4987616003167</v>
      </c>
      <c r="G56" s="4" t="str">
        <f t="shared" ca="1" si="1"/>
        <v>2026/03/25</v>
      </c>
      <c r="H56" t="str">
        <f t="shared" ca="1" si="2"/>
        <v>2026/04/01</v>
      </c>
      <c r="I56" t="str">
        <f t="shared" ca="1" si="3"/>
        <v>トレシーバ注 フレックスタッチノボノルディスクファーマ</v>
      </c>
      <c r="J56" t="str">
        <f t="shared" ca="1" si="4"/>
        <v>トレシーバ注 フレックスタッチ</v>
      </c>
      <c r="K56" t="str" cm="1">
        <f t="array" aca="1" ref="K56" ca="1">_xlfn.LET(
  _xlpm.s, SUBSTITUTE(SUBSTITUTE(I56," ",""),"　",""),
  _xlpm.dic, SUBSTITUTE(SUBSTITUTE(メーカー!$A$1:$A$100," ",""),"　",""),
  _xlpm.pos, MATCH(TRUE, RIGHT(_xlpm.s, LEN(_xlpm.dic)) = _xlpm.dic, 0),
  INDEX(メーカー!$A$1:$A$100, _xlpm.pos)
)</f>
        <v>ノボノルディスクファーマ</v>
      </c>
      <c r="L56" cm="1">
        <f t="array" aca="1" ref="L56" ca="1">INDEX(_xlfn.FILTERXML("&lt;t&gt;&lt;s&gt;" &amp; SUBSTITUTE(MID(C56,23,999)," ","&lt;/s&gt;&lt;s&gt;") &amp; "&lt;/s&gt;&lt;/t&gt;","//s[number(.)=number(.)]"),1)</f>
        <v>1</v>
      </c>
      <c r="M56" cm="1">
        <f t="array" aca="1" ref="M56" ca="1">INDEX(
  _xlfn.FILTERXML("&lt;t&gt;&lt;s&gt;" &amp; SUBSTITUTE(MID(C56, 22 + LEN(I56) + 1, 999), " ", "&lt;/s&gt;&lt;s&gt;") &amp; "&lt;/s&gt;&lt;/t&gt;",
            "//s[number(.)=number(.)]"),
  2
)</f>
        <v>52</v>
      </c>
      <c r="N56" t="str" cm="1">
        <f t="array" aca="1" ref="N56" ca="1">_xlfn.REGEXEXTRACT(C56, "\d{2}:\d{2}:\d{2}")</f>
        <v>08:54:48</v>
      </c>
      <c r="O56" t="str">
        <f t="shared" ca="1" si="5"/>
        <v>300単位1キット×2キット</v>
      </c>
      <c r="P56" t="str">
        <f t="shared" ca="1" si="6"/>
        <v>1</v>
      </c>
    </row>
    <row r="57" spans="2:16" x14ac:dyDescent="0.45">
      <c r="B57">
        <f t="shared" si="7"/>
        <v>224</v>
      </c>
      <c r="C57" t="str">
        <f ca="1">_xlfn.CONCAT(OFFSET(元!$B$10,'1行'!B57,0)," ",OFFSET(元!$B$12,'1行'!B57,0))</f>
        <v>2026/03/25 2026/04/01 ゼプリオン水懸筋注100mgシリンジ住友ファーマ 1 53 08:54:48 100mg1キット×1キット4987116011150 1 0</v>
      </c>
      <c r="D57" cm="1">
        <f t="array" aca="1" ref="D57" ca="1">INDEX(_xlfn.FILTERXML("&lt;t&gt;&lt;s&gt;" &amp; SUBSTITUTE(C57," ","&lt;/s&gt;&lt;s&gt;") &amp; "&lt;/s&gt;&lt;/t&gt;","//s[number(.)=number(.)]"),
       COUNT(_xlfn.FILTERXML("&lt;t&gt;&lt;s&gt;" &amp; SUBSTITUTE(C57," ","&lt;/s&gt;&lt;s&gt;") &amp; "&lt;/s&gt;&lt;/t&gt;","//s[number(.)=number(.)]"))-1)</f>
        <v>1</v>
      </c>
      <c r="E57" cm="1">
        <f t="array" aca="1" ref="E57" ca="1">INDEX(_xlfn.FILTERXML("&lt;t&gt;&lt;s&gt;" &amp; SUBSTITUTE(C57," ","&lt;/s&gt;&lt;s&gt;") &amp; "&lt;/s&gt;&lt;/t&gt;","//s[number(.)=number(.)]"),
       COUNT(_xlfn.FILTERXML("&lt;t&gt;&lt;s&gt;" &amp; SUBSTITUTE(C57," ","&lt;/s&gt;&lt;s&gt;") &amp; "&lt;/s&gt;&lt;/t&gt;","//s[number(.)=number(.)]")))</f>
        <v>0</v>
      </c>
      <c r="F57" s="4" t="str">
        <f t="shared" ca="1" si="0"/>
        <v>4987116011150</v>
      </c>
      <c r="G57" s="4" t="str">
        <f t="shared" ca="1" si="1"/>
        <v>2026/03/25</v>
      </c>
      <c r="H57" t="str">
        <f t="shared" ca="1" si="2"/>
        <v>2026/04/01</v>
      </c>
      <c r="I57" t="str">
        <f t="shared" ca="1" si="3"/>
        <v>ゼプリオン水懸筋注100mgシリンジ住友ファーマ</v>
      </c>
      <c r="J57" t="str">
        <f t="shared" ca="1" si="4"/>
        <v>ゼプリオン水懸筋注100mgシリンジ</v>
      </c>
      <c r="K57" t="str" cm="1">
        <f t="array" aca="1" ref="K57" ca="1">_xlfn.LET(
  _xlpm.s, SUBSTITUTE(SUBSTITUTE(I57," ",""),"　",""),
  _xlpm.dic, SUBSTITUTE(SUBSTITUTE(メーカー!$A$1:$A$100," ",""),"　",""),
  _xlpm.pos, MATCH(TRUE, RIGHT(_xlpm.s, LEN(_xlpm.dic)) = _xlpm.dic, 0),
  INDEX(メーカー!$A$1:$A$100, _xlpm.pos)
)</f>
        <v>住友ファーマ</v>
      </c>
      <c r="L57" cm="1">
        <f t="array" aca="1" ref="L57" ca="1">INDEX(_xlfn.FILTERXML("&lt;t&gt;&lt;s&gt;" &amp; SUBSTITUTE(MID(C57,23,999)," ","&lt;/s&gt;&lt;s&gt;") &amp; "&lt;/s&gt;&lt;/t&gt;","//s[number(.)=number(.)]"),1)</f>
        <v>1</v>
      </c>
      <c r="M57" cm="1">
        <f t="array" aca="1" ref="M57" ca="1">INDEX(
  _xlfn.FILTERXML("&lt;t&gt;&lt;s&gt;" &amp; SUBSTITUTE(MID(C57, 22 + LEN(I57) + 1, 999), " ", "&lt;/s&gt;&lt;s&gt;") &amp; "&lt;/s&gt;&lt;/t&gt;",
            "//s[number(.)=number(.)]"),
  2
)</f>
        <v>53</v>
      </c>
      <c r="N57" t="str" cm="1">
        <f t="array" aca="1" ref="N57" ca="1">_xlfn.REGEXEXTRACT(C57, "\d{2}:\d{2}:\d{2}")</f>
        <v>08:54:48</v>
      </c>
      <c r="O57" t="str">
        <f t="shared" ca="1" si="5"/>
        <v>100mg1キット×1キット</v>
      </c>
      <c r="P57" t="str">
        <f t="shared" ca="1" si="6"/>
        <v>1</v>
      </c>
    </row>
    <row r="58" spans="2:16" x14ac:dyDescent="0.45">
      <c r="B58" s="3">
        <f>B57+10</f>
        <v>234</v>
      </c>
      <c r="C58" t="str">
        <f ca="1">_xlfn.CONCAT(OFFSET(元!$B$10,'1行'!B58,0)," ",OFFSET(元!$B$12,'1行'!B58,0))</f>
        <v>2026/03/26 2026/03/26 モビコール配合内用剤LD 持田製薬 2 1 15:43:55 分包 6.8523g1包×100包4987224143521 2 0</v>
      </c>
      <c r="D58" cm="1">
        <f t="array" aca="1" ref="D58" ca="1">INDEX(_xlfn.FILTERXML("&lt;t&gt;&lt;s&gt;" &amp; SUBSTITUTE(C58," ","&lt;/s&gt;&lt;s&gt;") &amp; "&lt;/s&gt;&lt;/t&gt;","//s[number(.)=number(.)]"),
       COUNT(_xlfn.FILTERXML("&lt;t&gt;&lt;s&gt;" &amp; SUBSTITUTE(C58," ","&lt;/s&gt;&lt;s&gt;") &amp; "&lt;/s&gt;&lt;/t&gt;","//s[number(.)=number(.)]"))-1)</f>
        <v>2</v>
      </c>
      <c r="E58" cm="1">
        <f t="array" aca="1" ref="E58" ca="1">INDEX(_xlfn.FILTERXML("&lt;t&gt;&lt;s&gt;" &amp; SUBSTITUTE(C58," ","&lt;/s&gt;&lt;s&gt;") &amp; "&lt;/s&gt;&lt;/t&gt;","//s[number(.)=number(.)]"),
       COUNT(_xlfn.FILTERXML("&lt;t&gt;&lt;s&gt;" &amp; SUBSTITUTE(C58," ","&lt;/s&gt;&lt;s&gt;") &amp; "&lt;/s&gt;&lt;/t&gt;","//s[number(.)=number(.)]")))</f>
        <v>0</v>
      </c>
      <c r="F58" s="4" t="str">
        <f t="shared" ca="1" si="0"/>
        <v>4987224143521</v>
      </c>
      <c r="G58" s="4" t="str">
        <f t="shared" ca="1" si="1"/>
        <v>2026/03/26</v>
      </c>
      <c r="H58" t="str">
        <f t="shared" ca="1" si="2"/>
        <v>2026/03/26</v>
      </c>
      <c r="I58" t="str">
        <f t="shared" ca="1" si="3"/>
        <v>モビコール配合内用剤LD 持田製薬</v>
      </c>
      <c r="J58" t="str">
        <f t="shared" ca="1" si="4"/>
        <v xml:space="preserve">モビコール配合内用剤LD </v>
      </c>
      <c r="K58" t="str" cm="1">
        <f t="array" aca="1" ref="K58" ca="1">_xlfn.LET(
  _xlpm.s, SUBSTITUTE(SUBSTITUTE(I58," ",""),"　",""),
  _xlpm.dic, SUBSTITUTE(SUBSTITUTE(メーカー!$A$1:$A$100," ",""),"　",""),
  _xlpm.pos, MATCH(TRUE, RIGHT(_xlpm.s, LEN(_xlpm.dic)) = _xlpm.dic, 0),
  INDEX(メーカー!$A$1:$A$100, _xlpm.pos)
)</f>
        <v>持田製薬</v>
      </c>
      <c r="L58" cm="1">
        <f t="array" aca="1" ref="L58" ca="1">INDEX(_xlfn.FILTERXML("&lt;t&gt;&lt;s&gt;" &amp; SUBSTITUTE(MID(C58,23,999)," ","&lt;/s&gt;&lt;s&gt;") &amp; "&lt;/s&gt;&lt;/t&gt;","//s[number(.)=number(.)]"),1)</f>
        <v>2</v>
      </c>
      <c r="M58" cm="1">
        <f t="array" aca="1" ref="M58" ca="1">INDEX(
  _xlfn.FILTERXML("&lt;t&gt;&lt;s&gt;" &amp; SUBSTITUTE(MID(C58, 22 + LEN(I58) + 1, 999), " ", "&lt;/s&gt;&lt;s&gt;") &amp; "&lt;/s&gt;&lt;/t&gt;",
            "//s[number(.)=number(.)]"),
  2
)</f>
        <v>1</v>
      </c>
      <c r="N58" t="str" cm="1">
        <f t="array" aca="1" ref="N58" ca="1">_xlfn.REGEXEXTRACT(C58, "\d{2}:\d{2}:\d{2}")</f>
        <v>15:43:55</v>
      </c>
      <c r="O58" t="str">
        <f t="shared" ca="1" si="5"/>
        <v>分包 6.8523g1包×100包</v>
      </c>
      <c r="P58" t="str">
        <f t="shared" ca="1" si="6"/>
        <v>2</v>
      </c>
    </row>
    <row r="59" spans="2:16" x14ac:dyDescent="0.45">
      <c r="B59">
        <f t="shared" si="7"/>
        <v>238</v>
      </c>
      <c r="C59" t="str">
        <f ca="1">_xlfn.CONCAT(OFFSET(元!$B$10,'1行'!B59,0)," ",OFFSET(元!$B$12,'1行'!B59,0))</f>
        <v>2026/03/26 2026/03/26 ツムラ抑肝散エキス顆粒(医療用) ツムラ 2 2 15:43:55 分包 2.5g×189包4987138805430 2 0</v>
      </c>
      <c r="D59" cm="1">
        <f t="array" aca="1" ref="D59" ca="1">INDEX(_xlfn.FILTERXML("&lt;t&gt;&lt;s&gt;" &amp; SUBSTITUTE(C59," ","&lt;/s&gt;&lt;s&gt;") &amp; "&lt;/s&gt;&lt;/t&gt;","//s[number(.)=number(.)]"),
       COUNT(_xlfn.FILTERXML("&lt;t&gt;&lt;s&gt;" &amp; SUBSTITUTE(C59," ","&lt;/s&gt;&lt;s&gt;") &amp; "&lt;/s&gt;&lt;/t&gt;","//s[number(.)=number(.)]"))-1)</f>
        <v>2</v>
      </c>
      <c r="E59" cm="1">
        <f t="array" aca="1" ref="E59" ca="1">INDEX(_xlfn.FILTERXML("&lt;t&gt;&lt;s&gt;" &amp; SUBSTITUTE(C59," ","&lt;/s&gt;&lt;s&gt;") &amp; "&lt;/s&gt;&lt;/t&gt;","//s[number(.)=number(.)]"),
       COUNT(_xlfn.FILTERXML("&lt;t&gt;&lt;s&gt;" &amp; SUBSTITUTE(C59," ","&lt;/s&gt;&lt;s&gt;") &amp; "&lt;/s&gt;&lt;/t&gt;","//s[number(.)=number(.)]")))</f>
        <v>0</v>
      </c>
      <c r="F59" s="4" t="str">
        <f t="shared" ca="1" si="0"/>
        <v>4987138805430</v>
      </c>
      <c r="G59" s="4" t="str">
        <f t="shared" ca="1" si="1"/>
        <v>2026/03/26</v>
      </c>
      <c r="H59" t="str">
        <f t="shared" ca="1" si="2"/>
        <v>2026/03/26</v>
      </c>
      <c r="I59" t="str">
        <f t="shared" ca="1" si="3"/>
        <v>ツムラ抑肝散エキス顆粒(医療用) ツムラ</v>
      </c>
      <c r="J59" t="str">
        <f t="shared" ca="1" si="4"/>
        <v xml:space="preserve">ツムラ抑肝散エキス顆粒(医療用) </v>
      </c>
      <c r="K59" t="str" cm="1">
        <f t="array" aca="1" ref="K59" ca="1">_xlfn.LET(
  _xlpm.s, SUBSTITUTE(SUBSTITUTE(I59," ",""),"　",""),
  _xlpm.dic, SUBSTITUTE(SUBSTITUTE(メーカー!$A$1:$A$100," ",""),"　",""),
  _xlpm.pos, MATCH(TRUE, RIGHT(_xlpm.s, LEN(_xlpm.dic)) = _xlpm.dic, 0),
  INDEX(メーカー!$A$1:$A$100, _xlpm.pos)
)</f>
        <v>ツムラ</v>
      </c>
      <c r="L59" cm="1">
        <f t="array" aca="1" ref="L59" ca="1">INDEX(_xlfn.FILTERXML("&lt;t&gt;&lt;s&gt;" &amp; SUBSTITUTE(MID(C59,23,999)," ","&lt;/s&gt;&lt;s&gt;") &amp; "&lt;/s&gt;&lt;/t&gt;","//s[number(.)=number(.)]"),1)</f>
        <v>2</v>
      </c>
      <c r="M59" cm="1">
        <f t="array" aca="1" ref="M59" ca="1">INDEX(
  _xlfn.FILTERXML("&lt;t&gt;&lt;s&gt;" &amp; SUBSTITUTE(MID(C59, 22 + LEN(I59) + 1, 999), " ", "&lt;/s&gt;&lt;s&gt;") &amp; "&lt;/s&gt;&lt;/t&gt;",
            "//s[number(.)=number(.)]"),
  2
)</f>
        <v>2</v>
      </c>
      <c r="N59" t="str" cm="1">
        <f t="array" aca="1" ref="N59" ca="1">_xlfn.REGEXEXTRACT(C59, "\d{2}:\d{2}:\d{2}")</f>
        <v>15:43:55</v>
      </c>
      <c r="O59" t="str">
        <f t="shared" ca="1" si="5"/>
        <v>分包 2.5g×189包</v>
      </c>
      <c r="P59" t="str">
        <f t="shared" ca="1" si="6"/>
        <v>2</v>
      </c>
    </row>
    <row r="60" spans="2:16" x14ac:dyDescent="0.45">
      <c r="B60">
        <f t="shared" si="7"/>
        <v>242</v>
      </c>
      <c r="C60" t="str">
        <f ca="1">_xlfn.CONCAT(OFFSET(元!$B$10,'1行'!B60,0)," ",OFFSET(元!$B$12,'1行'!B60,0))</f>
        <v>2026/03/26 2026/03/26 ソルデム1輸液　200ｍｌ テルモ 2 3 15:43:55 200mL×30袋4987350088710 2 0</v>
      </c>
      <c r="D60" cm="1">
        <f t="array" aca="1" ref="D60" ca="1">INDEX(_xlfn.FILTERXML("&lt;t&gt;&lt;s&gt;" &amp; SUBSTITUTE(C60," ","&lt;/s&gt;&lt;s&gt;") &amp; "&lt;/s&gt;&lt;/t&gt;","//s[number(.)=number(.)]"),
       COUNT(_xlfn.FILTERXML("&lt;t&gt;&lt;s&gt;" &amp; SUBSTITUTE(C60," ","&lt;/s&gt;&lt;s&gt;") &amp; "&lt;/s&gt;&lt;/t&gt;","//s[number(.)=number(.)]"))-1)</f>
        <v>2</v>
      </c>
      <c r="E60" cm="1">
        <f t="array" aca="1" ref="E60" ca="1">INDEX(_xlfn.FILTERXML("&lt;t&gt;&lt;s&gt;" &amp; SUBSTITUTE(C60," ","&lt;/s&gt;&lt;s&gt;") &amp; "&lt;/s&gt;&lt;/t&gt;","//s[number(.)=number(.)]"),
       COUNT(_xlfn.FILTERXML("&lt;t&gt;&lt;s&gt;" &amp; SUBSTITUTE(C60," ","&lt;/s&gt;&lt;s&gt;") &amp; "&lt;/s&gt;&lt;/t&gt;","//s[number(.)=number(.)]")))</f>
        <v>0</v>
      </c>
      <c r="F60" s="4" t="str">
        <f t="shared" ca="1" si="0"/>
        <v>4987350088710</v>
      </c>
      <c r="G60" s="4" t="str">
        <f t="shared" ca="1" si="1"/>
        <v>2026/03/26</v>
      </c>
      <c r="H60" t="str">
        <f t="shared" ca="1" si="2"/>
        <v>2026/03/26</v>
      </c>
      <c r="I60" t="str">
        <f t="shared" ca="1" si="3"/>
        <v>ソルデム1輸液　200ｍｌ テルモ</v>
      </c>
      <c r="J60" t="str">
        <f t="shared" ca="1" si="4"/>
        <v xml:space="preserve">ソルデム1輸液　200ｍｌ </v>
      </c>
      <c r="K60" t="str" cm="1">
        <f t="array" aca="1" ref="K60" ca="1">_xlfn.LET(
  _xlpm.s, SUBSTITUTE(SUBSTITUTE(I60," ",""),"　",""),
  _xlpm.dic, SUBSTITUTE(SUBSTITUTE(メーカー!$A$1:$A$100," ",""),"　",""),
  _xlpm.pos, MATCH(TRUE, RIGHT(_xlpm.s, LEN(_xlpm.dic)) = _xlpm.dic, 0),
  INDEX(メーカー!$A$1:$A$100, _xlpm.pos)
)</f>
        <v>テルモ</v>
      </c>
      <c r="L60" cm="1">
        <f t="array" aca="1" ref="L60" ca="1">INDEX(_xlfn.FILTERXML("&lt;t&gt;&lt;s&gt;" &amp; SUBSTITUTE(MID(C60,23,999)," ","&lt;/s&gt;&lt;s&gt;") &amp; "&lt;/s&gt;&lt;/t&gt;","//s[number(.)=number(.)]"),1)</f>
        <v>2</v>
      </c>
      <c r="M60" cm="1">
        <f t="array" aca="1" ref="M60" ca="1">INDEX(
  _xlfn.FILTERXML("&lt;t&gt;&lt;s&gt;" &amp; SUBSTITUTE(MID(C60, 22 + LEN(I60) + 1, 999), " ", "&lt;/s&gt;&lt;s&gt;") &amp; "&lt;/s&gt;&lt;/t&gt;",
            "//s[number(.)=number(.)]"),
  2
)</f>
        <v>3</v>
      </c>
      <c r="N60" t="str" cm="1">
        <f t="array" aca="1" ref="N60" ca="1">_xlfn.REGEXEXTRACT(C60, "\d{2}:\d{2}:\d{2}")</f>
        <v>15:43:55</v>
      </c>
      <c r="O60" t="str">
        <f t="shared" ca="1" si="5"/>
        <v>200mL×30袋</v>
      </c>
      <c r="P60" t="str">
        <f t="shared" ca="1" si="6"/>
        <v>2</v>
      </c>
    </row>
    <row r="61" spans="2:16" x14ac:dyDescent="0.45">
      <c r="B61">
        <f t="shared" si="7"/>
        <v>246</v>
      </c>
      <c r="C61" t="str">
        <f ca="1">_xlfn.CONCAT(OFFSET(元!$B$10,'1行'!B61,0)," ",OFFSET(元!$B$12,'1行'!B61,0))</f>
        <v>2026/03/26 2026/03/26 ラスビック点滴静注キット150mg 杏林製薬 3 4 15:43:55 150mg1キット×1キット (76mL専用希釈液(注入針入り支持筒付容器付)) 4987060008909 3 0</v>
      </c>
      <c r="D61" cm="1">
        <f t="array" aca="1" ref="D61" ca="1">INDEX(_xlfn.FILTERXML("&lt;t&gt;&lt;s&gt;" &amp; SUBSTITUTE(C61," ","&lt;/s&gt;&lt;s&gt;") &amp; "&lt;/s&gt;&lt;/t&gt;","//s[number(.)=number(.)]"),
       COUNT(_xlfn.FILTERXML("&lt;t&gt;&lt;s&gt;" &amp; SUBSTITUTE(C61," ","&lt;/s&gt;&lt;s&gt;") &amp; "&lt;/s&gt;&lt;/t&gt;","//s[number(.)=number(.)]"))-1)</f>
        <v>3</v>
      </c>
      <c r="E61" cm="1">
        <f t="array" aca="1" ref="E61" ca="1">INDEX(_xlfn.FILTERXML("&lt;t&gt;&lt;s&gt;" &amp; SUBSTITUTE(C61," ","&lt;/s&gt;&lt;s&gt;") &amp; "&lt;/s&gt;&lt;/t&gt;","//s[number(.)=number(.)]"),
       COUNT(_xlfn.FILTERXML("&lt;t&gt;&lt;s&gt;" &amp; SUBSTITUTE(C61," ","&lt;/s&gt;&lt;s&gt;") &amp; "&lt;/s&gt;&lt;/t&gt;","//s[number(.)=number(.)]")))</f>
        <v>0</v>
      </c>
      <c r="F61" s="4" t="str">
        <f t="shared" ca="1" si="0"/>
        <v>4987060008909</v>
      </c>
      <c r="G61" s="4" t="str">
        <f t="shared" ca="1" si="1"/>
        <v>2026/03/26</v>
      </c>
      <c r="H61" t="str">
        <f t="shared" ca="1" si="2"/>
        <v>2026/03/26</v>
      </c>
      <c r="I61" t="str">
        <f t="shared" ca="1" si="3"/>
        <v>ラスビック点滴静注キット150mg 杏林製薬</v>
      </c>
      <c r="J61" t="str">
        <f t="shared" ca="1" si="4"/>
        <v xml:space="preserve">ラスビック点滴静注キット150mg </v>
      </c>
      <c r="K61" t="str" cm="1">
        <f t="array" aca="1" ref="K61" ca="1">_xlfn.LET(
  _xlpm.s, SUBSTITUTE(SUBSTITUTE(I61," ",""),"　",""),
  _xlpm.dic, SUBSTITUTE(SUBSTITUTE(メーカー!$A$1:$A$100," ",""),"　",""),
  _xlpm.pos, MATCH(TRUE, RIGHT(_xlpm.s, LEN(_xlpm.dic)) = _xlpm.dic, 0),
  INDEX(メーカー!$A$1:$A$100, _xlpm.pos)
)</f>
        <v>杏林製薬</v>
      </c>
      <c r="L61" cm="1">
        <f t="array" aca="1" ref="L61" ca="1">INDEX(_xlfn.FILTERXML("&lt;t&gt;&lt;s&gt;" &amp; SUBSTITUTE(MID(C61,23,999)," ","&lt;/s&gt;&lt;s&gt;") &amp; "&lt;/s&gt;&lt;/t&gt;","//s[number(.)=number(.)]"),1)</f>
        <v>3</v>
      </c>
      <c r="M61" cm="1">
        <f t="array" aca="1" ref="M61" ca="1">INDEX(
  _xlfn.FILTERXML("&lt;t&gt;&lt;s&gt;" &amp; SUBSTITUTE(MID(C61, 22 + LEN(I61) + 1, 999), " ", "&lt;/s&gt;&lt;s&gt;") &amp; "&lt;/s&gt;&lt;/t&gt;",
            "//s[number(.)=number(.)]"),
  2
)</f>
        <v>4</v>
      </c>
      <c r="N61" t="str" cm="1">
        <f t="array" aca="1" ref="N61" ca="1">_xlfn.REGEXEXTRACT(C61, "\d{2}:\d{2}:\d{2}")</f>
        <v>15:43:55</v>
      </c>
      <c r="O61" t="str">
        <f t="shared" ca="1" si="5"/>
        <v>150mg1キット×1キット (76mL専用希釈液(注入針入り支持筒付容器付))</v>
      </c>
      <c r="P61" t="str">
        <f t="shared" ca="1" si="6"/>
        <v>3</v>
      </c>
    </row>
    <row r="62" spans="2:16" x14ac:dyDescent="0.45">
      <c r="B62" s="3">
        <f>B61+20</f>
        <v>266</v>
      </c>
      <c r="C62" t="str">
        <f ca="1">_xlfn.CONCAT(OFFSET(元!$B$10,'1行'!B62,0)," ",OFFSET(元!$B$12,'1行'!B62,0))</f>
        <v>2026/03/26 2026/03/26 グリセリン浣腸液50%「ムネ」60mL 丸石製薬 12 5 15:43:55 50%60mL1個×10個 (ポリ) 4987211123710 12 0</v>
      </c>
      <c r="D62" cm="1">
        <f t="array" aca="1" ref="D62" ca="1">INDEX(_xlfn.FILTERXML("&lt;t&gt;&lt;s&gt;" &amp; SUBSTITUTE(C62," ","&lt;/s&gt;&lt;s&gt;") &amp; "&lt;/s&gt;&lt;/t&gt;","//s[number(.)=number(.)]"),
       COUNT(_xlfn.FILTERXML("&lt;t&gt;&lt;s&gt;" &amp; SUBSTITUTE(C62," ","&lt;/s&gt;&lt;s&gt;") &amp; "&lt;/s&gt;&lt;/t&gt;","//s[number(.)=number(.)]"))-1)</f>
        <v>12</v>
      </c>
      <c r="E62" cm="1">
        <f t="array" aca="1" ref="E62" ca="1">INDEX(_xlfn.FILTERXML("&lt;t&gt;&lt;s&gt;" &amp; SUBSTITUTE(C62," ","&lt;/s&gt;&lt;s&gt;") &amp; "&lt;/s&gt;&lt;/t&gt;","//s[number(.)=number(.)]"),
       COUNT(_xlfn.FILTERXML("&lt;t&gt;&lt;s&gt;" &amp; SUBSTITUTE(C62," ","&lt;/s&gt;&lt;s&gt;") &amp; "&lt;/s&gt;&lt;/t&gt;","//s[number(.)=number(.)]")))</f>
        <v>0</v>
      </c>
      <c r="F62" s="4" t="str">
        <f t="shared" ca="1" si="0"/>
        <v>4987211123710</v>
      </c>
      <c r="G62" s="4" t="str">
        <f t="shared" ca="1" si="1"/>
        <v>2026/03/26</v>
      </c>
      <c r="H62" t="str">
        <f t="shared" ca="1" si="2"/>
        <v>2026/03/26</v>
      </c>
      <c r="I62" t="str">
        <f t="shared" ca="1" si="3"/>
        <v>グリセリン浣腸液50%「ムネ」60mL 丸石製薬</v>
      </c>
      <c r="J62" t="str">
        <f t="shared" ca="1" si="4"/>
        <v xml:space="preserve">グリセリン浣腸液50%「ムネ」60mL </v>
      </c>
      <c r="K62" t="str" cm="1">
        <f t="array" aca="1" ref="K62" ca="1">_xlfn.LET(
  _xlpm.s, SUBSTITUTE(SUBSTITUTE(I62," ",""),"　",""),
  _xlpm.dic, SUBSTITUTE(SUBSTITUTE(メーカー!$A$1:$A$100," ",""),"　",""),
  _xlpm.pos, MATCH(TRUE, RIGHT(_xlpm.s, LEN(_xlpm.dic)) = _xlpm.dic, 0),
  INDEX(メーカー!$A$1:$A$100, _xlpm.pos)
)</f>
        <v>丸石製薬</v>
      </c>
      <c r="L62" cm="1">
        <f t="array" aca="1" ref="L62" ca="1">INDEX(_xlfn.FILTERXML("&lt;t&gt;&lt;s&gt;" &amp; SUBSTITUTE(MID(C62,23,999)," ","&lt;/s&gt;&lt;s&gt;") &amp; "&lt;/s&gt;&lt;/t&gt;","//s[number(.)=number(.)]"),1)</f>
        <v>12</v>
      </c>
      <c r="M62" cm="1">
        <f t="array" aca="1" ref="M62" ca="1">INDEX(
  _xlfn.FILTERXML("&lt;t&gt;&lt;s&gt;" &amp; SUBSTITUTE(MID(C62, 22 + LEN(I62) + 1, 999), " ", "&lt;/s&gt;&lt;s&gt;") &amp; "&lt;/s&gt;&lt;/t&gt;",
            "//s[number(.)=number(.)]"),
  2
)</f>
        <v>5</v>
      </c>
      <c r="N62" t="str" cm="1">
        <f t="array" aca="1" ref="N62" ca="1">_xlfn.REGEXEXTRACT(C62, "\d{2}:\d{2}:\d{2}")</f>
        <v>15:43:55</v>
      </c>
      <c r="O62" t="str">
        <f t="shared" ca="1" si="5"/>
        <v>50%60mL1個×10個 (ポリ)</v>
      </c>
      <c r="P62" t="str">
        <f t="shared" ca="1" si="6"/>
        <v>12</v>
      </c>
    </row>
    <row r="63" spans="2:16" x14ac:dyDescent="0.45">
      <c r="B63">
        <f t="shared" si="7"/>
        <v>270</v>
      </c>
      <c r="C63" t="str">
        <f ca="1">_xlfn.CONCAT(OFFSET(元!$B$10,'1行'!B63,0)," ",OFFSET(元!$B$12,'1行'!B63,0))</f>
        <v>2026/03/26 2026/03/26 リクシアナOD錠30mg 第一三共 1 6 15:43:55 30mg/錠 バラ 100錠×1瓶4987081107063 1 0</v>
      </c>
      <c r="D63" cm="1">
        <f t="array" aca="1" ref="D63" ca="1">INDEX(_xlfn.FILTERXML("&lt;t&gt;&lt;s&gt;" &amp; SUBSTITUTE(C63," ","&lt;/s&gt;&lt;s&gt;") &amp; "&lt;/s&gt;&lt;/t&gt;","//s[number(.)=number(.)]"),
       COUNT(_xlfn.FILTERXML("&lt;t&gt;&lt;s&gt;" &amp; SUBSTITUTE(C63," ","&lt;/s&gt;&lt;s&gt;") &amp; "&lt;/s&gt;&lt;/t&gt;","//s[number(.)=number(.)]"))-1)</f>
        <v>1</v>
      </c>
      <c r="E63" cm="1">
        <f t="array" aca="1" ref="E63" ca="1">INDEX(_xlfn.FILTERXML("&lt;t&gt;&lt;s&gt;" &amp; SUBSTITUTE(C63," ","&lt;/s&gt;&lt;s&gt;") &amp; "&lt;/s&gt;&lt;/t&gt;","//s[number(.)=number(.)]"),
       COUNT(_xlfn.FILTERXML("&lt;t&gt;&lt;s&gt;" &amp; SUBSTITUTE(C63," ","&lt;/s&gt;&lt;s&gt;") &amp; "&lt;/s&gt;&lt;/t&gt;","//s[number(.)=number(.)]")))</f>
        <v>0</v>
      </c>
      <c r="F63" s="4" t="str">
        <f t="shared" ca="1" si="0"/>
        <v>4987081107063</v>
      </c>
      <c r="G63" s="4" t="str">
        <f t="shared" ca="1" si="1"/>
        <v>2026/03/26</v>
      </c>
      <c r="H63" t="str">
        <f t="shared" ca="1" si="2"/>
        <v>2026/03/26</v>
      </c>
      <c r="I63" t="str">
        <f t="shared" ca="1" si="3"/>
        <v>リクシアナOD錠30mg 第一三共</v>
      </c>
      <c r="J63" t="str">
        <f t="shared" ca="1" si="4"/>
        <v xml:space="preserve">リクシアナOD錠30mg </v>
      </c>
      <c r="K63" t="str" cm="1">
        <f t="array" aca="1" ref="K63" ca="1">_xlfn.LET(
  _xlpm.s, SUBSTITUTE(SUBSTITUTE(I63," ",""),"　",""),
  _xlpm.dic, SUBSTITUTE(SUBSTITUTE(メーカー!$A$1:$A$100," ",""),"　",""),
  _xlpm.pos, MATCH(TRUE, RIGHT(_xlpm.s, LEN(_xlpm.dic)) = _xlpm.dic, 0),
  INDEX(メーカー!$A$1:$A$100, _xlpm.pos)
)</f>
        <v>第一三共</v>
      </c>
      <c r="L63" cm="1">
        <f t="array" aca="1" ref="L63" ca="1">INDEX(_xlfn.FILTERXML("&lt;t&gt;&lt;s&gt;" &amp; SUBSTITUTE(MID(C63,23,999)," ","&lt;/s&gt;&lt;s&gt;") &amp; "&lt;/s&gt;&lt;/t&gt;","//s[number(.)=number(.)]"),1)</f>
        <v>1</v>
      </c>
      <c r="M63" cm="1">
        <f t="array" aca="1" ref="M63" ca="1">INDEX(
  _xlfn.FILTERXML("&lt;t&gt;&lt;s&gt;" &amp; SUBSTITUTE(MID(C63, 22 + LEN(I63) + 1, 999), " ", "&lt;/s&gt;&lt;s&gt;") &amp; "&lt;/s&gt;&lt;/t&gt;",
            "//s[number(.)=number(.)]"),
  2
)</f>
        <v>6</v>
      </c>
      <c r="N63" t="str" cm="1">
        <f t="array" aca="1" ref="N63" ca="1">_xlfn.REGEXEXTRACT(C63, "\d{2}:\d{2}:\d{2}")</f>
        <v>15:43:55</v>
      </c>
      <c r="O63" t="str">
        <f t="shared" ca="1" si="5"/>
        <v>30mg/錠 バラ 100錠×1瓶</v>
      </c>
      <c r="P63" t="str">
        <f t="shared" ca="1" si="6"/>
        <v>1</v>
      </c>
    </row>
    <row r="64" spans="2:16" x14ac:dyDescent="0.45">
      <c r="B64">
        <f t="shared" si="7"/>
        <v>274</v>
      </c>
      <c r="C64" t="str">
        <f ca="1">_xlfn.CONCAT(OFFSET(元!$B$10,'1行'!B64,0)," ",OFFSET(元!$B$12,'1行'!B64,0))</f>
        <v>2026/03/25 2026/04/01 ツムラ八味地黄丸エキス顆粒(医療用) ツムラ 1 7 08:54:48 分包 2.5g×189包4987138800732 1 0</v>
      </c>
      <c r="D64" cm="1">
        <f t="array" aca="1" ref="D64" ca="1">INDEX(_xlfn.FILTERXML("&lt;t&gt;&lt;s&gt;" &amp; SUBSTITUTE(C64," ","&lt;/s&gt;&lt;s&gt;") &amp; "&lt;/s&gt;&lt;/t&gt;","//s[number(.)=number(.)]"),
       COUNT(_xlfn.FILTERXML("&lt;t&gt;&lt;s&gt;" &amp; SUBSTITUTE(C64," ","&lt;/s&gt;&lt;s&gt;") &amp; "&lt;/s&gt;&lt;/t&gt;","//s[number(.)=number(.)]"))-1)</f>
        <v>1</v>
      </c>
      <c r="E64" cm="1">
        <f t="array" aca="1" ref="E64" ca="1">INDEX(_xlfn.FILTERXML("&lt;t&gt;&lt;s&gt;" &amp; SUBSTITUTE(C64," ","&lt;/s&gt;&lt;s&gt;") &amp; "&lt;/s&gt;&lt;/t&gt;","//s[number(.)=number(.)]"),
       COUNT(_xlfn.FILTERXML("&lt;t&gt;&lt;s&gt;" &amp; SUBSTITUTE(C64," ","&lt;/s&gt;&lt;s&gt;") &amp; "&lt;/s&gt;&lt;/t&gt;","//s[number(.)=number(.)]")))</f>
        <v>0</v>
      </c>
      <c r="F64" s="4" t="str">
        <f t="shared" ca="1" si="0"/>
        <v>4987138800732</v>
      </c>
      <c r="G64" s="4" t="str">
        <f t="shared" ca="1" si="1"/>
        <v>2026/03/25</v>
      </c>
      <c r="H64" t="str">
        <f t="shared" ca="1" si="2"/>
        <v>2026/04/01</v>
      </c>
      <c r="I64" t="str">
        <f t="shared" ca="1" si="3"/>
        <v>ツムラ八味地黄丸エキス顆粒(医療用) ツムラ</v>
      </c>
      <c r="J64" t="str">
        <f t="shared" ca="1" si="4"/>
        <v xml:space="preserve">ツムラ八味地黄丸エキス顆粒(医療用) </v>
      </c>
      <c r="K64" t="str" cm="1">
        <f t="array" aca="1" ref="K64" ca="1">_xlfn.LET(
  _xlpm.s, SUBSTITUTE(SUBSTITUTE(I64," ",""),"　",""),
  _xlpm.dic, SUBSTITUTE(SUBSTITUTE(メーカー!$A$1:$A$100," ",""),"　",""),
  _xlpm.pos, MATCH(TRUE, RIGHT(_xlpm.s, LEN(_xlpm.dic)) = _xlpm.dic, 0),
  INDEX(メーカー!$A$1:$A$100, _xlpm.pos)
)</f>
        <v>ツムラ</v>
      </c>
      <c r="L64" cm="1">
        <f t="array" aca="1" ref="L64" ca="1">INDEX(_xlfn.FILTERXML("&lt;t&gt;&lt;s&gt;" &amp; SUBSTITUTE(MID(C64,23,999)," ","&lt;/s&gt;&lt;s&gt;") &amp; "&lt;/s&gt;&lt;/t&gt;","//s[number(.)=number(.)]"),1)</f>
        <v>1</v>
      </c>
      <c r="M64" cm="1">
        <f t="array" aca="1" ref="M64" ca="1">INDEX(
  _xlfn.FILTERXML("&lt;t&gt;&lt;s&gt;" &amp; SUBSTITUTE(MID(C64, 22 + LEN(I64) + 1, 999), " ", "&lt;/s&gt;&lt;s&gt;") &amp; "&lt;/s&gt;&lt;/t&gt;",
            "//s[number(.)=number(.)]"),
  2
)</f>
        <v>7</v>
      </c>
      <c r="N64" t="str" cm="1">
        <f t="array" aca="1" ref="N64" ca="1">_xlfn.REGEXEXTRACT(C64, "\d{2}:\d{2}:\d{2}")</f>
        <v>08:54:48</v>
      </c>
      <c r="O64" t="str">
        <f t="shared" ca="1" si="5"/>
        <v>分包 2.5g×189包</v>
      </c>
      <c r="P64" t="str">
        <f t="shared" ca="1" si="6"/>
        <v>1</v>
      </c>
    </row>
    <row r="65" spans="2:16" x14ac:dyDescent="0.45">
      <c r="B65">
        <f t="shared" si="7"/>
        <v>278</v>
      </c>
      <c r="C65" t="str">
        <f ca="1">_xlfn.CONCAT(OFFSET(元!$B$10,'1行'!B65,0)," ",OFFSET(元!$B$12,'1行'!B65,0))</f>
        <v>2026/03/25 2026/04/01 シロスタゾールOD錠100mg「タカタ」高田製薬 1 8 08:54:48 100mg/錠 PTP 10錠×10 4987120339905 1 0</v>
      </c>
      <c r="D65" cm="1">
        <f t="array" aca="1" ref="D65" ca="1">INDEX(_xlfn.FILTERXML("&lt;t&gt;&lt;s&gt;" &amp; SUBSTITUTE(C65," ","&lt;/s&gt;&lt;s&gt;") &amp; "&lt;/s&gt;&lt;/t&gt;","//s[number(.)=number(.)]"),
       COUNT(_xlfn.FILTERXML("&lt;t&gt;&lt;s&gt;" &amp; SUBSTITUTE(C65," ","&lt;/s&gt;&lt;s&gt;") &amp; "&lt;/s&gt;&lt;/t&gt;","//s[number(.)=number(.)]"))-1)</f>
        <v>1</v>
      </c>
      <c r="E65" cm="1">
        <f t="array" aca="1" ref="E65" ca="1">INDEX(_xlfn.FILTERXML("&lt;t&gt;&lt;s&gt;" &amp; SUBSTITUTE(C65," ","&lt;/s&gt;&lt;s&gt;") &amp; "&lt;/s&gt;&lt;/t&gt;","//s[number(.)=number(.)]"),
       COUNT(_xlfn.FILTERXML("&lt;t&gt;&lt;s&gt;" &amp; SUBSTITUTE(C65," ","&lt;/s&gt;&lt;s&gt;") &amp; "&lt;/s&gt;&lt;/t&gt;","//s[number(.)=number(.)]")))</f>
        <v>0</v>
      </c>
      <c r="F65" s="4" t="str">
        <f t="shared" ca="1" si="0"/>
        <v>4987120339905</v>
      </c>
      <c r="G65" s="4" t="str">
        <f t="shared" ca="1" si="1"/>
        <v>2026/03/25</v>
      </c>
      <c r="H65" t="str">
        <f t="shared" ca="1" si="2"/>
        <v>2026/04/01</v>
      </c>
      <c r="I65" t="str">
        <f t="shared" ca="1" si="3"/>
        <v>シロスタゾールOD錠100mg「タカタ」高田製薬</v>
      </c>
      <c r="J65" t="str">
        <f t="shared" ca="1" si="4"/>
        <v>シロスタゾールOD錠100mg「タカタ」</v>
      </c>
      <c r="K65" t="str" cm="1">
        <f t="array" aca="1" ref="K65" ca="1">_xlfn.LET(
  _xlpm.s, SUBSTITUTE(SUBSTITUTE(I65," ",""),"　",""),
  _xlpm.dic, SUBSTITUTE(SUBSTITUTE(メーカー!$A$1:$A$100," ",""),"　",""),
  _xlpm.pos, MATCH(TRUE, RIGHT(_xlpm.s, LEN(_xlpm.dic)) = _xlpm.dic, 0),
  INDEX(メーカー!$A$1:$A$100, _xlpm.pos)
)</f>
        <v>高田製薬</v>
      </c>
      <c r="L65" cm="1">
        <f t="array" aca="1" ref="L65" ca="1">INDEX(_xlfn.FILTERXML("&lt;t&gt;&lt;s&gt;" &amp; SUBSTITUTE(MID(C65,23,999)," ","&lt;/s&gt;&lt;s&gt;") &amp; "&lt;/s&gt;&lt;/t&gt;","//s[number(.)=number(.)]"),1)</f>
        <v>1</v>
      </c>
      <c r="M65" cm="1">
        <f t="array" aca="1" ref="M65" ca="1">INDEX(
  _xlfn.FILTERXML("&lt;t&gt;&lt;s&gt;" &amp; SUBSTITUTE(MID(C65, 22 + LEN(I65) + 1, 999), " ", "&lt;/s&gt;&lt;s&gt;") &amp; "&lt;/s&gt;&lt;/t&gt;",
            "//s[number(.)=number(.)]"),
  2
)</f>
        <v>8</v>
      </c>
      <c r="N65" t="str" cm="1">
        <f t="array" aca="1" ref="N65" ca="1">_xlfn.REGEXEXTRACT(C65, "\d{2}:\d{2}:\d{2}")</f>
        <v>08:54:48</v>
      </c>
      <c r="O65" t="str">
        <f t="shared" ca="1" si="5"/>
        <v>100mg/錠 PTP 10錠×10</v>
      </c>
      <c r="P65" t="str">
        <f t="shared" ca="1" si="6"/>
        <v>1</v>
      </c>
    </row>
    <row r="66" spans="2:16" x14ac:dyDescent="0.45">
      <c r="B66">
        <f t="shared" si="7"/>
        <v>282</v>
      </c>
      <c r="C66" t="str">
        <f ca="1">_xlfn.CONCAT(OFFSET(元!$B$10,'1行'!B66,0)," ",OFFSET(元!$B$12,'1行'!B66,0))</f>
        <v>2026/03/25 2026/04/01 セディール錠10mg 住友ファーマ 1 9 08:54:48 10mg/錠 バラ 500錠×1瓶4987116020732 1 0</v>
      </c>
      <c r="D66" cm="1">
        <f t="array" aca="1" ref="D66" ca="1">INDEX(_xlfn.FILTERXML("&lt;t&gt;&lt;s&gt;" &amp; SUBSTITUTE(C66," ","&lt;/s&gt;&lt;s&gt;") &amp; "&lt;/s&gt;&lt;/t&gt;","//s[number(.)=number(.)]"),
       COUNT(_xlfn.FILTERXML("&lt;t&gt;&lt;s&gt;" &amp; SUBSTITUTE(C66," ","&lt;/s&gt;&lt;s&gt;") &amp; "&lt;/s&gt;&lt;/t&gt;","//s[number(.)=number(.)]"))-1)</f>
        <v>1</v>
      </c>
      <c r="E66" cm="1">
        <f t="array" aca="1" ref="E66" ca="1">INDEX(_xlfn.FILTERXML("&lt;t&gt;&lt;s&gt;" &amp; SUBSTITUTE(C66," ","&lt;/s&gt;&lt;s&gt;") &amp; "&lt;/s&gt;&lt;/t&gt;","//s[number(.)=number(.)]"),
       COUNT(_xlfn.FILTERXML("&lt;t&gt;&lt;s&gt;" &amp; SUBSTITUTE(C66," ","&lt;/s&gt;&lt;s&gt;") &amp; "&lt;/s&gt;&lt;/t&gt;","//s[number(.)=number(.)]")))</f>
        <v>0</v>
      </c>
      <c r="F66" s="4" t="str">
        <f t="shared" ca="1" si="0"/>
        <v>4987116020732</v>
      </c>
      <c r="G66" s="4" t="str">
        <f t="shared" ca="1" si="1"/>
        <v>2026/03/25</v>
      </c>
      <c r="H66" t="str">
        <f t="shared" ca="1" si="2"/>
        <v>2026/04/01</v>
      </c>
      <c r="I66" t="str">
        <f t="shared" ca="1" si="3"/>
        <v>セディール錠10mg 住友ファーマ</v>
      </c>
      <c r="J66" t="str">
        <f t="shared" ca="1" si="4"/>
        <v xml:space="preserve">セディール錠10mg </v>
      </c>
      <c r="K66" t="str" cm="1">
        <f t="array" aca="1" ref="K66" ca="1">_xlfn.LET(
  _xlpm.s, SUBSTITUTE(SUBSTITUTE(I66," ",""),"　",""),
  _xlpm.dic, SUBSTITUTE(SUBSTITUTE(メーカー!$A$1:$A$100," ",""),"　",""),
  _xlpm.pos, MATCH(TRUE, RIGHT(_xlpm.s, LEN(_xlpm.dic)) = _xlpm.dic, 0),
  INDEX(メーカー!$A$1:$A$100, _xlpm.pos)
)</f>
        <v>住友ファーマ</v>
      </c>
      <c r="L66" cm="1">
        <f t="array" aca="1" ref="L66" ca="1">INDEX(_xlfn.FILTERXML("&lt;t&gt;&lt;s&gt;" &amp; SUBSTITUTE(MID(C66,23,999)," ","&lt;/s&gt;&lt;s&gt;") &amp; "&lt;/s&gt;&lt;/t&gt;","//s[number(.)=number(.)]"),1)</f>
        <v>1</v>
      </c>
      <c r="M66" cm="1">
        <f t="array" aca="1" ref="M66" ca="1">INDEX(
  _xlfn.FILTERXML("&lt;t&gt;&lt;s&gt;" &amp; SUBSTITUTE(MID(C66, 22 + LEN(I66) + 1, 999), " ", "&lt;/s&gt;&lt;s&gt;") &amp; "&lt;/s&gt;&lt;/t&gt;",
            "//s[number(.)=number(.)]"),
  2
)</f>
        <v>9</v>
      </c>
      <c r="N66" t="str" cm="1">
        <f t="array" aca="1" ref="N66" ca="1">_xlfn.REGEXEXTRACT(C66, "\d{2}:\d{2}:\d{2}")</f>
        <v>08:54:48</v>
      </c>
      <c r="O66" t="str">
        <f t="shared" ca="1" si="5"/>
        <v>10mg/錠 バラ 500錠×1瓶</v>
      </c>
      <c r="P66" t="str">
        <f t="shared" ca="1" si="6"/>
        <v>1</v>
      </c>
    </row>
    <row r="67" spans="2:16" x14ac:dyDescent="0.45">
      <c r="B67">
        <f t="shared" si="7"/>
        <v>286</v>
      </c>
      <c r="C67" t="str">
        <f ca="1">_xlfn.CONCAT(OFFSET(元!$B$10,'1行'!B67,0)," ",OFFSET(元!$B$12,'1行'!B67,0))</f>
        <v>2026/03/25 2026/04/01 グラマリール細粒10% 日医工 1 10 08:54:48 100mg/g バラ 100g×1瓶4987376245807 1 0</v>
      </c>
      <c r="D67" cm="1">
        <f t="array" aca="1" ref="D67" ca="1">INDEX(_xlfn.FILTERXML("&lt;t&gt;&lt;s&gt;" &amp; SUBSTITUTE(C67," ","&lt;/s&gt;&lt;s&gt;") &amp; "&lt;/s&gt;&lt;/t&gt;","//s[number(.)=number(.)]"),
       COUNT(_xlfn.FILTERXML("&lt;t&gt;&lt;s&gt;" &amp; SUBSTITUTE(C67," ","&lt;/s&gt;&lt;s&gt;") &amp; "&lt;/s&gt;&lt;/t&gt;","//s[number(.)=number(.)]"))-1)</f>
        <v>1</v>
      </c>
      <c r="E67" cm="1">
        <f t="array" aca="1" ref="E67" ca="1">INDEX(_xlfn.FILTERXML("&lt;t&gt;&lt;s&gt;" &amp; SUBSTITUTE(C67," ","&lt;/s&gt;&lt;s&gt;") &amp; "&lt;/s&gt;&lt;/t&gt;","//s[number(.)=number(.)]"),
       COUNT(_xlfn.FILTERXML("&lt;t&gt;&lt;s&gt;" &amp; SUBSTITUTE(C67," ","&lt;/s&gt;&lt;s&gt;") &amp; "&lt;/s&gt;&lt;/t&gt;","//s[number(.)=number(.)]")))</f>
        <v>0</v>
      </c>
      <c r="F67" s="4" t="str">
        <f t="shared" ca="1" si="0"/>
        <v>4987376245807</v>
      </c>
      <c r="G67" s="4" t="str">
        <f t="shared" ca="1" si="1"/>
        <v>2026/03/25</v>
      </c>
      <c r="H67" t="str">
        <f t="shared" ca="1" si="2"/>
        <v>2026/04/01</v>
      </c>
      <c r="I67" t="str">
        <f t="shared" ca="1" si="3"/>
        <v>グラマリール細粒10% 日医工</v>
      </c>
      <c r="J67" t="str">
        <f t="shared" ca="1" si="4"/>
        <v xml:space="preserve">グラマリール細粒10% </v>
      </c>
      <c r="K67" t="str" cm="1">
        <f t="array" aca="1" ref="K67" ca="1">_xlfn.LET(
  _xlpm.s, SUBSTITUTE(SUBSTITUTE(I67," ",""),"　",""),
  _xlpm.dic, SUBSTITUTE(SUBSTITUTE(メーカー!$A$1:$A$100," ",""),"　",""),
  _xlpm.pos, MATCH(TRUE, RIGHT(_xlpm.s, LEN(_xlpm.dic)) = _xlpm.dic, 0),
  INDEX(メーカー!$A$1:$A$100, _xlpm.pos)
)</f>
        <v>日医工</v>
      </c>
      <c r="L67" cm="1">
        <f t="array" aca="1" ref="L67" ca="1">INDEX(_xlfn.FILTERXML("&lt;t&gt;&lt;s&gt;" &amp; SUBSTITUTE(MID(C67,23,999)," ","&lt;/s&gt;&lt;s&gt;") &amp; "&lt;/s&gt;&lt;/t&gt;","//s[number(.)=number(.)]"),1)</f>
        <v>1</v>
      </c>
      <c r="M67" cm="1">
        <f t="array" aca="1" ref="M67" ca="1">INDEX(
  _xlfn.FILTERXML("&lt;t&gt;&lt;s&gt;" &amp; SUBSTITUTE(MID(C67, 22 + LEN(I67) + 1, 999), " ", "&lt;/s&gt;&lt;s&gt;") &amp; "&lt;/s&gt;&lt;/t&gt;",
            "//s[number(.)=number(.)]"),
  2
)</f>
        <v>10</v>
      </c>
      <c r="N67" t="str" cm="1">
        <f t="array" aca="1" ref="N67" ca="1">_xlfn.REGEXEXTRACT(C67, "\d{2}:\d{2}:\d{2}")</f>
        <v>08:54:48</v>
      </c>
      <c r="O67" t="str">
        <f t="shared" ca="1" si="5"/>
        <v>100mg/g バラ 100g×1瓶</v>
      </c>
      <c r="P67" t="str">
        <f t="shared" ca="1" si="6"/>
        <v>1</v>
      </c>
    </row>
    <row r="68" spans="2:16" x14ac:dyDescent="0.45">
      <c r="B68">
        <f t="shared" si="7"/>
        <v>290</v>
      </c>
      <c r="C68" t="str">
        <f ca="1">_xlfn.CONCAT(OFFSET(元!$B$10,'1行'!B68,0)," ",OFFSET(元!$B$12,'1行'!B68,0))</f>
        <v>2026/03/25 2026/04/01 パレプラス輸液陽進堂 3 11 08:54:48 500mL1キット×20キット4987476167108 3 0</v>
      </c>
      <c r="D68" cm="1">
        <f t="array" aca="1" ref="D68" ca="1">INDEX(_xlfn.FILTERXML("&lt;t&gt;&lt;s&gt;" &amp; SUBSTITUTE(C68," ","&lt;/s&gt;&lt;s&gt;") &amp; "&lt;/s&gt;&lt;/t&gt;","//s[number(.)=number(.)]"),
       COUNT(_xlfn.FILTERXML("&lt;t&gt;&lt;s&gt;" &amp; SUBSTITUTE(C68," ","&lt;/s&gt;&lt;s&gt;") &amp; "&lt;/s&gt;&lt;/t&gt;","//s[number(.)=number(.)]"))-1)</f>
        <v>3</v>
      </c>
      <c r="E68" cm="1">
        <f t="array" aca="1" ref="E68" ca="1">INDEX(_xlfn.FILTERXML("&lt;t&gt;&lt;s&gt;" &amp; SUBSTITUTE(C68," ","&lt;/s&gt;&lt;s&gt;") &amp; "&lt;/s&gt;&lt;/t&gt;","//s[number(.)=number(.)]"),
       COUNT(_xlfn.FILTERXML("&lt;t&gt;&lt;s&gt;" &amp; SUBSTITUTE(C68," ","&lt;/s&gt;&lt;s&gt;") &amp; "&lt;/s&gt;&lt;/t&gt;","//s[number(.)=number(.)]")))</f>
        <v>0</v>
      </c>
      <c r="F68" s="4" t="str">
        <f t="shared" ca="1" si="0"/>
        <v>4987476167108</v>
      </c>
      <c r="G68" s="4" t="str">
        <f t="shared" ca="1" si="1"/>
        <v>2026/03/25</v>
      </c>
      <c r="H68" t="str">
        <f t="shared" ca="1" si="2"/>
        <v>2026/04/01</v>
      </c>
      <c r="I68" t="str">
        <f t="shared" ca="1" si="3"/>
        <v>パレプラス輸液陽進堂</v>
      </c>
      <c r="J68" t="str">
        <f t="shared" ca="1" si="4"/>
        <v>パレプラス輸液</v>
      </c>
      <c r="K68" t="str" cm="1">
        <f t="array" aca="1" ref="K68" ca="1">_xlfn.LET(
  _xlpm.s, SUBSTITUTE(SUBSTITUTE(I68," ",""),"　",""),
  _xlpm.dic, SUBSTITUTE(SUBSTITUTE(メーカー!$A$1:$A$100," ",""),"　",""),
  _xlpm.pos, MATCH(TRUE, RIGHT(_xlpm.s, LEN(_xlpm.dic)) = _xlpm.dic, 0),
  INDEX(メーカー!$A$1:$A$100, _xlpm.pos)
)</f>
        <v>陽進堂</v>
      </c>
      <c r="L68" cm="1">
        <f t="array" aca="1" ref="L68" ca="1">INDEX(_xlfn.FILTERXML("&lt;t&gt;&lt;s&gt;" &amp; SUBSTITUTE(MID(C68,23,999)," ","&lt;/s&gt;&lt;s&gt;") &amp; "&lt;/s&gt;&lt;/t&gt;","//s[number(.)=number(.)]"),1)</f>
        <v>3</v>
      </c>
      <c r="M68" cm="1">
        <f t="array" aca="1" ref="M68" ca="1">INDEX(
  _xlfn.FILTERXML("&lt;t&gt;&lt;s&gt;" &amp; SUBSTITUTE(MID(C68, 22 + LEN(I68) + 1, 999), " ", "&lt;/s&gt;&lt;s&gt;") &amp; "&lt;/s&gt;&lt;/t&gt;",
            "//s[number(.)=number(.)]"),
  2
)</f>
        <v>11</v>
      </c>
      <c r="N68" t="str" cm="1">
        <f t="array" aca="1" ref="N68" ca="1">_xlfn.REGEXEXTRACT(C68, "\d{2}:\d{2}:\d{2}")</f>
        <v>08:54:48</v>
      </c>
      <c r="O68" t="str">
        <f t="shared" ca="1" si="5"/>
        <v>500mL1キット×20キット</v>
      </c>
      <c r="P68" t="str">
        <f t="shared" ca="1" si="6"/>
        <v>3</v>
      </c>
    </row>
    <row r="69" spans="2:16" x14ac:dyDescent="0.45">
      <c r="B69">
        <f t="shared" si="7"/>
        <v>294</v>
      </c>
      <c r="C69" t="str">
        <f ca="1">_xlfn.CONCAT(OFFSET(元!$B$10,'1行'!B69,0)," ",OFFSET(元!$B$12,'1行'!B69,0))</f>
        <v>2026/03/25 2026/04/01 エビリファイ持続性水懸筋注用400mgシリンジ大塚製薬 2 12 08:54:48 400mg1キット×1キット 1.6mL(溶)付4987035560111 2 0</v>
      </c>
      <c r="D69" cm="1">
        <f t="array" aca="1" ref="D69" ca="1">INDEX(_xlfn.FILTERXML("&lt;t&gt;&lt;s&gt;" &amp; SUBSTITUTE(C69," ","&lt;/s&gt;&lt;s&gt;") &amp; "&lt;/s&gt;&lt;/t&gt;","//s[number(.)=number(.)]"),
       COUNT(_xlfn.FILTERXML("&lt;t&gt;&lt;s&gt;" &amp; SUBSTITUTE(C69," ","&lt;/s&gt;&lt;s&gt;") &amp; "&lt;/s&gt;&lt;/t&gt;","//s[number(.)=number(.)]"))-1)</f>
        <v>2</v>
      </c>
      <c r="E69" cm="1">
        <f t="array" aca="1" ref="E69" ca="1">INDEX(_xlfn.FILTERXML("&lt;t&gt;&lt;s&gt;" &amp; SUBSTITUTE(C69," ","&lt;/s&gt;&lt;s&gt;") &amp; "&lt;/s&gt;&lt;/t&gt;","//s[number(.)=number(.)]"),
       COUNT(_xlfn.FILTERXML("&lt;t&gt;&lt;s&gt;" &amp; SUBSTITUTE(C69," ","&lt;/s&gt;&lt;s&gt;") &amp; "&lt;/s&gt;&lt;/t&gt;","//s[number(.)=number(.)]")))</f>
        <v>0</v>
      </c>
      <c r="F69" s="4" t="str">
        <f t="shared" ca="1" si="0"/>
        <v>4987035560111</v>
      </c>
      <c r="G69" s="4" t="str">
        <f t="shared" ca="1" si="1"/>
        <v>2026/03/25</v>
      </c>
      <c r="H69" t="str">
        <f t="shared" ca="1" si="2"/>
        <v>2026/04/01</v>
      </c>
      <c r="I69" t="str">
        <f t="shared" ca="1" si="3"/>
        <v>エビリファイ持続性水懸筋注用400mgシリンジ大塚製薬</v>
      </c>
      <c r="J69" t="str">
        <f t="shared" ca="1" si="4"/>
        <v>エビリファイ持続性水懸筋注用400mgシリンジ</v>
      </c>
      <c r="K69" t="str" cm="1">
        <f t="array" aca="1" ref="K69" ca="1">_xlfn.LET(
  _xlpm.s, SUBSTITUTE(SUBSTITUTE(I69," ",""),"　",""),
  _xlpm.dic, SUBSTITUTE(SUBSTITUTE(メーカー!$A$1:$A$100," ",""),"　",""),
  _xlpm.pos, MATCH(TRUE, RIGHT(_xlpm.s, LEN(_xlpm.dic)) = _xlpm.dic, 0),
  INDEX(メーカー!$A$1:$A$100, _xlpm.pos)
)</f>
        <v>大塚製薬</v>
      </c>
      <c r="L69" cm="1">
        <f t="array" aca="1" ref="L69" ca="1">INDEX(_xlfn.FILTERXML("&lt;t&gt;&lt;s&gt;" &amp; SUBSTITUTE(MID(C69,23,999)," ","&lt;/s&gt;&lt;s&gt;") &amp; "&lt;/s&gt;&lt;/t&gt;","//s[number(.)=number(.)]"),1)</f>
        <v>2</v>
      </c>
      <c r="M69" cm="1">
        <f t="array" aca="1" ref="M69" ca="1">INDEX(
  _xlfn.FILTERXML("&lt;t&gt;&lt;s&gt;" &amp; SUBSTITUTE(MID(C69, 22 + LEN(I69) + 1, 999), " ", "&lt;/s&gt;&lt;s&gt;") &amp; "&lt;/s&gt;&lt;/t&gt;",
            "//s[number(.)=number(.)]"),
  2
)</f>
        <v>12</v>
      </c>
      <c r="N69" t="str" cm="1">
        <f t="array" aca="1" ref="N69" ca="1">_xlfn.REGEXEXTRACT(C69, "\d{2}:\d{2}:\d{2}")</f>
        <v>08:54:48</v>
      </c>
      <c r="O69" t="str">
        <f t="shared" ca="1" si="5"/>
        <v>400mg1キット×1キット 1.6mL(溶)付</v>
      </c>
      <c r="P69" t="str">
        <f t="shared" ca="1" si="6"/>
        <v>2</v>
      </c>
    </row>
    <row r="70" spans="2:16" x14ac:dyDescent="0.45">
      <c r="B70">
        <f t="shared" si="7"/>
        <v>298</v>
      </c>
      <c r="C70" t="str">
        <f ca="1">_xlfn.CONCAT(OFFSET(元!$B$10,'1行'!B70,0)," ",OFFSET(元!$B$12,'1行'!B70,0))</f>
        <v>2026/03/25 2026/04/01 ミノドロン酸錠50mg「JG」日本ジェネリック 15 13 08:54:48 50mg/錠 PTP 1錠×2 4987792100827 15 0</v>
      </c>
      <c r="D70" cm="1">
        <f t="array" aca="1" ref="D70" ca="1">INDEX(_xlfn.FILTERXML("&lt;t&gt;&lt;s&gt;" &amp; SUBSTITUTE(C70," ","&lt;/s&gt;&lt;s&gt;") &amp; "&lt;/s&gt;&lt;/t&gt;","//s[number(.)=number(.)]"),
       COUNT(_xlfn.FILTERXML("&lt;t&gt;&lt;s&gt;" &amp; SUBSTITUTE(C70," ","&lt;/s&gt;&lt;s&gt;") &amp; "&lt;/s&gt;&lt;/t&gt;","//s[number(.)=number(.)]"))-1)</f>
        <v>15</v>
      </c>
      <c r="E70" cm="1">
        <f t="array" aca="1" ref="E70" ca="1">INDEX(_xlfn.FILTERXML("&lt;t&gt;&lt;s&gt;" &amp; SUBSTITUTE(C70," ","&lt;/s&gt;&lt;s&gt;") &amp; "&lt;/s&gt;&lt;/t&gt;","//s[number(.)=number(.)]"),
       COUNT(_xlfn.FILTERXML("&lt;t&gt;&lt;s&gt;" &amp; SUBSTITUTE(C70," ","&lt;/s&gt;&lt;s&gt;") &amp; "&lt;/s&gt;&lt;/t&gt;","//s[number(.)=number(.)]")))</f>
        <v>0</v>
      </c>
      <c r="F70" s="4" t="str">
        <f t="shared" ref="F70:F133" ca="1" si="8">TRIM(RIGHT(SUBSTITUTE(C70," "&amp;D70&amp;" "&amp;E70,""),13))</f>
        <v>4987792100827</v>
      </c>
      <c r="G70" s="4" t="str">
        <f t="shared" ref="G70:G133" ca="1" si="9">LEFT(C70,10)</f>
        <v>2026/03/25</v>
      </c>
      <c r="H70" t="str">
        <f t="shared" ref="H70:H133" ca="1" si="10">MID(C70,12,10)</f>
        <v>2026/04/01</v>
      </c>
      <c r="I70" t="str">
        <f t="shared" ref="I70:I133" ca="1" si="11">_xlfn.LET(
  _xlpm.s, _xlfn.TEXTAFTER(C70, " " &amp; H70 &amp; " "),
  TRIM(_xlfn.TEXTBEFORE(_xlpm.s, " " &amp; L70 &amp; " "))
)</f>
        <v>ミノドロン酸錠50mg「JG」日本ジェネリック</v>
      </c>
      <c r="J70" t="str">
        <f t="shared" ref="J70:J133" ca="1" si="12">LEFT(I70, LEN(I70) - LEN(K70))</f>
        <v>ミノドロン酸錠50mg「JG」</v>
      </c>
      <c r="K70" t="str" cm="1">
        <f t="array" aca="1" ref="K70" ca="1">_xlfn.LET(
  _xlpm.s, SUBSTITUTE(SUBSTITUTE(I70," ",""),"　",""),
  _xlpm.dic, SUBSTITUTE(SUBSTITUTE(メーカー!$A$1:$A$100," ",""),"　",""),
  _xlpm.pos, MATCH(TRUE, RIGHT(_xlpm.s, LEN(_xlpm.dic)) = _xlpm.dic, 0),
  INDEX(メーカー!$A$1:$A$100, _xlpm.pos)
)</f>
        <v>日本ジェネリック</v>
      </c>
      <c r="L70" cm="1">
        <f t="array" aca="1" ref="L70" ca="1">INDEX(_xlfn.FILTERXML("&lt;t&gt;&lt;s&gt;" &amp; SUBSTITUTE(MID(C70,23,999)," ","&lt;/s&gt;&lt;s&gt;") &amp; "&lt;/s&gt;&lt;/t&gt;","//s[number(.)=number(.)]"),1)</f>
        <v>15</v>
      </c>
      <c r="M70" cm="1">
        <f t="array" aca="1" ref="M70" ca="1">INDEX(
  _xlfn.FILTERXML("&lt;t&gt;&lt;s&gt;" &amp; SUBSTITUTE(MID(C70, 22 + LEN(I70) + 1, 999), " ", "&lt;/s&gt;&lt;s&gt;") &amp; "&lt;/s&gt;&lt;/t&gt;",
            "//s[number(.)=number(.)]"),
  2
)</f>
        <v>13</v>
      </c>
      <c r="N70" t="str" cm="1">
        <f t="array" aca="1" ref="N70" ca="1">_xlfn.REGEXEXTRACT(C70, "\d{2}:\d{2}:\d{2}")</f>
        <v>08:54:48</v>
      </c>
      <c r="O70" t="str">
        <f t="shared" ref="O70:O133" ca="1" si="13">TRIM(SUBSTITUTE(_xlfn.TEXTAFTER(C70, " " &amp; N70 &amp; " "), F70 &amp; " " &amp; D70 &amp; " " &amp; E70, ""))</f>
        <v>50mg/錠 PTP 1錠×2</v>
      </c>
      <c r="P70" t="str">
        <f t="shared" ref="P70:P133" ca="1" si="14">TRIM(LEFT(_xlfn.TEXTAFTER(C70, I70 &amp; " "), FIND(" ", _xlfn.TEXTAFTER(C70, I70 &amp; " "))-1))</f>
        <v>15</v>
      </c>
    </row>
    <row r="71" spans="2:16" x14ac:dyDescent="0.45">
      <c r="B71">
        <f t="shared" ref="B71:B132" si="15">B70+4</f>
        <v>302</v>
      </c>
      <c r="C71" t="str">
        <f ca="1">_xlfn.CONCAT(OFFSET(元!$B$10,'1行'!B71,0)," ",OFFSET(元!$B$12,'1行'!B71,0))</f>
        <v>2026/03/25 2026/04/01 インウ゛ェガ錠6mg ヤンセンファーマ 5 14 08:54:48 6mg/錠 PTP 10錠×10 4987672105768 5 0</v>
      </c>
      <c r="D71" cm="1">
        <f t="array" aca="1" ref="D71" ca="1">INDEX(_xlfn.FILTERXML("&lt;t&gt;&lt;s&gt;" &amp; SUBSTITUTE(C71," ","&lt;/s&gt;&lt;s&gt;") &amp; "&lt;/s&gt;&lt;/t&gt;","//s[number(.)=number(.)]"),
       COUNT(_xlfn.FILTERXML("&lt;t&gt;&lt;s&gt;" &amp; SUBSTITUTE(C71," ","&lt;/s&gt;&lt;s&gt;") &amp; "&lt;/s&gt;&lt;/t&gt;","//s[number(.)=number(.)]"))-1)</f>
        <v>5</v>
      </c>
      <c r="E71" cm="1">
        <f t="array" aca="1" ref="E71" ca="1">INDEX(_xlfn.FILTERXML("&lt;t&gt;&lt;s&gt;" &amp; SUBSTITUTE(C71," ","&lt;/s&gt;&lt;s&gt;") &amp; "&lt;/s&gt;&lt;/t&gt;","//s[number(.)=number(.)]"),
       COUNT(_xlfn.FILTERXML("&lt;t&gt;&lt;s&gt;" &amp; SUBSTITUTE(C71," ","&lt;/s&gt;&lt;s&gt;") &amp; "&lt;/s&gt;&lt;/t&gt;","//s[number(.)=number(.)]")))</f>
        <v>0</v>
      </c>
      <c r="F71" s="4" t="str">
        <f t="shared" ca="1" si="8"/>
        <v>4987672105768</v>
      </c>
      <c r="G71" s="4" t="str">
        <f t="shared" ca="1" si="9"/>
        <v>2026/03/25</v>
      </c>
      <c r="H71" t="str">
        <f t="shared" ca="1" si="10"/>
        <v>2026/04/01</v>
      </c>
      <c r="I71" t="str">
        <f t="shared" ca="1" si="11"/>
        <v>インウ゛ェガ錠6mg ヤンセンファーマ</v>
      </c>
      <c r="J71" t="str">
        <f t="shared" ca="1" si="12"/>
        <v xml:space="preserve">インウ゛ェガ錠6mg </v>
      </c>
      <c r="K71" t="str" cm="1">
        <f t="array" aca="1" ref="K71" ca="1">_xlfn.LET(
  _xlpm.s, SUBSTITUTE(SUBSTITUTE(I71," ",""),"　",""),
  _xlpm.dic, SUBSTITUTE(SUBSTITUTE(メーカー!$A$1:$A$100," ",""),"　",""),
  _xlpm.pos, MATCH(TRUE, RIGHT(_xlpm.s, LEN(_xlpm.dic)) = _xlpm.dic, 0),
  INDEX(メーカー!$A$1:$A$100, _xlpm.pos)
)</f>
        <v>ヤンセンファーマ</v>
      </c>
      <c r="L71" cm="1">
        <f t="array" aca="1" ref="L71" ca="1">INDEX(_xlfn.FILTERXML("&lt;t&gt;&lt;s&gt;" &amp; SUBSTITUTE(MID(C71,23,999)," ","&lt;/s&gt;&lt;s&gt;") &amp; "&lt;/s&gt;&lt;/t&gt;","//s[number(.)=number(.)]"),1)</f>
        <v>5</v>
      </c>
      <c r="M71" cm="1">
        <f t="array" aca="1" ref="M71" ca="1">INDEX(
  _xlfn.FILTERXML("&lt;t&gt;&lt;s&gt;" &amp; SUBSTITUTE(MID(C71, 22 + LEN(I71) + 1, 999), " ", "&lt;/s&gt;&lt;s&gt;") &amp; "&lt;/s&gt;&lt;/t&gt;",
            "//s[number(.)=number(.)]"),
  2
)</f>
        <v>14</v>
      </c>
      <c r="N71" t="str" cm="1">
        <f t="array" aca="1" ref="N71" ca="1">_xlfn.REGEXEXTRACT(C71, "\d{2}:\d{2}:\d{2}")</f>
        <v>08:54:48</v>
      </c>
      <c r="O71" t="str">
        <f t="shared" ca="1" si="13"/>
        <v>6mg/錠 PTP 10錠×10</v>
      </c>
      <c r="P71" t="str">
        <f t="shared" ca="1" si="14"/>
        <v>5</v>
      </c>
    </row>
    <row r="72" spans="2:16" x14ac:dyDescent="0.45">
      <c r="B72">
        <f t="shared" si="15"/>
        <v>306</v>
      </c>
      <c r="C72" t="str">
        <f ca="1">_xlfn.CONCAT(OFFSET(元!$B$10,'1行'!B72,0)," ",OFFSET(元!$B$12,'1行'!B72,0))</f>
        <v>2026/03/25 2026/04/01 インウ゛ェガ錠3mg ヤンセンファーマ 1 15 08:54:48 3mg/錠 PTP 10錠×10 4987672105744 1 0</v>
      </c>
      <c r="D72" cm="1">
        <f t="array" aca="1" ref="D72" ca="1">INDEX(_xlfn.FILTERXML("&lt;t&gt;&lt;s&gt;" &amp; SUBSTITUTE(C72," ","&lt;/s&gt;&lt;s&gt;") &amp; "&lt;/s&gt;&lt;/t&gt;","//s[number(.)=number(.)]"),
       COUNT(_xlfn.FILTERXML("&lt;t&gt;&lt;s&gt;" &amp; SUBSTITUTE(C72," ","&lt;/s&gt;&lt;s&gt;") &amp; "&lt;/s&gt;&lt;/t&gt;","//s[number(.)=number(.)]"))-1)</f>
        <v>1</v>
      </c>
      <c r="E72" cm="1">
        <f t="array" aca="1" ref="E72" ca="1">INDEX(_xlfn.FILTERXML("&lt;t&gt;&lt;s&gt;" &amp; SUBSTITUTE(C72," ","&lt;/s&gt;&lt;s&gt;") &amp; "&lt;/s&gt;&lt;/t&gt;","//s[number(.)=number(.)]"),
       COUNT(_xlfn.FILTERXML("&lt;t&gt;&lt;s&gt;" &amp; SUBSTITUTE(C72," ","&lt;/s&gt;&lt;s&gt;") &amp; "&lt;/s&gt;&lt;/t&gt;","//s[number(.)=number(.)]")))</f>
        <v>0</v>
      </c>
      <c r="F72" s="4" t="str">
        <f t="shared" ca="1" si="8"/>
        <v>4987672105744</v>
      </c>
      <c r="G72" s="4" t="str">
        <f t="shared" ca="1" si="9"/>
        <v>2026/03/25</v>
      </c>
      <c r="H72" t="str">
        <f t="shared" ca="1" si="10"/>
        <v>2026/04/01</v>
      </c>
      <c r="I72" t="str">
        <f t="shared" ca="1" si="11"/>
        <v>インウ゛ェガ錠3mg ヤンセンファーマ</v>
      </c>
      <c r="J72" t="str">
        <f t="shared" ca="1" si="12"/>
        <v xml:space="preserve">インウ゛ェガ錠3mg </v>
      </c>
      <c r="K72" t="str" cm="1">
        <f t="array" aca="1" ref="K72" ca="1">_xlfn.LET(
  _xlpm.s, SUBSTITUTE(SUBSTITUTE(I72," ",""),"　",""),
  _xlpm.dic, SUBSTITUTE(SUBSTITUTE(メーカー!$A$1:$A$100," ",""),"　",""),
  _xlpm.pos, MATCH(TRUE, RIGHT(_xlpm.s, LEN(_xlpm.dic)) = _xlpm.dic, 0),
  INDEX(メーカー!$A$1:$A$100, _xlpm.pos)
)</f>
        <v>ヤンセンファーマ</v>
      </c>
      <c r="L72" cm="1">
        <f t="array" aca="1" ref="L72" ca="1">INDEX(_xlfn.FILTERXML("&lt;t&gt;&lt;s&gt;" &amp; SUBSTITUTE(MID(C72,23,999)," ","&lt;/s&gt;&lt;s&gt;") &amp; "&lt;/s&gt;&lt;/t&gt;","//s[number(.)=number(.)]"),1)</f>
        <v>1</v>
      </c>
      <c r="M72" cm="1">
        <f t="array" aca="1" ref="M72" ca="1">INDEX(
  _xlfn.FILTERXML("&lt;t&gt;&lt;s&gt;" &amp; SUBSTITUTE(MID(C72, 22 + LEN(I72) + 1, 999), " ", "&lt;/s&gt;&lt;s&gt;") &amp; "&lt;/s&gt;&lt;/t&gt;",
            "//s[number(.)=number(.)]"),
  2
)</f>
        <v>15</v>
      </c>
      <c r="N72" t="str" cm="1">
        <f t="array" aca="1" ref="N72" ca="1">_xlfn.REGEXEXTRACT(C72, "\d{2}:\d{2}:\d{2}")</f>
        <v>08:54:48</v>
      </c>
      <c r="O72" t="str">
        <f t="shared" ca="1" si="13"/>
        <v>3mg/錠 PTP 10錠×10</v>
      </c>
      <c r="P72" t="str">
        <f t="shared" ca="1" si="14"/>
        <v>1</v>
      </c>
    </row>
    <row r="73" spans="2:16" x14ac:dyDescent="0.45">
      <c r="B73">
        <f t="shared" si="15"/>
        <v>310</v>
      </c>
      <c r="C73" t="str">
        <f ca="1">_xlfn.CONCAT(OFFSET(元!$B$10,'1行'!B73,0)," ",OFFSET(元!$B$12,'1行'!B73,0))</f>
        <v>2026/03/25 2026/04/01 ツムラ人参養栄湯エキス顆粒(医療用) ツムラ 2 16 08:54:48 分包 3g×42包4987138810847 2 0</v>
      </c>
      <c r="D73" cm="1">
        <f t="array" aca="1" ref="D73" ca="1">INDEX(_xlfn.FILTERXML("&lt;t&gt;&lt;s&gt;" &amp; SUBSTITUTE(C73," ","&lt;/s&gt;&lt;s&gt;") &amp; "&lt;/s&gt;&lt;/t&gt;","//s[number(.)=number(.)]"),
       COUNT(_xlfn.FILTERXML("&lt;t&gt;&lt;s&gt;" &amp; SUBSTITUTE(C73," ","&lt;/s&gt;&lt;s&gt;") &amp; "&lt;/s&gt;&lt;/t&gt;","//s[number(.)=number(.)]"))-1)</f>
        <v>2</v>
      </c>
      <c r="E73" cm="1">
        <f t="array" aca="1" ref="E73" ca="1">INDEX(_xlfn.FILTERXML("&lt;t&gt;&lt;s&gt;" &amp; SUBSTITUTE(C73," ","&lt;/s&gt;&lt;s&gt;") &amp; "&lt;/s&gt;&lt;/t&gt;","//s[number(.)=number(.)]"),
       COUNT(_xlfn.FILTERXML("&lt;t&gt;&lt;s&gt;" &amp; SUBSTITUTE(C73," ","&lt;/s&gt;&lt;s&gt;") &amp; "&lt;/s&gt;&lt;/t&gt;","//s[number(.)=number(.)]")))</f>
        <v>0</v>
      </c>
      <c r="F73" s="4" t="str">
        <f t="shared" ca="1" si="8"/>
        <v>4987138810847</v>
      </c>
      <c r="G73" s="4" t="str">
        <f t="shared" ca="1" si="9"/>
        <v>2026/03/25</v>
      </c>
      <c r="H73" t="str">
        <f t="shared" ca="1" si="10"/>
        <v>2026/04/01</v>
      </c>
      <c r="I73" t="str">
        <f t="shared" ca="1" si="11"/>
        <v>ツムラ人参養栄湯エキス顆粒(医療用) ツムラ</v>
      </c>
      <c r="J73" t="str">
        <f t="shared" ca="1" si="12"/>
        <v xml:space="preserve">ツムラ人参養栄湯エキス顆粒(医療用) </v>
      </c>
      <c r="K73" t="str" cm="1">
        <f t="array" aca="1" ref="K73" ca="1">_xlfn.LET(
  _xlpm.s, SUBSTITUTE(SUBSTITUTE(I73," ",""),"　",""),
  _xlpm.dic, SUBSTITUTE(SUBSTITUTE(メーカー!$A$1:$A$100," ",""),"　",""),
  _xlpm.pos, MATCH(TRUE, RIGHT(_xlpm.s, LEN(_xlpm.dic)) = _xlpm.dic, 0),
  INDEX(メーカー!$A$1:$A$100, _xlpm.pos)
)</f>
        <v>ツムラ</v>
      </c>
      <c r="L73" cm="1">
        <f t="array" aca="1" ref="L73" ca="1">INDEX(_xlfn.FILTERXML("&lt;t&gt;&lt;s&gt;" &amp; SUBSTITUTE(MID(C73,23,999)," ","&lt;/s&gt;&lt;s&gt;") &amp; "&lt;/s&gt;&lt;/t&gt;","//s[number(.)=number(.)]"),1)</f>
        <v>2</v>
      </c>
      <c r="M73" cm="1">
        <f t="array" aca="1" ref="M73" ca="1">INDEX(
  _xlfn.FILTERXML("&lt;t&gt;&lt;s&gt;" &amp; SUBSTITUTE(MID(C73, 22 + LEN(I73) + 1, 999), " ", "&lt;/s&gt;&lt;s&gt;") &amp; "&lt;/s&gt;&lt;/t&gt;",
            "//s[number(.)=number(.)]"),
  2
)</f>
        <v>16</v>
      </c>
      <c r="N73" t="str" cm="1">
        <f t="array" aca="1" ref="N73" ca="1">_xlfn.REGEXEXTRACT(C73, "\d{2}:\d{2}:\d{2}")</f>
        <v>08:54:48</v>
      </c>
      <c r="O73" t="str">
        <f t="shared" ca="1" si="13"/>
        <v>分包 3g×42包</v>
      </c>
      <c r="P73" t="str">
        <f t="shared" ca="1" si="14"/>
        <v>2</v>
      </c>
    </row>
    <row r="74" spans="2:16" x14ac:dyDescent="0.45">
      <c r="B74">
        <f t="shared" si="15"/>
        <v>314</v>
      </c>
      <c r="C74" t="str">
        <f ca="1">_xlfn.CONCAT(OFFSET(元!$B$10,'1行'!B74,0)," ",OFFSET(元!$B$12,'1行'!B74,0))</f>
        <v>2026/03/25 2026/04/01 レキソタン錠5 サンド 5 17 08:54:48 5mg/錠 PTP 10錠×10 4987614438206 5 0</v>
      </c>
      <c r="D74" cm="1">
        <f t="array" aca="1" ref="D74" ca="1">INDEX(_xlfn.FILTERXML("&lt;t&gt;&lt;s&gt;" &amp; SUBSTITUTE(C74," ","&lt;/s&gt;&lt;s&gt;") &amp; "&lt;/s&gt;&lt;/t&gt;","//s[number(.)=number(.)]"),
       COUNT(_xlfn.FILTERXML("&lt;t&gt;&lt;s&gt;" &amp; SUBSTITUTE(C74," ","&lt;/s&gt;&lt;s&gt;") &amp; "&lt;/s&gt;&lt;/t&gt;","//s[number(.)=number(.)]"))-1)</f>
        <v>5</v>
      </c>
      <c r="E74" cm="1">
        <f t="array" aca="1" ref="E74" ca="1">INDEX(_xlfn.FILTERXML("&lt;t&gt;&lt;s&gt;" &amp; SUBSTITUTE(C74," ","&lt;/s&gt;&lt;s&gt;") &amp; "&lt;/s&gt;&lt;/t&gt;","//s[number(.)=number(.)]"),
       COUNT(_xlfn.FILTERXML("&lt;t&gt;&lt;s&gt;" &amp; SUBSTITUTE(C74," ","&lt;/s&gt;&lt;s&gt;") &amp; "&lt;/s&gt;&lt;/t&gt;","//s[number(.)=number(.)]")))</f>
        <v>0</v>
      </c>
      <c r="F74" s="4" t="str">
        <f t="shared" ca="1" si="8"/>
        <v>4987614438206</v>
      </c>
      <c r="G74" s="4" t="str">
        <f t="shared" ca="1" si="9"/>
        <v>2026/03/25</v>
      </c>
      <c r="H74" t="str">
        <f t="shared" ca="1" si="10"/>
        <v>2026/04/01</v>
      </c>
      <c r="I74" t="str">
        <f t="shared" ca="1" si="11"/>
        <v>レキソタン錠5 サンド</v>
      </c>
      <c r="J74" t="str">
        <f t="shared" ca="1" si="12"/>
        <v xml:space="preserve">レキソタン錠5 </v>
      </c>
      <c r="K74" t="str" cm="1">
        <f t="array" aca="1" ref="K74" ca="1">_xlfn.LET(
  _xlpm.s, SUBSTITUTE(SUBSTITUTE(I74," ",""),"　",""),
  _xlpm.dic, SUBSTITUTE(SUBSTITUTE(メーカー!$A$1:$A$100," ",""),"　",""),
  _xlpm.pos, MATCH(TRUE, RIGHT(_xlpm.s, LEN(_xlpm.dic)) = _xlpm.dic, 0),
  INDEX(メーカー!$A$1:$A$100, _xlpm.pos)
)</f>
        <v>サンド</v>
      </c>
      <c r="L74" cm="1">
        <f t="array" aca="1" ref="L74" ca="1">INDEX(_xlfn.FILTERXML("&lt;t&gt;&lt;s&gt;" &amp; SUBSTITUTE(MID(C74,23,999)," ","&lt;/s&gt;&lt;s&gt;") &amp; "&lt;/s&gt;&lt;/t&gt;","//s[number(.)=number(.)]"),1)</f>
        <v>5</v>
      </c>
      <c r="M74" cm="1">
        <f t="array" aca="1" ref="M74" ca="1">INDEX(
  _xlfn.FILTERXML("&lt;t&gt;&lt;s&gt;" &amp; SUBSTITUTE(MID(C74, 22 + LEN(I74) + 1, 999), " ", "&lt;/s&gt;&lt;s&gt;") &amp; "&lt;/s&gt;&lt;/t&gt;",
            "//s[number(.)=number(.)]"),
  2
)</f>
        <v>17</v>
      </c>
      <c r="N74" t="str" cm="1">
        <f t="array" aca="1" ref="N74" ca="1">_xlfn.REGEXEXTRACT(C74, "\d{2}:\d{2}:\d{2}")</f>
        <v>08:54:48</v>
      </c>
      <c r="O74" t="str">
        <f t="shared" ca="1" si="13"/>
        <v>5mg/錠 PTP 10錠×10</v>
      </c>
      <c r="P74" t="str">
        <f t="shared" ca="1" si="14"/>
        <v>5</v>
      </c>
    </row>
    <row r="75" spans="2:16" x14ac:dyDescent="0.45">
      <c r="B75">
        <f t="shared" si="15"/>
        <v>318</v>
      </c>
      <c r="C75" t="str">
        <f ca="1">_xlfn.CONCAT(OFFSET(元!$B$10,'1行'!B75,0)," ",OFFSET(元!$B$12,'1行'!B75,0))</f>
        <v>2026/03/25 2026/04/01 トピロリック錠40mg 富士薬品 2 18 08:54:48 40mg/錠 PTP 10錠×10 4987524700325 2 0</v>
      </c>
      <c r="D75" cm="1">
        <f t="array" aca="1" ref="D75" ca="1">INDEX(_xlfn.FILTERXML("&lt;t&gt;&lt;s&gt;" &amp; SUBSTITUTE(C75," ","&lt;/s&gt;&lt;s&gt;") &amp; "&lt;/s&gt;&lt;/t&gt;","//s[number(.)=number(.)]"),
       COUNT(_xlfn.FILTERXML("&lt;t&gt;&lt;s&gt;" &amp; SUBSTITUTE(C75," ","&lt;/s&gt;&lt;s&gt;") &amp; "&lt;/s&gt;&lt;/t&gt;","//s[number(.)=number(.)]"))-1)</f>
        <v>2</v>
      </c>
      <c r="E75" cm="1">
        <f t="array" aca="1" ref="E75" ca="1">INDEX(_xlfn.FILTERXML("&lt;t&gt;&lt;s&gt;" &amp; SUBSTITUTE(C75," ","&lt;/s&gt;&lt;s&gt;") &amp; "&lt;/s&gt;&lt;/t&gt;","//s[number(.)=number(.)]"),
       COUNT(_xlfn.FILTERXML("&lt;t&gt;&lt;s&gt;" &amp; SUBSTITUTE(C75," ","&lt;/s&gt;&lt;s&gt;") &amp; "&lt;/s&gt;&lt;/t&gt;","//s[number(.)=number(.)]")))</f>
        <v>0</v>
      </c>
      <c r="F75" s="4" t="str">
        <f t="shared" ca="1" si="8"/>
        <v>4987524700325</v>
      </c>
      <c r="G75" s="4" t="str">
        <f t="shared" ca="1" si="9"/>
        <v>2026/03/25</v>
      </c>
      <c r="H75" t="str">
        <f t="shared" ca="1" si="10"/>
        <v>2026/04/01</v>
      </c>
      <c r="I75" t="str">
        <f t="shared" ca="1" si="11"/>
        <v>トピロリック錠40mg 富士薬品</v>
      </c>
      <c r="J75" t="str">
        <f t="shared" ca="1" si="12"/>
        <v xml:space="preserve">トピロリック錠40mg </v>
      </c>
      <c r="K75" t="str" cm="1">
        <f t="array" aca="1" ref="K75" ca="1">_xlfn.LET(
  _xlpm.s, SUBSTITUTE(SUBSTITUTE(I75," ",""),"　",""),
  _xlpm.dic, SUBSTITUTE(SUBSTITUTE(メーカー!$A$1:$A$100," ",""),"　",""),
  _xlpm.pos, MATCH(TRUE, RIGHT(_xlpm.s, LEN(_xlpm.dic)) = _xlpm.dic, 0),
  INDEX(メーカー!$A$1:$A$100, _xlpm.pos)
)</f>
        <v>富士薬品</v>
      </c>
      <c r="L75" cm="1">
        <f t="array" aca="1" ref="L75" ca="1">INDEX(_xlfn.FILTERXML("&lt;t&gt;&lt;s&gt;" &amp; SUBSTITUTE(MID(C75,23,999)," ","&lt;/s&gt;&lt;s&gt;") &amp; "&lt;/s&gt;&lt;/t&gt;","//s[number(.)=number(.)]"),1)</f>
        <v>2</v>
      </c>
      <c r="M75" cm="1">
        <f t="array" aca="1" ref="M75" ca="1">INDEX(
  _xlfn.FILTERXML("&lt;t&gt;&lt;s&gt;" &amp; SUBSTITUTE(MID(C75, 22 + LEN(I75) + 1, 999), " ", "&lt;/s&gt;&lt;s&gt;") &amp; "&lt;/s&gt;&lt;/t&gt;",
            "//s[number(.)=number(.)]"),
  2
)</f>
        <v>18</v>
      </c>
      <c r="N75" t="str" cm="1">
        <f t="array" aca="1" ref="N75" ca="1">_xlfn.REGEXEXTRACT(C75, "\d{2}:\d{2}:\d{2}")</f>
        <v>08:54:48</v>
      </c>
      <c r="O75" t="str">
        <f t="shared" ca="1" si="13"/>
        <v>40mg/錠 PTP 10錠×10</v>
      </c>
      <c r="P75" t="str">
        <f t="shared" ca="1" si="14"/>
        <v>2</v>
      </c>
    </row>
    <row r="76" spans="2:16" x14ac:dyDescent="0.45">
      <c r="B76">
        <f t="shared" si="15"/>
        <v>322</v>
      </c>
      <c r="C76" t="str">
        <f ca="1">_xlfn.CONCAT(OFFSET(元!$B$10,'1行'!B76,0)," ",OFFSET(元!$B$12,'1行'!B76,0))</f>
        <v>2026/03/25 2026/04/01 オランザピン錠2.5mg「ニプロ」ニプロ 3 19 08:54:48 2.5mg/錠 バラ 100錠×1瓶4987190083715 3 0</v>
      </c>
      <c r="D76" cm="1">
        <f t="array" aca="1" ref="D76" ca="1">INDEX(_xlfn.FILTERXML("&lt;t&gt;&lt;s&gt;" &amp; SUBSTITUTE(C76," ","&lt;/s&gt;&lt;s&gt;") &amp; "&lt;/s&gt;&lt;/t&gt;","//s[number(.)=number(.)]"),
       COUNT(_xlfn.FILTERXML("&lt;t&gt;&lt;s&gt;" &amp; SUBSTITUTE(C76," ","&lt;/s&gt;&lt;s&gt;") &amp; "&lt;/s&gt;&lt;/t&gt;","//s[number(.)=number(.)]"))-1)</f>
        <v>3</v>
      </c>
      <c r="E76" cm="1">
        <f t="array" aca="1" ref="E76" ca="1">INDEX(_xlfn.FILTERXML("&lt;t&gt;&lt;s&gt;" &amp; SUBSTITUTE(C76," ","&lt;/s&gt;&lt;s&gt;") &amp; "&lt;/s&gt;&lt;/t&gt;","//s[number(.)=number(.)]"),
       COUNT(_xlfn.FILTERXML("&lt;t&gt;&lt;s&gt;" &amp; SUBSTITUTE(C76," ","&lt;/s&gt;&lt;s&gt;") &amp; "&lt;/s&gt;&lt;/t&gt;","//s[number(.)=number(.)]")))</f>
        <v>0</v>
      </c>
      <c r="F76" s="4" t="str">
        <f t="shared" ca="1" si="8"/>
        <v>4987190083715</v>
      </c>
      <c r="G76" s="4" t="str">
        <f t="shared" ca="1" si="9"/>
        <v>2026/03/25</v>
      </c>
      <c r="H76" t="str">
        <f t="shared" ca="1" si="10"/>
        <v>2026/04/01</v>
      </c>
      <c r="I76" t="str">
        <f t="shared" ca="1" si="11"/>
        <v>オランザピン錠2.5mg「ニプロ」ニプロ</v>
      </c>
      <c r="J76" t="str">
        <f t="shared" ca="1" si="12"/>
        <v>オランザピン錠2.5mg「ニプロ」</v>
      </c>
      <c r="K76" t="str" cm="1">
        <f t="array" aca="1" ref="K76" ca="1">_xlfn.LET(
  _xlpm.s, SUBSTITUTE(SUBSTITUTE(I76," ",""),"　",""),
  _xlpm.dic, SUBSTITUTE(SUBSTITUTE(メーカー!$A$1:$A$100," ",""),"　",""),
  _xlpm.pos, MATCH(TRUE, RIGHT(_xlpm.s, LEN(_xlpm.dic)) = _xlpm.dic, 0),
  INDEX(メーカー!$A$1:$A$100, _xlpm.pos)
)</f>
        <v>ニプロ</v>
      </c>
      <c r="L76" cm="1">
        <f t="array" aca="1" ref="L76" ca="1">INDEX(_xlfn.FILTERXML("&lt;t&gt;&lt;s&gt;" &amp; SUBSTITUTE(MID(C76,23,999)," ","&lt;/s&gt;&lt;s&gt;") &amp; "&lt;/s&gt;&lt;/t&gt;","//s[number(.)=number(.)]"),1)</f>
        <v>3</v>
      </c>
      <c r="M76" cm="1">
        <f t="array" aca="1" ref="M76" ca="1">INDEX(
  _xlfn.FILTERXML("&lt;t&gt;&lt;s&gt;" &amp; SUBSTITUTE(MID(C76, 22 + LEN(I76) + 1, 999), " ", "&lt;/s&gt;&lt;s&gt;") &amp; "&lt;/s&gt;&lt;/t&gt;",
            "//s[number(.)=number(.)]"),
  2
)</f>
        <v>19</v>
      </c>
      <c r="N76" t="str" cm="1">
        <f t="array" aca="1" ref="N76" ca="1">_xlfn.REGEXEXTRACT(C76, "\d{2}:\d{2}:\d{2}")</f>
        <v>08:54:48</v>
      </c>
      <c r="O76" t="str">
        <f t="shared" ca="1" si="13"/>
        <v>2.5mg/錠 バラ 100錠×1瓶</v>
      </c>
      <c r="P76" t="str">
        <f t="shared" ca="1" si="14"/>
        <v>3</v>
      </c>
    </row>
    <row r="77" spans="2:16" x14ac:dyDescent="0.45">
      <c r="B77">
        <f t="shared" si="15"/>
        <v>326</v>
      </c>
      <c r="C77" t="str">
        <f ca="1">_xlfn.CONCAT(OFFSET(元!$B$10,'1行'!B77,0)," ",OFFSET(元!$B$12,'1行'!B77,0))</f>
        <v>2026/03/25 2026/04/01 オランザピンOD錠5mg「ニプロ」ニプロ 3 20 08:54:48 5mg/錠 バラ 100錠×1瓶4987190084118 3 0</v>
      </c>
      <c r="D77" cm="1">
        <f t="array" aca="1" ref="D77" ca="1">INDEX(_xlfn.FILTERXML("&lt;t&gt;&lt;s&gt;" &amp; SUBSTITUTE(C77," ","&lt;/s&gt;&lt;s&gt;") &amp; "&lt;/s&gt;&lt;/t&gt;","//s[number(.)=number(.)]"),
       COUNT(_xlfn.FILTERXML("&lt;t&gt;&lt;s&gt;" &amp; SUBSTITUTE(C77," ","&lt;/s&gt;&lt;s&gt;") &amp; "&lt;/s&gt;&lt;/t&gt;","//s[number(.)=number(.)]"))-1)</f>
        <v>3</v>
      </c>
      <c r="E77" cm="1">
        <f t="array" aca="1" ref="E77" ca="1">INDEX(_xlfn.FILTERXML("&lt;t&gt;&lt;s&gt;" &amp; SUBSTITUTE(C77," ","&lt;/s&gt;&lt;s&gt;") &amp; "&lt;/s&gt;&lt;/t&gt;","//s[number(.)=number(.)]"),
       COUNT(_xlfn.FILTERXML("&lt;t&gt;&lt;s&gt;" &amp; SUBSTITUTE(C77," ","&lt;/s&gt;&lt;s&gt;") &amp; "&lt;/s&gt;&lt;/t&gt;","//s[number(.)=number(.)]")))</f>
        <v>0</v>
      </c>
      <c r="F77" s="4" t="str">
        <f t="shared" ca="1" si="8"/>
        <v>4987190084118</v>
      </c>
      <c r="G77" s="4" t="str">
        <f t="shared" ca="1" si="9"/>
        <v>2026/03/25</v>
      </c>
      <c r="H77" t="str">
        <f t="shared" ca="1" si="10"/>
        <v>2026/04/01</v>
      </c>
      <c r="I77" t="str">
        <f t="shared" ca="1" si="11"/>
        <v>オランザピンOD錠5mg「ニプロ」ニプロ</v>
      </c>
      <c r="J77" t="str">
        <f t="shared" ca="1" si="12"/>
        <v>オランザピンOD錠5mg「ニプロ」</v>
      </c>
      <c r="K77" t="str" cm="1">
        <f t="array" aca="1" ref="K77" ca="1">_xlfn.LET(
  _xlpm.s, SUBSTITUTE(SUBSTITUTE(I77," ",""),"　",""),
  _xlpm.dic, SUBSTITUTE(SUBSTITUTE(メーカー!$A$1:$A$100," ",""),"　",""),
  _xlpm.pos, MATCH(TRUE, RIGHT(_xlpm.s, LEN(_xlpm.dic)) = _xlpm.dic, 0),
  INDEX(メーカー!$A$1:$A$100, _xlpm.pos)
)</f>
        <v>ニプロ</v>
      </c>
      <c r="L77" cm="1">
        <f t="array" aca="1" ref="L77" ca="1">INDEX(_xlfn.FILTERXML("&lt;t&gt;&lt;s&gt;" &amp; SUBSTITUTE(MID(C77,23,999)," ","&lt;/s&gt;&lt;s&gt;") &amp; "&lt;/s&gt;&lt;/t&gt;","//s[number(.)=number(.)]"),1)</f>
        <v>3</v>
      </c>
      <c r="M77" cm="1">
        <f t="array" aca="1" ref="M77" ca="1">INDEX(
  _xlfn.FILTERXML("&lt;t&gt;&lt;s&gt;" &amp; SUBSTITUTE(MID(C77, 22 + LEN(I77) + 1, 999), " ", "&lt;/s&gt;&lt;s&gt;") &amp; "&lt;/s&gt;&lt;/t&gt;",
            "//s[number(.)=number(.)]"),
  2
)</f>
        <v>20</v>
      </c>
      <c r="N77" t="str" cm="1">
        <f t="array" aca="1" ref="N77" ca="1">_xlfn.REGEXEXTRACT(C77, "\d{2}:\d{2}:\d{2}")</f>
        <v>08:54:48</v>
      </c>
      <c r="O77" t="str">
        <f t="shared" ca="1" si="13"/>
        <v>5mg/錠 バラ 100錠×1瓶</v>
      </c>
      <c r="P77" t="str">
        <f t="shared" ca="1" si="14"/>
        <v>3</v>
      </c>
    </row>
    <row r="78" spans="2:16" x14ac:dyDescent="0.45">
      <c r="B78">
        <f t="shared" si="15"/>
        <v>330</v>
      </c>
      <c r="C78" t="str">
        <f ca="1">_xlfn.CONCAT(OFFSET(元!$B$10,'1行'!B78,0)," ",OFFSET(元!$B$12,'1行'!B78,0))</f>
        <v>2026/03/25 2026/04/01 オランザピンOD錠10mg「ニプロ」ニプロ 3 21 08:54:48 10mg/錠 バラ 100錠×1瓶4987190084217 3 0</v>
      </c>
      <c r="D78" cm="1">
        <f t="array" aca="1" ref="D78" ca="1">INDEX(_xlfn.FILTERXML("&lt;t&gt;&lt;s&gt;" &amp; SUBSTITUTE(C78," ","&lt;/s&gt;&lt;s&gt;") &amp; "&lt;/s&gt;&lt;/t&gt;","//s[number(.)=number(.)]"),
       COUNT(_xlfn.FILTERXML("&lt;t&gt;&lt;s&gt;" &amp; SUBSTITUTE(C78," ","&lt;/s&gt;&lt;s&gt;") &amp; "&lt;/s&gt;&lt;/t&gt;","//s[number(.)=number(.)]"))-1)</f>
        <v>3</v>
      </c>
      <c r="E78" cm="1">
        <f t="array" aca="1" ref="E78" ca="1">INDEX(_xlfn.FILTERXML("&lt;t&gt;&lt;s&gt;" &amp; SUBSTITUTE(C78," ","&lt;/s&gt;&lt;s&gt;") &amp; "&lt;/s&gt;&lt;/t&gt;","//s[number(.)=number(.)]"),
       COUNT(_xlfn.FILTERXML("&lt;t&gt;&lt;s&gt;" &amp; SUBSTITUTE(C78," ","&lt;/s&gt;&lt;s&gt;") &amp; "&lt;/s&gt;&lt;/t&gt;","//s[number(.)=number(.)]")))</f>
        <v>0</v>
      </c>
      <c r="F78" s="4" t="str">
        <f t="shared" ca="1" si="8"/>
        <v>4987190084217</v>
      </c>
      <c r="G78" s="4" t="str">
        <f t="shared" ca="1" si="9"/>
        <v>2026/03/25</v>
      </c>
      <c r="H78" t="str">
        <f t="shared" ca="1" si="10"/>
        <v>2026/04/01</v>
      </c>
      <c r="I78" t="str">
        <f t="shared" ca="1" si="11"/>
        <v>オランザピンOD錠10mg「ニプロ」ニプロ</v>
      </c>
      <c r="J78" t="str">
        <f t="shared" ca="1" si="12"/>
        <v>オランザピンOD錠10mg「ニプロ」</v>
      </c>
      <c r="K78" t="str" cm="1">
        <f t="array" aca="1" ref="K78" ca="1">_xlfn.LET(
  _xlpm.s, SUBSTITUTE(SUBSTITUTE(I78," ",""),"　",""),
  _xlpm.dic, SUBSTITUTE(SUBSTITUTE(メーカー!$A$1:$A$100," ",""),"　",""),
  _xlpm.pos, MATCH(TRUE, RIGHT(_xlpm.s, LEN(_xlpm.dic)) = _xlpm.dic, 0),
  INDEX(メーカー!$A$1:$A$100, _xlpm.pos)
)</f>
        <v>ニプロ</v>
      </c>
      <c r="L78" cm="1">
        <f t="array" aca="1" ref="L78" ca="1">INDEX(_xlfn.FILTERXML("&lt;t&gt;&lt;s&gt;" &amp; SUBSTITUTE(MID(C78,23,999)," ","&lt;/s&gt;&lt;s&gt;") &amp; "&lt;/s&gt;&lt;/t&gt;","//s[number(.)=number(.)]"),1)</f>
        <v>3</v>
      </c>
      <c r="M78" cm="1">
        <f t="array" aca="1" ref="M78" ca="1">INDEX(
  _xlfn.FILTERXML("&lt;t&gt;&lt;s&gt;" &amp; SUBSTITUTE(MID(C78, 22 + LEN(I78) + 1, 999), " ", "&lt;/s&gt;&lt;s&gt;") &amp; "&lt;/s&gt;&lt;/t&gt;",
            "//s[number(.)=number(.)]"),
  2
)</f>
        <v>21</v>
      </c>
      <c r="N78" t="str" cm="1">
        <f t="array" aca="1" ref="N78" ca="1">_xlfn.REGEXEXTRACT(C78, "\d{2}:\d{2}:\d{2}")</f>
        <v>08:54:48</v>
      </c>
      <c r="O78" t="str">
        <f t="shared" ca="1" si="13"/>
        <v>10mg/錠 バラ 100錠×1瓶</v>
      </c>
      <c r="P78" t="str">
        <f t="shared" ca="1" si="14"/>
        <v>3</v>
      </c>
    </row>
    <row r="79" spans="2:16" x14ac:dyDescent="0.45">
      <c r="B79">
        <f t="shared" si="15"/>
        <v>334</v>
      </c>
      <c r="C79" t="str">
        <f ca="1">_xlfn.CONCAT(OFFSET(元!$B$10,'1行'!B79,0)," ",OFFSET(元!$B$12,'1行'!B79,0))</f>
        <v>2026/03/25 2026/04/01 フルボキサミンマレイン酸塩錠25mg「サワイ」沢井製薬 6 22 08:54:48 25mg/錠 PTP 10錠×10 4987080674016 6 0</v>
      </c>
      <c r="D79" cm="1">
        <f t="array" aca="1" ref="D79" ca="1">INDEX(_xlfn.FILTERXML("&lt;t&gt;&lt;s&gt;" &amp; SUBSTITUTE(C79," ","&lt;/s&gt;&lt;s&gt;") &amp; "&lt;/s&gt;&lt;/t&gt;","//s[number(.)=number(.)]"),
       COUNT(_xlfn.FILTERXML("&lt;t&gt;&lt;s&gt;" &amp; SUBSTITUTE(C79," ","&lt;/s&gt;&lt;s&gt;") &amp; "&lt;/s&gt;&lt;/t&gt;","//s[number(.)=number(.)]"))-1)</f>
        <v>6</v>
      </c>
      <c r="E79" cm="1">
        <f t="array" aca="1" ref="E79" ca="1">INDEX(_xlfn.FILTERXML("&lt;t&gt;&lt;s&gt;" &amp; SUBSTITUTE(C79," ","&lt;/s&gt;&lt;s&gt;") &amp; "&lt;/s&gt;&lt;/t&gt;","//s[number(.)=number(.)]"),
       COUNT(_xlfn.FILTERXML("&lt;t&gt;&lt;s&gt;" &amp; SUBSTITUTE(C79," ","&lt;/s&gt;&lt;s&gt;") &amp; "&lt;/s&gt;&lt;/t&gt;","//s[number(.)=number(.)]")))</f>
        <v>0</v>
      </c>
      <c r="F79" s="4" t="str">
        <f t="shared" ca="1" si="8"/>
        <v>4987080674016</v>
      </c>
      <c r="G79" s="4" t="str">
        <f t="shared" ca="1" si="9"/>
        <v>2026/03/25</v>
      </c>
      <c r="H79" t="str">
        <f t="shared" ca="1" si="10"/>
        <v>2026/04/01</v>
      </c>
      <c r="I79" t="str">
        <f t="shared" ca="1" si="11"/>
        <v>フルボキサミンマレイン酸塩錠25mg「サワイ」沢井製薬</v>
      </c>
      <c r="J79" t="str">
        <f t="shared" ca="1" si="12"/>
        <v>フルボキサミンマレイン酸塩錠25mg「サワイ」</v>
      </c>
      <c r="K79" t="str" cm="1">
        <f t="array" aca="1" ref="K79" ca="1">_xlfn.LET(
  _xlpm.s, SUBSTITUTE(SUBSTITUTE(I79," ",""),"　",""),
  _xlpm.dic, SUBSTITUTE(SUBSTITUTE(メーカー!$A$1:$A$100," ",""),"　",""),
  _xlpm.pos, MATCH(TRUE, RIGHT(_xlpm.s, LEN(_xlpm.dic)) = _xlpm.dic, 0),
  INDEX(メーカー!$A$1:$A$100, _xlpm.pos)
)</f>
        <v>沢井製薬</v>
      </c>
      <c r="L79" cm="1">
        <f t="array" aca="1" ref="L79" ca="1">INDEX(_xlfn.FILTERXML("&lt;t&gt;&lt;s&gt;" &amp; SUBSTITUTE(MID(C79,23,999)," ","&lt;/s&gt;&lt;s&gt;") &amp; "&lt;/s&gt;&lt;/t&gt;","//s[number(.)=number(.)]"),1)</f>
        <v>6</v>
      </c>
      <c r="M79" cm="1">
        <f t="array" aca="1" ref="M79" ca="1">INDEX(
  _xlfn.FILTERXML("&lt;t&gt;&lt;s&gt;" &amp; SUBSTITUTE(MID(C79, 22 + LEN(I79) + 1, 999), " ", "&lt;/s&gt;&lt;s&gt;") &amp; "&lt;/s&gt;&lt;/t&gt;",
            "//s[number(.)=number(.)]"),
  2
)</f>
        <v>22</v>
      </c>
      <c r="N79" t="str" cm="1">
        <f t="array" aca="1" ref="N79" ca="1">_xlfn.REGEXEXTRACT(C79, "\d{2}:\d{2}:\d{2}")</f>
        <v>08:54:48</v>
      </c>
      <c r="O79" t="str">
        <f t="shared" ca="1" si="13"/>
        <v>25mg/錠 PTP 10錠×10</v>
      </c>
      <c r="P79" t="str">
        <f t="shared" ca="1" si="14"/>
        <v>6</v>
      </c>
    </row>
    <row r="80" spans="2:16" x14ac:dyDescent="0.45">
      <c r="B80">
        <f t="shared" si="15"/>
        <v>338</v>
      </c>
      <c r="C80" t="str">
        <f ca="1">_xlfn.CONCAT(OFFSET(元!$B$10,'1行'!B80,0)," ",OFFSET(元!$B$12,'1行'!B80,0))</f>
        <v>2026/03/25 2026/04/01 フルボキサミンマレイン酸塩錠25mg「サワイ」沢井製薬 1 23 08:54:48 25mg/錠 バラ 500錠×1瓶4987080674054 1 0</v>
      </c>
      <c r="D80" cm="1">
        <f t="array" aca="1" ref="D80" ca="1">INDEX(_xlfn.FILTERXML("&lt;t&gt;&lt;s&gt;" &amp; SUBSTITUTE(C80," ","&lt;/s&gt;&lt;s&gt;") &amp; "&lt;/s&gt;&lt;/t&gt;","//s[number(.)=number(.)]"),
       COUNT(_xlfn.FILTERXML("&lt;t&gt;&lt;s&gt;" &amp; SUBSTITUTE(C80," ","&lt;/s&gt;&lt;s&gt;") &amp; "&lt;/s&gt;&lt;/t&gt;","//s[number(.)=number(.)]"))-1)</f>
        <v>1</v>
      </c>
      <c r="E80" cm="1">
        <f t="array" aca="1" ref="E80" ca="1">INDEX(_xlfn.FILTERXML("&lt;t&gt;&lt;s&gt;" &amp; SUBSTITUTE(C80," ","&lt;/s&gt;&lt;s&gt;") &amp; "&lt;/s&gt;&lt;/t&gt;","//s[number(.)=number(.)]"),
       COUNT(_xlfn.FILTERXML("&lt;t&gt;&lt;s&gt;" &amp; SUBSTITUTE(C80," ","&lt;/s&gt;&lt;s&gt;") &amp; "&lt;/s&gt;&lt;/t&gt;","//s[number(.)=number(.)]")))</f>
        <v>0</v>
      </c>
      <c r="F80" s="4" t="str">
        <f t="shared" ca="1" si="8"/>
        <v>4987080674054</v>
      </c>
      <c r="G80" s="4" t="str">
        <f t="shared" ca="1" si="9"/>
        <v>2026/03/25</v>
      </c>
      <c r="H80" t="str">
        <f t="shared" ca="1" si="10"/>
        <v>2026/04/01</v>
      </c>
      <c r="I80" t="str">
        <f t="shared" ca="1" si="11"/>
        <v>フルボキサミンマレイン酸塩錠25mg「サワイ」沢井製薬</v>
      </c>
      <c r="J80" t="str">
        <f t="shared" ca="1" si="12"/>
        <v>フルボキサミンマレイン酸塩錠25mg「サワイ」</v>
      </c>
      <c r="K80" t="str" cm="1">
        <f t="array" aca="1" ref="K80" ca="1">_xlfn.LET(
  _xlpm.s, SUBSTITUTE(SUBSTITUTE(I80," ",""),"　",""),
  _xlpm.dic, SUBSTITUTE(SUBSTITUTE(メーカー!$A$1:$A$100," ",""),"　",""),
  _xlpm.pos, MATCH(TRUE, RIGHT(_xlpm.s, LEN(_xlpm.dic)) = _xlpm.dic, 0),
  INDEX(メーカー!$A$1:$A$100, _xlpm.pos)
)</f>
        <v>沢井製薬</v>
      </c>
      <c r="L80" cm="1">
        <f t="array" aca="1" ref="L80" ca="1">INDEX(_xlfn.FILTERXML("&lt;t&gt;&lt;s&gt;" &amp; SUBSTITUTE(MID(C80,23,999)," ","&lt;/s&gt;&lt;s&gt;") &amp; "&lt;/s&gt;&lt;/t&gt;","//s[number(.)=number(.)]"),1)</f>
        <v>1</v>
      </c>
      <c r="M80" cm="1">
        <f t="array" aca="1" ref="M80" ca="1">INDEX(
  _xlfn.FILTERXML("&lt;t&gt;&lt;s&gt;" &amp; SUBSTITUTE(MID(C80, 22 + LEN(I80) + 1, 999), " ", "&lt;/s&gt;&lt;s&gt;") &amp; "&lt;/s&gt;&lt;/t&gt;",
            "//s[number(.)=number(.)]"),
  2
)</f>
        <v>23</v>
      </c>
      <c r="N80" t="str" cm="1">
        <f t="array" aca="1" ref="N80" ca="1">_xlfn.REGEXEXTRACT(C80, "\d{2}:\d{2}:\d{2}")</f>
        <v>08:54:48</v>
      </c>
      <c r="O80" t="str">
        <f t="shared" ca="1" si="13"/>
        <v>25mg/錠 バラ 500錠×1瓶</v>
      </c>
      <c r="P80" t="str">
        <f t="shared" ca="1" si="14"/>
        <v>1</v>
      </c>
    </row>
    <row r="81" spans="2:16" x14ac:dyDescent="0.45">
      <c r="B81">
        <f t="shared" si="15"/>
        <v>342</v>
      </c>
      <c r="C81" t="str">
        <f ca="1">_xlfn.CONCAT(OFFSET(元!$B$10,'1行'!B81,0)," ",OFFSET(元!$B$12,'1行'!B81,0))</f>
        <v>2026/03/25 2026/04/01 ニュープロパッチ4.5mg 大塚製薬 1 24 08:54:48 4.5mg1枚×28袋 (3.2cm×3.2cm) 4987035553212 1 0</v>
      </c>
      <c r="D81" cm="1">
        <f t="array" aca="1" ref="D81" ca="1">INDEX(_xlfn.FILTERXML("&lt;t&gt;&lt;s&gt;" &amp; SUBSTITUTE(C81," ","&lt;/s&gt;&lt;s&gt;") &amp; "&lt;/s&gt;&lt;/t&gt;","//s[number(.)=number(.)]"),
       COUNT(_xlfn.FILTERXML("&lt;t&gt;&lt;s&gt;" &amp; SUBSTITUTE(C81," ","&lt;/s&gt;&lt;s&gt;") &amp; "&lt;/s&gt;&lt;/t&gt;","//s[number(.)=number(.)]"))-1)</f>
        <v>1</v>
      </c>
      <c r="E81" cm="1">
        <f t="array" aca="1" ref="E81" ca="1">INDEX(_xlfn.FILTERXML("&lt;t&gt;&lt;s&gt;" &amp; SUBSTITUTE(C81," ","&lt;/s&gt;&lt;s&gt;") &amp; "&lt;/s&gt;&lt;/t&gt;","//s[number(.)=number(.)]"),
       COUNT(_xlfn.FILTERXML("&lt;t&gt;&lt;s&gt;" &amp; SUBSTITUTE(C81," ","&lt;/s&gt;&lt;s&gt;") &amp; "&lt;/s&gt;&lt;/t&gt;","//s[number(.)=number(.)]")))</f>
        <v>0</v>
      </c>
      <c r="F81" s="4" t="str">
        <f t="shared" ca="1" si="8"/>
        <v>4987035553212</v>
      </c>
      <c r="G81" s="4" t="str">
        <f t="shared" ca="1" si="9"/>
        <v>2026/03/25</v>
      </c>
      <c r="H81" t="str">
        <f t="shared" ca="1" si="10"/>
        <v>2026/04/01</v>
      </c>
      <c r="I81" t="str">
        <f t="shared" ca="1" si="11"/>
        <v>ニュープロパッチ4.5mg 大塚製薬</v>
      </c>
      <c r="J81" t="str">
        <f t="shared" ca="1" si="12"/>
        <v xml:space="preserve">ニュープロパッチ4.5mg </v>
      </c>
      <c r="K81" t="str" cm="1">
        <f t="array" aca="1" ref="K81" ca="1">_xlfn.LET(
  _xlpm.s, SUBSTITUTE(SUBSTITUTE(I81," ",""),"　",""),
  _xlpm.dic, SUBSTITUTE(SUBSTITUTE(メーカー!$A$1:$A$100," ",""),"　",""),
  _xlpm.pos, MATCH(TRUE, RIGHT(_xlpm.s, LEN(_xlpm.dic)) = _xlpm.dic, 0),
  INDEX(メーカー!$A$1:$A$100, _xlpm.pos)
)</f>
        <v>大塚製薬</v>
      </c>
      <c r="L81" cm="1">
        <f t="array" aca="1" ref="L81" ca="1">INDEX(_xlfn.FILTERXML("&lt;t&gt;&lt;s&gt;" &amp; SUBSTITUTE(MID(C81,23,999)," ","&lt;/s&gt;&lt;s&gt;") &amp; "&lt;/s&gt;&lt;/t&gt;","//s[number(.)=number(.)]"),1)</f>
        <v>1</v>
      </c>
      <c r="M81" cm="1">
        <f t="array" aca="1" ref="M81" ca="1">INDEX(
  _xlfn.FILTERXML("&lt;t&gt;&lt;s&gt;" &amp; SUBSTITUTE(MID(C81, 22 + LEN(I81) + 1, 999), " ", "&lt;/s&gt;&lt;s&gt;") &amp; "&lt;/s&gt;&lt;/t&gt;",
            "//s[number(.)=number(.)]"),
  2
)</f>
        <v>24</v>
      </c>
      <c r="N81" t="str" cm="1">
        <f t="array" aca="1" ref="N81" ca="1">_xlfn.REGEXEXTRACT(C81, "\d{2}:\d{2}:\d{2}")</f>
        <v>08:54:48</v>
      </c>
      <c r="O81" t="str">
        <f t="shared" ca="1" si="13"/>
        <v>4.5mg1枚×28袋 (3.2cm×3.2cm)</v>
      </c>
      <c r="P81" t="str">
        <f t="shared" ca="1" si="14"/>
        <v>1</v>
      </c>
    </row>
    <row r="82" spans="2:16" x14ac:dyDescent="0.45">
      <c r="B82">
        <f t="shared" si="15"/>
        <v>346</v>
      </c>
      <c r="C82" t="str">
        <f ca="1">_xlfn.CONCAT(OFFSET(元!$B$10,'1行'!B82,0)," ",OFFSET(元!$B$12,'1行'!B82,0))</f>
        <v>2026/03/25 2026/04/01 ツムラ柴胡加竜骨牡蛎湯エキス顆粒(医療用) ツムラ 1 25 08:54:48 分包 2.5g×189包4987138801234 1 0</v>
      </c>
      <c r="D82" cm="1">
        <f t="array" aca="1" ref="D82" ca="1">INDEX(_xlfn.FILTERXML("&lt;t&gt;&lt;s&gt;" &amp; SUBSTITUTE(C82," ","&lt;/s&gt;&lt;s&gt;") &amp; "&lt;/s&gt;&lt;/t&gt;","//s[number(.)=number(.)]"),
       COUNT(_xlfn.FILTERXML("&lt;t&gt;&lt;s&gt;" &amp; SUBSTITUTE(C82," ","&lt;/s&gt;&lt;s&gt;") &amp; "&lt;/s&gt;&lt;/t&gt;","//s[number(.)=number(.)]"))-1)</f>
        <v>1</v>
      </c>
      <c r="E82" cm="1">
        <f t="array" aca="1" ref="E82" ca="1">INDEX(_xlfn.FILTERXML("&lt;t&gt;&lt;s&gt;" &amp; SUBSTITUTE(C82," ","&lt;/s&gt;&lt;s&gt;") &amp; "&lt;/s&gt;&lt;/t&gt;","//s[number(.)=number(.)]"),
       COUNT(_xlfn.FILTERXML("&lt;t&gt;&lt;s&gt;" &amp; SUBSTITUTE(C82," ","&lt;/s&gt;&lt;s&gt;") &amp; "&lt;/s&gt;&lt;/t&gt;","//s[number(.)=number(.)]")))</f>
        <v>0</v>
      </c>
      <c r="F82" s="4" t="str">
        <f t="shared" ca="1" si="8"/>
        <v>4987138801234</v>
      </c>
      <c r="G82" s="4" t="str">
        <f t="shared" ca="1" si="9"/>
        <v>2026/03/25</v>
      </c>
      <c r="H82" t="str">
        <f t="shared" ca="1" si="10"/>
        <v>2026/04/01</v>
      </c>
      <c r="I82" t="str">
        <f t="shared" ca="1" si="11"/>
        <v>ツムラ柴胡加竜骨牡蛎湯エキス顆粒(医療用) ツムラ</v>
      </c>
      <c r="J82" t="str">
        <f t="shared" ca="1" si="12"/>
        <v xml:space="preserve">ツムラ柴胡加竜骨牡蛎湯エキス顆粒(医療用) </v>
      </c>
      <c r="K82" t="str" cm="1">
        <f t="array" aca="1" ref="K82" ca="1">_xlfn.LET(
  _xlpm.s, SUBSTITUTE(SUBSTITUTE(I82," ",""),"　",""),
  _xlpm.dic, SUBSTITUTE(SUBSTITUTE(メーカー!$A$1:$A$100," ",""),"　",""),
  _xlpm.pos, MATCH(TRUE, RIGHT(_xlpm.s, LEN(_xlpm.dic)) = _xlpm.dic, 0),
  INDEX(メーカー!$A$1:$A$100, _xlpm.pos)
)</f>
        <v>ツムラ</v>
      </c>
      <c r="L82" cm="1">
        <f t="array" aca="1" ref="L82" ca="1">INDEX(_xlfn.FILTERXML("&lt;t&gt;&lt;s&gt;" &amp; SUBSTITUTE(MID(C82,23,999)," ","&lt;/s&gt;&lt;s&gt;") &amp; "&lt;/s&gt;&lt;/t&gt;","//s[number(.)=number(.)]"),1)</f>
        <v>1</v>
      </c>
      <c r="M82" cm="1">
        <f t="array" aca="1" ref="M82" ca="1">INDEX(
  _xlfn.FILTERXML("&lt;t&gt;&lt;s&gt;" &amp; SUBSTITUTE(MID(C82, 22 + LEN(I82) + 1, 999), " ", "&lt;/s&gt;&lt;s&gt;") &amp; "&lt;/s&gt;&lt;/t&gt;",
            "//s[number(.)=number(.)]"),
  2
)</f>
        <v>25</v>
      </c>
      <c r="N82" t="str" cm="1">
        <f t="array" aca="1" ref="N82" ca="1">_xlfn.REGEXEXTRACT(C82, "\d{2}:\d{2}:\d{2}")</f>
        <v>08:54:48</v>
      </c>
      <c r="O82" t="str">
        <f t="shared" ca="1" si="13"/>
        <v>分包 2.5g×189包</v>
      </c>
      <c r="P82" t="str">
        <f t="shared" ca="1" si="14"/>
        <v>1</v>
      </c>
    </row>
    <row r="83" spans="2:16" x14ac:dyDescent="0.45">
      <c r="B83">
        <f t="shared" si="15"/>
        <v>350</v>
      </c>
      <c r="C83" t="str">
        <f ca="1">_xlfn.CONCAT(OFFSET(元!$B$10,'1行'!B83,0)," ",OFFSET(元!$B$12,'1行'!B83,0))</f>
        <v>2026/03/25 2026/04/01 アナストロゾール錠1mg「サワイ」沢井製薬 1 26 08:54:48 1mg/錠 PTP 10錠×3 4987080261070 1 0</v>
      </c>
      <c r="D83" cm="1">
        <f t="array" aca="1" ref="D83" ca="1">INDEX(_xlfn.FILTERXML("&lt;t&gt;&lt;s&gt;" &amp; SUBSTITUTE(C83," ","&lt;/s&gt;&lt;s&gt;") &amp; "&lt;/s&gt;&lt;/t&gt;","//s[number(.)=number(.)]"),
       COUNT(_xlfn.FILTERXML("&lt;t&gt;&lt;s&gt;" &amp; SUBSTITUTE(C83," ","&lt;/s&gt;&lt;s&gt;") &amp; "&lt;/s&gt;&lt;/t&gt;","//s[number(.)=number(.)]"))-1)</f>
        <v>1</v>
      </c>
      <c r="E83" cm="1">
        <f t="array" aca="1" ref="E83" ca="1">INDEX(_xlfn.FILTERXML("&lt;t&gt;&lt;s&gt;" &amp; SUBSTITUTE(C83," ","&lt;/s&gt;&lt;s&gt;") &amp; "&lt;/s&gt;&lt;/t&gt;","//s[number(.)=number(.)]"),
       COUNT(_xlfn.FILTERXML("&lt;t&gt;&lt;s&gt;" &amp; SUBSTITUTE(C83," ","&lt;/s&gt;&lt;s&gt;") &amp; "&lt;/s&gt;&lt;/t&gt;","//s[number(.)=number(.)]")))</f>
        <v>0</v>
      </c>
      <c r="F83" s="4" t="str">
        <f t="shared" ca="1" si="8"/>
        <v>4987080261070</v>
      </c>
      <c r="G83" s="4" t="str">
        <f t="shared" ca="1" si="9"/>
        <v>2026/03/25</v>
      </c>
      <c r="H83" t="str">
        <f t="shared" ca="1" si="10"/>
        <v>2026/04/01</v>
      </c>
      <c r="I83" t="str">
        <f t="shared" ca="1" si="11"/>
        <v>アナストロゾール錠1mg「サワイ」沢井製薬</v>
      </c>
      <c r="J83" t="str">
        <f t="shared" ca="1" si="12"/>
        <v>アナストロゾール錠1mg「サワイ」</v>
      </c>
      <c r="K83" t="str" cm="1">
        <f t="array" aca="1" ref="K83" ca="1">_xlfn.LET(
  _xlpm.s, SUBSTITUTE(SUBSTITUTE(I83," ",""),"　",""),
  _xlpm.dic, SUBSTITUTE(SUBSTITUTE(メーカー!$A$1:$A$100," ",""),"　",""),
  _xlpm.pos, MATCH(TRUE, RIGHT(_xlpm.s, LEN(_xlpm.dic)) = _xlpm.dic, 0),
  INDEX(メーカー!$A$1:$A$100, _xlpm.pos)
)</f>
        <v>沢井製薬</v>
      </c>
      <c r="L83" cm="1">
        <f t="array" aca="1" ref="L83" ca="1">INDEX(_xlfn.FILTERXML("&lt;t&gt;&lt;s&gt;" &amp; SUBSTITUTE(MID(C83,23,999)," ","&lt;/s&gt;&lt;s&gt;") &amp; "&lt;/s&gt;&lt;/t&gt;","//s[number(.)=number(.)]"),1)</f>
        <v>1</v>
      </c>
      <c r="M83" cm="1">
        <f t="array" aca="1" ref="M83" ca="1">INDEX(
  _xlfn.FILTERXML("&lt;t&gt;&lt;s&gt;" &amp; SUBSTITUTE(MID(C83, 22 + LEN(I83) + 1, 999), " ", "&lt;/s&gt;&lt;s&gt;") &amp; "&lt;/s&gt;&lt;/t&gt;",
            "//s[number(.)=number(.)]"),
  2
)</f>
        <v>26</v>
      </c>
      <c r="N83" t="str" cm="1">
        <f t="array" aca="1" ref="N83" ca="1">_xlfn.REGEXEXTRACT(C83, "\d{2}:\d{2}:\d{2}")</f>
        <v>08:54:48</v>
      </c>
      <c r="O83" t="str">
        <f t="shared" ca="1" si="13"/>
        <v>1mg/錠 PTP 10錠×3</v>
      </c>
      <c r="P83" t="str">
        <f t="shared" ca="1" si="14"/>
        <v>1</v>
      </c>
    </row>
    <row r="84" spans="2:16" x14ac:dyDescent="0.45">
      <c r="B84">
        <f t="shared" si="15"/>
        <v>354</v>
      </c>
      <c r="C84" t="str">
        <f ca="1">_xlfn.CONCAT(OFFSET(元!$B$10,'1行'!B84,0)," ",OFFSET(元!$B$12,'1行'!B84,0))</f>
        <v>2026/03/25 2026/04/01 コールタイジン点鼻液陽進堂 1 27 08:54:48 15mL×10瓶4987476123722 1 0</v>
      </c>
      <c r="D84" cm="1">
        <f t="array" aca="1" ref="D84" ca="1">INDEX(_xlfn.FILTERXML("&lt;t&gt;&lt;s&gt;" &amp; SUBSTITUTE(C84," ","&lt;/s&gt;&lt;s&gt;") &amp; "&lt;/s&gt;&lt;/t&gt;","//s[number(.)=number(.)]"),
       COUNT(_xlfn.FILTERXML("&lt;t&gt;&lt;s&gt;" &amp; SUBSTITUTE(C84," ","&lt;/s&gt;&lt;s&gt;") &amp; "&lt;/s&gt;&lt;/t&gt;","//s[number(.)=number(.)]"))-1)</f>
        <v>1</v>
      </c>
      <c r="E84" cm="1">
        <f t="array" aca="1" ref="E84" ca="1">INDEX(_xlfn.FILTERXML("&lt;t&gt;&lt;s&gt;" &amp; SUBSTITUTE(C84," ","&lt;/s&gt;&lt;s&gt;") &amp; "&lt;/s&gt;&lt;/t&gt;","//s[number(.)=number(.)]"),
       COUNT(_xlfn.FILTERXML("&lt;t&gt;&lt;s&gt;" &amp; SUBSTITUTE(C84," ","&lt;/s&gt;&lt;s&gt;") &amp; "&lt;/s&gt;&lt;/t&gt;","//s[number(.)=number(.)]")))</f>
        <v>0</v>
      </c>
      <c r="F84" s="4" t="str">
        <f t="shared" ca="1" si="8"/>
        <v>4987476123722</v>
      </c>
      <c r="G84" s="4" t="str">
        <f t="shared" ca="1" si="9"/>
        <v>2026/03/25</v>
      </c>
      <c r="H84" t="str">
        <f t="shared" ca="1" si="10"/>
        <v>2026/04/01</v>
      </c>
      <c r="I84" t="str">
        <f t="shared" ca="1" si="11"/>
        <v>コールタイジン点鼻液陽進堂</v>
      </c>
      <c r="J84" t="str">
        <f t="shared" ca="1" si="12"/>
        <v>コールタイジン点鼻液</v>
      </c>
      <c r="K84" t="str" cm="1">
        <f t="array" aca="1" ref="K84" ca="1">_xlfn.LET(
  _xlpm.s, SUBSTITUTE(SUBSTITUTE(I84," ",""),"　",""),
  _xlpm.dic, SUBSTITUTE(SUBSTITUTE(メーカー!$A$1:$A$100," ",""),"　",""),
  _xlpm.pos, MATCH(TRUE, RIGHT(_xlpm.s, LEN(_xlpm.dic)) = _xlpm.dic, 0),
  INDEX(メーカー!$A$1:$A$100, _xlpm.pos)
)</f>
        <v>陽進堂</v>
      </c>
      <c r="L84" cm="1">
        <f t="array" aca="1" ref="L84" ca="1">INDEX(_xlfn.FILTERXML("&lt;t&gt;&lt;s&gt;" &amp; SUBSTITUTE(MID(C84,23,999)," ","&lt;/s&gt;&lt;s&gt;") &amp; "&lt;/s&gt;&lt;/t&gt;","//s[number(.)=number(.)]"),1)</f>
        <v>1</v>
      </c>
      <c r="M84" cm="1">
        <f t="array" aca="1" ref="M84" ca="1">INDEX(
  _xlfn.FILTERXML("&lt;t&gt;&lt;s&gt;" &amp; SUBSTITUTE(MID(C84, 22 + LEN(I84) + 1, 999), " ", "&lt;/s&gt;&lt;s&gt;") &amp; "&lt;/s&gt;&lt;/t&gt;",
            "//s[number(.)=number(.)]"),
  2
)</f>
        <v>27</v>
      </c>
      <c r="N84" t="str" cm="1">
        <f t="array" aca="1" ref="N84" ca="1">_xlfn.REGEXEXTRACT(C84, "\d{2}:\d{2}:\d{2}")</f>
        <v>08:54:48</v>
      </c>
      <c r="O84" t="str">
        <f t="shared" ca="1" si="13"/>
        <v>15mL×10瓶</v>
      </c>
      <c r="P84" t="str">
        <f t="shared" ca="1" si="14"/>
        <v>1</v>
      </c>
    </row>
    <row r="85" spans="2:16" x14ac:dyDescent="0.45">
      <c r="B85">
        <f t="shared" si="15"/>
        <v>358</v>
      </c>
      <c r="C85" t="str">
        <f ca="1">_xlfn.CONCAT(OFFSET(元!$B$10,'1行'!B85,0)," ",OFFSET(元!$B$12,'1行'!B85,0))</f>
        <v>2026/03/25 2026/04/01 フルデカシン筋注25mg 田辺ファーマ 1 28 08:54:48 25mg/1mL×5瓶4987128006762 1 0</v>
      </c>
      <c r="D85" cm="1">
        <f t="array" aca="1" ref="D85" ca="1">INDEX(_xlfn.FILTERXML("&lt;t&gt;&lt;s&gt;" &amp; SUBSTITUTE(C85," ","&lt;/s&gt;&lt;s&gt;") &amp; "&lt;/s&gt;&lt;/t&gt;","//s[number(.)=number(.)]"),
       COUNT(_xlfn.FILTERXML("&lt;t&gt;&lt;s&gt;" &amp; SUBSTITUTE(C85," ","&lt;/s&gt;&lt;s&gt;") &amp; "&lt;/s&gt;&lt;/t&gt;","//s[number(.)=number(.)]"))-1)</f>
        <v>1</v>
      </c>
      <c r="E85" cm="1">
        <f t="array" aca="1" ref="E85" ca="1">INDEX(_xlfn.FILTERXML("&lt;t&gt;&lt;s&gt;" &amp; SUBSTITUTE(C85," ","&lt;/s&gt;&lt;s&gt;") &amp; "&lt;/s&gt;&lt;/t&gt;","//s[number(.)=number(.)]"),
       COUNT(_xlfn.FILTERXML("&lt;t&gt;&lt;s&gt;" &amp; SUBSTITUTE(C85," ","&lt;/s&gt;&lt;s&gt;") &amp; "&lt;/s&gt;&lt;/t&gt;","//s[number(.)=number(.)]")))</f>
        <v>0</v>
      </c>
      <c r="F85" s="4" t="str">
        <f t="shared" ca="1" si="8"/>
        <v>4987128006762</v>
      </c>
      <c r="G85" s="4" t="str">
        <f t="shared" ca="1" si="9"/>
        <v>2026/03/25</v>
      </c>
      <c r="H85" t="str">
        <f t="shared" ca="1" si="10"/>
        <v>2026/04/01</v>
      </c>
      <c r="I85" t="str">
        <f t="shared" ca="1" si="11"/>
        <v>フルデカシン筋注25mg 田辺ファーマ</v>
      </c>
      <c r="J85" t="str">
        <f t="shared" ca="1" si="12"/>
        <v xml:space="preserve">フルデカシン筋注25mg </v>
      </c>
      <c r="K85" t="str" cm="1">
        <f t="array" aca="1" ref="K85" ca="1">_xlfn.LET(
  _xlpm.s, SUBSTITUTE(SUBSTITUTE(I85," ",""),"　",""),
  _xlpm.dic, SUBSTITUTE(SUBSTITUTE(メーカー!$A$1:$A$100," ",""),"　",""),
  _xlpm.pos, MATCH(TRUE, RIGHT(_xlpm.s, LEN(_xlpm.dic)) = _xlpm.dic, 0),
  INDEX(メーカー!$A$1:$A$100, _xlpm.pos)
)</f>
        <v>田辺ファーマ</v>
      </c>
      <c r="L85" cm="1">
        <f t="array" aca="1" ref="L85" ca="1">INDEX(_xlfn.FILTERXML("&lt;t&gt;&lt;s&gt;" &amp; SUBSTITUTE(MID(C85,23,999)," ","&lt;/s&gt;&lt;s&gt;") &amp; "&lt;/s&gt;&lt;/t&gt;","//s[number(.)=number(.)]"),1)</f>
        <v>1</v>
      </c>
      <c r="M85" cm="1">
        <f t="array" aca="1" ref="M85" ca="1">INDEX(
  _xlfn.FILTERXML("&lt;t&gt;&lt;s&gt;" &amp; SUBSTITUTE(MID(C85, 22 + LEN(I85) + 1, 999), " ", "&lt;/s&gt;&lt;s&gt;") &amp; "&lt;/s&gt;&lt;/t&gt;",
            "//s[number(.)=number(.)]"),
  2
)</f>
        <v>28</v>
      </c>
      <c r="N85" t="str" cm="1">
        <f t="array" aca="1" ref="N85" ca="1">_xlfn.REGEXEXTRACT(C85, "\d{2}:\d{2}:\d{2}")</f>
        <v>08:54:48</v>
      </c>
      <c r="O85" t="str">
        <f t="shared" ca="1" si="13"/>
        <v>25mg/1mL×5瓶</v>
      </c>
      <c r="P85" t="str">
        <f t="shared" ca="1" si="14"/>
        <v>1</v>
      </c>
    </row>
    <row r="86" spans="2:16" x14ac:dyDescent="0.45">
      <c r="B86">
        <f t="shared" si="15"/>
        <v>362</v>
      </c>
      <c r="C86" t="str">
        <f ca="1">_xlfn.CONCAT(OFFSET(元!$B$10,'1行'!B86,0)," ",OFFSET(元!$B$12,'1行'!B86,0))</f>
        <v>2026/03/25 2026/04/01 ニコランジル錠5mg「サワイ」日本ジェネリック 1 29 08:54:48 5mg/錠 バラ 1000錠×1瓶4987792287382 1 0</v>
      </c>
      <c r="D86" cm="1">
        <f t="array" aca="1" ref="D86" ca="1">INDEX(_xlfn.FILTERXML("&lt;t&gt;&lt;s&gt;" &amp; SUBSTITUTE(C86," ","&lt;/s&gt;&lt;s&gt;") &amp; "&lt;/s&gt;&lt;/t&gt;","//s[number(.)=number(.)]"),
       COUNT(_xlfn.FILTERXML("&lt;t&gt;&lt;s&gt;" &amp; SUBSTITUTE(C86," ","&lt;/s&gt;&lt;s&gt;") &amp; "&lt;/s&gt;&lt;/t&gt;","//s[number(.)=number(.)]"))-1)</f>
        <v>1</v>
      </c>
      <c r="E86" cm="1">
        <f t="array" aca="1" ref="E86" ca="1">INDEX(_xlfn.FILTERXML("&lt;t&gt;&lt;s&gt;" &amp; SUBSTITUTE(C86," ","&lt;/s&gt;&lt;s&gt;") &amp; "&lt;/s&gt;&lt;/t&gt;","//s[number(.)=number(.)]"),
       COUNT(_xlfn.FILTERXML("&lt;t&gt;&lt;s&gt;" &amp; SUBSTITUTE(C86," ","&lt;/s&gt;&lt;s&gt;") &amp; "&lt;/s&gt;&lt;/t&gt;","//s[number(.)=number(.)]")))</f>
        <v>0</v>
      </c>
      <c r="F86" s="4" t="str">
        <f t="shared" ca="1" si="8"/>
        <v>4987792287382</v>
      </c>
      <c r="G86" s="4" t="str">
        <f t="shared" ca="1" si="9"/>
        <v>2026/03/25</v>
      </c>
      <c r="H86" t="str">
        <f t="shared" ca="1" si="10"/>
        <v>2026/04/01</v>
      </c>
      <c r="I86" t="str">
        <f t="shared" ca="1" si="11"/>
        <v>ニコランジル錠5mg「サワイ」日本ジェネリック</v>
      </c>
      <c r="J86" t="str">
        <f t="shared" ca="1" si="12"/>
        <v>ニコランジル錠5mg「サワイ」</v>
      </c>
      <c r="K86" t="str" cm="1">
        <f t="array" aca="1" ref="K86" ca="1">_xlfn.LET(
  _xlpm.s, SUBSTITUTE(SUBSTITUTE(I86," ",""),"　",""),
  _xlpm.dic, SUBSTITUTE(SUBSTITUTE(メーカー!$A$1:$A$100," ",""),"　",""),
  _xlpm.pos, MATCH(TRUE, RIGHT(_xlpm.s, LEN(_xlpm.dic)) = _xlpm.dic, 0),
  INDEX(メーカー!$A$1:$A$100, _xlpm.pos)
)</f>
        <v>日本ジェネリック</v>
      </c>
      <c r="L86" cm="1">
        <f t="array" aca="1" ref="L86" ca="1">INDEX(_xlfn.FILTERXML("&lt;t&gt;&lt;s&gt;" &amp; SUBSTITUTE(MID(C86,23,999)," ","&lt;/s&gt;&lt;s&gt;") &amp; "&lt;/s&gt;&lt;/t&gt;","//s[number(.)=number(.)]"),1)</f>
        <v>1</v>
      </c>
      <c r="M86" cm="1">
        <f t="array" aca="1" ref="M86" ca="1">INDEX(
  _xlfn.FILTERXML("&lt;t&gt;&lt;s&gt;" &amp; SUBSTITUTE(MID(C86, 22 + LEN(I86) + 1, 999), " ", "&lt;/s&gt;&lt;s&gt;") &amp; "&lt;/s&gt;&lt;/t&gt;",
            "//s[number(.)=number(.)]"),
  2
)</f>
        <v>29</v>
      </c>
      <c r="N86" t="str" cm="1">
        <f t="array" aca="1" ref="N86" ca="1">_xlfn.REGEXEXTRACT(C86, "\d{2}:\d{2}:\d{2}")</f>
        <v>08:54:48</v>
      </c>
      <c r="O86" t="str">
        <f t="shared" ca="1" si="13"/>
        <v>5mg/錠 バラ 1000錠×1瓶</v>
      </c>
      <c r="P86" t="str">
        <f t="shared" ca="1" si="14"/>
        <v>1</v>
      </c>
    </row>
    <row r="87" spans="2:16" x14ac:dyDescent="0.45">
      <c r="B87">
        <f t="shared" si="15"/>
        <v>366</v>
      </c>
      <c r="C87" t="str">
        <f ca="1">_xlfn.CONCAT(OFFSET(元!$B$10,'1行'!B87,0)," ",OFFSET(元!$B$12,'1行'!B87,0))</f>
        <v>2026/03/25 2026/04/01 ドンペリドン錠10mg「JG」日本ジェネリック 1 30 08:54:48 10mg/錠 PTP 10錠×100 4987792286002 1 0</v>
      </c>
      <c r="D87" cm="1">
        <f t="array" aca="1" ref="D87" ca="1">INDEX(_xlfn.FILTERXML("&lt;t&gt;&lt;s&gt;" &amp; SUBSTITUTE(C87," ","&lt;/s&gt;&lt;s&gt;") &amp; "&lt;/s&gt;&lt;/t&gt;","//s[number(.)=number(.)]"),
       COUNT(_xlfn.FILTERXML("&lt;t&gt;&lt;s&gt;" &amp; SUBSTITUTE(C87," ","&lt;/s&gt;&lt;s&gt;") &amp; "&lt;/s&gt;&lt;/t&gt;","//s[number(.)=number(.)]"))-1)</f>
        <v>1</v>
      </c>
      <c r="E87" cm="1">
        <f t="array" aca="1" ref="E87" ca="1">INDEX(_xlfn.FILTERXML("&lt;t&gt;&lt;s&gt;" &amp; SUBSTITUTE(C87," ","&lt;/s&gt;&lt;s&gt;") &amp; "&lt;/s&gt;&lt;/t&gt;","//s[number(.)=number(.)]"),
       COUNT(_xlfn.FILTERXML("&lt;t&gt;&lt;s&gt;" &amp; SUBSTITUTE(C87," ","&lt;/s&gt;&lt;s&gt;") &amp; "&lt;/s&gt;&lt;/t&gt;","//s[number(.)=number(.)]")))</f>
        <v>0</v>
      </c>
      <c r="F87" s="4" t="str">
        <f t="shared" ca="1" si="8"/>
        <v>4987792286002</v>
      </c>
      <c r="G87" s="4" t="str">
        <f t="shared" ca="1" si="9"/>
        <v>2026/03/25</v>
      </c>
      <c r="H87" t="str">
        <f t="shared" ca="1" si="10"/>
        <v>2026/04/01</v>
      </c>
      <c r="I87" t="str">
        <f t="shared" ca="1" si="11"/>
        <v>ドンペリドン錠10mg「JG」日本ジェネリック</v>
      </c>
      <c r="J87" t="str">
        <f t="shared" ca="1" si="12"/>
        <v>ドンペリドン錠10mg「JG」</v>
      </c>
      <c r="K87" t="str" cm="1">
        <f t="array" aca="1" ref="K87" ca="1">_xlfn.LET(
  _xlpm.s, SUBSTITUTE(SUBSTITUTE(I87," ",""),"　",""),
  _xlpm.dic, SUBSTITUTE(SUBSTITUTE(メーカー!$A$1:$A$100," ",""),"　",""),
  _xlpm.pos, MATCH(TRUE, RIGHT(_xlpm.s, LEN(_xlpm.dic)) = _xlpm.dic, 0),
  INDEX(メーカー!$A$1:$A$100, _xlpm.pos)
)</f>
        <v>日本ジェネリック</v>
      </c>
      <c r="L87" cm="1">
        <f t="array" aca="1" ref="L87" ca="1">INDEX(_xlfn.FILTERXML("&lt;t&gt;&lt;s&gt;" &amp; SUBSTITUTE(MID(C87,23,999)," ","&lt;/s&gt;&lt;s&gt;") &amp; "&lt;/s&gt;&lt;/t&gt;","//s[number(.)=number(.)]"),1)</f>
        <v>1</v>
      </c>
      <c r="M87" cm="1">
        <f t="array" aca="1" ref="M87" ca="1">INDEX(
  _xlfn.FILTERXML("&lt;t&gt;&lt;s&gt;" &amp; SUBSTITUTE(MID(C87, 22 + LEN(I87) + 1, 999), " ", "&lt;/s&gt;&lt;s&gt;") &amp; "&lt;/s&gt;&lt;/t&gt;",
            "//s[number(.)=number(.)]"),
  2
)</f>
        <v>30</v>
      </c>
      <c r="N87" t="str" cm="1">
        <f t="array" aca="1" ref="N87" ca="1">_xlfn.REGEXEXTRACT(C87, "\d{2}:\d{2}:\d{2}")</f>
        <v>08:54:48</v>
      </c>
      <c r="O87" t="str">
        <f t="shared" ca="1" si="13"/>
        <v>10mg/錠 PTP 10錠×100</v>
      </c>
      <c r="P87" t="str">
        <f t="shared" ca="1" si="14"/>
        <v>1</v>
      </c>
    </row>
    <row r="88" spans="2:16" x14ac:dyDescent="0.45">
      <c r="B88">
        <f t="shared" si="15"/>
        <v>370</v>
      </c>
      <c r="C88" t="str">
        <f ca="1">_xlfn.CONCAT(OFFSET(元!$B$10,'1行'!B88,0)," ",OFFSET(元!$B$12,'1行'!B88,0))</f>
        <v>2026/03/25 2026/04/01 ツムラ半夏厚朴湯エキス顆粒(医療用) ツムラ 1 31 08:54:48 分包 2.5g×189包4987138801630 1 0</v>
      </c>
      <c r="D88" cm="1">
        <f t="array" aca="1" ref="D88" ca="1">INDEX(_xlfn.FILTERXML("&lt;t&gt;&lt;s&gt;" &amp; SUBSTITUTE(C88," ","&lt;/s&gt;&lt;s&gt;") &amp; "&lt;/s&gt;&lt;/t&gt;","//s[number(.)=number(.)]"),
       COUNT(_xlfn.FILTERXML("&lt;t&gt;&lt;s&gt;" &amp; SUBSTITUTE(C88," ","&lt;/s&gt;&lt;s&gt;") &amp; "&lt;/s&gt;&lt;/t&gt;","//s[number(.)=number(.)]"))-1)</f>
        <v>1</v>
      </c>
      <c r="E88" cm="1">
        <f t="array" aca="1" ref="E88" ca="1">INDEX(_xlfn.FILTERXML("&lt;t&gt;&lt;s&gt;" &amp; SUBSTITUTE(C88," ","&lt;/s&gt;&lt;s&gt;") &amp; "&lt;/s&gt;&lt;/t&gt;","//s[number(.)=number(.)]"),
       COUNT(_xlfn.FILTERXML("&lt;t&gt;&lt;s&gt;" &amp; SUBSTITUTE(C88," ","&lt;/s&gt;&lt;s&gt;") &amp; "&lt;/s&gt;&lt;/t&gt;","//s[number(.)=number(.)]")))</f>
        <v>0</v>
      </c>
      <c r="F88" s="4" t="str">
        <f t="shared" ca="1" si="8"/>
        <v>4987138801630</v>
      </c>
      <c r="G88" s="4" t="str">
        <f t="shared" ca="1" si="9"/>
        <v>2026/03/25</v>
      </c>
      <c r="H88" t="str">
        <f t="shared" ca="1" si="10"/>
        <v>2026/04/01</v>
      </c>
      <c r="I88" t="str">
        <f t="shared" ca="1" si="11"/>
        <v>ツムラ半夏厚朴湯エキス顆粒(医療用) ツムラ</v>
      </c>
      <c r="J88" t="str">
        <f t="shared" ca="1" si="12"/>
        <v xml:space="preserve">ツムラ半夏厚朴湯エキス顆粒(医療用) </v>
      </c>
      <c r="K88" t="str" cm="1">
        <f t="array" aca="1" ref="K88" ca="1">_xlfn.LET(
  _xlpm.s, SUBSTITUTE(SUBSTITUTE(I88," ",""),"　",""),
  _xlpm.dic, SUBSTITUTE(SUBSTITUTE(メーカー!$A$1:$A$100," ",""),"　",""),
  _xlpm.pos, MATCH(TRUE, RIGHT(_xlpm.s, LEN(_xlpm.dic)) = _xlpm.dic, 0),
  INDEX(メーカー!$A$1:$A$100, _xlpm.pos)
)</f>
        <v>ツムラ</v>
      </c>
      <c r="L88" cm="1">
        <f t="array" aca="1" ref="L88" ca="1">INDEX(_xlfn.FILTERXML("&lt;t&gt;&lt;s&gt;" &amp; SUBSTITUTE(MID(C88,23,999)," ","&lt;/s&gt;&lt;s&gt;") &amp; "&lt;/s&gt;&lt;/t&gt;","//s[number(.)=number(.)]"),1)</f>
        <v>1</v>
      </c>
      <c r="M88" cm="1">
        <f t="array" aca="1" ref="M88" ca="1">INDEX(
  _xlfn.FILTERXML("&lt;t&gt;&lt;s&gt;" &amp; SUBSTITUTE(MID(C88, 22 + LEN(I88) + 1, 999), " ", "&lt;/s&gt;&lt;s&gt;") &amp; "&lt;/s&gt;&lt;/t&gt;",
            "//s[number(.)=number(.)]"),
  2
)</f>
        <v>31</v>
      </c>
      <c r="N88" t="str" cm="1">
        <f t="array" aca="1" ref="N88" ca="1">_xlfn.REGEXEXTRACT(C88, "\d{2}:\d{2}:\d{2}")</f>
        <v>08:54:48</v>
      </c>
      <c r="O88" t="str">
        <f t="shared" ca="1" si="13"/>
        <v>分包 2.5g×189包</v>
      </c>
      <c r="P88" t="str">
        <f t="shared" ca="1" si="14"/>
        <v>1</v>
      </c>
    </row>
    <row r="89" spans="2:16" x14ac:dyDescent="0.45">
      <c r="B89">
        <f t="shared" si="15"/>
        <v>374</v>
      </c>
      <c r="C89" t="str">
        <f ca="1">_xlfn.CONCAT(OFFSET(元!$B$10,'1行'!B89,0)," ",OFFSET(元!$B$12,'1行'!B89,0))</f>
        <v>2026/03/25 2026/04/01 ヒルナミン錠(5mg) 共和薬品工業 1 32 08:54:48 5mg/錠 バラ 1000錠×1瓶4987058682616 1 0</v>
      </c>
      <c r="D89" cm="1">
        <f t="array" aca="1" ref="D89" ca="1">INDEX(_xlfn.FILTERXML("&lt;t&gt;&lt;s&gt;" &amp; SUBSTITUTE(C89," ","&lt;/s&gt;&lt;s&gt;") &amp; "&lt;/s&gt;&lt;/t&gt;","//s[number(.)=number(.)]"),
       COUNT(_xlfn.FILTERXML("&lt;t&gt;&lt;s&gt;" &amp; SUBSTITUTE(C89," ","&lt;/s&gt;&lt;s&gt;") &amp; "&lt;/s&gt;&lt;/t&gt;","//s[number(.)=number(.)]"))-1)</f>
        <v>1</v>
      </c>
      <c r="E89" cm="1">
        <f t="array" aca="1" ref="E89" ca="1">INDEX(_xlfn.FILTERXML("&lt;t&gt;&lt;s&gt;" &amp; SUBSTITUTE(C89," ","&lt;/s&gt;&lt;s&gt;") &amp; "&lt;/s&gt;&lt;/t&gt;","//s[number(.)=number(.)]"),
       COUNT(_xlfn.FILTERXML("&lt;t&gt;&lt;s&gt;" &amp; SUBSTITUTE(C89," ","&lt;/s&gt;&lt;s&gt;") &amp; "&lt;/s&gt;&lt;/t&gt;","//s[number(.)=number(.)]")))</f>
        <v>0</v>
      </c>
      <c r="F89" s="4" t="str">
        <f t="shared" ca="1" si="8"/>
        <v>4987058682616</v>
      </c>
      <c r="G89" s="4" t="str">
        <f t="shared" ca="1" si="9"/>
        <v>2026/03/25</v>
      </c>
      <c r="H89" t="str">
        <f t="shared" ca="1" si="10"/>
        <v>2026/04/01</v>
      </c>
      <c r="I89" t="str">
        <f t="shared" ca="1" si="11"/>
        <v>ヒルナミン錠(5mg) 共和薬品工業</v>
      </c>
      <c r="J89" t="str">
        <f t="shared" ca="1" si="12"/>
        <v xml:space="preserve">ヒルナミン錠(5mg) </v>
      </c>
      <c r="K89" t="str" cm="1">
        <f t="array" aca="1" ref="K89" ca="1">_xlfn.LET(
  _xlpm.s, SUBSTITUTE(SUBSTITUTE(I89," ",""),"　",""),
  _xlpm.dic, SUBSTITUTE(SUBSTITUTE(メーカー!$A$1:$A$100," ",""),"　",""),
  _xlpm.pos, MATCH(TRUE, RIGHT(_xlpm.s, LEN(_xlpm.dic)) = _xlpm.dic, 0),
  INDEX(メーカー!$A$1:$A$100, _xlpm.pos)
)</f>
        <v>共和薬品工業</v>
      </c>
      <c r="L89" cm="1">
        <f t="array" aca="1" ref="L89" ca="1">INDEX(_xlfn.FILTERXML("&lt;t&gt;&lt;s&gt;" &amp; SUBSTITUTE(MID(C89,23,999)," ","&lt;/s&gt;&lt;s&gt;") &amp; "&lt;/s&gt;&lt;/t&gt;","//s[number(.)=number(.)]"),1)</f>
        <v>1</v>
      </c>
      <c r="M89" cm="1">
        <f t="array" aca="1" ref="M89" ca="1">INDEX(
  _xlfn.FILTERXML("&lt;t&gt;&lt;s&gt;" &amp; SUBSTITUTE(MID(C89, 22 + LEN(I89) + 1, 999), " ", "&lt;/s&gt;&lt;s&gt;") &amp; "&lt;/s&gt;&lt;/t&gt;",
            "//s[number(.)=number(.)]"),
  2
)</f>
        <v>32</v>
      </c>
      <c r="N89" t="str" cm="1">
        <f t="array" aca="1" ref="N89" ca="1">_xlfn.REGEXEXTRACT(C89, "\d{2}:\d{2}:\d{2}")</f>
        <v>08:54:48</v>
      </c>
      <c r="O89" t="str">
        <f t="shared" ca="1" si="13"/>
        <v>5mg/錠 バラ 1000錠×1瓶</v>
      </c>
      <c r="P89" t="str">
        <f t="shared" ca="1" si="14"/>
        <v>1</v>
      </c>
    </row>
    <row r="90" spans="2:16" x14ac:dyDescent="0.45">
      <c r="B90">
        <f t="shared" si="15"/>
        <v>378</v>
      </c>
      <c r="C90" t="str">
        <f ca="1">_xlfn.CONCAT(OFFSET(元!$B$10,'1行'!B90,0)," ",OFFSET(元!$B$12,'1行'!B90,0))</f>
        <v>2026/03/25 2026/04/01 バナン錠100mg 第一三共 1 33 08:54:48 100mg/錠 PTP 10錠×10 4987081105113 1 0</v>
      </c>
      <c r="D90" cm="1">
        <f t="array" aca="1" ref="D90" ca="1">INDEX(_xlfn.FILTERXML("&lt;t&gt;&lt;s&gt;" &amp; SUBSTITUTE(C90," ","&lt;/s&gt;&lt;s&gt;") &amp; "&lt;/s&gt;&lt;/t&gt;","//s[number(.)=number(.)]"),
       COUNT(_xlfn.FILTERXML("&lt;t&gt;&lt;s&gt;" &amp; SUBSTITUTE(C90," ","&lt;/s&gt;&lt;s&gt;") &amp; "&lt;/s&gt;&lt;/t&gt;","//s[number(.)=number(.)]"))-1)</f>
        <v>1</v>
      </c>
      <c r="E90" cm="1">
        <f t="array" aca="1" ref="E90" ca="1">INDEX(_xlfn.FILTERXML("&lt;t&gt;&lt;s&gt;" &amp; SUBSTITUTE(C90," ","&lt;/s&gt;&lt;s&gt;") &amp; "&lt;/s&gt;&lt;/t&gt;","//s[number(.)=number(.)]"),
       COUNT(_xlfn.FILTERXML("&lt;t&gt;&lt;s&gt;" &amp; SUBSTITUTE(C90," ","&lt;/s&gt;&lt;s&gt;") &amp; "&lt;/s&gt;&lt;/t&gt;","//s[number(.)=number(.)]")))</f>
        <v>0</v>
      </c>
      <c r="F90" s="4" t="str">
        <f t="shared" ca="1" si="8"/>
        <v>4987081105113</v>
      </c>
      <c r="G90" s="4" t="str">
        <f t="shared" ca="1" si="9"/>
        <v>2026/03/25</v>
      </c>
      <c r="H90" t="str">
        <f t="shared" ca="1" si="10"/>
        <v>2026/04/01</v>
      </c>
      <c r="I90" t="str">
        <f t="shared" ca="1" si="11"/>
        <v>バナン錠100mg 第一三共</v>
      </c>
      <c r="J90" t="str">
        <f t="shared" ca="1" si="12"/>
        <v xml:space="preserve">バナン錠100mg </v>
      </c>
      <c r="K90" t="str" cm="1">
        <f t="array" aca="1" ref="K90" ca="1">_xlfn.LET(
  _xlpm.s, SUBSTITUTE(SUBSTITUTE(I90," ",""),"　",""),
  _xlpm.dic, SUBSTITUTE(SUBSTITUTE(メーカー!$A$1:$A$100," ",""),"　",""),
  _xlpm.pos, MATCH(TRUE, RIGHT(_xlpm.s, LEN(_xlpm.dic)) = _xlpm.dic, 0),
  INDEX(メーカー!$A$1:$A$100, _xlpm.pos)
)</f>
        <v>第一三共</v>
      </c>
      <c r="L90" cm="1">
        <f t="array" aca="1" ref="L90" ca="1">INDEX(_xlfn.FILTERXML("&lt;t&gt;&lt;s&gt;" &amp; SUBSTITUTE(MID(C90,23,999)," ","&lt;/s&gt;&lt;s&gt;") &amp; "&lt;/s&gt;&lt;/t&gt;","//s[number(.)=number(.)]"),1)</f>
        <v>1</v>
      </c>
      <c r="M90" cm="1">
        <f t="array" aca="1" ref="M90" ca="1">INDEX(
  _xlfn.FILTERXML("&lt;t&gt;&lt;s&gt;" &amp; SUBSTITUTE(MID(C90, 22 + LEN(I90) + 1, 999), " ", "&lt;/s&gt;&lt;s&gt;") &amp; "&lt;/s&gt;&lt;/t&gt;",
            "//s[number(.)=number(.)]"),
  2
)</f>
        <v>33</v>
      </c>
      <c r="N90" t="str" cm="1">
        <f t="array" aca="1" ref="N90" ca="1">_xlfn.REGEXEXTRACT(C90, "\d{2}:\d{2}:\d{2}")</f>
        <v>08:54:48</v>
      </c>
      <c r="O90" t="str">
        <f t="shared" ca="1" si="13"/>
        <v>100mg/錠 PTP 10錠×10</v>
      </c>
      <c r="P90" t="str">
        <f t="shared" ca="1" si="14"/>
        <v>1</v>
      </c>
    </row>
    <row r="91" spans="2:16" x14ac:dyDescent="0.45">
      <c r="B91">
        <f t="shared" si="15"/>
        <v>382</v>
      </c>
      <c r="C91" t="str">
        <f ca="1">_xlfn.CONCAT(OFFSET(元!$B$10,'1行'!B91,0)," ",OFFSET(元!$B$12,'1行'!B91,0))</f>
        <v>2026/03/25 2026/04/01 トラゼンタ錠5mg 日本ベーリンガーインゲルハイム 1 34 08:54:48 5mg/錠 PTP 10錠×10 4987413870511 1 0</v>
      </c>
      <c r="D91" cm="1">
        <f t="array" aca="1" ref="D91" ca="1">INDEX(_xlfn.FILTERXML("&lt;t&gt;&lt;s&gt;" &amp; SUBSTITUTE(C91," ","&lt;/s&gt;&lt;s&gt;") &amp; "&lt;/s&gt;&lt;/t&gt;","//s[number(.)=number(.)]"),
       COUNT(_xlfn.FILTERXML("&lt;t&gt;&lt;s&gt;" &amp; SUBSTITUTE(C91," ","&lt;/s&gt;&lt;s&gt;") &amp; "&lt;/s&gt;&lt;/t&gt;","//s[number(.)=number(.)]"))-1)</f>
        <v>1</v>
      </c>
      <c r="E91" cm="1">
        <f t="array" aca="1" ref="E91" ca="1">INDEX(_xlfn.FILTERXML("&lt;t&gt;&lt;s&gt;" &amp; SUBSTITUTE(C91," ","&lt;/s&gt;&lt;s&gt;") &amp; "&lt;/s&gt;&lt;/t&gt;","//s[number(.)=number(.)]"),
       COUNT(_xlfn.FILTERXML("&lt;t&gt;&lt;s&gt;" &amp; SUBSTITUTE(C91," ","&lt;/s&gt;&lt;s&gt;") &amp; "&lt;/s&gt;&lt;/t&gt;","//s[number(.)=number(.)]")))</f>
        <v>0</v>
      </c>
      <c r="F91" s="4" t="str">
        <f t="shared" ca="1" si="8"/>
        <v>4987413870511</v>
      </c>
      <c r="G91" s="4" t="str">
        <f t="shared" ca="1" si="9"/>
        <v>2026/03/25</v>
      </c>
      <c r="H91" t="str">
        <f t="shared" ca="1" si="10"/>
        <v>2026/04/01</v>
      </c>
      <c r="I91" t="str">
        <f t="shared" ca="1" si="11"/>
        <v>トラゼンタ錠5mg 日本ベーリンガーインゲルハイム</v>
      </c>
      <c r="J91" t="str">
        <f t="shared" ca="1" si="12"/>
        <v xml:space="preserve">トラゼンタ錠5mg </v>
      </c>
      <c r="K91" t="str" cm="1">
        <f t="array" aca="1" ref="K91" ca="1">_xlfn.LET(
  _xlpm.s, SUBSTITUTE(SUBSTITUTE(I91," ",""),"　",""),
  _xlpm.dic, SUBSTITUTE(SUBSTITUTE(メーカー!$A$1:$A$100," ",""),"　",""),
  _xlpm.pos, MATCH(TRUE, RIGHT(_xlpm.s, LEN(_xlpm.dic)) = _xlpm.dic, 0),
  INDEX(メーカー!$A$1:$A$100, _xlpm.pos)
)</f>
        <v>日本ベーリンガーインゲルハイム</v>
      </c>
      <c r="L91" cm="1">
        <f t="array" aca="1" ref="L91" ca="1">INDEX(_xlfn.FILTERXML("&lt;t&gt;&lt;s&gt;" &amp; SUBSTITUTE(MID(C91,23,999)," ","&lt;/s&gt;&lt;s&gt;") &amp; "&lt;/s&gt;&lt;/t&gt;","//s[number(.)=number(.)]"),1)</f>
        <v>1</v>
      </c>
      <c r="M91" cm="1">
        <f t="array" aca="1" ref="M91" ca="1">INDEX(
  _xlfn.FILTERXML("&lt;t&gt;&lt;s&gt;" &amp; SUBSTITUTE(MID(C91, 22 + LEN(I91) + 1, 999), " ", "&lt;/s&gt;&lt;s&gt;") &amp; "&lt;/s&gt;&lt;/t&gt;",
            "//s[number(.)=number(.)]"),
  2
)</f>
        <v>34</v>
      </c>
      <c r="N91" t="str" cm="1">
        <f t="array" aca="1" ref="N91" ca="1">_xlfn.REGEXEXTRACT(C91, "\d{2}:\d{2}:\d{2}")</f>
        <v>08:54:48</v>
      </c>
      <c r="O91" t="str">
        <f t="shared" ca="1" si="13"/>
        <v>5mg/錠 PTP 10錠×10</v>
      </c>
      <c r="P91" t="str">
        <f t="shared" ca="1" si="14"/>
        <v>1</v>
      </c>
    </row>
    <row r="92" spans="2:16" x14ac:dyDescent="0.45">
      <c r="B92" s="3">
        <f>B91+20</f>
        <v>402</v>
      </c>
      <c r="C92" t="str">
        <f ca="1">_xlfn.CONCAT(OFFSET(元!$B$10,'1行'!B92,0)," ",OFFSET(元!$B$12,'1行'!B92,0))</f>
        <v>2026/03/25 2026/04/01 クラシエ柴苓湯エキス細粒クラシエ薬品 1 35 08:54:48 分包 2.7g×294包4987045642098 1 0</v>
      </c>
      <c r="D92" cm="1">
        <f t="array" aca="1" ref="D92" ca="1">INDEX(_xlfn.FILTERXML("&lt;t&gt;&lt;s&gt;" &amp; SUBSTITUTE(C92," ","&lt;/s&gt;&lt;s&gt;") &amp; "&lt;/s&gt;&lt;/t&gt;","//s[number(.)=number(.)]"),
       COUNT(_xlfn.FILTERXML("&lt;t&gt;&lt;s&gt;" &amp; SUBSTITUTE(C92," ","&lt;/s&gt;&lt;s&gt;") &amp; "&lt;/s&gt;&lt;/t&gt;","//s[number(.)=number(.)]"))-1)</f>
        <v>1</v>
      </c>
      <c r="E92" cm="1">
        <f t="array" aca="1" ref="E92" ca="1">INDEX(_xlfn.FILTERXML("&lt;t&gt;&lt;s&gt;" &amp; SUBSTITUTE(C92," ","&lt;/s&gt;&lt;s&gt;") &amp; "&lt;/s&gt;&lt;/t&gt;","//s[number(.)=number(.)]"),
       COUNT(_xlfn.FILTERXML("&lt;t&gt;&lt;s&gt;" &amp; SUBSTITUTE(C92," ","&lt;/s&gt;&lt;s&gt;") &amp; "&lt;/s&gt;&lt;/t&gt;","//s[number(.)=number(.)]")))</f>
        <v>0</v>
      </c>
      <c r="F92" s="4" t="str">
        <f t="shared" ca="1" si="8"/>
        <v>4987045642098</v>
      </c>
      <c r="G92" s="4" t="str">
        <f t="shared" ca="1" si="9"/>
        <v>2026/03/25</v>
      </c>
      <c r="H92" t="str">
        <f t="shared" ca="1" si="10"/>
        <v>2026/04/01</v>
      </c>
      <c r="I92" t="str">
        <f t="shared" ca="1" si="11"/>
        <v>クラシエ柴苓湯エキス細粒クラシエ薬品</v>
      </c>
      <c r="J92" t="str">
        <f t="shared" ca="1" si="12"/>
        <v>クラシエ柴苓湯エキス細粒</v>
      </c>
      <c r="K92" t="str" cm="1">
        <f t="array" aca="1" ref="K92" ca="1">_xlfn.LET(
  _xlpm.s, SUBSTITUTE(SUBSTITUTE(I92," ",""),"　",""),
  _xlpm.dic, SUBSTITUTE(SUBSTITUTE(メーカー!$A$1:$A$100," ",""),"　",""),
  _xlpm.pos, MATCH(TRUE, RIGHT(_xlpm.s, LEN(_xlpm.dic)) = _xlpm.dic, 0),
  INDEX(メーカー!$A$1:$A$100, _xlpm.pos)
)</f>
        <v>クラシエ薬品</v>
      </c>
      <c r="L92" cm="1">
        <f t="array" aca="1" ref="L92" ca="1">INDEX(_xlfn.FILTERXML("&lt;t&gt;&lt;s&gt;" &amp; SUBSTITUTE(MID(C92,23,999)," ","&lt;/s&gt;&lt;s&gt;") &amp; "&lt;/s&gt;&lt;/t&gt;","//s[number(.)=number(.)]"),1)</f>
        <v>1</v>
      </c>
      <c r="M92" cm="1">
        <f t="array" aca="1" ref="M92" ca="1">INDEX(
  _xlfn.FILTERXML("&lt;t&gt;&lt;s&gt;" &amp; SUBSTITUTE(MID(C92, 22 + LEN(I92) + 1, 999), " ", "&lt;/s&gt;&lt;s&gt;") &amp; "&lt;/s&gt;&lt;/t&gt;",
            "//s[number(.)=number(.)]"),
  2
)</f>
        <v>35</v>
      </c>
      <c r="N92" t="str" cm="1">
        <f t="array" aca="1" ref="N92" ca="1">_xlfn.REGEXEXTRACT(C92, "\d{2}:\d{2}:\d{2}")</f>
        <v>08:54:48</v>
      </c>
      <c r="O92" t="str">
        <f t="shared" ca="1" si="13"/>
        <v>分包 2.7g×294包</v>
      </c>
      <c r="P92" t="str">
        <f t="shared" ca="1" si="14"/>
        <v>1</v>
      </c>
    </row>
    <row r="93" spans="2:16" x14ac:dyDescent="0.45">
      <c r="B93">
        <f t="shared" si="15"/>
        <v>406</v>
      </c>
      <c r="C93" t="str">
        <f ca="1">_xlfn.CONCAT(OFFSET(元!$B$10,'1行'!B93,0)," ",OFFSET(元!$B$12,'1行'!B93,0))</f>
        <v>2026/03/25 2026/04/01 レトロゾール錠2.5mg「サワイ」沢井製薬 1 36 08:54:48 2.5mg/錠 PTP 10錠×3 4987080409113 1 0</v>
      </c>
      <c r="D93" cm="1">
        <f t="array" aca="1" ref="D93" ca="1">INDEX(_xlfn.FILTERXML("&lt;t&gt;&lt;s&gt;" &amp; SUBSTITUTE(C93," ","&lt;/s&gt;&lt;s&gt;") &amp; "&lt;/s&gt;&lt;/t&gt;","//s[number(.)=number(.)]"),
       COUNT(_xlfn.FILTERXML("&lt;t&gt;&lt;s&gt;" &amp; SUBSTITUTE(C93," ","&lt;/s&gt;&lt;s&gt;") &amp; "&lt;/s&gt;&lt;/t&gt;","//s[number(.)=number(.)]"))-1)</f>
        <v>1</v>
      </c>
      <c r="E93" cm="1">
        <f t="array" aca="1" ref="E93" ca="1">INDEX(_xlfn.FILTERXML("&lt;t&gt;&lt;s&gt;" &amp; SUBSTITUTE(C93," ","&lt;/s&gt;&lt;s&gt;") &amp; "&lt;/s&gt;&lt;/t&gt;","//s[number(.)=number(.)]"),
       COUNT(_xlfn.FILTERXML("&lt;t&gt;&lt;s&gt;" &amp; SUBSTITUTE(C93," ","&lt;/s&gt;&lt;s&gt;") &amp; "&lt;/s&gt;&lt;/t&gt;","//s[number(.)=number(.)]")))</f>
        <v>0</v>
      </c>
      <c r="F93" s="4" t="str">
        <f t="shared" ca="1" si="8"/>
        <v>4987080409113</v>
      </c>
      <c r="G93" s="4" t="str">
        <f t="shared" ca="1" si="9"/>
        <v>2026/03/25</v>
      </c>
      <c r="H93" t="str">
        <f t="shared" ca="1" si="10"/>
        <v>2026/04/01</v>
      </c>
      <c r="I93" t="str">
        <f t="shared" ca="1" si="11"/>
        <v>レトロゾール錠2.5mg「サワイ」沢井製薬</v>
      </c>
      <c r="J93" t="str">
        <f t="shared" ca="1" si="12"/>
        <v>レトロゾール錠2.5mg「サワイ」</v>
      </c>
      <c r="K93" t="str" cm="1">
        <f t="array" aca="1" ref="K93" ca="1">_xlfn.LET(
  _xlpm.s, SUBSTITUTE(SUBSTITUTE(I93," ",""),"　",""),
  _xlpm.dic, SUBSTITUTE(SUBSTITUTE(メーカー!$A$1:$A$100," ",""),"　",""),
  _xlpm.pos, MATCH(TRUE, RIGHT(_xlpm.s, LEN(_xlpm.dic)) = _xlpm.dic, 0),
  INDEX(メーカー!$A$1:$A$100, _xlpm.pos)
)</f>
        <v>沢井製薬</v>
      </c>
      <c r="L93" cm="1">
        <f t="array" aca="1" ref="L93" ca="1">INDEX(_xlfn.FILTERXML("&lt;t&gt;&lt;s&gt;" &amp; SUBSTITUTE(MID(C93,23,999)," ","&lt;/s&gt;&lt;s&gt;") &amp; "&lt;/s&gt;&lt;/t&gt;","//s[number(.)=number(.)]"),1)</f>
        <v>1</v>
      </c>
      <c r="M93" cm="1">
        <f t="array" aca="1" ref="M93" ca="1">INDEX(
  _xlfn.FILTERXML("&lt;t&gt;&lt;s&gt;" &amp; SUBSTITUTE(MID(C93, 22 + LEN(I93) + 1, 999), " ", "&lt;/s&gt;&lt;s&gt;") &amp; "&lt;/s&gt;&lt;/t&gt;",
            "//s[number(.)=number(.)]"),
  2
)</f>
        <v>36</v>
      </c>
      <c r="N93" t="str" cm="1">
        <f t="array" aca="1" ref="N93" ca="1">_xlfn.REGEXEXTRACT(C93, "\d{2}:\d{2}:\d{2}")</f>
        <v>08:54:48</v>
      </c>
      <c r="O93" t="str">
        <f t="shared" ca="1" si="13"/>
        <v>2.5mg/錠 PTP 10錠×3</v>
      </c>
      <c r="P93" t="str">
        <f t="shared" ca="1" si="14"/>
        <v>1</v>
      </c>
    </row>
    <row r="94" spans="2:16" x14ac:dyDescent="0.45">
      <c r="B94">
        <f t="shared" si="15"/>
        <v>410</v>
      </c>
      <c r="C94" t="str">
        <f ca="1">_xlfn.CONCAT(OFFSET(元!$B$10,'1行'!B94,0)," ",OFFSET(元!$B$12,'1行'!B94,0))</f>
        <v>2026/03/25 2026/04/01 レキソタン錠2 サンド 5 37 08:54:48 2mg/錠 PTP 10錠×10 4987614438107 5 0</v>
      </c>
      <c r="D94" cm="1">
        <f t="array" aca="1" ref="D94" ca="1">INDEX(_xlfn.FILTERXML("&lt;t&gt;&lt;s&gt;" &amp; SUBSTITUTE(C94," ","&lt;/s&gt;&lt;s&gt;") &amp; "&lt;/s&gt;&lt;/t&gt;","//s[number(.)=number(.)]"),
       COUNT(_xlfn.FILTERXML("&lt;t&gt;&lt;s&gt;" &amp; SUBSTITUTE(C94," ","&lt;/s&gt;&lt;s&gt;") &amp; "&lt;/s&gt;&lt;/t&gt;","//s[number(.)=number(.)]"))-1)</f>
        <v>5</v>
      </c>
      <c r="E94" cm="1">
        <f t="array" aca="1" ref="E94" ca="1">INDEX(_xlfn.FILTERXML("&lt;t&gt;&lt;s&gt;" &amp; SUBSTITUTE(C94," ","&lt;/s&gt;&lt;s&gt;") &amp; "&lt;/s&gt;&lt;/t&gt;","//s[number(.)=number(.)]"),
       COUNT(_xlfn.FILTERXML("&lt;t&gt;&lt;s&gt;" &amp; SUBSTITUTE(C94," ","&lt;/s&gt;&lt;s&gt;") &amp; "&lt;/s&gt;&lt;/t&gt;","//s[number(.)=number(.)]")))</f>
        <v>0</v>
      </c>
      <c r="F94" s="4" t="str">
        <f t="shared" ca="1" si="8"/>
        <v>4987614438107</v>
      </c>
      <c r="G94" s="4" t="str">
        <f t="shared" ca="1" si="9"/>
        <v>2026/03/25</v>
      </c>
      <c r="H94" t="str">
        <f t="shared" ca="1" si="10"/>
        <v>2026/04/01</v>
      </c>
      <c r="I94" t="str">
        <f t="shared" ca="1" si="11"/>
        <v>レキソタン錠2 サンド</v>
      </c>
      <c r="J94" t="str">
        <f t="shared" ca="1" si="12"/>
        <v xml:space="preserve">レキソタン錠2 </v>
      </c>
      <c r="K94" t="str" cm="1">
        <f t="array" aca="1" ref="K94" ca="1">_xlfn.LET(
  _xlpm.s, SUBSTITUTE(SUBSTITUTE(I94," ",""),"　",""),
  _xlpm.dic, SUBSTITUTE(SUBSTITUTE(メーカー!$A$1:$A$100," ",""),"　",""),
  _xlpm.pos, MATCH(TRUE, RIGHT(_xlpm.s, LEN(_xlpm.dic)) = _xlpm.dic, 0),
  INDEX(メーカー!$A$1:$A$100, _xlpm.pos)
)</f>
        <v>サンド</v>
      </c>
      <c r="L94" cm="1">
        <f t="array" aca="1" ref="L94" ca="1">INDEX(_xlfn.FILTERXML("&lt;t&gt;&lt;s&gt;" &amp; SUBSTITUTE(MID(C94,23,999)," ","&lt;/s&gt;&lt;s&gt;") &amp; "&lt;/s&gt;&lt;/t&gt;","//s[number(.)=number(.)]"),1)</f>
        <v>5</v>
      </c>
      <c r="M94" cm="1">
        <f t="array" aca="1" ref="M94" ca="1">INDEX(
  _xlfn.FILTERXML("&lt;t&gt;&lt;s&gt;" &amp; SUBSTITUTE(MID(C94, 22 + LEN(I94) + 1, 999), " ", "&lt;/s&gt;&lt;s&gt;") &amp; "&lt;/s&gt;&lt;/t&gt;",
            "//s[number(.)=number(.)]"),
  2
)</f>
        <v>37</v>
      </c>
      <c r="N94" t="str" cm="1">
        <f t="array" aca="1" ref="N94" ca="1">_xlfn.REGEXEXTRACT(C94, "\d{2}:\d{2}:\d{2}")</f>
        <v>08:54:48</v>
      </c>
      <c r="O94" t="str">
        <f t="shared" ca="1" si="13"/>
        <v>2mg/錠 PTP 10錠×10</v>
      </c>
      <c r="P94" t="str">
        <f t="shared" ca="1" si="14"/>
        <v>5</v>
      </c>
    </row>
    <row r="95" spans="2:16" x14ac:dyDescent="0.45">
      <c r="B95">
        <f t="shared" si="15"/>
        <v>414</v>
      </c>
      <c r="C95" t="str">
        <f ca="1">_xlfn.CONCAT(OFFSET(元!$B$10,'1行'!B95,0)," ",OFFSET(元!$B$12,'1行'!B95,0))</f>
        <v>2026/03/25 2026/04/01 エバスチンOD錠5mg「サワイ」沢井製薬 1 38 08:54:48 5mg/錠 PTP 10錠×10 4987080117018 1 0</v>
      </c>
      <c r="D95" cm="1">
        <f t="array" aca="1" ref="D95" ca="1">INDEX(_xlfn.FILTERXML("&lt;t&gt;&lt;s&gt;" &amp; SUBSTITUTE(C95," ","&lt;/s&gt;&lt;s&gt;") &amp; "&lt;/s&gt;&lt;/t&gt;","//s[number(.)=number(.)]"),
       COUNT(_xlfn.FILTERXML("&lt;t&gt;&lt;s&gt;" &amp; SUBSTITUTE(C95," ","&lt;/s&gt;&lt;s&gt;") &amp; "&lt;/s&gt;&lt;/t&gt;","//s[number(.)=number(.)]"))-1)</f>
        <v>1</v>
      </c>
      <c r="E95" cm="1">
        <f t="array" aca="1" ref="E95" ca="1">INDEX(_xlfn.FILTERXML("&lt;t&gt;&lt;s&gt;" &amp; SUBSTITUTE(C95," ","&lt;/s&gt;&lt;s&gt;") &amp; "&lt;/s&gt;&lt;/t&gt;","//s[number(.)=number(.)]"),
       COUNT(_xlfn.FILTERXML("&lt;t&gt;&lt;s&gt;" &amp; SUBSTITUTE(C95," ","&lt;/s&gt;&lt;s&gt;") &amp; "&lt;/s&gt;&lt;/t&gt;","//s[number(.)=number(.)]")))</f>
        <v>0</v>
      </c>
      <c r="F95" s="4" t="str">
        <f t="shared" ca="1" si="8"/>
        <v>4987080117018</v>
      </c>
      <c r="G95" s="4" t="str">
        <f t="shared" ca="1" si="9"/>
        <v>2026/03/25</v>
      </c>
      <c r="H95" t="str">
        <f t="shared" ca="1" si="10"/>
        <v>2026/04/01</v>
      </c>
      <c r="I95" t="str">
        <f t="shared" ca="1" si="11"/>
        <v>エバスチンOD錠5mg「サワイ」沢井製薬</v>
      </c>
      <c r="J95" t="str">
        <f t="shared" ca="1" si="12"/>
        <v>エバスチンOD錠5mg「サワイ」</v>
      </c>
      <c r="K95" t="str" cm="1">
        <f t="array" aca="1" ref="K95" ca="1">_xlfn.LET(
  _xlpm.s, SUBSTITUTE(SUBSTITUTE(I95," ",""),"　",""),
  _xlpm.dic, SUBSTITUTE(SUBSTITUTE(メーカー!$A$1:$A$100," ",""),"　",""),
  _xlpm.pos, MATCH(TRUE, RIGHT(_xlpm.s, LEN(_xlpm.dic)) = _xlpm.dic, 0),
  INDEX(メーカー!$A$1:$A$100, _xlpm.pos)
)</f>
        <v>沢井製薬</v>
      </c>
      <c r="L95" cm="1">
        <f t="array" aca="1" ref="L95" ca="1">INDEX(_xlfn.FILTERXML("&lt;t&gt;&lt;s&gt;" &amp; SUBSTITUTE(MID(C95,23,999)," ","&lt;/s&gt;&lt;s&gt;") &amp; "&lt;/s&gt;&lt;/t&gt;","//s[number(.)=number(.)]"),1)</f>
        <v>1</v>
      </c>
      <c r="M95" cm="1">
        <f t="array" aca="1" ref="M95" ca="1">INDEX(
  _xlfn.FILTERXML("&lt;t&gt;&lt;s&gt;" &amp; SUBSTITUTE(MID(C95, 22 + LEN(I95) + 1, 999), " ", "&lt;/s&gt;&lt;s&gt;") &amp; "&lt;/s&gt;&lt;/t&gt;",
            "//s[number(.)=number(.)]"),
  2
)</f>
        <v>38</v>
      </c>
      <c r="N95" t="str" cm="1">
        <f t="array" aca="1" ref="N95" ca="1">_xlfn.REGEXEXTRACT(C95, "\d{2}:\d{2}:\d{2}")</f>
        <v>08:54:48</v>
      </c>
      <c r="O95" t="str">
        <f t="shared" ca="1" si="13"/>
        <v>5mg/錠 PTP 10錠×10</v>
      </c>
      <c r="P95" t="str">
        <f t="shared" ca="1" si="14"/>
        <v>1</v>
      </c>
    </row>
    <row r="96" spans="2:16" x14ac:dyDescent="0.45">
      <c r="B96">
        <f t="shared" si="15"/>
        <v>418</v>
      </c>
      <c r="C96" t="str">
        <f ca="1">_xlfn.CONCAT(OFFSET(元!$B$10,'1行'!B96,0)," ",OFFSET(元!$B$12,'1行'!B96,0))</f>
        <v>2026/03/25 2026/04/01 クロピドグレル錠75mg「JG」日本ジェネリック 1 39 08:54:48 75mg/錠 バラ 500錠×1瓶4987792313180 1 0</v>
      </c>
      <c r="D96" cm="1">
        <f t="array" aca="1" ref="D96" ca="1">INDEX(_xlfn.FILTERXML("&lt;t&gt;&lt;s&gt;" &amp; SUBSTITUTE(C96," ","&lt;/s&gt;&lt;s&gt;") &amp; "&lt;/s&gt;&lt;/t&gt;","//s[number(.)=number(.)]"),
       COUNT(_xlfn.FILTERXML("&lt;t&gt;&lt;s&gt;" &amp; SUBSTITUTE(C96," ","&lt;/s&gt;&lt;s&gt;") &amp; "&lt;/s&gt;&lt;/t&gt;","//s[number(.)=number(.)]"))-1)</f>
        <v>1</v>
      </c>
      <c r="E96" cm="1">
        <f t="array" aca="1" ref="E96" ca="1">INDEX(_xlfn.FILTERXML("&lt;t&gt;&lt;s&gt;" &amp; SUBSTITUTE(C96," ","&lt;/s&gt;&lt;s&gt;") &amp; "&lt;/s&gt;&lt;/t&gt;","//s[number(.)=number(.)]"),
       COUNT(_xlfn.FILTERXML("&lt;t&gt;&lt;s&gt;" &amp; SUBSTITUTE(C96," ","&lt;/s&gt;&lt;s&gt;") &amp; "&lt;/s&gt;&lt;/t&gt;","//s[number(.)=number(.)]")))</f>
        <v>0</v>
      </c>
      <c r="F96" s="4" t="str">
        <f t="shared" ca="1" si="8"/>
        <v>4987792313180</v>
      </c>
      <c r="G96" s="4" t="str">
        <f t="shared" ca="1" si="9"/>
        <v>2026/03/25</v>
      </c>
      <c r="H96" t="str">
        <f t="shared" ca="1" si="10"/>
        <v>2026/04/01</v>
      </c>
      <c r="I96" t="str">
        <f t="shared" ca="1" si="11"/>
        <v>クロピドグレル錠75mg「JG」日本ジェネリック</v>
      </c>
      <c r="J96" t="str">
        <f t="shared" ca="1" si="12"/>
        <v>クロピドグレル錠75mg「JG」</v>
      </c>
      <c r="K96" t="str" cm="1">
        <f t="array" aca="1" ref="K96" ca="1">_xlfn.LET(
  _xlpm.s, SUBSTITUTE(SUBSTITUTE(I96," ",""),"　",""),
  _xlpm.dic, SUBSTITUTE(SUBSTITUTE(メーカー!$A$1:$A$100," ",""),"　",""),
  _xlpm.pos, MATCH(TRUE, RIGHT(_xlpm.s, LEN(_xlpm.dic)) = _xlpm.dic, 0),
  INDEX(メーカー!$A$1:$A$100, _xlpm.pos)
)</f>
        <v>日本ジェネリック</v>
      </c>
      <c r="L96" cm="1">
        <f t="array" aca="1" ref="L96" ca="1">INDEX(_xlfn.FILTERXML("&lt;t&gt;&lt;s&gt;" &amp; SUBSTITUTE(MID(C96,23,999)," ","&lt;/s&gt;&lt;s&gt;") &amp; "&lt;/s&gt;&lt;/t&gt;","//s[number(.)=number(.)]"),1)</f>
        <v>1</v>
      </c>
      <c r="M96" cm="1">
        <f t="array" aca="1" ref="M96" ca="1">INDEX(
  _xlfn.FILTERXML("&lt;t&gt;&lt;s&gt;" &amp; SUBSTITUTE(MID(C96, 22 + LEN(I96) + 1, 999), " ", "&lt;/s&gt;&lt;s&gt;") &amp; "&lt;/s&gt;&lt;/t&gt;",
            "//s[number(.)=number(.)]"),
  2
)</f>
        <v>39</v>
      </c>
      <c r="N96" t="str" cm="1">
        <f t="array" aca="1" ref="N96" ca="1">_xlfn.REGEXEXTRACT(C96, "\d{2}:\d{2}:\d{2}")</f>
        <v>08:54:48</v>
      </c>
      <c r="O96" t="str">
        <f t="shared" ca="1" si="13"/>
        <v>75mg/錠 バラ 500錠×1瓶</v>
      </c>
      <c r="P96" t="str">
        <f t="shared" ca="1" si="14"/>
        <v>1</v>
      </c>
    </row>
    <row r="97" spans="2:16" x14ac:dyDescent="0.45">
      <c r="B97">
        <f t="shared" si="15"/>
        <v>422</v>
      </c>
      <c r="C97" t="str">
        <f ca="1">_xlfn.CONCAT(OFFSET(元!$B$10,'1行'!B97,0)," ",OFFSET(元!$B$12,'1行'!B97,0))</f>
        <v>2026/03/25 2026/04/01 フロセミド錠20mg「NIG」武田薬品工業 1 40 08:54:48 20mg/錠 バラ 1200錠×1瓶4987123875264 1 0</v>
      </c>
      <c r="D97" cm="1">
        <f t="array" aca="1" ref="D97" ca="1">INDEX(_xlfn.FILTERXML("&lt;t&gt;&lt;s&gt;" &amp; SUBSTITUTE(C97," ","&lt;/s&gt;&lt;s&gt;") &amp; "&lt;/s&gt;&lt;/t&gt;","//s[number(.)=number(.)]"),
       COUNT(_xlfn.FILTERXML("&lt;t&gt;&lt;s&gt;" &amp; SUBSTITUTE(C97," ","&lt;/s&gt;&lt;s&gt;") &amp; "&lt;/s&gt;&lt;/t&gt;","//s[number(.)=number(.)]"))-1)</f>
        <v>1</v>
      </c>
      <c r="E97" cm="1">
        <f t="array" aca="1" ref="E97" ca="1">INDEX(_xlfn.FILTERXML("&lt;t&gt;&lt;s&gt;" &amp; SUBSTITUTE(C97," ","&lt;/s&gt;&lt;s&gt;") &amp; "&lt;/s&gt;&lt;/t&gt;","//s[number(.)=number(.)]"),
       COUNT(_xlfn.FILTERXML("&lt;t&gt;&lt;s&gt;" &amp; SUBSTITUTE(C97," ","&lt;/s&gt;&lt;s&gt;") &amp; "&lt;/s&gt;&lt;/t&gt;","//s[number(.)=number(.)]")))</f>
        <v>0</v>
      </c>
      <c r="F97" s="4" t="str">
        <f t="shared" ca="1" si="8"/>
        <v>4987123875264</v>
      </c>
      <c r="G97" s="4" t="str">
        <f t="shared" ca="1" si="9"/>
        <v>2026/03/25</v>
      </c>
      <c r="H97" t="str">
        <f t="shared" ca="1" si="10"/>
        <v>2026/04/01</v>
      </c>
      <c r="I97" t="str">
        <f t="shared" ca="1" si="11"/>
        <v>フロセミド錠20mg「NIG」武田薬品工業</v>
      </c>
      <c r="J97" t="str">
        <f t="shared" ca="1" si="12"/>
        <v>フロセミド錠20mg「NIG」</v>
      </c>
      <c r="K97" t="str" cm="1">
        <f t="array" aca="1" ref="K97" ca="1">_xlfn.LET(
  _xlpm.s, SUBSTITUTE(SUBSTITUTE(I97," ",""),"　",""),
  _xlpm.dic, SUBSTITUTE(SUBSTITUTE(メーカー!$A$1:$A$100," ",""),"　",""),
  _xlpm.pos, MATCH(TRUE, RIGHT(_xlpm.s, LEN(_xlpm.dic)) = _xlpm.dic, 0),
  INDEX(メーカー!$A$1:$A$100, _xlpm.pos)
)</f>
        <v>武田薬品工業</v>
      </c>
      <c r="L97" cm="1">
        <f t="array" aca="1" ref="L97" ca="1">INDEX(_xlfn.FILTERXML("&lt;t&gt;&lt;s&gt;" &amp; SUBSTITUTE(MID(C97,23,999)," ","&lt;/s&gt;&lt;s&gt;") &amp; "&lt;/s&gt;&lt;/t&gt;","//s[number(.)=number(.)]"),1)</f>
        <v>1</v>
      </c>
      <c r="M97" cm="1">
        <f t="array" aca="1" ref="M97" ca="1">INDEX(
  _xlfn.FILTERXML("&lt;t&gt;&lt;s&gt;" &amp; SUBSTITUTE(MID(C97, 22 + LEN(I97) + 1, 999), " ", "&lt;/s&gt;&lt;s&gt;") &amp; "&lt;/s&gt;&lt;/t&gt;",
            "//s[number(.)=number(.)]"),
  2
)</f>
        <v>40</v>
      </c>
      <c r="N97" t="str" cm="1">
        <f t="array" aca="1" ref="N97" ca="1">_xlfn.REGEXEXTRACT(C97, "\d{2}:\d{2}:\d{2}")</f>
        <v>08:54:48</v>
      </c>
      <c r="O97" t="str">
        <f t="shared" ca="1" si="13"/>
        <v>20mg/錠 バラ 1200錠×1瓶</v>
      </c>
      <c r="P97" t="str">
        <f t="shared" ca="1" si="14"/>
        <v>1</v>
      </c>
    </row>
    <row r="98" spans="2:16" x14ac:dyDescent="0.45">
      <c r="B98">
        <f t="shared" si="15"/>
        <v>426</v>
      </c>
      <c r="C98" t="str">
        <f ca="1">_xlfn.CONCAT(OFFSET(元!$B$10,'1行'!B98,0)," ",OFFSET(元!$B$12,'1行'!B98,0))</f>
        <v>2026/03/25 2026/04/01 タケキャブOD錠20mg 武田薬品工業 1 41 08:54:48 20mg/錠 PTP 10錠×10 4987123002752 1 0</v>
      </c>
      <c r="D98" cm="1">
        <f t="array" aca="1" ref="D98" ca="1">INDEX(_xlfn.FILTERXML("&lt;t&gt;&lt;s&gt;" &amp; SUBSTITUTE(C98," ","&lt;/s&gt;&lt;s&gt;") &amp; "&lt;/s&gt;&lt;/t&gt;","//s[number(.)=number(.)]"),
       COUNT(_xlfn.FILTERXML("&lt;t&gt;&lt;s&gt;" &amp; SUBSTITUTE(C98," ","&lt;/s&gt;&lt;s&gt;") &amp; "&lt;/s&gt;&lt;/t&gt;","//s[number(.)=number(.)]"))-1)</f>
        <v>1</v>
      </c>
      <c r="E98" cm="1">
        <f t="array" aca="1" ref="E98" ca="1">INDEX(_xlfn.FILTERXML("&lt;t&gt;&lt;s&gt;" &amp; SUBSTITUTE(C98," ","&lt;/s&gt;&lt;s&gt;") &amp; "&lt;/s&gt;&lt;/t&gt;","//s[number(.)=number(.)]"),
       COUNT(_xlfn.FILTERXML("&lt;t&gt;&lt;s&gt;" &amp; SUBSTITUTE(C98," ","&lt;/s&gt;&lt;s&gt;") &amp; "&lt;/s&gt;&lt;/t&gt;","//s[number(.)=number(.)]")))</f>
        <v>0</v>
      </c>
      <c r="F98" s="4" t="str">
        <f t="shared" ca="1" si="8"/>
        <v>4987123002752</v>
      </c>
      <c r="G98" s="4" t="str">
        <f t="shared" ca="1" si="9"/>
        <v>2026/03/25</v>
      </c>
      <c r="H98" t="str">
        <f t="shared" ca="1" si="10"/>
        <v>2026/04/01</v>
      </c>
      <c r="I98" t="str">
        <f t="shared" ca="1" si="11"/>
        <v>タケキャブOD錠20mg 武田薬品工業</v>
      </c>
      <c r="J98" t="str">
        <f t="shared" ca="1" si="12"/>
        <v xml:space="preserve">タケキャブOD錠20mg </v>
      </c>
      <c r="K98" t="str" cm="1">
        <f t="array" aca="1" ref="K98" ca="1">_xlfn.LET(
  _xlpm.s, SUBSTITUTE(SUBSTITUTE(I98," ",""),"　",""),
  _xlpm.dic, SUBSTITUTE(SUBSTITUTE(メーカー!$A$1:$A$100," ",""),"　",""),
  _xlpm.pos, MATCH(TRUE, RIGHT(_xlpm.s, LEN(_xlpm.dic)) = _xlpm.dic, 0),
  INDEX(メーカー!$A$1:$A$100, _xlpm.pos)
)</f>
        <v>武田薬品工業</v>
      </c>
      <c r="L98" cm="1">
        <f t="array" aca="1" ref="L98" ca="1">INDEX(_xlfn.FILTERXML("&lt;t&gt;&lt;s&gt;" &amp; SUBSTITUTE(MID(C98,23,999)," ","&lt;/s&gt;&lt;s&gt;") &amp; "&lt;/s&gt;&lt;/t&gt;","//s[number(.)=number(.)]"),1)</f>
        <v>1</v>
      </c>
      <c r="M98" cm="1">
        <f t="array" aca="1" ref="M98" ca="1">INDEX(
  _xlfn.FILTERXML("&lt;t&gt;&lt;s&gt;" &amp; SUBSTITUTE(MID(C98, 22 + LEN(I98) + 1, 999), " ", "&lt;/s&gt;&lt;s&gt;") &amp; "&lt;/s&gt;&lt;/t&gt;",
            "//s[number(.)=number(.)]"),
  2
)</f>
        <v>41</v>
      </c>
      <c r="N98" t="str" cm="1">
        <f t="array" aca="1" ref="N98" ca="1">_xlfn.REGEXEXTRACT(C98, "\d{2}:\d{2}:\d{2}")</f>
        <v>08:54:48</v>
      </c>
      <c r="O98" t="str">
        <f t="shared" ca="1" si="13"/>
        <v>20mg/錠 PTP 10錠×10</v>
      </c>
      <c r="P98" t="str">
        <f t="shared" ca="1" si="14"/>
        <v>1</v>
      </c>
    </row>
    <row r="99" spans="2:16" x14ac:dyDescent="0.45">
      <c r="B99">
        <f t="shared" si="15"/>
        <v>430</v>
      </c>
      <c r="C99" t="str">
        <f ca="1">_xlfn.CONCAT(OFFSET(元!$B$10,'1行'!B99,0)," ",OFFSET(元!$B$12,'1行'!B99,0))</f>
        <v>2026/03/25 2026/04/01 レグテクト錠333mg 日本新薬 1 42 08:54:48 333mg/錠 バラ 500錠×1瓶4987173018369 1 0</v>
      </c>
      <c r="D99" cm="1">
        <f t="array" aca="1" ref="D99" ca="1">INDEX(_xlfn.FILTERXML("&lt;t&gt;&lt;s&gt;" &amp; SUBSTITUTE(C99," ","&lt;/s&gt;&lt;s&gt;") &amp; "&lt;/s&gt;&lt;/t&gt;","//s[number(.)=number(.)]"),
       COUNT(_xlfn.FILTERXML("&lt;t&gt;&lt;s&gt;" &amp; SUBSTITUTE(C99," ","&lt;/s&gt;&lt;s&gt;") &amp; "&lt;/s&gt;&lt;/t&gt;","//s[number(.)=number(.)]"))-1)</f>
        <v>1</v>
      </c>
      <c r="E99" cm="1">
        <f t="array" aca="1" ref="E99" ca="1">INDEX(_xlfn.FILTERXML("&lt;t&gt;&lt;s&gt;" &amp; SUBSTITUTE(C99," ","&lt;/s&gt;&lt;s&gt;") &amp; "&lt;/s&gt;&lt;/t&gt;","//s[number(.)=number(.)]"),
       COUNT(_xlfn.FILTERXML("&lt;t&gt;&lt;s&gt;" &amp; SUBSTITUTE(C99," ","&lt;/s&gt;&lt;s&gt;") &amp; "&lt;/s&gt;&lt;/t&gt;","//s[number(.)=number(.)]")))</f>
        <v>0</v>
      </c>
      <c r="F99" s="4" t="str">
        <f t="shared" ca="1" si="8"/>
        <v>4987173018369</v>
      </c>
      <c r="G99" s="4" t="str">
        <f t="shared" ca="1" si="9"/>
        <v>2026/03/25</v>
      </c>
      <c r="H99" t="str">
        <f t="shared" ca="1" si="10"/>
        <v>2026/04/01</v>
      </c>
      <c r="I99" t="str">
        <f t="shared" ca="1" si="11"/>
        <v>レグテクト錠333mg 日本新薬</v>
      </c>
      <c r="J99" t="str">
        <f t="shared" ca="1" si="12"/>
        <v xml:space="preserve">レグテクト錠333mg </v>
      </c>
      <c r="K99" t="str" cm="1">
        <f t="array" aca="1" ref="K99" ca="1">_xlfn.LET(
  _xlpm.s, SUBSTITUTE(SUBSTITUTE(I99," ",""),"　",""),
  _xlpm.dic, SUBSTITUTE(SUBSTITUTE(メーカー!$A$1:$A$100," ",""),"　",""),
  _xlpm.pos, MATCH(TRUE, RIGHT(_xlpm.s, LEN(_xlpm.dic)) = _xlpm.dic, 0),
  INDEX(メーカー!$A$1:$A$100, _xlpm.pos)
)</f>
        <v>日本新薬</v>
      </c>
      <c r="L99" cm="1">
        <f t="array" aca="1" ref="L99" ca="1">INDEX(_xlfn.FILTERXML("&lt;t&gt;&lt;s&gt;" &amp; SUBSTITUTE(MID(C99,23,999)," ","&lt;/s&gt;&lt;s&gt;") &amp; "&lt;/s&gt;&lt;/t&gt;","//s[number(.)=number(.)]"),1)</f>
        <v>1</v>
      </c>
      <c r="M99" cm="1">
        <f t="array" aca="1" ref="M99" ca="1">INDEX(
  _xlfn.FILTERXML("&lt;t&gt;&lt;s&gt;" &amp; SUBSTITUTE(MID(C99, 22 + LEN(I99) + 1, 999), " ", "&lt;/s&gt;&lt;s&gt;") &amp; "&lt;/s&gt;&lt;/t&gt;",
            "//s[number(.)=number(.)]"),
  2
)</f>
        <v>42</v>
      </c>
      <c r="N99" t="str" cm="1">
        <f t="array" aca="1" ref="N99" ca="1">_xlfn.REGEXEXTRACT(C99, "\d{2}:\d{2}:\d{2}")</f>
        <v>08:54:48</v>
      </c>
      <c r="O99" t="str">
        <f t="shared" ca="1" si="13"/>
        <v>333mg/錠 バラ 500錠×1瓶</v>
      </c>
      <c r="P99" t="str">
        <f t="shared" ca="1" si="14"/>
        <v>1</v>
      </c>
    </row>
    <row r="100" spans="2:16" x14ac:dyDescent="0.45">
      <c r="B100">
        <f t="shared" si="15"/>
        <v>434</v>
      </c>
      <c r="C100" t="str">
        <f ca="1">_xlfn.CONCAT(OFFSET(元!$B$10,'1行'!B100,0)," ",OFFSET(元!$B$12,'1行'!B100,0))</f>
        <v>2026/03/25 2026/04/01 アリピプラゾール錠1mg「サワイ」沢井製薬 4 43 08:54:48 1mg/錠 PTP 10錠×10 4987080271116 4 0</v>
      </c>
      <c r="D100" cm="1">
        <f t="array" aca="1" ref="D100" ca="1">INDEX(_xlfn.FILTERXML("&lt;t&gt;&lt;s&gt;" &amp; SUBSTITUTE(C100," ","&lt;/s&gt;&lt;s&gt;") &amp; "&lt;/s&gt;&lt;/t&gt;","//s[number(.)=number(.)]"),
       COUNT(_xlfn.FILTERXML("&lt;t&gt;&lt;s&gt;" &amp; SUBSTITUTE(C100," ","&lt;/s&gt;&lt;s&gt;") &amp; "&lt;/s&gt;&lt;/t&gt;","//s[number(.)=number(.)]"))-1)</f>
        <v>4</v>
      </c>
      <c r="E100" cm="1">
        <f t="array" aca="1" ref="E100" ca="1">INDEX(_xlfn.FILTERXML("&lt;t&gt;&lt;s&gt;" &amp; SUBSTITUTE(C100," ","&lt;/s&gt;&lt;s&gt;") &amp; "&lt;/s&gt;&lt;/t&gt;","//s[number(.)=number(.)]"),
       COUNT(_xlfn.FILTERXML("&lt;t&gt;&lt;s&gt;" &amp; SUBSTITUTE(C100," ","&lt;/s&gt;&lt;s&gt;") &amp; "&lt;/s&gt;&lt;/t&gt;","//s[number(.)=number(.)]")))</f>
        <v>0</v>
      </c>
      <c r="F100" s="4" t="str">
        <f t="shared" ca="1" si="8"/>
        <v>4987080271116</v>
      </c>
      <c r="G100" s="4" t="str">
        <f t="shared" ca="1" si="9"/>
        <v>2026/03/25</v>
      </c>
      <c r="H100" t="str">
        <f t="shared" ca="1" si="10"/>
        <v>2026/04/01</v>
      </c>
      <c r="I100" t="str">
        <f t="shared" ca="1" si="11"/>
        <v>アリピプラゾール錠1mg「サワイ」沢井製薬</v>
      </c>
      <c r="J100" t="str">
        <f t="shared" ca="1" si="12"/>
        <v>アリピプラゾール錠1mg「サワイ」</v>
      </c>
      <c r="K100" t="str" cm="1">
        <f t="array" aca="1" ref="K100" ca="1">_xlfn.LET(
  _xlpm.s, SUBSTITUTE(SUBSTITUTE(I100," ",""),"　",""),
  _xlpm.dic, SUBSTITUTE(SUBSTITUTE(メーカー!$A$1:$A$100," ",""),"　",""),
  _xlpm.pos, MATCH(TRUE, RIGHT(_xlpm.s, LEN(_xlpm.dic)) = _xlpm.dic, 0),
  INDEX(メーカー!$A$1:$A$100, _xlpm.pos)
)</f>
        <v>沢井製薬</v>
      </c>
      <c r="L100" cm="1">
        <f t="array" aca="1" ref="L100" ca="1">INDEX(_xlfn.FILTERXML("&lt;t&gt;&lt;s&gt;" &amp; SUBSTITUTE(MID(C100,23,999)," ","&lt;/s&gt;&lt;s&gt;") &amp; "&lt;/s&gt;&lt;/t&gt;","//s[number(.)=number(.)]"),1)</f>
        <v>4</v>
      </c>
      <c r="M100" cm="1">
        <f t="array" aca="1" ref="M100" ca="1">INDEX(
  _xlfn.FILTERXML("&lt;t&gt;&lt;s&gt;" &amp; SUBSTITUTE(MID(C100, 22 + LEN(I100) + 1, 999), " ", "&lt;/s&gt;&lt;s&gt;") &amp; "&lt;/s&gt;&lt;/t&gt;",
            "//s[number(.)=number(.)]"),
  2
)</f>
        <v>43</v>
      </c>
      <c r="N100" t="str" cm="1">
        <f t="array" aca="1" ref="N100" ca="1">_xlfn.REGEXEXTRACT(C100, "\d{2}:\d{2}:\d{2}")</f>
        <v>08:54:48</v>
      </c>
      <c r="O100" t="str">
        <f t="shared" ca="1" si="13"/>
        <v>1mg/錠 PTP 10錠×10</v>
      </c>
      <c r="P100" t="str">
        <f t="shared" ca="1" si="14"/>
        <v>4</v>
      </c>
    </row>
    <row r="101" spans="2:16" x14ac:dyDescent="0.45">
      <c r="B101">
        <f t="shared" si="15"/>
        <v>438</v>
      </c>
      <c r="C101" t="str">
        <f ca="1">_xlfn.CONCAT(OFFSET(元!$B$10,'1行'!B101,0)," ",OFFSET(元!$B$12,'1行'!B101,0))</f>
        <v>2026/03/25 2026/04/01 ノイロトロピン錠4単位日本臓器製薬 1 44 08:54:48 4単位/錠 PTP 10錠×100 4987174111335 1 0</v>
      </c>
      <c r="D101" cm="1">
        <f t="array" aca="1" ref="D101" ca="1">INDEX(_xlfn.FILTERXML("&lt;t&gt;&lt;s&gt;" &amp; SUBSTITUTE(C101," ","&lt;/s&gt;&lt;s&gt;") &amp; "&lt;/s&gt;&lt;/t&gt;","//s[number(.)=number(.)]"),
       COUNT(_xlfn.FILTERXML("&lt;t&gt;&lt;s&gt;" &amp; SUBSTITUTE(C101," ","&lt;/s&gt;&lt;s&gt;") &amp; "&lt;/s&gt;&lt;/t&gt;","//s[number(.)=number(.)]"))-1)</f>
        <v>1</v>
      </c>
      <c r="E101" cm="1">
        <f t="array" aca="1" ref="E101" ca="1">INDEX(_xlfn.FILTERXML("&lt;t&gt;&lt;s&gt;" &amp; SUBSTITUTE(C101," ","&lt;/s&gt;&lt;s&gt;") &amp; "&lt;/s&gt;&lt;/t&gt;","//s[number(.)=number(.)]"),
       COUNT(_xlfn.FILTERXML("&lt;t&gt;&lt;s&gt;" &amp; SUBSTITUTE(C101," ","&lt;/s&gt;&lt;s&gt;") &amp; "&lt;/s&gt;&lt;/t&gt;","//s[number(.)=number(.)]")))</f>
        <v>0</v>
      </c>
      <c r="F101" s="4" t="str">
        <f t="shared" ca="1" si="8"/>
        <v>4987174111335</v>
      </c>
      <c r="G101" s="4" t="str">
        <f t="shared" ca="1" si="9"/>
        <v>2026/03/25</v>
      </c>
      <c r="H101" t="str">
        <f t="shared" ca="1" si="10"/>
        <v>2026/04/01</v>
      </c>
      <c r="I101" t="str">
        <f t="shared" ca="1" si="11"/>
        <v>ノイロトロピン錠4単位日本臓器製薬</v>
      </c>
      <c r="J101" t="str">
        <f t="shared" ca="1" si="12"/>
        <v>ノイロトロピン錠4単位</v>
      </c>
      <c r="K101" t="str" cm="1">
        <f t="array" aca="1" ref="K101" ca="1">_xlfn.LET(
  _xlpm.s, SUBSTITUTE(SUBSTITUTE(I101," ",""),"　",""),
  _xlpm.dic, SUBSTITUTE(SUBSTITUTE(メーカー!$A$1:$A$100," ",""),"　",""),
  _xlpm.pos, MATCH(TRUE, RIGHT(_xlpm.s, LEN(_xlpm.dic)) = _xlpm.dic, 0),
  INDEX(メーカー!$A$1:$A$100, _xlpm.pos)
)</f>
        <v>日本臓器製薬</v>
      </c>
      <c r="L101" cm="1">
        <f t="array" aca="1" ref="L101" ca="1">INDEX(_xlfn.FILTERXML("&lt;t&gt;&lt;s&gt;" &amp; SUBSTITUTE(MID(C101,23,999)," ","&lt;/s&gt;&lt;s&gt;") &amp; "&lt;/s&gt;&lt;/t&gt;","//s[number(.)=number(.)]"),1)</f>
        <v>1</v>
      </c>
      <c r="M101" cm="1">
        <f t="array" aca="1" ref="M101" ca="1">INDEX(
  _xlfn.FILTERXML("&lt;t&gt;&lt;s&gt;" &amp; SUBSTITUTE(MID(C101, 22 + LEN(I101) + 1, 999), " ", "&lt;/s&gt;&lt;s&gt;") &amp; "&lt;/s&gt;&lt;/t&gt;",
            "//s[number(.)=number(.)]"),
  2
)</f>
        <v>44</v>
      </c>
      <c r="N101" t="str" cm="1">
        <f t="array" aca="1" ref="N101" ca="1">_xlfn.REGEXEXTRACT(C101, "\d{2}:\d{2}:\d{2}")</f>
        <v>08:54:48</v>
      </c>
      <c r="O101" t="str">
        <f t="shared" ca="1" si="13"/>
        <v>4単位/錠 PTP 10錠×100</v>
      </c>
      <c r="P101" t="str">
        <f t="shared" ca="1" si="14"/>
        <v>1</v>
      </c>
    </row>
    <row r="102" spans="2:16" x14ac:dyDescent="0.45">
      <c r="B102">
        <f t="shared" si="15"/>
        <v>442</v>
      </c>
      <c r="C102" t="str">
        <f ca="1">_xlfn.CONCAT(OFFSET(元!$B$10,'1行'!B102,0)," ",OFFSET(元!$B$12,'1行'!B102,0))</f>
        <v>2026/03/25 2026/04/01 デュタステリドカプセル0.5mgAV「サワイ」沢井製薬 3 45 08:54:48 0.5mg/カプセル PTP 10カプセル×3 4987080195115 3 0</v>
      </c>
      <c r="D102" cm="1">
        <f t="array" aca="1" ref="D102" ca="1">INDEX(_xlfn.FILTERXML("&lt;t&gt;&lt;s&gt;" &amp; SUBSTITUTE(C102," ","&lt;/s&gt;&lt;s&gt;") &amp; "&lt;/s&gt;&lt;/t&gt;","//s[number(.)=number(.)]"),
       COUNT(_xlfn.FILTERXML("&lt;t&gt;&lt;s&gt;" &amp; SUBSTITUTE(C102," ","&lt;/s&gt;&lt;s&gt;") &amp; "&lt;/s&gt;&lt;/t&gt;","//s[number(.)=number(.)]"))-1)</f>
        <v>3</v>
      </c>
      <c r="E102" cm="1">
        <f t="array" aca="1" ref="E102" ca="1">INDEX(_xlfn.FILTERXML("&lt;t&gt;&lt;s&gt;" &amp; SUBSTITUTE(C102," ","&lt;/s&gt;&lt;s&gt;") &amp; "&lt;/s&gt;&lt;/t&gt;","//s[number(.)=number(.)]"),
       COUNT(_xlfn.FILTERXML("&lt;t&gt;&lt;s&gt;" &amp; SUBSTITUTE(C102," ","&lt;/s&gt;&lt;s&gt;") &amp; "&lt;/s&gt;&lt;/t&gt;","//s[number(.)=number(.)]")))</f>
        <v>0</v>
      </c>
      <c r="F102" s="4" t="str">
        <f t="shared" ca="1" si="8"/>
        <v>4987080195115</v>
      </c>
      <c r="G102" s="4" t="str">
        <f t="shared" ca="1" si="9"/>
        <v>2026/03/25</v>
      </c>
      <c r="H102" t="str">
        <f t="shared" ca="1" si="10"/>
        <v>2026/04/01</v>
      </c>
      <c r="I102" t="str">
        <f t="shared" ca="1" si="11"/>
        <v>デュタステリドカプセル0.5mgAV「サワイ」沢井製薬</v>
      </c>
      <c r="J102" t="str">
        <f t="shared" ca="1" si="12"/>
        <v>デュタステリドカプセル0.5mgAV「サワイ」</v>
      </c>
      <c r="K102" t="str" cm="1">
        <f t="array" aca="1" ref="K102" ca="1">_xlfn.LET(
  _xlpm.s, SUBSTITUTE(SUBSTITUTE(I102," ",""),"　",""),
  _xlpm.dic, SUBSTITUTE(SUBSTITUTE(メーカー!$A$1:$A$100," ",""),"　",""),
  _xlpm.pos, MATCH(TRUE, RIGHT(_xlpm.s, LEN(_xlpm.dic)) = _xlpm.dic, 0),
  INDEX(メーカー!$A$1:$A$100, _xlpm.pos)
)</f>
        <v>沢井製薬</v>
      </c>
      <c r="L102" cm="1">
        <f t="array" aca="1" ref="L102" ca="1">INDEX(_xlfn.FILTERXML("&lt;t&gt;&lt;s&gt;" &amp; SUBSTITUTE(MID(C102,23,999)," ","&lt;/s&gt;&lt;s&gt;") &amp; "&lt;/s&gt;&lt;/t&gt;","//s[number(.)=number(.)]"),1)</f>
        <v>3</v>
      </c>
      <c r="M102" cm="1">
        <f t="array" aca="1" ref="M102" ca="1">INDEX(
  _xlfn.FILTERXML("&lt;t&gt;&lt;s&gt;" &amp; SUBSTITUTE(MID(C102, 22 + LEN(I102) + 1, 999), " ", "&lt;/s&gt;&lt;s&gt;") &amp; "&lt;/s&gt;&lt;/t&gt;",
            "//s[number(.)=number(.)]"),
  2
)</f>
        <v>45</v>
      </c>
      <c r="N102" t="str" cm="1">
        <f t="array" aca="1" ref="N102" ca="1">_xlfn.REGEXEXTRACT(C102, "\d{2}:\d{2}:\d{2}")</f>
        <v>08:54:48</v>
      </c>
      <c r="O102" t="str">
        <f t="shared" ca="1" si="13"/>
        <v>0.5mg/カプセル PTP 10カプセル×3</v>
      </c>
      <c r="P102" t="str">
        <f t="shared" ca="1" si="14"/>
        <v>3</v>
      </c>
    </row>
    <row r="103" spans="2:16" x14ac:dyDescent="0.45">
      <c r="B103">
        <f t="shared" si="15"/>
        <v>446</v>
      </c>
      <c r="C103" t="str">
        <f ca="1">_xlfn.CONCAT(OFFSET(元!$B$10,'1行'!B103,0)," ",OFFSET(元!$B$12,'1行'!B103,0))</f>
        <v>2026/03/25 2026/04/01 トアラセット配合錠「オーハラ」大原薬品工業 1 46 08:54:48 PTP 10錠×10 4987407239300 1 0</v>
      </c>
      <c r="D103" cm="1">
        <f t="array" aca="1" ref="D103" ca="1">INDEX(_xlfn.FILTERXML("&lt;t&gt;&lt;s&gt;" &amp; SUBSTITUTE(C103," ","&lt;/s&gt;&lt;s&gt;") &amp; "&lt;/s&gt;&lt;/t&gt;","//s[number(.)=number(.)]"),
       COUNT(_xlfn.FILTERXML("&lt;t&gt;&lt;s&gt;" &amp; SUBSTITUTE(C103," ","&lt;/s&gt;&lt;s&gt;") &amp; "&lt;/s&gt;&lt;/t&gt;","//s[number(.)=number(.)]"))-1)</f>
        <v>1</v>
      </c>
      <c r="E103" cm="1">
        <f t="array" aca="1" ref="E103" ca="1">INDEX(_xlfn.FILTERXML("&lt;t&gt;&lt;s&gt;" &amp; SUBSTITUTE(C103," ","&lt;/s&gt;&lt;s&gt;") &amp; "&lt;/s&gt;&lt;/t&gt;","//s[number(.)=number(.)]"),
       COUNT(_xlfn.FILTERXML("&lt;t&gt;&lt;s&gt;" &amp; SUBSTITUTE(C103," ","&lt;/s&gt;&lt;s&gt;") &amp; "&lt;/s&gt;&lt;/t&gt;","//s[number(.)=number(.)]")))</f>
        <v>0</v>
      </c>
      <c r="F103" s="4" t="str">
        <f t="shared" ca="1" si="8"/>
        <v>4987407239300</v>
      </c>
      <c r="G103" s="4" t="str">
        <f t="shared" ca="1" si="9"/>
        <v>2026/03/25</v>
      </c>
      <c r="H103" t="str">
        <f t="shared" ca="1" si="10"/>
        <v>2026/04/01</v>
      </c>
      <c r="I103" t="str">
        <f t="shared" ca="1" si="11"/>
        <v>トアラセット配合錠「オーハラ」大原薬品工業</v>
      </c>
      <c r="J103" t="str">
        <f t="shared" ca="1" si="12"/>
        <v>トアラセット配合錠「オーハラ」</v>
      </c>
      <c r="K103" t="str" cm="1">
        <f t="array" aca="1" ref="K103" ca="1">_xlfn.LET(
  _xlpm.s, SUBSTITUTE(SUBSTITUTE(I103," ",""),"　",""),
  _xlpm.dic, SUBSTITUTE(SUBSTITUTE(メーカー!$A$1:$A$100," ",""),"　",""),
  _xlpm.pos, MATCH(TRUE, RIGHT(_xlpm.s, LEN(_xlpm.dic)) = _xlpm.dic, 0),
  INDEX(メーカー!$A$1:$A$100, _xlpm.pos)
)</f>
        <v>大原薬品工業</v>
      </c>
      <c r="L103" cm="1">
        <f t="array" aca="1" ref="L103" ca="1">INDEX(_xlfn.FILTERXML("&lt;t&gt;&lt;s&gt;" &amp; SUBSTITUTE(MID(C103,23,999)," ","&lt;/s&gt;&lt;s&gt;") &amp; "&lt;/s&gt;&lt;/t&gt;","//s[number(.)=number(.)]"),1)</f>
        <v>1</v>
      </c>
      <c r="M103" cm="1">
        <f t="array" aca="1" ref="M103" ca="1">INDEX(
  _xlfn.FILTERXML("&lt;t&gt;&lt;s&gt;" &amp; SUBSTITUTE(MID(C103, 22 + LEN(I103) + 1, 999), " ", "&lt;/s&gt;&lt;s&gt;") &amp; "&lt;/s&gt;&lt;/t&gt;",
            "//s[number(.)=number(.)]"),
  2
)</f>
        <v>46</v>
      </c>
      <c r="N103" t="str" cm="1">
        <f t="array" aca="1" ref="N103" ca="1">_xlfn.REGEXEXTRACT(C103, "\d{2}:\d{2}:\d{2}")</f>
        <v>08:54:48</v>
      </c>
      <c r="O103" t="str">
        <f t="shared" ca="1" si="13"/>
        <v>PTP 10錠×10</v>
      </c>
      <c r="P103" t="str">
        <f t="shared" ca="1" si="14"/>
        <v>1</v>
      </c>
    </row>
    <row r="104" spans="2:16" x14ac:dyDescent="0.45">
      <c r="B104">
        <f t="shared" si="15"/>
        <v>450</v>
      </c>
      <c r="C104" t="str">
        <f ca="1">_xlfn.CONCAT(OFFSET(元!$B$10,'1行'!B104,0)," ",OFFSET(元!$B$12,'1行'!B104,0))</f>
        <v>2026/03/25 2026/04/01 リオレサール錠5mg サンファーマ 1 47 08:54:48 5mg/錠 PTP 10錠×10 4987047211445 1 0</v>
      </c>
      <c r="D104" cm="1">
        <f t="array" aca="1" ref="D104" ca="1">INDEX(_xlfn.FILTERXML("&lt;t&gt;&lt;s&gt;" &amp; SUBSTITUTE(C104," ","&lt;/s&gt;&lt;s&gt;") &amp; "&lt;/s&gt;&lt;/t&gt;","//s[number(.)=number(.)]"),
       COUNT(_xlfn.FILTERXML("&lt;t&gt;&lt;s&gt;" &amp; SUBSTITUTE(C104," ","&lt;/s&gt;&lt;s&gt;") &amp; "&lt;/s&gt;&lt;/t&gt;","//s[number(.)=number(.)]"))-1)</f>
        <v>1</v>
      </c>
      <c r="E104" cm="1">
        <f t="array" aca="1" ref="E104" ca="1">INDEX(_xlfn.FILTERXML("&lt;t&gt;&lt;s&gt;" &amp; SUBSTITUTE(C104," ","&lt;/s&gt;&lt;s&gt;") &amp; "&lt;/s&gt;&lt;/t&gt;","//s[number(.)=number(.)]"),
       COUNT(_xlfn.FILTERXML("&lt;t&gt;&lt;s&gt;" &amp; SUBSTITUTE(C104," ","&lt;/s&gt;&lt;s&gt;") &amp; "&lt;/s&gt;&lt;/t&gt;","//s[number(.)=number(.)]")))</f>
        <v>0</v>
      </c>
      <c r="F104" s="4" t="str">
        <f t="shared" ca="1" si="8"/>
        <v>4987047211445</v>
      </c>
      <c r="G104" s="4" t="str">
        <f t="shared" ca="1" si="9"/>
        <v>2026/03/25</v>
      </c>
      <c r="H104" t="str">
        <f t="shared" ca="1" si="10"/>
        <v>2026/04/01</v>
      </c>
      <c r="I104" t="str">
        <f t="shared" ca="1" si="11"/>
        <v>リオレサール錠5mg サンファーマ</v>
      </c>
      <c r="J104" t="str">
        <f t="shared" ca="1" si="12"/>
        <v xml:space="preserve">リオレサール錠5mg </v>
      </c>
      <c r="K104" t="str" cm="1">
        <f t="array" aca="1" ref="K104" ca="1">_xlfn.LET(
  _xlpm.s, SUBSTITUTE(SUBSTITUTE(I104," ",""),"　",""),
  _xlpm.dic, SUBSTITUTE(SUBSTITUTE(メーカー!$A$1:$A$100," ",""),"　",""),
  _xlpm.pos, MATCH(TRUE, RIGHT(_xlpm.s, LEN(_xlpm.dic)) = _xlpm.dic, 0),
  INDEX(メーカー!$A$1:$A$100, _xlpm.pos)
)</f>
        <v>サンファーマ</v>
      </c>
      <c r="L104" cm="1">
        <f t="array" aca="1" ref="L104" ca="1">INDEX(_xlfn.FILTERXML("&lt;t&gt;&lt;s&gt;" &amp; SUBSTITUTE(MID(C104,23,999)," ","&lt;/s&gt;&lt;s&gt;") &amp; "&lt;/s&gt;&lt;/t&gt;","//s[number(.)=number(.)]"),1)</f>
        <v>1</v>
      </c>
      <c r="M104" cm="1">
        <f t="array" aca="1" ref="M104" ca="1">INDEX(
  _xlfn.FILTERXML("&lt;t&gt;&lt;s&gt;" &amp; SUBSTITUTE(MID(C104, 22 + LEN(I104) + 1, 999), " ", "&lt;/s&gt;&lt;s&gt;") &amp; "&lt;/s&gt;&lt;/t&gt;",
            "//s[number(.)=number(.)]"),
  2
)</f>
        <v>47</v>
      </c>
      <c r="N104" t="str" cm="1">
        <f t="array" aca="1" ref="N104" ca="1">_xlfn.REGEXEXTRACT(C104, "\d{2}:\d{2}:\d{2}")</f>
        <v>08:54:48</v>
      </c>
      <c r="O104" t="str">
        <f t="shared" ca="1" si="13"/>
        <v>5mg/錠 PTP 10錠×10</v>
      </c>
      <c r="P104" t="str">
        <f t="shared" ca="1" si="14"/>
        <v>1</v>
      </c>
    </row>
    <row r="105" spans="2:16" x14ac:dyDescent="0.45">
      <c r="B105">
        <f t="shared" si="15"/>
        <v>454</v>
      </c>
      <c r="C105" t="str">
        <f ca="1">_xlfn.CONCAT(OFFSET(元!$B$10,'1行'!B105,0)," ",OFFSET(元!$B$12,'1行'!B105,0))</f>
        <v>2026/03/25 2026/04/01 ノベルジン錠25mg ノーベルファーマ 1 48 08:54:48 25mg/錠 PTP 10錠×10 4987846101510 1 0</v>
      </c>
      <c r="D105" cm="1">
        <f t="array" aca="1" ref="D105" ca="1">INDEX(_xlfn.FILTERXML("&lt;t&gt;&lt;s&gt;" &amp; SUBSTITUTE(C105," ","&lt;/s&gt;&lt;s&gt;") &amp; "&lt;/s&gt;&lt;/t&gt;","//s[number(.)=number(.)]"),
       COUNT(_xlfn.FILTERXML("&lt;t&gt;&lt;s&gt;" &amp; SUBSTITUTE(C105," ","&lt;/s&gt;&lt;s&gt;") &amp; "&lt;/s&gt;&lt;/t&gt;","//s[number(.)=number(.)]"))-1)</f>
        <v>1</v>
      </c>
      <c r="E105" cm="1">
        <f t="array" aca="1" ref="E105" ca="1">INDEX(_xlfn.FILTERXML("&lt;t&gt;&lt;s&gt;" &amp; SUBSTITUTE(C105," ","&lt;/s&gt;&lt;s&gt;") &amp; "&lt;/s&gt;&lt;/t&gt;","//s[number(.)=number(.)]"),
       COUNT(_xlfn.FILTERXML("&lt;t&gt;&lt;s&gt;" &amp; SUBSTITUTE(C105," ","&lt;/s&gt;&lt;s&gt;") &amp; "&lt;/s&gt;&lt;/t&gt;","//s[number(.)=number(.)]")))</f>
        <v>0</v>
      </c>
      <c r="F105" s="4" t="str">
        <f t="shared" ca="1" si="8"/>
        <v>4987846101510</v>
      </c>
      <c r="G105" s="4" t="str">
        <f t="shared" ca="1" si="9"/>
        <v>2026/03/25</v>
      </c>
      <c r="H105" t="str">
        <f t="shared" ca="1" si="10"/>
        <v>2026/04/01</v>
      </c>
      <c r="I105" t="str">
        <f t="shared" ca="1" si="11"/>
        <v>ノベルジン錠25mg ノーベルファーマ</v>
      </c>
      <c r="J105" t="str">
        <f t="shared" ca="1" si="12"/>
        <v xml:space="preserve">ノベルジン錠25mg </v>
      </c>
      <c r="K105" t="str" cm="1">
        <f t="array" aca="1" ref="K105" ca="1">_xlfn.LET(
  _xlpm.s, SUBSTITUTE(SUBSTITUTE(I105," ",""),"　",""),
  _xlpm.dic, SUBSTITUTE(SUBSTITUTE(メーカー!$A$1:$A$100," ",""),"　",""),
  _xlpm.pos, MATCH(TRUE, RIGHT(_xlpm.s, LEN(_xlpm.dic)) = _xlpm.dic, 0),
  INDEX(メーカー!$A$1:$A$100, _xlpm.pos)
)</f>
        <v>ノーベルファーマ</v>
      </c>
      <c r="L105" cm="1">
        <f t="array" aca="1" ref="L105" ca="1">INDEX(_xlfn.FILTERXML("&lt;t&gt;&lt;s&gt;" &amp; SUBSTITUTE(MID(C105,23,999)," ","&lt;/s&gt;&lt;s&gt;") &amp; "&lt;/s&gt;&lt;/t&gt;","//s[number(.)=number(.)]"),1)</f>
        <v>1</v>
      </c>
      <c r="M105" cm="1">
        <f t="array" aca="1" ref="M105" ca="1">INDEX(
  _xlfn.FILTERXML("&lt;t&gt;&lt;s&gt;" &amp; SUBSTITUTE(MID(C105, 22 + LEN(I105) + 1, 999), " ", "&lt;/s&gt;&lt;s&gt;") &amp; "&lt;/s&gt;&lt;/t&gt;",
            "//s[number(.)=number(.)]"),
  2
)</f>
        <v>48</v>
      </c>
      <c r="N105" t="str" cm="1">
        <f t="array" aca="1" ref="N105" ca="1">_xlfn.REGEXEXTRACT(C105, "\d{2}:\d{2}:\d{2}")</f>
        <v>08:54:48</v>
      </c>
      <c r="O105" t="str">
        <f t="shared" ca="1" si="13"/>
        <v>25mg/錠 PTP 10錠×10</v>
      </c>
      <c r="P105" t="str">
        <f t="shared" ca="1" si="14"/>
        <v>1</v>
      </c>
    </row>
    <row r="106" spans="2:16" x14ac:dyDescent="0.45">
      <c r="B106">
        <f t="shared" si="15"/>
        <v>458</v>
      </c>
      <c r="C106" t="str">
        <f ca="1">_xlfn.CONCAT(OFFSET(元!$B$10,'1行'!B106,0)," ",OFFSET(元!$B$12,'1行'!B106,0))</f>
        <v>2026/03/25 2026/04/01 エンレスト錠100mg ノバルティスファーマ 1 49 08:54:48 100mg/錠 PTP 10錠×10 4987443384415 1 0</v>
      </c>
      <c r="D106" cm="1">
        <f t="array" aca="1" ref="D106" ca="1">INDEX(_xlfn.FILTERXML("&lt;t&gt;&lt;s&gt;" &amp; SUBSTITUTE(C106," ","&lt;/s&gt;&lt;s&gt;") &amp; "&lt;/s&gt;&lt;/t&gt;","//s[number(.)=number(.)]"),
       COUNT(_xlfn.FILTERXML("&lt;t&gt;&lt;s&gt;" &amp; SUBSTITUTE(C106," ","&lt;/s&gt;&lt;s&gt;") &amp; "&lt;/s&gt;&lt;/t&gt;","//s[number(.)=number(.)]"))-1)</f>
        <v>1</v>
      </c>
      <c r="E106" cm="1">
        <f t="array" aca="1" ref="E106" ca="1">INDEX(_xlfn.FILTERXML("&lt;t&gt;&lt;s&gt;" &amp; SUBSTITUTE(C106," ","&lt;/s&gt;&lt;s&gt;") &amp; "&lt;/s&gt;&lt;/t&gt;","//s[number(.)=number(.)]"),
       COUNT(_xlfn.FILTERXML("&lt;t&gt;&lt;s&gt;" &amp; SUBSTITUTE(C106," ","&lt;/s&gt;&lt;s&gt;") &amp; "&lt;/s&gt;&lt;/t&gt;","//s[number(.)=number(.)]")))</f>
        <v>0</v>
      </c>
      <c r="F106" s="4" t="str">
        <f t="shared" ca="1" si="8"/>
        <v>4987443384415</v>
      </c>
      <c r="G106" s="4" t="str">
        <f t="shared" ca="1" si="9"/>
        <v>2026/03/25</v>
      </c>
      <c r="H106" t="str">
        <f t="shared" ca="1" si="10"/>
        <v>2026/04/01</v>
      </c>
      <c r="I106" t="str">
        <f t="shared" ca="1" si="11"/>
        <v>エンレスト錠100mg ノバルティスファーマ</v>
      </c>
      <c r="J106" t="str">
        <f t="shared" ca="1" si="12"/>
        <v xml:space="preserve">エンレスト錠100mg </v>
      </c>
      <c r="K106" t="str" cm="1">
        <f t="array" aca="1" ref="K106" ca="1">_xlfn.LET(
  _xlpm.s, SUBSTITUTE(SUBSTITUTE(I106," ",""),"　",""),
  _xlpm.dic, SUBSTITUTE(SUBSTITUTE(メーカー!$A$1:$A$100," ",""),"　",""),
  _xlpm.pos, MATCH(TRUE, RIGHT(_xlpm.s, LEN(_xlpm.dic)) = _xlpm.dic, 0),
  INDEX(メーカー!$A$1:$A$100, _xlpm.pos)
)</f>
        <v>ノバルティスファーマ</v>
      </c>
      <c r="L106" cm="1">
        <f t="array" aca="1" ref="L106" ca="1">INDEX(_xlfn.FILTERXML("&lt;t&gt;&lt;s&gt;" &amp; SUBSTITUTE(MID(C106,23,999)," ","&lt;/s&gt;&lt;s&gt;") &amp; "&lt;/s&gt;&lt;/t&gt;","//s[number(.)=number(.)]"),1)</f>
        <v>1</v>
      </c>
      <c r="M106" cm="1">
        <f t="array" aca="1" ref="M106" ca="1">INDEX(
  _xlfn.FILTERXML("&lt;t&gt;&lt;s&gt;" &amp; SUBSTITUTE(MID(C106, 22 + LEN(I106) + 1, 999), " ", "&lt;/s&gt;&lt;s&gt;") &amp; "&lt;/s&gt;&lt;/t&gt;",
            "//s[number(.)=number(.)]"),
  2
)</f>
        <v>49</v>
      </c>
      <c r="N106" t="str" cm="1">
        <f t="array" aca="1" ref="N106" ca="1">_xlfn.REGEXEXTRACT(C106, "\d{2}:\d{2}:\d{2}")</f>
        <v>08:54:48</v>
      </c>
      <c r="O106" t="str">
        <f t="shared" ca="1" si="13"/>
        <v>100mg/錠 PTP 10錠×10</v>
      </c>
      <c r="P106" t="str">
        <f t="shared" ca="1" si="14"/>
        <v>1</v>
      </c>
    </row>
    <row r="107" spans="2:16" x14ac:dyDescent="0.45">
      <c r="B107">
        <f t="shared" si="15"/>
        <v>462</v>
      </c>
      <c r="C107" t="str">
        <f ca="1">_xlfn.CONCAT(OFFSET(元!$B$10,'1行'!B107,0)," ",OFFSET(元!$B$12,'1行'!B107,0))</f>
        <v>2026/03/25 2026/04/01 タリージェ錠5mg 第一三共 1 50 08:54:48 5mg/錠 PTP 10錠×10 4987081108756 1 0</v>
      </c>
      <c r="D107" cm="1">
        <f t="array" aca="1" ref="D107" ca="1">INDEX(_xlfn.FILTERXML("&lt;t&gt;&lt;s&gt;" &amp; SUBSTITUTE(C107," ","&lt;/s&gt;&lt;s&gt;") &amp; "&lt;/s&gt;&lt;/t&gt;","//s[number(.)=number(.)]"),
       COUNT(_xlfn.FILTERXML("&lt;t&gt;&lt;s&gt;" &amp; SUBSTITUTE(C107," ","&lt;/s&gt;&lt;s&gt;") &amp; "&lt;/s&gt;&lt;/t&gt;","//s[number(.)=number(.)]"))-1)</f>
        <v>1</v>
      </c>
      <c r="E107" cm="1">
        <f t="array" aca="1" ref="E107" ca="1">INDEX(_xlfn.FILTERXML("&lt;t&gt;&lt;s&gt;" &amp; SUBSTITUTE(C107," ","&lt;/s&gt;&lt;s&gt;") &amp; "&lt;/s&gt;&lt;/t&gt;","//s[number(.)=number(.)]"),
       COUNT(_xlfn.FILTERXML("&lt;t&gt;&lt;s&gt;" &amp; SUBSTITUTE(C107," ","&lt;/s&gt;&lt;s&gt;") &amp; "&lt;/s&gt;&lt;/t&gt;","//s[number(.)=number(.)]")))</f>
        <v>0</v>
      </c>
      <c r="F107" s="4" t="str">
        <f t="shared" ca="1" si="8"/>
        <v>4987081108756</v>
      </c>
      <c r="G107" s="4" t="str">
        <f t="shared" ca="1" si="9"/>
        <v>2026/03/25</v>
      </c>
      <c r="H107" t="str">
        <f t="shared" ca="1" si="10"/>
        <v>2026/04/01</v>
      </c>
      <c r="I107" t="str">
        <f t="shared" ca="1" si="11"/>
        <v>タリージェ錠5mg 第一三共</v>
      </c>
      <c r="J107" t="str">
        <f t="shared" ca="1" si="12"/>
        <v xml:space="preserve">タリージェ錠5mg </v>
      </c>
      <c r="K107" t="str" cm="1">
        <f t="array" aca="1" ref="K107" ca="1">_xlfn.LET(
  _xlpm.s, SUBSTITUTE(SUBSTITUTE(I107," ",""),"　",""),
  _xlpm.dic, SUBSTITUTE(SUBSTITUTE(メーカー!$A$1:$A$100," ",""),"　",""),
  _xlpm.pos, MATCH(TRUE, RIGHT(_xlpm.s, LEN(_xlpm.dic)) = _xlpm.dic, 0),
  INDEX(メーカー!$A$1:$A$100, _xlpm.pos)
)</f>
        <v>第一三共</v>
      </c>
      <c r="L107" cm="1">
        <f t="array" aca="1" ref="L107" ca="1">INDEX(_xlfn.FILTERXML("&lt;t&gt;&lt;s&gt;" &amp; SUBSTITUTE(MID(C107,23,999)," ","&lt;/s&gt;&lt;s&gt;") &amp; "&lt;/s&gt;&lt;/t&gt;","//s[number(.)=number(.)]"),1)</f>
        <v>1</v>
      </c>
      <c r="M107" cm="1">
        <f t="array" aca="1" ref="M107" ca="1">INDEX(
  _xlfn.FILTERXML("&lt;t&gt;&lt;s&gt;" &amp; SUBSTITUTE(MID(C107, 22 + LEN(I107) + 1, 999), " ", "&lt;/s&gt;&lt;s&gt;") &amp; "&lt;/s&gt;&lt;/t&gt;",
            "//s[number(.)=number(.)]"),
  2
)</f>
        <v>50</v>
      </c>
      <c r="N107" t="str" cm="1">
        <f t="array" aca="1" ref="N107" ca="1">_xlfn.REGEXEXTRACT(C107, "\d{2}:\d{2}:\d{2}")</f>
        <v>08:54:48</v>
      </c>
      <c r="O107" t="str">
        <f t="shared" ca="1" si="13"/>
        <v>5mg/錠 PTP 10錠×10</v>
      </c>
      <c r="P107" t="str">
        <f t="shared" ca="1" si="14"/>
        <v>1</v>
      </c>
    </row>
    <row r="108" spans="2:16" x14ac:dyDescent="0.45">
      <c r="B108">
        <f t="shared" si="15"/>
        <v>466</v>
      </c>
      <c r="C108" t="str">
        <f ca="1">_xlfn.CONCAT(OFFSET(元!$B$10,'1行'!B108,0)," ",OFFSET(元!$B$12,'1行'!B108,0))</f>
        <v>2026/03/25 2026/04/01 トラマールOD錠25mg 日本新薬 1 51 08:54:48 25mg/錠 PTP 10錠×10 4987173018550 1 0</v>
      </c>
      <c r="D108" cm="1">
        <f t="array" aca="1" ref="D108" ca="1">INDEX(_xlfn.FILTERXML("&lt;t&gt;&lt;s&gt;" &amp; SUBSTITUTE(C108," ","&lt;/s&gt;&lt;s&gt;") &amp; "&lt;/s&gt;&lt;/t&gt;","//s[number(.)=number(.)]"),
       COUNT(_xlfn.FILTERXML("&lt;t&gt;&lt;s&gt;" &amp; SUBSTITUTE(C108," ","&lt;/s&gt;&lt;s&gt;") &amp; "&lt;/s&gt;&lt;/t&gt;","//s[number(.)=number(.)]"))-1)</f>
        <v>1</v>
      </c>
      <c r="E108" cm="1">
        <f t="array" aca="1" ref="E108" ca="1">INDEX(_xlfn.FILTERXML("&lt;t&gt;&lt;s&gt;" &amp; SUBSTITUTE(C108," ","&lt;/s&gt;&lt;s&gt;") &amp; "&lt;/s&gt;&lt;/t&gt;","//s[number(.)=number(.)]"),
       COUNT(_xlfn.FILTERXML("&lt;t&gt;&lt;s&gt;" &amp; SUBSTITUTE(C108," ","&lt;/s&gt;&lt;s&gt;") &amp; "&lt;/s&gt;&lt;/t&gt;","//s[number(.)=number(.)]")))</f>
        <v>0</v>
      </c>
      <c r="F108" s="4" t="str">
        <f t="shared" ca="1" si="8"/>
        <v>4987173018550</v>
      </c>
      <c r="G108" s="4" t="str">
        <f t="shared" ca="1" si="9"/>
        <v>2026/03/25</v>
      </c>
      <c r="H108" t="str">
        <f t="shared" ca="1" si="10"/>
        <v>2026/04/01</v>
      </c>
      <c r="I108" t="str">
        <f t="shared" ca="1" si="11"/>
        <v>トラマールOD錠25mg 日本新薬</v>
      </c>
      <c r="J108" t="str">
        <f t="shared" ca="1" si="12"/>
        <v xml:space="preserve">トラマールOD錠25mg </v>
      </c>
      <c r="K108" t="str" cm="1">
        <f t="array" aca="1" ref="K108" ca="1">_xlfn.LET(
  _xlpm.s, SUBSTITUTE(SUBSTITUTE(I108," ",""),"　",""),
  _xlpm.dic, SUBSTITUTE(SUBSTITUTE(メーカー!$A$1:$A$100," ",""),"　",""),
  _xlpm.pos, MATCH(TRUE, RIGHT(_xlpm.s, LEN(_xlpm.dic)) = _xlpm.dic, 0),
  INDEX(メーカー!$A$1:$A$100, _xlpm.pos)
)</f>
        <v>日本新薬</v>
      </c>
      <c r="L108" cm="1">
        <f t="array" aca="1" ref="L108" ca="1">INDEX(_xlfn.FILTERXML("&lt;t&gt;&lt;s&gt;" &amp; SUBSTITUTE(MID(C108,23,999)," ","&lt;/s&gt;&lt;s&gt;") &amp; "&lt;/s&gt;&lt;/t&gt;","//s[number(.)=number(.)]"),1)</f>
        <v>1</v>
      </c>
      <c r="M108" cm="1">
        <f t="array" aca="1" ref="M108" ca="1">INDEX(
  _xlfn.FILTERXML("&lt;t&gt;&lt;s&gt;" &amp; SUBSTITUTE(MID(C108, 22 + LEN(I108) + 1, 999), " ", "&lt;/s&gt;&lt;s&gt;") &amp; "&lt;/s&gt;&lt;/t&gt;",
            "//s[number(.)=number(.)]"),
  2
)</f>
        <v>51</v>
      </c>
      <c r="N108" t="str" cm="1">
        <f t="array" aca="1" ref="N108" ca="1">_xlfn.REGEXEXTRACT(C108, "\d{2}:\d{2}:\d{2}")</f>
        <v>08:54:48</v>
      </c>
      <c r="O108" t="str">
        <f t="shared" ca="1" si="13"/>
        <v>25mg/錠 PTP 10錠×10</v>
      </c>
      <c r="P108" t="str">
        <f t="shared" ca="1" si="14"/>
        <v>1</v>
      </c>
    </row>
    <row r="109" spans="2:16" x14ac:dyDescent="0.45">
      <c r="B109">
        <f t="shared" si="15"/>
        <v>470</v>
      </c>
      <c r="C109" t="str">
        <f ca="1">_xlfn.CONCAT(OFFSET(元!$B$10,'1行'!B109,0)," ",OFFSET(元!$B$12,'1行'!B109,0))</f>
        <v>2026/03/25 2026/04/01 ロキソプロフェンNaテープ100mg「DSEP」第一三共 1 52 08:54:48 10cm×14cm1枚 7枚×100袋4987081189984 1 0</v>
      </c>
      <c r="D109" cm="1">
        <f t="array" aca="1" ref="D109" ca="1">INDEX(_xlfn.FILTERXML("&lt;t&gt;&lt;s&gt;" &amp; SUBSTITUTE(C109," ","&lt;/s&gt;&lt;s&gt;") &amp; "&lt;/s&gt;&lt;/t&gt;","//s[number(.)=number(.)]"),
       COUNT(_xlfn.FILTERXML("&lt;t&gt;&lt;s&gt;" &amp; SUBSTITUTE(C109," ","&lt;/s&gt;&lt;s&gt;") &amp; "&lt;/s&gt;&lt;/t&gt;","//s[number(.)=number(.)]"))-1)</f>
        <v>1</v>
      </c>
      <c r="E109" cm="1">
        <f t="array" aca="1" ref="E109" ca="1">INDEX(_xlfn.FILTERXML("&lt;t&gt;&lt;s&gt;" &amp; SUBSTITUTE(C109," ","&lt;/s&gt;&lt;s&gt;") &amp; "&lt;/s&gt;&lt;/t&gt;","//s[number(.)=number(.)]"),
       COUNT(_xlfn.FILTERXML("&lt;t&gt;&lt;s&gt;" &amp; SUBSTITUTE(C109," ","&lt;/s&gt;&lt;s&gt;") &amp; "&lt;/s&gt;&lt;/t&gt;","//s[number(.)=number(.)]")))</f>
        <v>0</v>
      </c>
      <c r="F109" s="4" t="str">
        <f t="shared" ca="1" si="8"/>
        <v>4987081189984</v>
      </c>
      <c r="G109" s="4" t="str">
        <f t="shared" ca="1" si="9"/>
        <v>2026/03/25</v>
      </c>
      <c r="H109" t="str">
        <f t="shared" ca="1" si="10"/>
        <v>2026/04/01</v>
      </c>
      <c r="I109" t="str">
        <f t="shared" ca="1" si="11"/>
        <v>ロキソプロフェンNaテープ100mg「DSEP」第一三共</v>
      </c>
      <c r="J109" t="str">
        <f t="shared" ca="1" si="12"/>
        <v>ロキソプロフェンNaテープ100mg「DSEP」</v>
      </c>
      <c r="K109" t="str" cm="1">
        <f t="array" aca="1" ref="K109" ca="1">_xlfn.LET(
  _xlpm.s, SUBSTITUTE(SUBSTITUTE(I109," ",""),"　",""),
  _xlpm.dic, SUBSTITUTE(SUBSTITUTE(メーカー!$A$1:$A$100," ",""),"　",""),
  _xlpm.pos, MATCH(TRUE, RIGHT(_xlpm.s, LEN(_xlpm.dic)) = _xlpm.dic, 0),
  INDEX(メーカー!$A$1:$A$100, _xlpm.pos)
)</f>
        <v>第一三共</v>
      </c>
      <c r="L109" cm="1">
        <f t="array" aca="1" ref="L109" ca="1">INDEX(_xlfn.FILTERXML("&lt;t&gt;&lt;s&gt;" &amp; SUBSTITUTE(MID(C109,23,999)," ","&lt;/s&gt;&lt;s&gt;") &amp; "&lt;/s&gt;&lt;/t&gt;","//s[number(.)=number(.)]"),1)</f>
        <v>1</v>
      </c>
      <c r="M109" cm="1">
        <f t="array" aca="1" ref="M109" ca="1">INDEX(
  _xlfn.FILTERXML("&lt;t&gt;&lt;s&gt;" &amp; SUBSTITUTE(MID(C109, 22 + LEN(I109) + 1, 999), " ", "&lt;/s&gt;&lt;s&gt;") &amp; "&lt;/s&gt;&lt;/t&gt;",
            "//s[number(.)=number(.)]"),
  2
)</f>
        <v>52</v>
      </c>
      <c r="N109" t="str" cm="1">
        <f t="array" aca="1" ref="N109" ca="1">_xlfn.REGEXEXTRACT(C109, "\d{2}:\d{2}:\d{2}")</f>
        <v>08:54:48</v>
      </c>
      <c r="O109" t="str">
        <f t="shared" ca="1" si="13"/>
        <v>10cm×14cm1枚 7枚×100袋</v>
      </c>
      <c r="P109" t="str">
        <f t="shared" ca="1" si="14"/>
        <v>1</v>
      </c>
    </row>
    <row r="110" spans="2:16" x14ac:dyDescent="0.45">
      <c r="B110">
        <f t="shared" si="15"/>
        <v>474</v>
      </c>
      <c r="C110" t="str">
        <f ca="1">_xlfn.CONCAT(OFFSET(元!$B$10,'1行'!B110,0)," ",OFFSET(元!$B$12,'1行'!B110,0))</f>
        <v>2026/03/25 2026/04/01 ビオフェルミン錠剤大正製薬 1 53 08:54:48 バラ 1000錠×1瓶4987306066489 1 0</v>
      </c>
      <c r="D110" cm="1">
        <f t="array" aca="1" ref="D110" ca="1">INDEX(_xlfn.FILTERXML("&lt;t&gt;&lt;s&gt;" &amp; SUBSTITUTE(C110," ","&lt;/s&gt;&lt;s&gt;") &amp; "&lt;/s&gt;&lt;/t&gt;","//s[number(.)=number(.)]"),
       COUNT(_xlfn.FILTERXML("&lt;t&gt;&lt;s&gt;" &amp; SUBSTITUTE(C110," ","&lt;/s&gt;&lt;s&gt;") &amp; "&lt;/s&gt;&lt;/t&gt;","//s[number(.)=number(.)]"))-1)</f>
        <v>1</v>
      </c>
      <c r="E110" cm="1">
        <f t="array" aca="1" ref="E110" ca="1">INDEX(_xlfn.FILTERXML("&lt;t&gt;&lt;s&gt;" &amp; SUBSTITUTE(C110," ","&lt;/s&gt;&lt;s&gt;") &amp; "&lt;/s&gt;&lt;/t&gt;","//s[number(.)=number(.)]"),
       COUNT(_xlfn.FILTERXML("&lt;t&gt;&lt;s&gt;" &amp; SUBSTITUTE(C110," ","&lt;/s&gt;&lt;s&gt;") &amp; "&lt;/s&gt;&lt;/t&gt;","//s[number(.)=number(.)]")))</f>
        <v>0</v>
      </c>
      <c r="F110" s="4" t="str">
        <f t="shared" ca="1" si="8"/>
        <v>4987306066489</v>
      </c>
      <c r="G110" s="4" t="str">
        <f t="shared" ca="1" si="9"/>
        <v>2026/03/25</v>
      </c>
      <c r="H110" t="str">
        <f t="shared" ca="1" si="10"/>
        <v>2026/04/01</v>
      </c>
      <c r="I110" t="str">
        <f t="shared" ca="1" si="11"/>
        <v>ビオフェルミン錠剤大正製薬</v>
      </c>
      <c r="J110" t="str">
        <f t="shared" ca="1" si="12"/>
        <v>ビオフェルミン錠剤</v>
      </c>
      <c r="K110" t="str" cm="1">
        <f t="array" aca="1" ref="K110" ca="1">_xlfn.LET(
  _xlpm.s, SUBSTITUTE(SUBSTITUTE(I110," ",""),"　",""),
  _xlpm.dic, SUBSTITUTE(SUBSTITUTE(メーカー!$A$1:$A$100," ",""),"　",""),
  _xlpm.pos, MATCH(TRUE, RIGHT(_xlpm.s, LEN(_xlpm.dic)) = _xlpm.dic, 0),
  INDEX(メーカー!$A$1:$A$100, _xlpm.pos)
)</f>
        <v>大正製薬</v>
      </c>
      <c r="L110" cm="1">
        <f t="array" aca="1" ref="L110" ca="1">INDEX(_xlfn.FILTERXML("&lt;t&gt;&lt;s&gt;" &amp; SUBSTITUTE(MID(C110,23,999)," ","&lt;/s&gt;&lt;s&gt;") &amp; "&lt;/s&gt;&lt;/t&gt;","//s[number(.)=number(.)]"),1)</f>
        <v>1</v>
      </c>
      <c r="M110" cm="1">
        <f t="array" aca="1" ref="M110" ca="1">INDEX(
  _xlfn.FILTERXML("&lt;t&gt;&lt;s&gt;" &amp; SUBSTITUTE(MID(C110, 22 + LEN(I110) + 1, 999), " ", "&lt;/s&gt;&lt;s&gt;") &amp; "&lt;/s&gt;&lt;/t&gt;",
            "//s[number(.)=number(.)]"),
  2
)</f>
        <v>53</v>
      </c>
      <c r="N110" t="str" cm="1">
        <f t="array" aca="1" ref="N110" ca="1">_xlfn.REGEXEXTRACT(C110, "\d{2}:\d{2}:\d{2}")</f>
        <v>08:54:48</v>
      </c>
      <c r="O110" t="str">
        <f t="shared" ca="1" si="13"/>
        <v>バラ 1000錠×1瓶</v>
      </c>
      <c r="P110" t="str">
        <f t="shared" ca="1" si="14"/>
        <v>1</v>
      </c>
    </row>
    <row r="111" spans="2:16" x14ac:dyDescent="0.45">
      <c r="B111">
        <f t="shared" si="15"/>
        <v>478</v>
      </c>
      <c r="C111" t="str">
        <f ca="1">_xlfn.CONCAT(OFFSET(元!$B$10,'1行'!B111,0)," ",OFFSET(元!$B$12,'1行'!B111,0))</f>
        <v>2026/03/25 2026/04/01 ジメチコン錠40mg「YD」陽進堂 1 54 08:54:48 40mg/錠 バラ 1000錠×1袋4987476171921 1 0</v>
      </c>
      <c r="D111" cm="1">
        <f t="array" aca="1" ref="D111" ca="1">INDEX(_xlfn.FILTERXML("&lt;t&gt;&lt;s&gt;" &amp; SUBSTITUTE(C111," ","&lt;/s&gt;&lt;s&gt;") &amp; "&lt;/s&gt;&lt;/t&gt;","//s[number(.)=number(.)]"),
       COUNT(_xlfn.FILTERXML("&lt;t&gt;&lt;s&gt;" &amp; SUBSTITUTE(C111," ","&lt;/s&gt;&lt;s&gt;") &amp; "&lt;/s&gt;&lt;/t&gt;","//s[number(.)=number(.)]"))-1)</f>
        <v>1</v>
      </c>
      <c r="E111" cm="1">
        <f t="array" aca="1" ref="E111" ca="1">INDEX(_xlfn.FILTERXML("&lt;t&gt;&lt;s&gt;" &amp; SUBSTITUTE(C111," ","&lt;/s&gt;&lt;s&gt;") &amp; "&lt;/s&gt;&lt;/t&gt;","//s[number(.)=number(.)]"),
       COUNT(_xlfn.FILTERXML("&lt;t&gt;&lt;s&gt;" &amp; SUBSTITUTE(C111," ","&lt;/s&gt;&lt;s&gt;") &amp; "&lt;/s&gt;&lt;/t&gt;","//s[number(.)=number(.)]")))</f>
        <v>0</v>
      </c>
      <c r="F111" s="4" t="str">
        <f t="shared" ca="1" si="8"/>
        <v>4987476171921</v>
      </c>
      <c r="G111" s="4" t="str">
        <f t="shared" ca="1" si="9"/>
        <v>2026/03/25</v>
      </c>
      <c r="H111" t="str">
        <f t="shared" ca="1" si="10"/>
        <v>2026/04/01</v>
      </c>
      <c r="I111" t="str">
        <f t="shared" ca="1" si="11"/>
        <v>ジメチコン錠40mg「YD」陽進堂</v>
      </c>
      <c r="J111" t="str">
        <f t="shared" ca="1" si="12"/>
        <v>ジメチコン錠40mg「YD」</v>
      </c>
      <c r="K111" t="str" cm="1">
        <f t="array" aca="1" ref="K111" ca="1">_xlfn.LET(
  _xlpm.s, SUBSTITUTE(SUBSTITUTE(I111," ",""),"　",""),
  _xlpm.dic, SUBSTITUTE(SUBSTITUTE(メーカー!$A$1:$A$100," ",""),"　",""),
  _xlpm.pos, MATCH(TRUE, RIGHT(_xlpm.s, LEN(_xlpm.dic)) = _xlpm.dic, 0),
  INDEX(メーカー!$A$1:$A$100, _xlpm.pos)
)</f>
        <v>陽進堂</v>
      </c>
      <c r="L111" cm="1">
        <f t="array" aca="1" ref="L111" ca="1">INDEX(_xlfn.FILTERXML("&lt;t&gt;&lt;s&gt;" &amp; SUBSTITUTE(MID(C111,23,999)," ","&lt;/s&gt;&lt;s&gt;") &amp; "&lt;/s&gt;&lt;/t&gt;","//s[number(.)=number(.)]"),1)</f>
        <v>1</v>
      </c>
      <c r="M111" cm="1">
        <f t="array" aca="1" ref="M111" ca="1">INDEX(
  _xlfn.FILTERXML("&lt;t&gt;&lt;s&gt;" &amp; SUBSTITUTE(MID(C111, 22 + LEN(I111) + 1, 999), " ", "&lt;/s&gt;&lt;s&gt;") &amp; "&lt;/s&gt;&lt;/t&gt;",
            "//s[number(.)=number(.)]"),
  2
)</f>
        <v>54</v>
      </c>
      <c r="N111" t="str" cm="1">
        <f t="array" aca="1" ref="N111" ca="1">_xlfn.REGEXEXTRACT(C111, "\d{2}:\d{2}:\d{2}")</f>
        <v>08:54:48</v>
      </c>
      <c r="O111" t="str">
        <f t="shared" ca="1" si="13"/>
        <v>40mg/錠 バラ 1000錠×1袋</v>
      </c>
      <c r="P111" t="str">
        <f t="shared" ca="1" si="14"/>
        <v>1</v>
      </c>
    </row>
    <row r="112" spans="2:16" x14ac:dyDescent="0.45">
      <c r="B112">
        <f t="shared" si="15"/>
        <v>482</v>
      </c>
      <c r="C112" t="str">
        <f ca="1">_xlfn.CONCAT(OFFSET(元!$B$10,'1行'!B112,0)," ",OFFSET(元!$B$12,'1行'!B112,0))</f>
        <v>2026/03/25 2026/04/01 フ ェフ ゛キ ソス タッ トOD錠10mg「 サワ イ」沢井製薬 2 55 08:54:48 10mg/錠 PTP 10錠×10 4987080281115 2 0</v>
      </c>
      <c r="D112" cm="1">
        <f t="array" aca="1" ref="D112" ca="1">INDEX(_xlfn.FILTERXML("&lt;t&gt;&lt;s&gt;" &amp; SUBSTITUTE(C112," ","&lt;/s&gt;&lt;s&gt;") &amp; "&lt;/s&gt;&lt;/t&gt;","//s[number(.)=number(.)]"),
       COUNT(_xlfn.FILTERXML("&lt;t&gt;&lt;s&gt;" &amp; SUBSTITUTE(C112," ","&lt;/s&gt;&lt;s&gt;") &amp; "&lt;/s&gt;&lt;/t&gt;","//s[number(.)=number(.)]"))-1)</f>
        <v>2</v>
      </c>
      <c r="E112" cm="1">
        <f t="array" aca="1" ref="E112" ca="1">INDEX(_xlfn.FILTERXML("&lt;t&gt;&lt;s&gt;" &amp; SUBSTITUTE(C112," ","&lt;/s&gt;&lt;s&gt;") &amp; "&lt;/s&gt;&lt;/t&gt;","//s[number(.)=number(.)]"),
       COUNT(_xlfn.FILTERXML("&lt;t&gt;&lt;s&gt;" &amp; SUBSTITUTE(C112," ","&lt;/s&gt;&lt;s&gt;") &amp; "&lt;/s&gt;&lt;/t&gt;","//s[number(.)=number(.)]")))</f>
        <v>0</v>
      </c>
      <c r="F112" s="4" t="str">
        <f t="shared" ca="1" si="8"/>
        <v>4987080281115</v>
      </c>
      <c r="G112" s="4" t="str">
        <f t="shared" ca="1" si="9"/>
        <v>2026/03/25</v>
      </c>
      <c r="H112" t="str">
        <f t="shared" ca="1" si="10"/>
        <v>2026/04/01</v>
      </c>
      <c r="I112" t="str">
        <f t="shared" ca="1" si="11"/>
        <v>フ ェフ ゛キ ソス タッ トOD錠10mg「 サワ イ」沢井製薬</v>
      </c>
      <c r="J112" t="str">
        <f t="shared" ca="1" si="12"/>
        <v>フ ェフ ゛キ ソス タッ トOD錠10mg「 サワ イ」</v>
      </c>
      <c r="K112" t="str" cm="1">
        <f t="array" aca="1" ref="K112" ca="1">_xlfn.LET(
  _xlpm.s, SUBSTITUTE(SUBSTITUTE(I112," ",""),"　",""),
  _xlpm.dic, SUBSTITUTE(SUBSTITUTE(メーカー!$A$1:$A$100," ",""),"　",""),
  _xlpm.pos, MATCH(TRUE, RIGHT(_xlpm.s, LEN(_xlpm.dic)) = _xlpm.dic, 0),
  INDEX(メーカー!$A$1:$A$100, _xlpm.pos)
)</f>
        <v>沢井製薬</v>
      </c>
      <c r="L112" cm="1">
        <f t="array" aca="1" ref="L112" ca="1">INDEX(_xlfn.FILTERXML("&lt;t&gt;&lt;s&gt;" &amp; SUBSTITUTE(MID(C112,23,999)," ","&lt;/s&gt;&lt;s&gt;") &amp; "&lt;/s&gt;&lt;/t&gt;","//s[number(.)=number(.)]"),1)</f>
        <v>2</v>
      </c>
      <c r="M112" cm="1">
        <f t="array" aca="1" ref="M112" ca="1">INDEX(
  _xlfn.FILTERXML("&lt;t&gt;&lt;s&gt;" &amp; SUBSTITUTE(MID(C112, 22 + LEN(I112) + 1, 999), " ", "&lt;/s&gt;&lt;s&gt;") &amp; "&lt;/s&gt;&lt;/t&gt;",
            "//s[number(.)=number(.)]"),
  2
)</f>
        <v>55</v>
      </c>
      <c r="N112" t="str" cm="1">
        <f t="array" aca="1" ref="N112" ca="1">_xlfn.REGEXEXTRACT(C112, "\d{2}:\d{2}:\d{2}")</f>
        <v>08:54:48</v>
      </c>
      <c r="O112" t="str">
        <f t="shared" ca="1" si="13"/>
        <v>10mg/錠 PTP 10錠×10</v>
      </c>
      <c r="P112" t="str">
        <f t="shared" ca="1" si="14"/>
        <v>2</v>
      </c>
    </row>
    <row r="113" spans="2:16" x14ac:dyDescent="0.45">
      <c r="B113">
        <f t="shared" si="15"/>
        <v>486</v>
      </c>
      <c r="C113" t="str">
        <f ca="1">_xlfn.CONCAT(OFFSET(元!$B$10,'1行'!B113,0)," ",OFFSET(元!$B$12,'1行'!B113,0))</f>
        <v>2026/03/25 2026/04/01 トランサミンカプセル250mg 第一三共 3 56 08:54:48 250mg/カプセル PTP 10カプセル×10 4987081104611 3 0</v>
      </c>
      <c r="D113" cm="1">
        <f t="array" aca="1" ref="D113" ca="1">INDEX(_xlfn.FILTERXML("&lt;t&gt;&lt;s&gt;" &amp; SUBSTITUTE(C113," ","&lt;/s&gt;&lt;s&gt;") &amp; "&lt;/s&gt;&lt;/t&gt;","//s[number(.)=number(.)]"),
       COUNT(_xlfn.FILTERXML("&lt;t&gt;&lt;s&gt;" &amp; SUBSTITUTE(C113," ","&lt;/s&gt;&lt;s&gt;") &amp; "&lt;/s&gt;&lt;/t&gt;","//s[number(.)=number(.)]"))-1)</f>
        <v>3</v>
      </c>
      <c r="E113" cm="1">
        <f t="array" aca="1" ref="E113" ca="1">INDEX(_xlfn.FILTERXML("&lt;t&gt;&lt;s&gt;" &amp; SUBSTITUTE(C113," ","&lt;/s&gt;&lt;s&gt;") &amp; "&lt;/s&gt;&lt;/t&gt;","//s[number(.)=number(.)]"),
       COUNT(_xlfn.FILTERXML("&lt;t&gt;&lt;s&gt;" &amp; SUBSTITUTE(C113," ","&lt;/s&gt;&lt;s&gt;") &amp; "&lt;/s&gt;&lt;/t&gt;","//s[number(.)=number(.)]")))</f>
        <v>0</v>
      </c>
      <c r="F113" s="4" t="str">
        <f t="shared" ca="1" si="8"/>
        <v>4987081104611</v>
      </c>
      <c r="G113" s="4" t="str">
        <f t="shared" ca="1" si="9"/>
        <v>2026/03/25</v>
      </c>
      <c r="H113" t="str">
        <f t="shared" ca="1" si="10"/>
        <v>2026/04/01</v>
      </c>
      <c r="I113" t="str">
        <f t="shared" ca="1" si="11"/>
        <v>トランサミンカプセル250mg 第一三共</v>
      </c>
      <c r="J113" t="str">
        <f t="shared" ca="1" si="12"/>
        <v xml:space="preserve">トランサミンカプセル250mg </v>
      </c>
      <c r="K113" t="str" cm="1">
        <f t="array" aca="1" ref="K113" ca="1">_xlfn.LET(
  _xlpm.s, SUBSTITUTE(SUBSTITUTE(I113," ",""),"　",""),
  _xlpm.dic, SUBSTITUTE(SUBSTITUTE(メーカー!$A$1:$A$100," ",""),"　",""),
  _xlpm.pos, MATCH(TRUE, RIGHT(_xlpm.s, LEN(_xlpm.dic)) = _xlpm.dic, 0),
  INDEX(メーカー!$A$1:$A$100, _xlpm.pos)
)</f>
        <v>第一三共</v>
      </c>
      <c r="L113" cm="1">
        <f t="array" aca="1" ref="L113" ca="1">INDEX(_xlfn.FILTERXML("&lt;t&gt;&lt;s&gt;" &amp; SUBSTITUTE(MID(C113,23,999)," ","&lt;/s&gt;&lt;s&gt;") &amp; "&lt;/s&gt;&lt;/t&gt;","//s[number(.)=number(.)]"),1)</f>
        <v>3</v>
      </c>
      <c r="M113" cm="1">
        <f t="array" aca="1" ref="M113" ca="1">INDEX(
  _xlfn.FILTERXML("&lt;t&gt;&lt;s&gt;" &amp; SUBSTITUTE(MID(C113, 22 + LEN(I113) + 1, 999), " ", "&lt;/s&gt;&lt;s&gt;") &amp; "&lt;/s&gt;&lt;/t&gt;",
            "//s[number(.)=number(.)]"),
  2
)</f>
        <v>56</v>
      </c>
      <c r="N113" t="str" cm="1">
        <f t="array" aca="1" ref="N113" ca="1">_xlfn.REGEXEXTRACT(C113, "\d{2}:\d{2}:\d{2}")</f>
        <v>08:54:48</v>
      </c>
      <c r="O113" t="str">
        <f t="shared" ca="1" si="13"/>
        <v>250mg/カプセル PTP 10カプセル×10</v>
      </c>
      <c r="P113" t="str">
        <f t="shared" ca="1" si="14"/>
        <v>3</v>
      </c>
    </row>
    <row r="114" spans="2:16" x14ac:dyDescent="0.45">
      <c r="B114">
        <f t="shared" si="15"/>
        <v>490</v>
      </c>
      <c r="C114" t="str">
        <f ca="1">_xlfn.CONCAT(OFFSET(元!$B$10,'1行'!B114,0)," ",OFFSET(元!$B$12,'1行'!B114,0))</f>
        <v>2026/03/25 2026/04/01 ツムラ小青竜湯エキス顆粒(医療用) ツムラ 1 57 08:54:48 分包 3g×42包4987138801944 1 0</v>
      </c>
      <c r="D114" cm="1">
        <f t="array" aca="1" ref="D114" ca="1">INDEX(_xlfn.FILTERXML("&lt;t&gt;&lt;s&gt;" &amp; SUBSTITUTE(C114," ","&lt;/s&gt;&lt;s&gt;") &amp; "&lt;/s&gt;&lt;/t&gt;","//s[number(.)=number(.)]"),
       COUNT(_xlfn.FILTERXML("&lt;t&gt;&lt;s&gt;" &amp; SUBSTITUTE(C114," ","&lt;/s&gt;&lt;s&gt;") &amp; "&lt;/s&gt;&lt;/t&gt;","//s[number(.)=number(.)]"))-1)</f>
        <v>1</v>
      </c>
      <c r="E114" cm="1">
        <f t="array" aca="1" ref="E114" ca="1">INDEX(_xlfn.FILTERXML("&lt;t&gt;&lt;s&gt;" &amp; SUBSTITUTE(C114," ","&lt;/s&gt;&lt;s&gt;") &amp; "&lt;/s&gt;&lt;/t&gt;","//s[number(.)=number(.)]"),
       COUNT(_xlfn.FILTERXML("&lt;t&gt;&lt;s&gt;" &amp; SUBSTITUTE(C114," ","&lt;/s&gt;&lt;s&gt;") &amp; "&lt;/s&gt;&lt;/t&gt;","//s[number(.)=number(.)]")))</f>
        <v>0</v>
      </c>
      <c r="F114" s="4" t="str">
        <f t="shared" ca="1" si="8"/>
        <v>4987138801944</v>
      </c>
      <c r="G114" s="4" t="str">
        <f t="shared" ca="1" si="9"/>
        <v>2026/03/25</v>
      </c>
      <c r="H114" t="str">
        <f t="shared" ca="1" si="10"/>
        <v>2026/04/01</v>
      </c>
      <c r="I114" t="str">
        <f t="shared" ca="1" si="11"/>
        <v>ツムラ小青竜湯エキス顆粒(医療用) ツムラ</v>
      </c>
      <c r="J114" t="str">
        <f t="shared" ca="1" si="12"/>
        <v xml:space="preserve">ツムラ小青竜湯エキス顆粒(医療用) </v>
      </c>
      <c r="K114" t="str" cm="1">
        <f t="array" aca="1" ref="K114" ca="1">_xlfn.LET(
  _xlpm.s, SUBSTITUTE(SUBSTITUTE(I114," ",""),"　",""),
  _xlpm.dic, SUBSTITUTE(SUBSTITUTE(メーカー!$A$1:$A$100," ",""),"　",""),
  _xlpm.pos, MATCH(TRUE, RIGHT(_xlpm.s, LEN(_xlpm.dic)) = _xlpm.dic, 0),
  INDEX(メーカー!$A$1:$A$100, _xlpm.pos)
)</f>
        <v>ツムラ</v>
      </c>
      <c r="L114" cm="1">
        <f t="array" aca="1" ref="L114" ca="1">INDEX(_xlfn.FILTERXML("&lt;t&gt;&lt;s&gt;" &amp; SUBSTITUTE(MID(C114,23,999)," ","&lt;/s&gt;&lt;s&gt;") &amp; "&lt;/s&gt;&lt;/t&gt;","//s[number(.)=number(.)]"),1)</f>
        <v>1</v>
      </c>
      <c r="M114" cm="1">
        <f t="array" aca="1" ref="M114" ca="1">INDEX(
  _xlfn.FILTERXML("&lt;t&gt;&lt;s&gt;" &amp; SUBSTITUTE(MID(C114, 22 + LEN(I114) + 1, 999), " ", "&lt;/s&gt;&lt;s&gt;") &amp; "&lt;/s&gt;&lt;/t&gt;",
            "//s[number(.)=number(.)]"),
  2
)</f>
        <v>57</v>
      </c>
      <c r="N114" t="str" cm="1">
        <f t="array" aca="1" ref="N114" ca="1">_xlfn.REGEXEXTRACT(C114, "\d{2}:\d{2}:\d{2}")</f>
        <v>08:54:48</v>
      </c>
      <c r="O114" t="str">
        <f t="shared" ca="1" si="13"/>
        <v>分包 3g×42包</v>
      </c>
      <c r="P114" t="str">
        <f t="shared" ca="1" si="14"/>
        <v>1</v>
      </c>
    </row>
    <row r="115" spans="2:16" x14ac:dyDescent="0.45">
      <c r="B115">
        <f t="shared" si="15"/>
        <v>494</v>
      </c>
      <c r="C115" t="str">
        <f ca="1">_xlfn.CONCAT(OFFSET(元!$B$10,'1行'!B115,0)," ",OFFSET(元!$B$12,'1行'!B115,0))</f>
        <v>2026/03/25 2026/04/01 クラシエ黄連解毒湯エキス細粒クラシエ薬品 2 58 08:54:48 分包 2g×42包4987045630194 2 0</v>
      </c>
      <c r="D115" cm="1">
        <f t="array" aca="1" ref="D115" ca="1">INDEX(_xlfn.FILTERXML("&lt;t&gt;&lt;s&gt;" &amp; SUBSTITUTE(C115," ","&lt;/s&gt;&lt;s&gt;") &amp; "&lt;/s&gt;&lt;/t&gt;","//s[number(.)=number(.)]"),
       COUNT(_xlfn.FILTERXML("&lt;t&gt;&lt;s&gt;" &amp; SUBSTITUTE(C115," ","&lt;/s&gt;&lt;s&gt;") &amp; "&lt;/s&gt;&lt;/t&gt;","//s[number(.)=number(.)]"))-1)</f>
        <v>2</v>
      </c>
      <c r="E115" cm="1">
        <f t="array" aca="1" ref="E115" ca="1">INDEX(_xlfn.FILTERXML("&lt;t&gt;&lt;s&gt;" &amp; SUBSTITUTE(C115," ","&lt;/s&gt;&lt;s&gt;") &amp; "&lt;/s&gt;&lt;/t&gt;","//s[number(.)=number(.)]"),
       COUNT(_xlfn.FILTERXML("&lt;t&gt;&lt;s&gt;" &amp; SUBSTITUTE(C115," ","&lt;/s&gt;&lt;s&gt;") &amp; "&lt;/s&gt;&lt;/t&gt;","//s[number(.)=number(.)]")))</f>
        <v>0</v>
      </c>
      <c r="F115" s="4" t="str">
        <f t="shared" ca="1" si="8"/>
        <v>4987045630194</v>
      </c>
      <c r="G115" s="4" t="str">
        <f t="shared" ca="1" si="9"/>
        <v>2026/03/25</v>
      </c>
      <c r="H115" t="str">
        <f t="shared" ca="1" si="10"/>
        <v>2026/04/01</v>
      </c>
      <c r="I115" t="str">
        <f t="shared" ca="1" si="11"/>
        <v>クラシエ黄連解毒湯エキス細粒クラシエ薬品</v>
      </c>
      <c r="J115" t="str">
        <f t="shared" ca="1" si="12"/>
        <v>クラシエ黄連解毒湯エキス細粒</v>
      </c>
      <c r="K115" t="str" cm="1">
        <f t="array" aca="1" ref="K115" ca="1">_xlfn.LET(
  _xlpm.s, SUBSTITUTE(SUBSTITUTE(I115," ",""),"　",""),
  _xlpm.dic, SUBSTITUTE(SUBSTITUTE(メーカー!$A$1:$A$100," ",""),"　",""),
  _xlpm.pos, MATCH(TRUE, RIGHT(_xlpm.s, LEN(_xlpm.dic)) = _xlpm.dic, 0),
  INDEX(メーカー!$A$1:$A$100, _xlpm.pos)
)</f>
        <v>クラシエ薬品</v>
      </c>
      <c r="L115" cm="1">
        <f t="array" aca="1" ref="L115" ca="1">INDEX(_xlfn.FILTERXML("&lt;t&gt;&lt;s&gt;" &amp; SUBSTITUTE(MID(C115,23,999)," ","&lt;/s&gt;&lt;s&gt;") &amp; "&lt;/s&gt;&lt;/t&gt;","//s[number(.)=number(.)]"),1)</f>
        <v>2</v>
      </c>
      <c r="M115" cm="1">
        <f t="array" aca="1" ref="M115" ca="1">INDEX(
  _xlfn.FILTERXML("&lt;t&gt;&lt;s&gt;" &amp; SUBSTITUTE(MID(C115, 22 + LEN(I115) + 1, 999), " ", "&lt;/s&gt;&lt;s&gt;") &amp; "&lt;/s&gt;&lt;/t&gt;",
            "//s[number(.)=number(.)]"),
  2
)</f>
        <v>58</v>
      </c>
      <c r="N115" t="str" cm="1">
        <f t="array" aca="1" ref="N115" ca="1">_xlfn.REGEXEXTRACT(C115, "\d{2}:\d{2}:\d{2}")</f>
        <v>08:54:48</v>
      </c>
      <c r="O115" t="str">
        <f t="shared" ca="1" si="13"/>
        <v>分包 2g×42包</v>
      </c>
      <c r="P115" t="str">
        <f t="shared" ca="1" si="14"/>
        <v>2</v>
      </c>
    </row>
    <row r="116" spans="2:16" x14ac:dyDescent="0.45">
      <c r="B116">
        <f t="shared" si="15"/>
        <v>498</v>
      </c>
      <c r="C116" t="str">
        <f ca="1">_xlfn.CONCAT(OFFSET(元!$B$10,'1行'!B116,0)," ",OFFSET(元!$B$12,'1行'!B116,0))</f>
        <v>2026/03/25 2026/04/01 ツムラ抑肝散エキス顆粒(医療用) ツムラ 10 59 08:54:48 分包 2.5g×189包4987138805430 10 0</v>
      </c>
      <c r="D116" cm="1">
        <f t="array" aca="1" ref="D116" ca="1">INDEX(_xlfn.FILTERXML("&lt;t&gt;&lt;s&gt;" &amp; SUBSTITUTE(C116," ","&lt;/s&gt;&lt;s&gt;") &amp; "&lt;/s&gt;&lt;/t&gt;","//s[number(.)=number(.)]"),
       COUNT(_xlfn.FILTERXML("&lt;t&gt;&lt;s&gt;" &amp; SUBSTITUTE(C116," ","&lt;/s&gt;&lt;s&gt;") &amp; "&lt;/s&gt;&lt;/t&gt;","//s[number(.)=number(.)]"))-1)</f>
        <v>10</v>
      </c>
      <c r="E116" cm="1">
        <f t="array" aca="1" ref="E116" ca="1">INDEX(_xlfn.FILTERXML("&lt;t&gt;&lt;s&gt;" &amp; SUBSTITUTE(C116," ","&lt;/s&gt;&lt;s&gt;") &amp; "&lt;/s&gt;&lt;/t&gt;","//s[number(.)=number(.)]"),
       COUNT(_xlfn.FILTERXML("&lt;t&gt;&lt;s&gt;" &amp; SUBSTITUTE(C116," ","&lt;/s&gt;&lt;s&gt;") &amp; "&lt;/s&gt;&lt;/t&gt;","//s[number(.)=number(.)]")))</f>
        <v>0</v>
      </c>
      <c r="F116" s="4" t="str">
        <f t="shared" ca="1" si="8"/>
        <v>4987138805430</v>
      </c>
      <c r="G116" s="4" t="str">
        <f t="shared" ca="1" si="9"/>
        <v>2026/03/25</v>
      </c>
      <c r="H116" t="str">
        <f t="shared" ca="1" si="10"/>
        <v>2026/04/01</v>
      </c>
      <c r="I116" t="str">
        <f t="shared" ca="1" si="11"/>
        <v>ツムラ抑肝散エキス顆粒(医療用) ツムラ</v>
      </c>
      <c r="J116" t="str">
        <f t="shared" ca="1" si="12"/>
        <v xml:space="preserve">ツムラ抑肝散エキス顆粒(医療用) </v>
      </c>
      <c r="K116" t="str" cm="1">
        <f t="array" aca="1" ref="K116" ca="1">_xlfn.LET(
  _xlpm.s, SUBSTITUTE(SUBSTITUTE(I116," ",""),"　",""),
  _xlpm.dic, SUBSTITUTE(SUBSTITUTE(メーカー!$A$1:$A$100," ",""),"　",""),
  _xlpm.pos, MATCH(TRUE, RIGHT(_xlpm.s, LEN(_xlpm.dic)) = _xlpm.dic, 0),
  INDEX(メーカー!$A$1:$A$100, _xlpm.pos)
)</f>
        <v>ツムラ</v>
      </c>
      <c r="L116" cm="1">
        <f t="array" aca="1" ref="L116" ca="1">INDEX(_xlfn.FILTERXML("&lt;t&gt;&lt;s&gt;" &amp; SUBSTITUTE(MID(C116,23,999)," ","&lt;/s&gt;&lt;s&gt;") &amp; "&lt;/s&gt;&lt;/t&gt;","//s[number(.)=number(.)]"),1)</f>
        <v>10</v>
      </c>
      <c r="M116" cm="1">
        <f t="array" aca="1" ref="M116" ca="1">INDEX(
  _xlfn.FILTERXML("&lt;t&gt;&lt;s&gt;" &amp; SUBSTITUTE(MID(C116, 22 + LEN(I116) + 1, 999), " ", "&lt;/s&gt;&lt;s&gt;") &amp; "&lt;/s&gt;&lt;/t&gt;",
            "//s[number(.)=number(.)]"),
  2
)</f>
        <v>59</v>
      </c>
      <c r="N116" t="str" cm="1">
        <f t="array" aca="1" ref="N116" ca="1">_xlfn.REGEXEXTRACT(C116, "\d{2}:\d{2}:\d{2}")</f>
        <v>08:54:48</v>
      </c>
      <c r="O116" t="str">
        <f t="shared" ca="1" si="13"/>
        <v>分包 2.5g×189包</v>
      </c>
      <c r="P116" t="str">
        <f t="shared" ca="1" si="14"/>
        <v>10</v>
      </c>
    </row>
    <row r="117" spans="2:16" x14ac:dyDescent="0.45">
      <c r="B117">
        <f t="shared" si="15"/>
        <v>502</v>
      </c>
      <c r="C117" t="str">
        <f ca="1">_xlfn.CONCAT(OFFSET(元!$B$10,'1行'!B117,0)," ",OFFSET(元!$B$12,'1行'!B117,0))</f>
        <v>2026/03/25 2026/04/01 ツムラ大建中湯エキス顆粒(医療用) ツムラ 10 60 08:54:48 分包 2.5g×189包4987138810038 10 0</v>
      </c>
      <c r="D117" cm="1">
        <f t="array" aca="1" ref="D117" ca="1">INDEX(_xlfn.FILTERXML("&lt;t&gt;&lt;s&gt;" &amp; SUBSTITUTE(C117," ","&lt;/s&gt;&lt;s&gt;") &amp; "&lt;/s&gt;&lt;/t&gt;","//s[number(.)=number(.)]"),
       COUNT(_xlfn.FILTERXML("&lt;t&gt;&lt;s&gt;" &amp; SUBSTITUTE(C117," ","&lt;/s&gt;&lt;s&gt;") &amp; "&lt;/s&gt;&lt;/t&gt;","//s[number(.)=number(.)]"))-1)</f>
        <v>10</v>
      </c>
      <c r="E117" cm="1">
        <f t="array" aca="1" ref="E117" ca="1">INDEX(_xlfn.FILTERXML("&lt;t&gt;&lt;s&gt;" &amp; SUBSTITUTE(C117," ","&lt;/s&gt;&lt;s&gt;") &amp; "&lt;/s&gt;&lt;/t&gt;","//s[number(.)=number(.)]"),
       COUNT(_xlfn.FILTERXML("&lt;t&gt;&lt;s&gt;" &amp; SUBSTITUTE(C117," ","&lt;/s&gt;&lt;s&gt;") &amp; "&lt;/s&gt;&lt;/t&gt;","//s[number(.)=number(.)]")))</f>
        <v>0</v>
      </c>
      <c r="F117" s="4" t="str">
        <f t="shared" ca="1" si="8"/>
        <v>4987138810038</v>
      </c>
      <c r="G117" s="4" t="str">
        <f t="shared" ca="1" si="9"/>
        <v>2026/03/25</v>
      </c>
      <c r="H117" t="str">
        <f t="shared" ca="1" si="10"/>
        <v>2026/04/01</v>
      </c>
      <c r="I117" t="str">
        <f t="shared" ca="1" si="11"/>
        <v>ツムラ大建中湯エキス顆粒(医療用) ツムラ</v>
      </c>
      <c r="J117" t="str">
        <f t="shared" ca="1" si="12"/>
        <v xml:space="preserve">ツムラ大建中湯エキス顆粒(医療用) </v>
      </c>
      <c r="K117" t="str" cm="1">
        <f t="array" aca="1" ref="K117" ca="1">_xlfn.LET(
  _xlpm.s, SUBSTITUTE(SUBSTITUTE(I117," ",""),"　",""),
  _xlpm.dic, SUBSTITUTE(SUBSTITUTE(メーカー!$A$1:$A$100," ",""),"　",""),
  _xlpm.pos, MATCH(TRUE, RIGHT(_xlpm.s, LEN(_xlpm.dic)) = _xlpm.dic, 0),
  INDEX(メーカー!$A$1:$A$100, _xlpm.pos)
)</f>
        <v>ツムラ</v>
      </c>
      <c r="L117" cm="1">
        <f t="array" aca="1" ref="L117" ca="1">INDEX(_xlfn.FILTERXML("&lt;t&gt;&lt;s&gt;" &amp; SUBSTITUTE(MID(C117,23,999)," ","&lt;/s&gt;&lt;s&gt;") &amp; "&lt;/s&gt;&lt;/t&gt;","//s[number(.)=number(.)]"),1)</f>
        <v>10</v>
      </c>
      <c r="M117" cm="1">
        <f t="array" aca="1" ref="M117" ca="1">INDEX(
  _xlfn.FILTERXML("&lt;t&gt;&lt;s&gt;" &amp; SUBSTITUTE(MID(C117, 22 + LEN(I117) + 1, 999), " ", "&lt;/s&gt;&lt;s&gt;") &amp; "&lt;/s&gt;&lt;/t&gt;",
            "//s[number(.)=number(.)]"),
  2
)</f>
        <v>60</v>
      </c>
      <c r="N117" t="str" cm="1">
        <f t="array" aca="1" ref="N117" ca="1">_xlfn.REGEXEXTRACT(C117, "\d{2}:\d{2}:\d{2}")</f>
        <v>08:54:48</v>
      </c>
      <c r="O117" t="str">
        <f t="shared" ca="1" si="13"/>
        <v>分包 2.5g×189包</v>
      </c>
      <c r="P117" t="str">
        <f t="shared" ca="1" si="14"/>
        <v>10</v>
      </c>
    </row>
    <row r="118" spans="2:16" x14ac:dyDescent="0.45">
      <c r="B118" s="3">
        <f>B117+10</f>
        <v>512</v>
      </c>
      <c r="C118" t="str">
        <f ca="1">_xlfn.CONCAT(OFFSET(元!$B$10,'1行'!B118,0)," ",OFFSET(元!$B$12,'1行'!B118,0))</f>
        <v>2026/03/26 2026/03/26 スルバシリン静注用1.5g Ｍｅｉｊｉ　Ｓｅｉｋａ　ファル 2 1 15:43:55 (1.5g)1瓶×10瓶4987222664738 2 0</v>
      </c>
      <c r="D118" cm="1">
        <f t="array" aca="1" ref="D118" ca="1">INDEX(_xlfn.FILTERXML("&lt;t&gt;&lt;s&gt;" &amp; SUBSTITUTE(C118," ","&lt;/s&gt;&lt;s&gt;") &amp; "&lt;/s&gt;&lt;/t&gt;","//s[number(.)=number(.)]"),
       COUNT(_xlfn.FILTERXML("&lt;t&gt;&lt;s&gt;" &amp; SUBSTITUTE(C118," ","&lt;/s&gt;&lt;s&gt;") &amp; "&lt;/s&gt;&lt;/t&gt;","//s[number(.)=number(.)]"))-1)</f>
        <v>2</v>
      </c>
      <c r="E118" cm="1">
        <f t="array" aca="1" ref="E118" ca="1">INDEX(_xlfn.FILTERXML("&lt;t&gt;&lt;s&gt;" &amp; SUBSTITUTE(C118," ","&lt;/s&gt;&lt;s&gt;") &amp; "&lt;/s&gt;&lt;/t&gt;","//s[number(.)=number(.)]"),
       COUNT(_xlfn.FILTERXML("&lt;t&gt;&lt;s&gt;" &amp; SUBSTITUTE(C118," ","&lt;/s&gt;&lt;s&gt;") &amp; "&lt;/s&gt;&lt;/t&gt;","//s[number(.)=number(.)]")))</f>
        <v>0</v>
      </c>
      <c r="F118" s="4" t="str">
        <f t="shared" ca="1" si="8"/>
        <v>4987222664738</v>
      </c>
      <c r="G118" s="4" t="str">
        <f t="shared" ca="1" si="9"/>
        <v>2026/03/26</v>
      </c>
      <c r="H118" t="str">
        <f t="shared" ca="1" si="10"/>
        <v>2026/03/26</v>
      </c>
      <c r="I118" t="str">
        <f t="shared" ca="1" si="11"/>
        <v>スルバシリン静注用1.5g Ｍｅｉｊｉ　Ｓｅｉｋａ　ファル</v>
      </c>
      <c r="J118" t="str">
        <f t="shared" ca="1" si="12"/>
        <v xml:space="preserve">スルバシリン静注用1.5g </v>
      </c>
      <c r="K118" t="str" cm="1">
        <f t="array" aca="1" ref="K118" ca="1">_xlfn.LET(
  _xlpm.s, SUBSTITUTE(SUBSTITUTE(I118," ",""),"　",""),
  _xlpm.dic, SUBSTITUTE(SUBSTITUTE(メーカー!$A$1:$A$100," ",""),"　",""),
  _xlpm.pos, MATCH(TRUE, RIGHT(_xlpm.s, LEN(_xlpm.dic)) = _xlpm.dic, 0),
  INDEX(メーカー!$A$1:$A$100, _xlpm.pos)
)</f>
        <v>Ｍｅｉｊｉ Ｓｅｉｋａ ファル</v>
      </c>
      <c r="L118" cm="1">
        <f t="array" aca="1" ref="L118" ca="1">INDEX(_xlfn.FILTERXML("&lt;t&gt;&lt;s&gt;" &amp; SUBSTITUTE(MID(C118,23,999)," ","&lt;/s&gt;&lt;s&gt;") &amp; "&lt;/s&gt;&lt;/t&gt;","//s[number(.)=number(.)]"),1)</f>
        <v>2</v>
      </c>
      <c r="M118" cm="1">
        <f t="array" aca="1" ref="M118" ca="1">INDEX(
  _xlfn.FILTERXML("&lt;t&gt;&lt;s&gt;" &amp; SUBSTITUTE(MID(C118, 22 + LEN(I118) + 1, 999), " ", "&lt;/s&gt;&lt;s&gt;") &amp; "&lt;/s&gt;&lt;/t&gt;",
            "//s[number(.)=number(.)]"),
  2
)</f>
        <v>1</v>
      </c>
      <c r="N118" t="str" cm="1">
        <f t="array" aca="1" ref="N118" ca="1">_xlfn.REGEXEXTRACT(C118, "\d{2}:\d{2}:\d{2}")</f>
        <v>15:43:55</v>
      </c>
      <c r="O118" t="str">
        <f t="shared" ca="1" si="13"/>
        <v>(1.5g)1瓶×10瓶</v>
      </c>
      <c r="P118" t="str">
        <f t="shared" ca="1" si="14"/>
        <v>2</v>
      </c>
    </row>
    <row r="119" spans="2:16" x14ac:dyDescent="0.45">
      <c r="B119" s="3">
        <f>B118+20</f>
        <v>532</v>
      </c>
      <c r="C119" t="str">
        <f ca="1">_xlfn.CONCAT(OFFSET(元!$B$10,'1行'!B119,0)," ",OFFSET(元!$B$12,'1行'!B119,0))</f>
        <v>2026/03/25 2026/04/01 アスパラ-CA錠200 ニプロ 3 2 08:54:48 200mg/錠 PTP 10錠×10 4987190000064 3 0</v>
      </c>
      <c r="D119" cm="1">
        <f t="array" aca="1" ref="D119" ca="1">INDEX(_xlfn.FILTERXML("&lt;t&gt;&lt;s&gt;" &amp; SUBSTITUTE(C119," ","&lt;/s&gt;&lt;s&gt;") &amp; "&lt;/s&gt;&lt;/t&gt;","//s[number(.)=number(.)]"),
       COUNT(_xlfn.FILTERXML("&lt;t&gt;&lt;s&gt;" &amp; SUBSTITUTE(C119," ","&lt;/s&gt;&lt;s&gt;") &amp; "&lt;/s&gt;&lt;/t&gt;","//s[number(.)=number(.)]"))-1)</f>
        <v>3</v>
      </c>
      <c r="E119" cm="1">
        <f t="array" aca="1" ref="E119" ca="1">INDEX(_xlfn.FILTERXML("&lt;t&gt;&lt;s&gt;" &amp; SUBSTITUTE(C119," ","&lt;/s&gt;&lt;s&gt;") &amp; "&lt;/s&gt;&lt;/t&gt;","//s[number(.)=number(.)]"),
       COUNT(_xlfn.FILTERXML("&lt;t&gt;&lt;s&gt;" &amp; SUBSTITUTE(C119," ","&lt;/s&gt;&lt;s&gt;") &amp; "&lt;/s&gt;&lt;/t&gt;","//s[number(.)=number(.)]")))</f>
        <v>0</v>
      </c>
      <c r="F119" s="4" t="str">
        <f t="shared" ca="1" si="8"/>
        <v>4987190000064</v>
      </c>
      <c r="G119" s="4" t="str">
        <f t="shared" ca="1" si="9"/>
        <v>2026/03/25</v>
      </c>
      <c r="H119" t="str">
        <f t="shared" ca="1" si="10"/>
        <v>2026/04/01</v>
      </c>
      <c r="I119" t="str">
        <f t="shared" ca="1" si="11"/>
        <v>アスパラ-CA錠200 ニプロ</v>
      </c>
      <c r="J119" t="str">
        <f t="shared" ca="1" si="12"/>
        <v xml:space="preserve">アスパラ-CA錠200 </v>
      </c>
      <c r="K119" t="str" cm="1">
        <f t="array" aca="1" ref="K119" ca="1">_xlfn.LET(
  _xlpm.s, SUBSTITUTE(SUBSTITUTE(I119," ",""),"　",""),
  _xlpm.dic, SUBSTITUTE(SUBSTITUTE(メーカー!$A$1:$A$100," ",""),"　",""),
  _xlpm.pos, MATCH(TRUE, RIGHT(_xlpm.s, LEN(_xlpm.dic)) = _xlpm.dic, 0),
  INDEX(メーカー!$A$1:$A$100, _xlpm.pos)
)</f>
        <v>ニプロ</v>
      </c>
      <c r="L119" cm="1">
        <f t="array" aca="1" ref="L119" ca="1">INDEX(_xlfn.FILTERXML("&lt;t&gt;&lt;s&gt;" &amp; SUBSTITUTE(MID(C119,23,999)," ","&lt;/s&gt;&lt;s&gt;") &amp; "&lt;/s&gt;&lt;/t&gt;","//s[number(.)=number(.)]"),1)</f>
        <v>3</v>
      </c>
      <c r="M119" cm="1">
        <f t="array" aca="1" ref="M119" ca="1">INDEX(
  _xlfn.FILTERXML("&lt;t&gt;&lt;s&gt;" &amp; SUBSTITUTE(MID(C119, 22 + LEN(I119) + 1, 999), " ", "&lt;/s&gt;&lt;s&gt;") &amp; "&lt;/s&gt;&lt;/t&gt;",
            "//s[number(.)=number(.)]"),
  2
)</f>
        <v>2</v>
      </c>
      <c r="N119" t="str" cm="1">
        <f t="array" aca="1" ref="N119" ca="1">_xlfn.REGEXEXTRACT(C119, "\d{2}:\d{2}:\d{2}")</f>
        <v>08:54:48</v>
      </c>
      <c r="O119" t="str">
        <f t="shared" ca="1" si="13"/>
        <v>200mg/錠 PTP 10錠×10</v>
      </c>
      <c r="P119" t="str">
        <f t="shared" ca="1" si="14"/>
        <v>3</v>
      </c>
    </row>
    <row r="120" spans="2:16" x14ac:dyDescent="0.45">
      <c r="B120">
        <f t="shared" si="15"/>
        <v>536</v>
      </c>
      <c r="C120" t="str">
        <f ca="1">_xlfn.CONCAT(OFFSET(元!$B$10,'1行'!B120,0)," ",OFFSET(元!$B$12,'1行'!B120,0))</f>
        <v>2026/03/25 2026/04/01 アスパラカリウム散50% ニプロ 1 3 08:54:48 50%1g バラ 500g×1袋 (缶) 4987190000057 1 0</v>
      </c>
      <c r="D120" cm="1">
        <f t="array" aca="1" ref="D120" ca="1">INDEX(_xlfn.FILTERXML("&lt;t&gt;&lt;s&gt;" &amp; SUBSTITUTE(C120," ","&lt;/s&gt;&lt;s&gt;") &amp; "&lt;/s&gt;&lt;/t&gt;","//s[number(.)=number(.)]"),
       COUNT(_xlfn.FILTERXML("&lt;t&gt;&lt;s&gt;" &amp; SUBSTITUTE(C120," ","&lt;/s&gt;&lt;s&gt;") &amp; "&lt;/s&gt;&lt;/t&gt;","//s[number(.)=number(.)]"))-1)</f>
        <v>1</v>
      </c>
      <c r="E120" cm="1">
        <f t="array" aca="1" ref="E120" ca="1">INDEX(_xlfn.FILTERXML("&lt;t&gt;&lt;s&gt;" &amp; SUBSTITUTE(C120," ","&lt;/s&gt;&lt;s&gt;") &amp; "&lt;/s&gt;&lt;/t&gt;","//s[number(.)=number(.)]"),
       COUNT(_xlfn.FILTERXML("&lt;t&gt;&lt;s&gt;" &amp; SUBSTITUTE(C120," ","&lt;/s&gt;&lt;s&gt;") &amp; "&lt;/s&gt;&lt;/t&gt;","//s[number(.)=number(.)]")))</f>
        <v>0</v>
      </c>
      <c r="F120" s="4" t="str">
        <f t="shared" ca="1" si="8"/>
        <v>4987190000057</v>
      </c>
      <c r="G120" s="4" t="str">
        <f t="shared" ca="1" si="9"/>
        <v>2026/03/25</v>
      </c>
      <c r="H120" t="str">
        <f t="shared" ca="1" si="10"/>
        <v>2026/04/01</v>
      </c>
      <c r="I120" t="str">
        <f t="shared" ca="1" si="11"/>
        <v>アスパラカリウム散50% ニプロ</v>
      </c>
      <c r="J120" t="str">
        <f t="shared" ca="1" si="12"/>
        <v xml:space="preserve">アスパラカリウム散50% </v>
      </c>
      <c r="K120" t="str" cm="1">
        <f t="array" aca="1" ref="K120" ca="1">_xlfn.LET(
  _xlpm.s, SUBSTITUTE(SUBSTITUTE(I120," ",""),"　",""),
  _xlpm.dic, SUBSTITUTE(SUBSTITUTE(メーカー!$A$1:$A$100," ",""),"　",""),
  _xlpm.pos, MATCH(TRUE, RIGHT(_xlpm.s, LEN(_xlpm.dic)) = _xlpm.dic, 0),
  INDEX(メーカー!$A$1:$A$100, _xlpm.pos)
)</f>
        <v>ニプロ</v>
      </c>
      <c r="L120" cm="1">
        <f t="array" aca="1" ref="L120" ca="1">INDEX(_xlfn.FILTERXML("&lt;t&gt;&lt;s&gt;" &amp; SUBSTITUTE(MID(C120,23,999)," ","&lt;/s&gt;&lt;s&gt;") &amp; "&lt;/s&gt;&lt;/t&gt;","//s[number(.)=number(.)]"),1)</f>
        <v>1</v>
      </c>
      <c r="M120" cm="1">
        <f t="array" aca="1" ref="M120" ca="1">INDEX(
  _xlfn.FILTERXML("&lt;t&gt;&lt;s&gt;" &amp; SUBSTITUTE(MID(C120, 22 + LEN(I120) + 1, 999), " ", "&lt;/s&gt;&lt;s&gt;") &amp; "&lt;/s&gt;&lt;/t&gt;",
            "//s[number(.)=number(.)]"),
  2
)</f>
        <v>3</v>
      </c>
      <c r="N120" t="str" cm="1">
        <f t="array" aca="1" ref="N120" ca="1">_xlfn.REGEXEXTRACT(C120, "\d{2}:\d{2}:\d{2}")</f>
        <v>08:54:48</v>
      </c>
      <c r="O120" t="str">
        <f t="shared" ca="1" si="13"/>
        <v>50%1g バラ 500g×1袋 (缶)</v>
      </c>
      <c r="P120" t="str">
        <f t="shared" ca="1" si="14"/>
        <v>1</v>
      </c>
    </row>
    <row r="121" spans="2:16" x14ac:dyDescent="0.45">
      <c r="B121">
        <f t="shared" si="15"/>
        <v>540</v>
      </c>
      <c r="C121" t="str">
        <f ca="1">_xlfn.CONCAT(OFFSET(元!$B$10,'1行'!B121,0)," ",OFFSET(元!$B$12,'1行'!B121,0))</f>
        <v>2026/03/25 2026/04/01 メイロン静注7% 大塚製薬 1 4 08:54:48 7%20mL1管×10管 (プラスチック) 4987035187219 1 0</v>
      </c>
      <c r="D121" cm="1">
        <f t="array" aca="1" ref="D121" ca="1">INDEX(_xlfn.FILTERXML("&lt;t&gt;&lt;s&gt;" &amp; SUBSTITUTE(C121," ","&lt;/s&gt;&lt;s&gt;") &amp; "&lt;/s&gt;&lt;/t&gt;","//s[number(.)=number(.)]"),
       COUNT(_xlfn.FILTERXML("&lt;t&gt;&lt;s&gt;" &amp; SUBSTITUTE(C121," ","&lt;/s&gt;&lt;s&gt;") &amp; "&lt;/s&gt;&lt;/t&gt;","//s[number(.)=number(.)]"))-1)</f>
        <v>1</v>
      </c>
      <c r="E121" cm="1">
        <f t="array" aca="1" ref="E121" ca="1">INDEX(_xlfn.FILTERXML("&lt;t&gt;&lt;s&gt;" &amp; SUBSTITUTE(C121," ","&lt;/s&gt;&lt;s&gt;") &amp; "&lt;/s&gt;&lt;/t&gt;","//s[number(.)=number(.)]"),
       COUNT(_xlfn.FILTERXML("&lt;t&gt;&lt;s&gt;" &amp; SUBSTITUTE(C121," ","&lt;/s&gt;&lt;s&gt;") &amp; "&lt;/s&gt;&lt;/t&gt;","//s[number(.)=number(.)]")))</f>
        <v>0</v>
      </c>
      <c r="F121" s="4" t="str">
        <f t="shared" ca="1" si="8"/>
        <v>4987035187219</v>
      </c>
      <c r="G121" s="4" t="str">
        <f t="shared" ca="1" si="9"/>
        <v>2026/03/25</v>
      </c>
      <c r="H121" t="str">
        <f t="shared" ca="1" si="10"/>
        <v>2026/04/01</v>
      </c>
      <c r="I121" t="str">
        <f t="shared" ca="1" si="11"/>
        <v>メイロン静注7% 大塚製薬</v>
      </c>
      <c r="J121" t="str">
        <f t="shared" ca="1" si="12"/>
        <v xml:space="preserve">メイロン静注7% </v>
      </c>
      <c r="K121" t="str" cm="1">
        <f t="array" aca="1" ref="K121" ca="1">_xlfn.LET(
  _xlpm.s, SUBSTITUTE(SUBSTITUTE(I121," ",""),"　",""),
  _xlpm.dic, SUBSTITUTE(SUBSTITUTE(メーカー!$A$1:$A$100," ",""),"　",""),
  _xlpm.pos, MATCH(TRUE, RIGHT(_xlpm.s, LEN(_xlpm.dic)) = _xlpm.dic, 0),
  INDEX(メーカー!$A$1:$A$100, _xlpm.pos)
)</f>
        <v>大塚製薬</v>
      </c>
      <c r="L121" cm="1">
        <f t="array" aca="1" ref="L121" ca="1">INDEX(_xlfn.FILTERXML("&lt;t&gt;&lt;s&gt;" &amp; SUBSTITUTE(MID(C121,23,999)," ","&lt;/s&gt;&lt;s&gt;") &amp; "&lt;/s&gt;&lt;/t&gt;","//s[number(.)=number(.)]"),1)</f>
        <v>1</v>
      </c>
      <c r="M121" cm="1">
        <f t="array" aca="1" ref="M121" ca="1">INDEX(
  _xlfn.FILTERXML("&lt;t&gt;&lt;s&gt;" &amp; SUBSTITUTE(MID(C121, 22 + LEN(I121) + 1, 999), " ", "&lt;/s&gt;&lt;s&gt;") &amp; "&lt;/s&gt;&lt;/t&gt;",
            "//s[number(.)=number(.)]"),
  2
)</f>
        <v>4</v>
      </c>
      <c r="N121" t="str" cm="1">
        <f t="array" aca="1" ref="N121" ca="1">_xlfn.REGEXEXTRACT(C121, "\d{2}:\d{2}:\d{2}")</f>
        <v>08:54:48</v>
      </c>
      <c r="O121" t="str">
        <f t="shared" ca="1" si="13"/>
        <v>7%20mL1管×10管 (プラスチック)</v>
      </c>
      <c r="P121" t="str">
        <f t="shared" ca="1" si="14"/>
        <v>1</v>
      </c>
    </row>
    <row r="122" spans="2:16" x14ac:dyDescent="0.45">
      <c r="B122">
        <f t="shared" si="15"/>
        <v>544</v>
      </c>
      <c r="C122" t="str">
        <f ca="1">_xlfn.CONCAT(OFFSET(元!$B$10,'1行'!B122,0)," ",OFFSET(元!$B$12,'1行'!B122,0))</f>
        <v>2026/03/25 2026/04/01 アタラックス錠25mg ファイザー 3 5 08:54:48 25mg/錠 PTP 10錠×10 4987114362001 3 0</v>
      </c>
      <c r="D122" cm="1">
        <f t="array" aca="1" ref="D122" ca="1">INDEX(_xlfn.FILTERXML("&lt;t&gt;&lt;s&gt;" &amp; SUBSTITUTE(C122," ","&lt;/s&gt;&lt;s&gt;") &amp; "&lt;/s&gt;&lt;/t&gt;","//s[number(.)=number(.)]"),
       COUNT(_xlfn.FILTERXML("&lt;t&gt;&lt;s&gt;" &amp; SUBSTITUTE(C122," ","&lt;/s&gt;&lt;s&gt;") &amp; "&lt;/s&gt;&lt;/t&gt;","//s[number(.)=number(.)]"))-1)</f>
        <v>3</v>
      </c>
      <c r="E122" cm="1">
        <f t="array" aca="1" ref="E122" ca="1">INDEX(_xlfn.FILTERXML("&lt;t&gt;&lt;s&gt;" &amp; SUBSTITUTE(C122," ","&lt;/s&gt;&lt;s&gt;") &amp; "&lt;/s&gt;&lt;/t&gt;","//s[number(.)=number(.)]"),
       COUNT(_xlfn.FILTERXML("&lt;t&gt;&lt;s&gt;" &amp; SUBSTITUTE(C122," ","&lt;/s&gt;&lt;s&gt;") &amp; "&lt;/s&gt;&lt;/t&gt;","//s[number(.)=number(.)]")))</f>
        <v>0</v>
      </c>
      <c r="F122" s="4" t="str">
        <f t="shared" ca="1" si="8"/>
        <v>4987114362001</v>
      </c>
      <c r="G122" s="4" t="str">
        <f t="shared" ca="1" si="9"/>
        <v>2026/03/25</v>
      </c>
      <c r="H122" t="str">
        <f t="shared" ca="1" si="10"/>
        <v>2026/04/01</v>
      </c>
      <c r="I122" t="str">
        <f t="shared" ca="1" si="11"/>
        <v>アタラックス錠25mg ファイザー</v>
      </c>
      <c r="J122" t="str">
        <f t="shared" ca="1" si="12"/>
        <v xml:space="preserve">アタラックス錠25mg </v>
      </c>
      <c r="K122" t="str" cm="1">
        <f t="array" aca="1" ref="K122" ca="1">_xlfn.LET(
  _xlpm.s, SUBSTITUTE(SUBSTITUTE(I122," ",""),"　",""),
  _xlpm.dic, SUBSTITUTE(SUBSTITUTE(メーカー!$A$1:$A$100," ",""),"　",""),
  _xlpm.pos, MATCH(TRUE, RIGHT(_xlpm.s, LEN(_xlpm.dic)) = _xlpm.dic, 0),
  INDEX(メーカー!$A$1:$A$100, _xlpm.pos)
)</f>
        <v>ファイザー</v>
      </c>
      <c r="L122" cm="1">
        <f t="array" aca="1" ref="L122" ca="1">INDEX(_xlfn.FILTERXML("&lt;t&gt;&lt;s&gt;" &amp; SUBSTITUTE(MID(C122,23,999)," ","&lt;/s&gt;&lt;s&gt;") &amp; "&lt;/s&gt;&lt;/t&gt;","//s[number(.)=number(.)]"),1)</f>
        <v>3</v>
      </c>
      <c r="M122" cm="1">
        <f t="array" aca="1" ref="M122" ca="1">INDEX(
  _xlfn.FILTERXML("&lt;t&gt;&lt;s&gt;" &amp; SUBSTITUTE(MID(C122, 22 + LEN(I122) + 1, 999), " ", "&lt;/s&gt;&lt;s&gt;") &amp; "&lt;/s&gt;&lt;/t&gt;",
            "//s[number(.)=number(.)]"),
  2
)</f>
        <v>5</v>
      </c>
      <c r="N122" t="str" cm="1">
        <f t="array" aca="1" ref="N122" ca="1">_xlfn.REGEXEXTRACT(C122, "\d{2}:\d{2}:\d{2}")</f>
        <v>08:54:48</v>
      </c>
      <c r="O122" t="str">
        <f t="shared" ca="1" si="13"/>
        <v>25mg/錠 PTP 10錠×10</v>
      </c>
      <c r="P122" t="str">
        <f t="shared" ca="1" si="14"/>
        <v>3</v>
      </c>
    </row>
    <row r="123" spans="2:16" x14ac:dyDescent="0.45">
      <c r="B123">
        <f t="shared" si="15"/>
        <v>548</v>
      </c>
      <c r="C123" t="str">
        <f ca="1">_xlfn.CONCAT(OFFSET(元!$B$10,'1行'!B123,0)," ",OFFSET(元!$B$12,'1行'!B123,0))</f>
        <v>2026/03/25 2026/04/01 アスパラ-CA錠200 ニプロ 2 6 08:54:48 200mg/錠 バラ 500錠×1袋 (缶) 4987190000088 2 0</v>
      </c>
      <c r="D123" cm="1">
        <f t="array" aca="1" ref="D123" ca="1">INDEX(_xlfn.FILTERXML("&lt;t&gt;&lt;s&gt;" &amp; SUBSTITUTE(C123," ","&lt;/s&gt;&lt;s&gt;") &amp; "&lt;/s&gt;&lt;/t&gt;","//s[number(.)=number(.)]"),
       COUNT(_xlfn.FILTERXML("&lt;t&gt;&lt;s&gt;" &amp; SUBSTITUTE(C123," ","&lt;/s&gt;&lt;s&gt;") &amp; "&lt;/s&gt;&lt;/t&gt;","//s[number(.)=number(.)]"))-1)</f>
        <v>2</v>
      </c>
      <c r="E123" cm="1">
        <f t="array" aca="1" ref="E123" ca="1">INDEX(_xlfn.FILTERXML("&lt;t&gt;&lt;s&gt;" &amp; SUBSTITUTE(C123," ","&lt;/s&gt;&lt;s&gt;") &amp; "&lt;/s&gt;&lt;/t&gt;","//s[number(.)=number(.)]"),
       COUNT(_xlfn.FILTERXML("&lt;t&gt;&lt;s&gt;" &amp; SUBSTITUTE(C123," ","&lt;/s&gt;&lt;s&gt;") &amp; "&lt;/s&gt;&lt;/t&gt;","//s[number(.)=number(.)]")))</f>
        <v>0</v>
      </c>
      <c r="F123" s="4" t="str">
        <f t="shared" ca="1" si="8"/>
        <v>4987190000088</v>
      </c>
      <c r="G123" s="4" t="str">
        <f t="shared" ca="1" si="9"/>
        <v>2026/03/25</v>
      </c>
      <c r="H123" t="str">
        <f t="shared" ca="1" si="10"/>
        <v>2026/04/01</v>
      </c>
      <c r="I123" t="str">
        <f t="shared" ca="1" si="11"/>
        <v>アスパラ-CA錠200 ニプロ</v>
      </c>
      <c r="J123" t="str">
        <f t="shared" ca="1" si="12"/>
        <v xml:space="preserve">アスパラ-CA錠200 </v>
      </c>
      <c r="K123" t="str" cm="1">
        <f t="array" aca="1" ref="K123" ca="1">_xlfn.LET(
  _xlpm.s, SUBSTITUTE(SUBSTITUTE(I123," ",""),"　",""),
  _xlpm.dic, SUBSTITUTE(SUBSTITUTE(メーカー!$A$1:$A$100," ",""),"　",""),
  _xlpm.pos, MATCH(TRUE, RIGHT(_xlpm.s, LEN(_xlpm.dic)) = _xlpm.dic, 0),
  INDEX(メーカー!$A$1:$A$100, _xlpm.pos)
)</f>
        <v>ニプロ</v>
      </c>
      <c r="L123" cm="1">
        <f t="array" aca="1" ref="L123" ca="1">INDEX(_xlfn.FILTERXML("&lt;t&gt;&lt;s&gt;" &amp; SUBSTITUTE(MID(C123,23,999)," ","&lt;/s&gt;&lt;s&gt;") &amp; "&lt;/s&gt;&lt;/t&gt;","//s[number(.)=number(.)]"),1)</f>
        <v>2</v>
      </c>
      <c r="M123" cm="1">
        <f t="array" aca="1" ref="M123" ca="1">INDEX(
  _xlfn.FILTERXML("&lt;t&gt;&lt;s&gt;" &amp; SUBSTITUTE(MID(C123, 22 + LEN(I123) + 1, 999), " ", "&lt;/s&gt;&lt;s&gt;") &amp; "&lt;/s&gt;&lt;/t&gt;",
            "//s[number(.)=number(.)]"),
  2
)</f>
        <v>6</v>
      </c>
      <c r="N123" t="str" cm="1">
        <f t="array" aca="1" ref="N123" ca="1">_xlfn.REGEXEXTRACT(C123, "\d{2}:\d{2}:\d{2}")</f>
        <v>08:54:48</v>
      </c>
      <c r="O123" t="str">
        <f t="shared" ca="1" si="13"/>
        <v>200mg/錠 バラ 500錠×1袋 (缶)</v>
      </c>
      <c r="P123" t="str">
        <f t="shared" ca="1" si="14"/>
        <v>2</v>
      </c>
    </row>
    <row r="124" spans="2:16" x14ac:dyDescent="0.45">
      <c r="B124">
        <f t="shared" si="15"/>
        <v>552</v>
      </c>
      <c r="C124" t="str">
        <f ca="1">_xlfn.CONCAT(OFFSET(元!$B$10,'1行'!B124,0)," ",OFFSET(元!$B$12,'1行'!B124,0))</f>
        <v>2026/03/25 2026/04/01 アザルフィジンEN錠500mg あゆみ製薬 1 7 08:54:48 500mg/錠 PTP 10錠×10 4987896000146 1 0</v>
      </c>
      <c r="D124" cm="1">
        <f t="array" aca="1" ref="D124" ca="1">INDEX(_xlfn.FILTERXML("&lt;t&gt;&lt;s&gt;" &amp; SUBSTITUTE(C124," ","&lt;/s&gt;&lt;s&gt;") &amp; "&lt;/s&gt;&lt;/t&gt;","//s[number(.)=number(.)]"),
       COUNT(_xlfn.FILTERXML("&lt;t&gt;&lt;s&gt;" &amp; SUBSTITUTE(C124," ","&lt;/s&gt;&lt;s&gt;") &amp; "&lt;/s&gt;&lt;/t&gt;","//s[number(.)=number(.)]"))-1)</f>
        <v>1</v>
      </c>
      <c r="E124" cm="1">
        <f t="array" aca="1" ref="E124" ca="1">INDEX(_xlfn.FILTERXML("&lt;t&gt;&lt;s&gt;" &amp; SUBSTITUTE(C124," ","&lt;/s&gt;&lt;s&gt;") &amp; "&lt;/s&gt;&lt;/t&gt;","//s[number(.)=number(.)]"),
       COUNT(_xlfn.FILTERXML("&lt;t&gt;&lt;s&gt;" &amp; SUBSTITUTE(C124," ","&lt;/s&gt;&lt;s&gt;") &amp; "&lt;/s&gt;&lt;/t&gt;","//s[number(.)=number(.)]")))</f>
        <v>0</v>
      </c>
      <c r="F124" s="4" t="str">
        <f t="shared" ca="1" si="8"/>
        <v>4987896000146</v>
      </c>
      <c r="G124" s="4" t="str">
        <f t="shared" ca="1" si="9"/>
        <v>2026/03/25</v>
      </c>
      <c r="H124" t="str">
        <f t="shared" ca="1" si="10"/>
        <v>2026/04/01</v>
      </c>
      <c r="I124" t="str">
        <f t="shared" ca="1" si="11"/>
        <v>アザルフィジンEN錠500mg あゆみ製薬</v>
      </c>
      <c r="J124" t="str">
        <f t="shared" ca="1" si="12"/>
        <v xml:space="preserve">アザルフィジンEN錠500mg </v>
      </c>
      <c r="K124" t="str" cm="1">
        <f t="array" aca="1" ref="K124" ca="1">_xlfn.LET(
  _xlpm.s, SUBSTITUTE(SUBSTITUTE(I124," ",""),"　",""),
  _xlpm.dic, SUBSTITUTE(SUBSTITUTE(メーカー!$A$1:$A$100," ",""),"　",""),
  _xlpm.pos, MATCH(TRUE, RIGHT(_xlpm.s, LEN(_xlpm.dic)) = _xlpm.dic, 0),
  INDEX(メーカー!$A$1:$A$100, _xlpm.pos)
)</f>
        <v>あゆみ製薬</v>
      </c>
      <c r="L124" cm="1">
        <f t="array" aca="1" ref="L124" ca="1">INDEX(_xlfn.FILTERXML("&lt;t&gt;&lt;s&gt;" &amp; SUBSTITUTE(MID(C124,23,999)," ","&lt;/s&gt;&lt;s&gt;") &amp; "&lt;/s&gt;&lt;/t&gt;","//s[number(.)=number(.)]"),1)</f>
        <v>1</v>
      </c>
      <c r="M124" cm="1">
        <f t="array" aca="1" ref="M124" ca="1">INDEX(
  _xlfn.FILTERXML("&lt;t&gt;&lt;s&gt;" &amp; SUBSTITUTE(MID(C124, 22 + LEN(I124) + 1, 999), " ", "&lt;/s&gt;&lt;s&gt;") &amp; "&lt;/s&gt;&lt;/t&gt;",
            "//s[number(.)=number(.)]"),
  2
)</f>
        <v>7</v>
      </c>
      <c r="N124" t="str" cm="1">
        <f t="array" aca="1" ref="N124" ca="1">_xlfn.REGEXEXTRACT(C124, "\d{2}:\d{2}:\d{2}")</f>
        <v>08:54:48</v>
      </c>
      <c r="O124" t="str">
        <f t="shared" ca="1" si="13"/>
        <v>500mg/錠 PTP 10錠×10</v>
      </c>
      <c r="P124" t="str">
        <f t="shared" ca="1" si="14"/>
        <v>1</v>
      </c>
    </row>
    <row r="125" spans="2:16" x14ac:dyDescent="0.45">
      <c r="B125" s="3">
        <f>B124+10</f>
        <v>562</v>
      </c>
      <c r="C125" t="str">
        <f ca="1">_xlfn.CONCAT(OFFSET(元!$B$10,'1行'!B125,0)," ",OFFSET(元!$B$12,'1行'!B125,0))</f>
        <v>2026/03/17 2026/03/17 タンボコール錠50mg エーザイ 1 1 16:06:01 50mg/錠 PTP 10錠×10 4987028213406 1 0</v>
      </c>
      <c r="D125" cm="1">
        <f t="array" aca="1" ref="D125" ca="1">INDEX(_xlfn.FILTERXML("&lt;t&gt;&lt;s&gt;" &amp; SUBSTITUTE(C125," ","&lt;/s&gt;&lt;s&gt;") &amp; "&lt;/s&gt;&lt;/t&gt;","//s[number(.)=number(.)]"),
       COUNT(_xlfn.FILTERXML("&lt;t&gt;&lt;s&gt;" &amp; SUBSTITUTE(C125," ","&lt;/s&gt;&lt;s&gt;") &amp; "&lt;/s&gt;&lt;/t&gt;","//s[number(.)=number(.)]"))-1)</f>
        <v>1</v>
      </c>
      <c r="E125" cm="1">
        <f t="array" aca="1" ref="E125" ca="1">INDEX(_xlfn.FILTERXML("&lt;t&gt;&lt;s&gt;" &amp; SUBSTITUTE(C125," ","&lt;/s&gt;&lt;s&gt;") &amp; "&lt;/s&gt;&lt;/t&gt;","//s[number(.)=number(.)]"),
       COUNT(_xlfn.FILTERXML("&lt;t&gt;&lt;s&gt;" &amp; SUBSTITUTE(C125," ","&lt;/s&gt;&lt;s&gt;") &amp; "&lt;/s&gt;&lt;/t&gt;","//s[number(.)=number(.)]")))</f>
        <v>0</v>
      </c>
      <c r="F125" s="4" t="str">
        <f t="shared" ca="1" si="8"/>
        <v>4987028213406</v>
      </c>
      <c r="G125" s="4" t="str">
        <f t="shared" ca="1" si="9"/>
        <v>2026/03/17</v>
      </c>
      <c r="H125" t="str">
        <f t="shared" ca="1" si="10"/>
        <v>2026/03/17</v>
      </c>
      <c r="I125" t="str">
        <f t="shared" ca="1" si="11"/>
        <v>タンボコール錠50mg エーザイ</v>
      </c>
      <c r="J125" t="str">
        <f t="shared" ca="1" si="12"/>
        <v xml:space="preserve">タンボコール錠50mg </v>
      </c>
      <c r="K125" t="str" cm="1">
        <f t="array" aca="1" ref="K125" ca="1">_xlfn.LET(
  _xlpm.s, SUBSTITUTE(SUBSTITUTE(I125," ",""),"　",""),
  _xlpm.dic, SUBSTITUTE(SUBSTITUTE(メーカー!$A$1:$A$100," ",""),"　",""),
  _xlpm.pos, MATCH(TRUE, RIGHT(_xlpm.s, LEN(_xlpm.dic)) = _xlpm.dic, 0),
  INDEX(メーカー!$A$1:$A$100, _xlpm.pos)
)</f>
        <v>エーザイ</v>
      </c>
      <c r="L125" cm="1">
        <f t="array" aca="1" ref="L125" ca="1">INDEX(_xlfn.FILTERXML("&lt;t&gt;&lt;s&gt;" &amp; SUBSTITUTE(MID(C125,23,999)," ","&lt;/s&gt;&lt;s&gt;") &amp; "&lt;/s&gt;&lt;/t&gt;","//s[number(.)=number(.)]"),1)</f>
        <v>1</v>
      </c>
      <c r="M125" cm="1">
        <f t="array" aca="1" ref="M125" ca="1">INDEX(
  _xlfn.FILTERXML("&lt;t&gt;&lt;s&gt;" &amp; SUBSTITUTE(MID(C125, 22 + LEN(I125) + 1, 999), " ", "&lt;/s&gt;&lt;s&gt;") &amp; "&lt;/s&gt;&lt;/t&gt;",
            "//s[number(.)=number(.)]"),
  2
)</f>
        <v>1</v>
      </c>
      <c r="N125" t="str" cm="1">
        <f t="array" aca="1" ref="N125" ca="1">_xlfn.REGEXEXTRACT(C125, "\d{2}:\d{2}:\d{2}")</f>
        <v>16:06:01</v>
      </c>
      <c r="O125" t="str">
        <f t="shared" ca="1" si="13"/>
        <v>50mg/錠 PTP 10錠×10</v>
      </c>
      <c r="P125" t="str">
        <f t="shared" ca="1" si="14"/>
        <v>1</v>
      </c>
    </row>
    <row r="126" spans="2:16" x14ac:dyDescent="0.45">
      <c r="B126">
        <f t="shared" si="15"/>
        <v>566</v>
      </c>
      <c r="C126" t="str">
        <f ca="1">_xlfn.CONCAT(OFFSET(元!$B$10,'1行'!B126,0)," ",OFFSET(元!$B$12,'1行'!B126,0))</f>
        <v>2026/03/26 2026/03/26 ポタコールR輸液 500ml 大塚製薬 2 2 15:43:55 500mL1袋×20袋 (ソフトバッグ) 4987035186601 2 0</v>
      </c>
      <c r="D126" cm="1">
        <f t="array" aca="1" ref="D126" ca="1">INDEX(_xlfn.FILTERXML("&lt;t&gt;&lt;s&gt;" &amp; SUBSTITUTE(C126," ","&lt;/s&gt;&lt;s&gt;") &amp; "&lt;/s&gt;&lt;/t&gt;","//s[number(.)=number(.)]"),
       COUNT(_xlfn.FILTERXML("&lt;t&gt;&lt;s&gt;" &amp; SUBSTITUTE(C126," ","&lt;/s&gt;&lt;s&gt;") &amp; "&lt;/s&gt;&lt;/t&gt;","//s[number(.)=number(.)]"))-1)</f>
        <v>2</v>
      </c>
      <c r="E126" cm="1">
        <f t="array" aca="1" ref="E126" ca="1">INDEX(_xlfn.FILTERXML("&lt;t&gt;&lt;s&gt;" &amp; SUBSTITUTE(C126," ","&lt;/s&gt;&lt;s&gt;") &amp; "&lt;/s&gt;&lt;/t&gt;","//s[number(.)=number(.)]"),
       COUNT(_xlfn.FILTERXML("&lt;t&gt;&lt;s&gt;" &amp; SUBSTITUTE(C126," ","&lt;/s&gt;&lt;s&gt;") &amp; "&lt;/s&gt;&lt;/t&gt;","//s[number(.)=number(.)]")))</f>
        <v>0</v>
      </c>
      <c r="F126" s="4" t="str">
        <f t="shared" ca="1" si="8"/>
        <v>4987035186601</v>
      </c>
      <c r="G126" s="4" t="str">
        <f t="shared" ca="1" si="9"/>
        <v>2026/03/26</v>
      </c>
      <c r="H126" t="str">
        <f t="shared" ca="1" si="10"/>
        <v>2026/03/26</v>
      </c>
      <c r="I126" t="str">
        <f t="shared" ca="1" si="11"/>
        <v>ポタコールR輸液 500ml 大塚製薬</v>
      </c>
      <c r="J126" t="str">
        <f t="shared" ca="1" si="12"/>
        <v xml:space="preserve">ポタコールR輸液 500ml </v>
      </c>
      <c r="K126" t="str" cm="1">
        <f t="array" aca="1" ref="K126" ca="1">_xlfn.LET(
  _xlpm.s, SUBSTITUTE(SUBSTITUTE(I126," ",""),"　",""),
  _xlpm.dic, SUBSTITUTE(SUBSTITUTE(メーカー!$A$1:$A$100," ",""),"　",""),
  _xlpm.pos, MATCH(TRUE, RIGHT(_xlpm.s, LEN(_xlpm.dic)) = _xlpm.dic, 0),
  INDEX(メーカー!$A$1:$A$100, _xlpm.pos)
)</f>
        <v>大塚製薬</v>
      </c>
      <c r="L126" cm="1">
        <f t="array" aca="1" ref="L126" ca="1">INDEX(_xlfn.FILTERXML("&lt;t&gt;&lt;s&gt;" &amp; SUBSTITUTE(MID(C126,23,999)," ","&lt;/s&gt;&lt;s&gt;") &amp; "&lt;/s&gt;&lt;/t&gt;","//s[number(.)=number(.)]"),1)</f>
        <v>2</v>
      </c>
      <c r="M126" cm="1">
        <f t="array" aca="1" ref="M126" ca="1">INDEX(
  _xlfn.FILTERXML("&lt;t&gt;&lt;s&gt;" &amp; SUBSTITUTE(MID(C126, 22 + LEN(I126) + 1, 999), " ", "&lt;/s&gt;&lt;s&gt;") &amp; "&lt;/s&gt;&lt;/t&gt;",
            "//s[number(.)=number(.)]"),
  2
)</f>
        <v>2</v>
      </c>
      <c r="N126" t="str" cm="1">
        <f t="array" aca="1" ref="N126" ca="1">_xlfn.REGEXEXTRACT(C126, "\d{2}:\d{2}:\d{2}")</f>
        <v>15:43:55</v>
      </c>
      <c r="O126" t="str">
        <f t="shared" ca="1" si="13"/>
        <v>500mL1袋×20袋 (ソフトバッグ)</v>
      </c>
      <c r="P126" t="str">
        <f t="shared" ca="1" si="14"/>
        <v>2</v>
      </c>
    </row>
    <row r="127" spans="2:16" x14ac:dyDescent="0.45">
      <c r="B127">
        <f t="shared" si="15"/>
        <v>570</v>
      </c>
      <c r="C127" t="str">
        <f ca="1">_xlfn.CONCAT(OFFSET(元!$B$10,'1行'!B127,0)," ",OFFSET(元!$B$12,'1行'!B127,0))</f>
        <v>2026/03/26 2026/03/26 トリフリード輸液大塚製薬 2 3 15:43:55 500mL1瓶又は1袋×20袋 (ソフトバッグ) 4987035197904 2 0</v>
      </c>
      <c r="D127" cm="1">
        <f t="array" aca="1" ref="D127" ca="1">INDEX(_xlfn.FILTERXML("&lt;t&gt;&lt;s&gt;" &amp; SUBSTITUTE(C127," ","&lt;/s&gt;&lt;s&gt;") &amp; "&lt;/s&gt;&lt;/t&gt;","//s[number(.)=number(.)]"),
       COUNT(_xlfn.FILTERXML("&lt;t&gt;&lt;s&gt;" &amp; SUBSTITUTE(C127," ","&lt;/s&gt;&lt;s&gt;") &amp; "&lt;/s&gt;&lt;/t&gt;","//s[number(.)=number(.)]"))-1)</f>
        <v>2</v>
      </c>
      <c r="E127" cm="1">
        <f t="array" aca="1" ref="E127" ca="1">INDEX(_xlfn.FILTERXML("&lt;t&gt;&lt;s&gt;" &amp; SUBSTITUTE(C127," ","&lt;/s&gt;&lt;s&gt;") &amp; "&lt;/s&gt;&lt;/t&gt;","//s[number(.)=number(.)]"),
       COUNT(_xlfn.FILTERXML("&lt;t&gt;&lt;s&gt;" &amp; SUBSTITUTE(C127," ","&lt;/s&gt;&lt;s&gt;") &amp; "&lt;/s&gt;&lt;/t&gt;","//s[number(.)=number(.)]")))</f>
        <v>0</v>
      </c>
      <c r="F127" s="4" t="str">
        <f t="shared" ca="1" si="8"/>
        <v>4987035197904</v>
      </c>
      <c r="G127" s="4" t="str">
        <f t="shared" ca="1" si="9"/>
        <v>2026/03/26</v>
      </c>
      <c r="H127" t="str">
        <f t="shared" ca="1" si="10"/>
        <v>2026/03/26</v>
      </c>
      <c r="I127" t="str">
        <f t="shared" ca="1" si="11"/>
        <v>トリフリード輸液大塚製薬</v>
      </c>
      <c r="J127" t="str">
        <f t="shared" ca="1" si="12"/>
        <v>トリフリード輸液</v>
      </c>
      <c r="K127" t="str" cm="1">
        <f t="array" aca="1" ref="K127" ca="1">_xlfn.LET(
  _xlpm.s, SUBSTITUTE(SUBSTITUTE(I127," ",""),"　",""),
  _xlpm.dic, SUBSTITUTE(SUBSTITUTE(メーカー!$A$1:$A$100," ",""),"　",""),
  _xlpm.pos, MATCH(TRUE, RIGHT(_xlpm.s, LEN(_xlpm.dic)) = _xlpm.dic, 0),
  INDEX(メーカー!$A$1:$A$100, _xlpm.pos)
)</f>
        <v>大塚製薬</v>
      </c>
      <c r="L127" cm="1">
        <f t="array" aca="1" ref="L127" ca="1">INDEX(_xlfn.FILTERXML("&lt;t&gt;&lt;s&gt;" &amp; SUBSTITUTE(MID(C127,23,999)," ","&lt;/s&gt;&lt;s&gt;") &amp; "&lt;/s&gt;&lt;/t&gt;","//s[number(.)=number(.)]"),1)</f>
        <v>2</v>
      </c>
      <c r="M127" cm="1">
        <f t="array" aca="1" ref="M127" ca="1">INDEX(
  _xlfn.FILTERXML("&lt;t&gt;&lt;s&gt;" &amp; SUBSTITUTE(MID(C127, 22 + LEN(I127) + 1, 999), " ", "&lt;/s&gt;&lt;s&gt;") &amp; "&lt;/s&gt;&lt;/t&gt;",
            "//s[number(.)=number(.)]"),
  2
)</f>
        <v>3</v>
      </c>
      <c r="N127" t="str" cm="1">
        <f t="array" aca="1" ref="N127" ca="1">_xlfn.REGEXEXTRACT(C127, "\d{2}:\d{2}:\d{2}")</f>
        <v>15:43:55</v>
      </c>
      <c r="O127" t="str">
        <f t="shared" ca="1" si="13"/>
        <v>500mL1瓶又は1袋×20袋 (ソフトバッグ)</v>
      </c>
      <c r="P127" t="str">
        <f t="shared" ca="1" si="14"/>
        <v>2</v>
      </c>
    </row>
    <row r="128" spans="2:16" x14ac:dyDescent="0.45">
      <c r="B128">
        <f t="shared" si="15"/>
        <v>574</v>
      </c>
      <c r="C128" t="str">
        <f ca="1">_xlfn.CONCAT(OFFSET(元!$B$10,'1行'!B128,0)," ",OFFSET(元!$B$12,'1行'!B128,0))</f>
        <v>2026/03/26 2026/03/26 ワンパル2号輸液陽進堂 1 4 15:43:55 1200mL1キット×7キット4987476173710 1 0</v>
      </c>
      <c r="D128" cm="1">
        <f t="array" aca="1" ref="D128" ca="1">INDEX(_xlfn.FILTERXML("&lt;t&gt;&lt;s&gt;" &amp; SUBSTITUTE(C128," ","&lt;/s&gt;&lt;s&gt;") &amp; "&lt;/s&gt;&lt;/t&gt;","//s[number(.)=number(.)]"),
       COUNT(_xlfn.FILTERXML("&lt;t&gt;&lt;s&gt;" &amp; SUBSTITUTE(C128," ","&lt;/s&gt;&lt;s&gt;") &amp; "&lt;/s&gt;&lt;/t&gt;","//s[number(.)=number(.)]"))-1)</f>
        <v>1</v>
      </c>
      <c r="E128" cm="1">
        <f t="array" aca="1" ref="E128" ca="1">INDEX(_xlfn.FILTERXML("&lt;t&gt;&lt;s&gt;" &amp; SUBSTITUTE(C128," ","&lt;/s&gt;&lt;s&gt;") &amp; "&lt;/s&gt;&lt;/t&gt;","//s[number(.)=number(.)]"),
       COUNT(_xlfn.FILTERXML("&lt;t&gt;&lt;s&gt;" &amp; SUBSTITUTE(C128," ","&lt;/s&gt;&lt;s&gt;") &amp; "&lt;/s&gt;&lt;/t&gt;","//s[number(.)=number(.)]")))</f>
        <v>0</v>
      </c>
      <c r="F128" s="4" t="str">
        <f t="shared" ca="1" si="8"/>
        <v>4987476173710</v>
      </c>
      <c r="G128" s="4" t="str">
        <f t="shared" ca="1" si="9"/>
        <v>2026/03/26</v>
      </c>
      <c r="H128" t="str">
        <f t="shared" ca="1" si="10"/>
        <v>2026/03/26</v>
      </c>
      <c r="I128" t="str">
        <f t="shared" ca="1" si="11"/>
        <v>ワンパル2号輸液陽進堂</v>
      </c>
      <c r="J128" t="str">
        <f t="shared" ca="1" si="12"/>
        <v>ワンパル2号輸液</v>
      </c>
      <c r="K128" t="str" cm="1">
        <f t="array" aca="1" ref="K128" ca="1">_xlfn.LET(
  _xlpm.s, SUBSTITUTE(SUBSTITUTE(I128," ",""),"　",""),
  _xlpm.dic, SUBSTITUTE(SUBSTITUTE(メーカー!$A$1:$A$100," ",""),"　",""),
  _xlpm.pos, MATCH(TRUE, RIGHT(_xlpm.s, LEN(_xlpm.dic)) = _xlpm.dic, 0),
  INDEX(メーカー!$A$1:$A$100, _xlpm.pos)
)</f>
        <v>陽進堂</v>
      </c>
      <c r="L128" cm="1">
        <f t="array" aca="1" ref="L128" ca="1">INDEX(_xlfn.FILTERXML("&lt;t&gt;&lt;s&gt;" &amp; SUBSTITUTE(MID(C128,23,999)," ","&lt;/s&gt;&lt;s&gt;") &amp; "&lt;/s&gt;&lt;/t&gt;","//s[number(.)=number(.)]"),1)</f>
        <v>1</v>
      </c>
      <c r="M128" cm="1">
        <f t="array" aca="1" ref="M128" ca="1">INDEX(
  _xlfn.FILTERXML("&lt;t&gt;&lt;s&gt;" &amp; SUBSTITUTE(MID(C128, 22 + LEN(I128) + 1, 999), " ", "&lt;/s&gt;&lt;s&gt;") &amp; "&lt;/s&gt;&lt;/t&gt;",
            "//s[number(.)=number(.)]"),
  2
)</f>
        <v>4</v>
      </c>
      <c r="N128" t="str" cm="1">
        <f t="array" aca="1" ref="N128" ca="1">_xlfn.REGEXEXTRACT(C128, "\d{2}:\d{2}:\d{2}")</f>
        <v>15:43:55</v>
      </c>
      <c r="O128" t="str">
        <f t="shared" ca="1" si="13"/>
        <v>1200mL1キット×7キット</v>
      </c>
      <c r="P128" t="str">
        <f t="shared" ca="1" si="14"/>
        <v>1</v>
      </c>
    </row>
    <row r="129" spans="2:16" x14ac:dyDescent="0.45">
      <c r="B129">
        <f t="shared" si="15"/>
        <v>578</v>
      </c>
      <c r="C129" t="str">
        <f ca="1">_xlfn.CONCAT(OFFSET(元!$B$10,'1行'!B129,0)," ",OFFSET(元!$B$12,'1行'!B129,0))</f>
        <v>2026/03/25 2026/04/01 ポタコールR輸液 500ml 大塚製薬 5 5 08:54:48 500mL1袋×20袋 (ソフトバッグ) 4987035186601 5 0</v>
      </c>
      <c r="D129" cm="1">
        <f t="array" aca="1" ref="D129" ca="1">INDEX(_xlfn.FILTERXML("&lt;t&gt;&lt;s&gt;" &amp; SUBSTITUTE(C129," ","&lt;/s&gt;&lt;s&gt;") &amp; "&lt;/s&gt;&lt;/t&gt;","//s[number(.)=number(.)]"),
       COUNT(_xlfn.FILTERXML("&lt;t&gt;&lt;s&gt;" &amp; SUBSTITUTE(C129," ","&lt;/s&gt;&lt;s&gt;") &amp; "&lt;/s&gt;&lt;/t&gt;","//s[number(.)=number(.)]"))-1)</f>
        <v>5</v>
      </c>
      <c r="E129" cm="1">
        <f t="array" aca="1" ref="E129" ca="1">INDEX(_xlfn.FILTERXML("&lt;t&gt;&lt;s&gt;" &amp; SUBSTITUTE(C129," ","&lt;/s&gt;&lt;s&gt;") &amp; "&lt;/s&gt;&lt;/t&gt;","//s[number(.)=number(.)]"),
       COUNT(_xlfn.FILTERXML("&lt;t&gt;&lt;s&gt;" &amp; SUBSTITUTE(C129," ","&lt;/s&gt;&lt;s&gt;") &amp; "&lt;/s&gt;&lt;/t&gt;","//s[number(.)=number(.)]")))</f>
        <v>0</v>
      </c>
      <c r="F129" s="4" t="str">
        <f t="shared" ca="1" si="8"/>
        <v>4987035186601</v>
      </c>
      <c r="G129" s="4" t="str">
        <f t="shared" ca="1" si="9"/>
        <v>2026/03/25</v>
      </c>
      <c r="H129" t="str">
        <f t="shared" ca="1" si="10"/>
        <v>2026/04/01</v>
      </c>
      <c r="I129" t="str">
        <f t="shared" ca="1" si="11"/>
        <v>ポタコールR輸液 500ml 大塚製薬</v>
      </c>
      <c r="J129" t="str">
        <f t="shared" ca="1" si="12"/>
        <v xml:space="preserve">ポタコールR輸液 500ml </v>
      </c>
      <c r="K129" t="str" cm="1">
        <f t="array" aca="1" ref="K129" ca="1">_xlfn.LET(
  _xlpm.s, SUBSTITUTE(SUBSTITUTE(I129," ",""),"　",""),
  _xlpm.dic, SUBSTITUTE(SUBSTITUTE(メーカー!$A$1:$A$100," ",""),"　",""),
  _xlpm.pos, MATCH(TRUE, RIGHT(_xlpm.s, LEN(_xlpm.dic)) = _xlpm.dic, 0),
  INDEX(メーカー!$A$1:$A$100, _xlpm.pos)
)</f>
        <v>大塚製薬</v>
      </c>
      <c r="L129" cm="1">
        <f t="array" aca="1" ref="L129" ca="1">INDEX(_xlfn.FILTERXML("&lt;t&gt;&lt;s&gt;" &amp; SUBSTITUTE(MID(C129,23,999)," ","&lt;/s&gt;&lt;s&gt;") &amp; "&lt;/s&gt;&lt;/t&gt;","//s[number(.)=number(.)]"),1)</f>
        <v>5</v>
      </c>
      <c r="M129" cm="1">
        <f t="array" aca="1" ref="M129" ca="1">INDEX(
  _xlfn.FILTERXML("&lt;t&gt;&lt;s&gt;" &amp; SUBSTITUTE(MID(C129, 22 + LEN(I129) + 1, 999), " ", "&lt;/s&gt;&lt;s&gt;") &amp; "&lt;/s&gt;&lt;/t&gt;",
            "//s[number(.)=number(.)]"),
  2
)</f>
        <v>5</v>
      </c>
      <c r="N129" t="str" cm="1">
        <f t="array" aca="1" ref="N129" ca="1">_xlfn.REGEXEXTRACT(C129, "\d{2}:\d{2}:\d{2}")</f>
        <v>08:54:48</v>
      </c>
      <c r="O129" t="str">
        <f t="shared" ca="1" si="13"/>
        <v>500mL1袋×20袋 (ソフトバッグ)</v>
      </c>
      <c r="P129" t="str">
        <f t="shared" ca="1" si="14"/>
        <v>5</v>
      </c>
    </row>
    <row r="130" spans="2:16" x14ac:dyDescent="0.45">
      <c r="B130">
        <f t="shared" si="15"/>
        <v>582</v>
      </c>
      <c r="C130" t="str">
        <f ca="1">_xlfn.CONCAT(OFFSET(元!$B$10,'1行'!B130,0)," ",OFFSET(元!$B$12,'1行'!B130,0))</f>
        <v>2026/03/25 2026/04/01 トリフリード輸液大塚製薬 5 6 08:54:48 500mL1瓶又は1袋×20袋 (ソフトバッグ) 4987035197904 5 0</v>
      </c>
      <c r="D130" cm="1">
        <f t="array" aca="1" ref="D130" ca="1">INDEX(_xlfn.FILTERXML("&lt;t&gt;&lt;s&gt;" &amp; SUBSTITUTE(C130," ","&lt;/s&gt;&lt;s&gt;") &amp; "&lt;/s&gt;&lt;/t&gt;","//s[number(.)=number(.)]"),
       COUNT(_xlfn.FILTERXML("&lt;t&gt;&lt;s&gt;" &amp; SUBSTITUTE(C130," ","&lt;/s&gt;&lt;s&gt;") &amp; "&lt;/s&gt;&lt;/t&gt;","//s[number(.)=number(.)]"))-1)</f>
        <v>5</v>
      </c>
      <c r="E130" cm="1">
        <f t="array" aca="1" ref="E130" ca="1">INDEX(_xlfn.FILTERXML("&lt;t&gt;&lt;s&gt;" &amp; SUBSTITUTE(C130," ","&lt;/s&gt;&lt;s&gt;") &amp; "&lt;/s&gt;&lt;/t&gt;","//s[number(.)=number(.)]"),
       COUNT(_xlfn.FILTERXML("&lt;t&gt;&lt;s&gt;" &amp; SUBSTITUTE(C130," ","&lt;/s&gt;&lt;s&gt;") &amp; "&lt;/s&gt;&lt;/t&gt;","//s[number(.)=number(.)]")))</f>
        <v>0</v>
      </c>
      <c r="F130" s="4" t="str">
        <f t="shared" ca="1" si="8"/>
        <v>4987035197904</v>
      </c>
      <c r="G130" s="4" t="str">
        <f t="shared" ca="1" si="9"/>
        <v>2026/03/25</v>
      </c>
      <c r="H130" t="str">
        <f t="shared" ca="1" si="10"/>
        <v>2026/04/01</v>
      </c>
      <c r="I130" t="str">
        <f t="shared" ca="1" si="11"/>
        <v>トリフリード輸液大塚製薬</v>
      </c>
      <c r="J130" t="str">
        <f t="shared" ca="1" si="12"/>
        <v>トリフリード輸液</v>
      </c>
      <c r="K130" t="str" cm="1">
        <f t="array" aca="1" ref="K130" ca="1">_xlfn.LET(
  _xlpm.s, SUBSTITUTE(SUBSTITUTE(I130," ",""),"　",""),
  _xlpm.dic, SUBSTITUTE(SUBSTITUTE(メーカー!$A$1:$A$100," ",""),"　",""),
  _xlpm.pos, MATCH(TRUE, RIGHT(_xlpm.s, LEN(_xlpm.dic)) = _xlpm.dic, 0),
  INDEX(メーカー!$A$1:$A$100, _xlpm.pos)
)</f>
        <v>大塚製薬</v>
      </c>
      <c r="L130" cm="1">
        <f t="array" aca="1" ref="L130" ca="1">INDEX(_xlfn.FILTERXML("&lt;t&gt;&lt;s&gt;" &amp; SUBSTITUTE(MID(C130,23,999)," ","&lt;/s&gt;&lt;s&gt;") &amp; "&lt;/s&gt;&lt;/t&gt;","//s[number(.)=number(.)]"),1)</f>
        <v>5</v>
      </c>
      <c r="M130" cm="1">
        <f t="array" aca="1" ref="M130" ca="1">INDEX(
  _xlfn.FILTERXML("&lt;t&gt;&lt;s&gt;" &amp; SUBSTITUTE(MID(C130, 22 + LEN(I130) + 1, 999), " ", "&lt;/s&gt;&lt;s&gt;") &amp; "&lt;/s&gt;&lt;/t&gt;",
            "//s[number(.)=number(.)]"),
  2
)</f>
        <v>6</v>
      </c>
      <c r="N130" t="str" cm="1">
        <f t="array" aca="1" ref="N130" ca="1">_xlfn.REGEXEXTRACT(C130, "\d{2}:\d{2}:\d{2}")</f>
        <v>08:54:48</v>
      </c>
      <c r="O130" t="str">
        <f t="shared" ca="1" si="13"/>
        <v>500mL1瓶又は1袋×20袋 (ソフトバッグ)</v>
      </c>
      <c r="P130" t="str">
        <f t="shared" ca="1" si="14"/>
        <v>5</v>
      </c>
    </row>
    <row r="131" spans="2:16" x14ac:dyDescent="0.45">
      <c r="B131">
        <f t="shared" si="15"/>
        <v>586</v>
      </c>
      <c r="C131" t="str">
        <f ca="1">_xlfn.CONCAT(OFFSET(元!$B$10,'1行'!B131,0)," ",OFFSET(元!$B$12,'1行'!B131,0))</f>
        <v>2026/03/25 2026/04/01 ポタコールR輸液 250ml 大塚製薬 2 7 08:54:48 250mL1袋×20袋 (ソフトバッグ) 4987035186502 2 0</v>
      </c>
      <c r="D131" cm="1">
        <f t="array" aca="1" ref="D131" ca="1">INDEX(_xlfn.FILTERXML("&lt;t&gt;&lt;s&gt;" &amp; SUBSTITUTE(C131," ","&lt;/s&gt;&lt;s&gt;") &amp; "&lt;/s&gt;&lt;/t&gt;","//s[number(.)=number(.)]"),
       COUNT(_xlfn.FILTERXML("&lt;t&gt;&lt;s&gt;" &amp; SUBSTITUTE(C131," ","&lt;/s&gt;&lt;s&gt;") &amp; "&lt;/s&gt;&lt;/t&gt;","//s[number(.)=number(.)]"))-1)</f>
        <v>2</v>
      </c>
      <c r="E131" cm="1">
        <f t="array" aca="1" ref="E131" ca="1">INDEX(_xlfn.FILTERXML("&lt;t&gt;&lt;s&gt;" &amp; SUBSTITUTE(C131," ","&lt;/s&gt;&lt;s&gt;") &amp; "&lt;/s&gt;&lt;/t&gt;","//s[number(.)=number(.)]"),
       COUNT(_xlfn.FILTERXML("&lt;t&gt;&lt;s&gt;" &amp; SUBSTITUTE(C131," ","&lt;/s&gt;&lt;s&gt;") &amp; "&lt;/s&gt;&lt;/t&gt;","//s[number(.)=number(.)]")))</f>
        <v>0</v>
      </c>
      <c r="F131" s="4" t="str">
        <f t="shared" ca="1" si="8"/>
        <v>4987035186502</v>
      </c>
      <c r="G131" s="4" t="str">
        <f t="shared" ca="1" si="9"/>
        <v>2026/03/25</v>
      </c>
      <c r="H131" t="str">
        <f t="shared" ca="1" si="10"/>
        <v>2026/04/01</v>
      </c>
      <c r="I131" t="str">
        <f t="shared" ca="1" si="11"/>
        <v>ポタコールR輸液 250ml 大塚製薬</v>
      </c>
      <c r="J131" t="str">
        <f t="shared" ca="1" si="12"/>
        <v xml:space="preserve">ポタコールR輸液 250ml </v>
      </c>
      <c r="K131" t="str" cm="1">
        <f t="array" aca="1" ref="K131" ca="1">_xlfn.LET(
  _xlpm.s, SUBSTITUTE(SUBSTITUTE(I131," ",""),"　",""),
  _xlpm.dic, SUBSTITUTE(SUBSTITUTE(メーカー!$A$1:$A$100," ",""),"　",""),
  _xlpm.pos, MATCH(TRUE, RIGHT(_xlpm.s, LEN(_xlpm.dic)) = _xlpm.dic, 0),
  INDEX(メーカー!$A$1:$A$100, _xlpm.pos)
)</f>
        <v>大塚製薬</v>
      </c>
      <c r="L131" cm="1">
        <f t="array" aca="1" ref="L131" ca="1">INDEX(_xlfn.FILTERXML("&lt;t&gt;&lt;s&gt;" &amp; SUBSTITUTE(MID(C131,23,999)," ","&lt;/s&gt;&lt;s&gt;") &amp; "&lt;/s&gt;&lt;/t&gt;","//s[number(.)=number(.)]"),1)</f>
        <v>2</v>
      </c>
      <c r="M131" cm="1">
        <f t="array" aca="1" ref="M131" ca="1">INDEX(
  _xlfn.FILTERXML("&lt;t&gt;&lt;s&gt;" &amp; SUBSTITUTE(MID(C131, 22 + LEN(I131) + 1, 999), " ", "&lt;/s&gt;&lt;s&gt;") &amp; "&lt;/s&gt;&lt;/t&gt;",
            "//s[number(.)=number(.)]"),
  2
)</f>
        <v>7</v>
      </c>
      <c r="N131" t="str" cm="1">
        <f t="array" aca="1" ref="N131" ca="1">_xlfn.REGEXEXTRACT(C131, "\d{2}:\d{2}:\d{2}")</f>
        <v>08:54:48</v>
      </c>
      <c r="O131" t="str">
        <f t="shared" ca="1" si="13"/>
        <v>250mL1袋×20袋 (ソフトバッグ)</v>
      </c>
      <c r="P131" t="str">
        <f t="shared" ca="1" si="14"/>
        <v>2</v>
      </c>
    </row>
    <row r="132" spans="2:16" x14ac:dyDescent="0.45">
      <c r="B132">
        <f t="shared" si="15"/>
        <v>590</v>
      </c>
      <c r="C132" t="str">
        <f ca="1">_xlfn.CONCAT(OFFSET(元!$B$10,'1行'!B132,0)," ",OFFSET(元!$B$12,'1行'!B132,0))</f>
        <v>2026/03/25 2026/04/01 ダーブロック錠2mg 協和キリン 1 8 08:54:48 2mg/錠 PTP 10錠×10 4987057649306 1 0</v>
      </c>
      <c r="D132" cm="1">
        <f t="array" aca="1" ref="D132" ca="1">INDEX(_xlfn.FILTERXML("&lt;t&gt;&lt;s&gt;" &amp; SUBSTITUTE(C132," ","&lt;/s&gt;&lt;s&gt;") &amp; "&lt;/s&gt;&lt;/t&gt;","//s[number(.)=number(.)]"),
       COUNT(_xlfn.FILTERXML("&lt;t&gt;&lt;s&gt;" &amp; SUBSTITUTE(C132," ","&lt;/s&gt;&lt;s&gt;") &amp; "&lt;/s&gt;&lt;/t&gt;","//s[number(.)=number(.)]"))-1)</f>
        <v>1</v>
      </c>
      <c r="E132" cm="1">
        <f t="array" aca="1" ref="E132" ca="1">INDEX(_xlfn.FILTERXML("&lt;t&gt;&lt;s&gt;" &amp; SUBSTITUTE(C132," ","&lt;/s&gt;&lt;s&gt;") &amp; "&lt;/s&gt;&lt;/t&gt;","//s[number(.)=number(.)]"),
       COUNT(_xlfn.FILTERXML("&lt;t&gt;&lt;s&gt;" &amp; SUBSTITUTE(C132," ","&lt;/s&gt;&lt;s&gt;") &amp; "&lt;/s&gt;&lt;/t&gt;","//s[number(.)=number(.)]")))</f>
        <v>0</v>
      </c>
      <c r="F132" s="4" t="str">
        <f t="shared" ca="1" si="8"/>
        <v>4987057649306</v>
      </c>
      <c r="G132" s="4" t="str">
        <f t="shared" ca="1" si="9"/>
        <v>2026/03/25</v>
      </c>
      <c r="H132" t="str">
        <f t="shared" ca="1" si="10"/>
        <v>2026/04/01</v>
      </c>
      <c r="I132" t="str">
        <f t="shared" ca="1" si="11"/>
        <v>ダーブロック錠2mg 協和キリン</v>
      </c>
      <c r="J132" t="str">
        <f t="shared" ca="1" si="12"/>
        <v xml:space="preserve">ダーブロック錠2mg </v>
      </c>
      <c r="K132" t="str" cm="1">
        <f t="array" aca="1" ref="K132" ca="1">_xlfn.LET(
  _xlpm.s, SUBSTITUTE(SUBSTITUTE(I132," ",""),"　",""),
  _xlpm.dic, SUBSTITUTE(SUBSTITUTE(メーカー!$A$1:$A$100," ",""),"　",""),
  _xlpm.pos, MATCH(TRUE, RIGHT(_xlpm.s, LEN(_xlpm.dic)) = _xlpm.dic, 0),
  INDEX(メーカー!$A$1:$A$100, _xlpm.pos)
)</f>
        <v>協和キリン</v>
      </c>
      <c r="L132" cm="1">
        <f t="array" aca="1" ref="L132" ca="1">INDEX(_xlfn.FILTERXML("&lt;t&gt;&lt;s&gt;" &amp; SUBSTITUTE(MID(C132,23,999)," ","&lt;/s&gt;&lt;s&gt;") &amp; "&lt;/s&gt;&lt;/t&gt;","//s[number(.)=number(.)]"),1)</f>
        <v>1</v>
      </c>
      <c r="M132" cm="1">
        <f t="array" aca="1" ref="M132" ca="1">INDEX(
  _xlfn.FILTERXML("&lt;t&gt;&lt;s&gt;" &amp; SUBSTITUTE(MID(C132, 22 + LEN(I132) + 1, 999), " ", "&lt;/s&gt;&lt;s&gt;") &amp; "&lt;/s&gt;&lt;/t&gt;",
            "//s[number(.)=number(.)]"),
  2
)</f>
        <v>8</v>
      </c>
      <c r="N132" t="str" cm="1">
        <f t="array" aca="1" ref="N132" ca="1">_xlfn.REGEXEXTRACT(C132, "\d{2}:\d{2}:\d{2}")</f>
        <v>08:54:48</v>
      </c>
      <c r="O132" t="str">
        <f t="shared" ca="1" si="13"/>
        <v>2mg/錠 PTP 10錠×10</v>
      </c>
      <c r="P132" t="str">
        <f t="shared" ca="1" si="14"/>
        <v>1</v>
      </c>
    </row>
    <row r="133" spans="2:16" x14ac:dyDescent="0.45">
      <c r="B133">
        <f t="shared" ref="B133:B163" si="16">B132+4</f>
        <v>594</v>
      </c>
      <c r="C133" t="str">
        <f ca="1">_xlfn.CONCAT(OFFSET(元!$B$10,'1行'!B133,0)," ",OFFSET(元!$B$12,'1行'!B133,0))</f>
        <v>2026/03/25 2026/04/01 ワソラン錠40mg エーザイ 2 9 08:54:48 40mg/錠 バラ 100錠×1瓶4987028220671 2 0</v>
      </c>
      <c r="D133" cm="1">
        <f t="array" aca="1" ref="D133" ca="1">INDEX(_xlfn.FILTERXML("&lt;t&gt;&lt;s&gt;" &amp; SUBSTITUTE(C133," ","&lt;/s&gt;&lt;s&gt;") &amp; "&lt;/s&gt;&lt;/t&gt;","//s[number(.)=number(.)]"),
       COUNT(_xlfn.FILTERXML("&lt;t&gt;&lt;s&gt;" &amp; SUBSTITUTE(C133," ","&lt;/s&gt;&lt;s&gt;") &amp; "&lt;/s&gt;&lt;/t&gt;","//s[number(.)=number(.)]"))-1)</f>
        <v>2</v>
      </c>
      <c r="E133" cm="1">
        <f t="array" aca="1" ref="E133" ca="1">INDEX(_xlfn.FILTERXML("&lt;t&gt;&lt;s&gt;" &amp; SUBSTITUTE(C133," ","&lt;/s&gt;&lt;s&gt;") &amp; "&lt;/s&gt;&lt;/t&gt;","//s[number(.)=number(.)]"),
       COUNT(_xlfn.FILTERXML("&lt;t&gt;&lt;s&gt;" &amp; SUBSTITUTE(C133," ","&lt;/s&gt;&lt;s&gt;") &amp; "&lt;/s&gt;&lt;/t&gt;","//s[number(.)=number(.)]")))</f>
        <v>0</v>
      </c>
      <c r="F133" s="4" t="str">
        <f t="shared" ca="1" si="8"/>
        <v>4987028220671</v>
      </c>
      <c r="G133" s="4" t="str">
        <f t="shared" ca="1" si="9"/>
        <v>2026/03/25</v>
      </c>
      <c r="H133" t="str">
        <f t="shared" ca="1" si="10"/>
        <v>2026/04/01</v>
      </c>
      <c r="I133" t="str">
        <f t="shared" ca="1" si="11"/>
        <v>ワソラン錠40mg エーザイ</v>
      </c>
      <c r="J133" t="str">
        <f t="shared" ca="1" si="12"/>
        <v xml:space="preserve">ワソラン錠40mg </v>
      </c>
      <c r="K133" t="str" cm="1">
        <f t="array" aca="1" ref="K133" ca="1">_xlfn.LET(
  _xlpm.s, SUBSTITUTE(SUBSTITUTE(I133," ",""),"　",""),
  _xlpm.dic, SUBSTITUTE(SUBSTITUTE(メーカー!$A$1:$A$100," ",""),"　",""),
  _xlpm.pos, MATCH(TRUE, RIGHT(_xlpm.s, LEN(_xlpm.dic)) = _xlpm.dic, 0),
  INDEX(メーカー!$A$1:$A$100, _xlpm.pos)
)</f>
        <v>エーザイ</v>
      </c>
      <c r="L133" cm="1">
        <f t="array" aca="1" ref="L133" ca="1">INDEX(_xlfn.FILTERXML("&lt;t&gt;&lt;s&gt;" &amp; SUBSTITUTE(MID(C133,23,999)," ","&lt;/s&gt;&lt;s&gt;") &amp; "&lt;/s&gt;&lt;/t&gt;","//s[number(.)=number(.)]"),1)</f>
        <v>2</v>
      </c>
      <c r="M133" cm="1">
        <f t="array" aca="1" ref="M133" ca="1">INDEX(
  _xlfn.FILTERXML("&lt;t&gt;&lt;s&gt;" &amp; SUBSTITUTE(MID(C133, 22 + LEN(I133) + 1, 999), " ", "&lt;/s&gt;&lt;s&gt;") &amp; "&lt;/s&gt;&lt;/t&gt;",
            "//s[number(.)=number(.)]"),
  2
)</f>
        <v>9</v>
      </c>
      <c r="N133" t="str" cm="1">
        <f t="array" aca="1" ref="N133" ca="1">_xlfn.REGEXEXTRACT(C133, "\d{2}:\d{2}:\d{2}")</f>
        <v>08:54:48</v>
      </c>
      <c r="O133" t="str">
        <f t="shared" ca="1" si="13"/>
        <v>40mg/錠 バラ 100錠×1瓶</v>
      </c>
      <c r="P133" t="str">
        <f t="shared" ca="1" si="14"/>
        <v>2</v>
      </c>
    </row>
    <row r="134" spans="2:16" x14ac:dyDescent="0.45">
      <c r="B134">
        <f t="shared" si="16"/>
        <v>598</v>
      </c>
      <c r="C134" t="str">
        <f ca="1">_xlfn.CONCAT(OFFSET(元!$B$10,'1行'!B134,0)," ",OFFSET(元!$B$12,'1行'!B134,0))</f>
        <v>2026/03/25 2026/04/01 ベサコリン散5% エーザイ 1 10 08:54:48 5%1g バラ 100g×1瓶4987028207122 1 0</v>
      </c>
      <c r="D134" cm="1">
        <f t="array" aca="1" ref="D134" ca="1">INDEX(_xlfn.FILTERXML("&lt;t&gt;&lt;s&gt;" &amp; SUBSTITUTE(C134," ","&lt;/s&gt;&lt;s&gt;") &amp; "&lt;/s&gt;&lt;/t&gt;","//s[number(.)=number(.)]"),
       COUNT(_xlfn.FILTERXML("&lt;t&gt;&lt;s&gt;" &amp; SUBSTITUTE(C134," ","&lt;/s&gt;&lt;s&gt;") &amp; "&lt;/s&gt;&lt;/t&gt;","//s[number(.)=number(.)]"))-1)</f>
        <v>1</v>
      </c>
      <c r="E134" cm="1">
        <f t="array" aca="1" ref="E134" ca="1">INDEX(_xlfn.FILTERXML("&lt;t&gt;&lt;s&gt;" &amp; SUBSTITUTE(C134," ","&lt;/s&gt;&lt;s&gt;") &amp; "&lt;/s&gt;&lt;/t&gt;","//s[number(.)=number(.)]"),
       COUNT(_xlfn.FILTERXML("&lt;t&gt;&lt;s&gt;" &amp; SUBSTITUTE(C134," ","&lt;/s&gt;&lt;s&gt;") &amp; "&lt;/s&gt;&lt;/t&gt;","//s[number(.)=number(.)]")))</f>
        <v>0</v>
      </c>
      <c r="F134" s="4" t="str">
        <f t="shared" ref="F134:F163" ca="1" si="17">TRIM(RIGHT(SUBSTITUTE(C134," "&amp;D134&amp;" "&amp;E134,""),13))</f>
        <v>4987028207122</v>
      </c>
      <c r="G134" s="4" t="str">
        <f t="shared" ref="G134:G163" ca="1" si="18">LEFT(C134,10)</f>
        <v>2026/03/25</v>
      </c>
      <c r="H134" t="str">
        <f t="shared" ref="H134:H163" ca="1" si="19">MID(C134,12,10)</f>
        <v>2026/04/01</v>
      </c>
      <c r="I134" t="str">
        <f t="shared" ref="I134:I163" ca="1" si="20">_xlfn.LET(
  _xlpm.s, _xlfn.TEXTAFTER(C134, " " &amp; H134 &amp; " "),
  TRIM(_xlfn.TEXTBEFORE(_xlpm.s, " " &amp; L134 &amp; " "))
)</f>
        <v>ベサコリン散5% エーザイ</v>
      </c>
      <c r="J134" t="str">
        <f t="shared" ref="J134:J163" ca="1" si="21">LEFT(I134, LEN(I134) - LEN(K134))</f>
        <v xml:space="preserve">ベサコリン散5% </v>
      </c>
      <c r="K134" t="str" cm="1">
        <f t="array" aca="1" ref="K134" ca="1">_xlfn.LET(
  _xlpm.s, SUBSTITUTE(SUBSTITUTE(I134," ",""),"　",""),
  _xlpm.dic, SUBSTITUTE(SUBSTITUTE(メーカー!$A$1:$A$100," ",""),"　",""),
  _xlpm.pos, MATCH(TRUE, RIGHT(_xlpm.s, LEN(_xlpm.dic)) = _xlpm.dic, 0),
  INDEX(メーカー!$A$1:$A$100, _xlpm.pos)
)</f>
        <v>エーザイ</v>
      </c>
      <c r="L134" cm="1">
        <f t="array" aca="1" ref="L134" ca="1">INDEX(_xlfn.FILTERXML("&lt;t&gt;&lt;s&gt;" &amp; SUBSTITUTE(MID(C134,23,999)," ","&lt;/s&gt;&lt;s&gt;") &amp; "&lt;/s&gt;&lt;/t&gt;","//s[number(.)=number(.)]"),1)</f>
        <v>1</v>
      </c>
      <c r="M134" cm="1">
        <f t="array" aca="1" ref="M134" ca="1">INDEX(
  _xlfn.FILTERXML("&lt;t&gt;&lt;s&gt;" &amp; SUBSTITUTE(MID(C134, 22 + LEN(I134) + 1, 999), " ", "&lt;/s&gt;&lt;s&gt;") &amp; "&lt;/s&gt;&lt;/t&gt;",
            "//s[number(.)=number(.)]"),
  2
)</f>
        <v>10</v>
      </c>
      <c r="N134" t="str" cm="1">
        <f t="array" aca="1" ref="N134" ca="1">_xlfn.REGEXEXTRACT(C134, "\d{2}:\d{2}:\d{2}")</f>
        <v>08:54:48</v>
      </c>
      <c r="O134" t="str">
        <f t="shared" ref="O134:O163" ca="1" si="22">TRIM(SUBSTITUTE(_xlfn.TEXTAFTER(C134, " " &amp; N134 &amp; " "), F134 &amp; " " &amp; D134 &amp; " " &amp; E134, ""))</f>
        <v>5%1g バラ 100g×1瓶</v>
      </c>
      <c r="P134" t="str">
        <f t="shared" ref="P134:P163" ca="1" si="23">TRIM(LEFT(_xlfn.TEXTAFTER(C134, I134 &amp; " "), FIND(" ", _xlfn.TEXTAFTER(C134, I134 &amp; " "))-1))</f>
        <v>1</v>
      </c>
    </row>
    <row r="135" spans="2:16" x14ac:dyDescent="0.45">
      <c r="B135">
        <f t="shared" si="16"/>
        <v>602</v>
      </c>
      <c r="C135" t="str">
        <f ca="1">_xlfn.CONCAT(OFFSET(元!$B$10,'1行'!B135,0)," ",OFFSET(元!$B$12,'1行'!B135,0))</f>
        <v>2026/03/25 2026/04/01 ポリスチレンスルホン酸Ca経口ゼリー20%分包25g「三和化学研究所 1 11 08:54:48 20%25g1個×105個4987086390651 1 0</v>
      </c>
      <c r="D135" cm="1">
        <f t="array" aca="1" ref="D135" ca="1">INDEX(_xlfn.FILTERXML("&lt;t&gt;&lt;s&gt;" &amp; SUBSTITUTE(C135," ","&lt;/s&gt;&lt;s&gt;") &amp; "&lt;/s&gt;&lt;/t&gt;","//s[number(.)=number(.)]"),
       COUNT(_xlfn.FILTERXML("&lt;t&gt;&lt;s&gt;" &amp; SUBSTITUTE(C135," ","&lt;/s&gt;&lt;s&gt;") &amp; "&lt;/s&gt;&lt;/t&gt;","//s[number(.)=number(.)]"))-1)</f>
        <v>1</v>
      </c>
      <c r="E135" cm="1">
        <f t="array" aca="1" ref="E135" ca="1">INDEX(_xlfn.FILTERXML("&lt;t&gt;&lt;s&gt;" &amp; SUBSTITUTE(C135," ","&lt;/s&gt;&lt;s&gt;") &amp; "&lt;/s&gt;&lt;/t&gt;","//s[number(.)=number(.)]"),
       COUNT(_xlfn.FILTERXML("&lt;t&gt;&lt;s&gt;" &amp; SUBSTITUTE(C135," ","&lt;/s&gt;&lt;s&gt;") &amp; "&lt;/s&gt;&lt;/t&gt;","//s[number(.)=number(.)]")))</f>
        <v>0</v>
      </c>
      <c r="F135" s="4" t="str">
        <f t="shared" ca="1" si="17"/>
        <v>4987086390651</v>
      </c>
      <c r="G135" s="4" t="str">
        <f t="shared" ca="1" si="18"/>
        <v>2026/03/25</v>
      </c>
      <c r="H135" t="str">
        <f t="shared" ca="1" si="19"/>
        <v>2026/04/01</v>
      </c>
      <c r="I135" t="str">
        <f t="shared" ca="1" si="20"/>
        <v>ポリスチレンスルホン酸Ca経口ゼリー20%分包25g「三和化学研究所</v>
      </c>
      <c r="J135" t="str">
        <f t="shared" ca="1" si="21"/>
        <v>ポリスチレンスルホン酸Ca経口ゼリー20%分包25g「</v>
      </c>
      <c r="K135" t="str" cm="1">
        <f t="array" aca="1" ref="K135" ca="1">_xlfn.LET(
  _xlpm.s, SUBSTITUTE(SUBSTITUTE(I135," ",""),"　",""),
  _xlpm.dic, SUBSTITUTE(SUBSTITUTE(メーカー!$A$1:$A$100," ",""),"　",""),
  _xlpm.pos, MATCH(TRUE, RIGHT(_xlpm.s, LEN(_xlpm.dic)) = _xlpm.dic, 0),
  INDEX(メーカー!$A$1:$A$100, _xlpm.pos)
)</f>
        <v>三和化学研究所</v>
      </c>
      <c r="L135" cm="1">
        <f t="array" aca="1" ref="L135" ca="1">INDEX(_xlfn.FILTERXML("&lt;t&gt;&lt;s&gt;" &amp; SUBSTITUTE(MID(C135,23,999)," ","&lt;/s&gt;&lt;s&gt;") &amp; "&lt;/s&gt;&lt;/t&gt;","//s[number(.)=number(.)]"),1)</f>
        <v>1</v>
      </c>
      <c r="M135" cm="1">
        <f t="array" aca="1" ref="M135" ca="1">INDEX(
  _xlfn.FILTERXML("&lt;t&gt;&lt;s&gt;" &amp; SUBSTITUTE(MID(C135, 22 + LEN(I135) + 1, 999), " ", "&lt;/s&gt;&lt;s&gt;") &amp; "&lt;/s&gt;&lt;/t&gt;",
            "//s[number(.)=number(.)]"),
  2
)</f>
        <v>11</v>
      </c>
      <c r="N135" t="str" cm="1">
        <f t="array" aca="1" ref="N135" ca="1">_xlfn.REGEXEXTRACT(C135, "\d{2}:\d{2}:\d{2}")</f>
        <v>08:54:48</v>
      </c>
      <c r="O135" t="str">
        <f t="shared" ca="1" si="22"/>
        <v>20%25g1個×105個</v>
      </c>
      <c r="P135" t="str">
        <f t="shared" ca="1" si="23"/>
        <v>1</v>
      </c>
    </row>
    <row r="136" spans="2:16" x14ac:dyDescent="0.45">
      <c r="B136">
        <f t="shared" si="16"/>
        <v>606</v>
      </c>
      <c r="C136" t="str">
        <f ca="1">_xlfn.CONCAT(OFFSET(元!$B$10,'1行'!B136,0)," ",OFFSET(元!$B$12,'1行'!B136,0))</f>
        <v>2026/03/25 2026/04/01 レキサルティOD錠1mg 大塚製薬 1 12 08:54:48 1mg/錠 バラ 500錠×1瓶4987035614715 1 0</v>
      </c>
      <c r="D136" cm="1">
        <f t="array" aca="1" ref="D136" ca="1">INDEX(_xlfn.FILTERXML("&lt;t&gt;&lt;s&gt;" &amp; SUBSTITUTE(C136," ","&lt;/s&gt;&lt;s&gt;") &amp; "&lt;/s&gt;&lt;/t&gt;","//s[number(.)=number(.)]"),
       COUNT(_xlfn.FILTERXML("&lt;t&gt;&lt;s&gt;" &amp; SUBSTITUTE(C136," ","&lt;/s&gt;&lt;s&gt;") &amp; "&lt;/s&gt;&lt;/t&gt;","//s[number(.)=number(.)]"))-1)</f>
        <v>1</v>
      </c>
      <c r="E136" cm="1">
        <f t="array" aca="1" ref="E136" ca="1">INDEX(_xlfn.FILTERXML("&lt;t&gt;&lt;s&gt;" &amp; SUBSTITUTE(C136," ","&lt;/s&gt;&lt;s&gt;") &amp; "&lt;/s&gt;&lt;/t&gt;","//s[number(.)=number(.)]"),
       COUNT(_xlfn.FILTERXML("&lt;t&gt;&lt;s&gt;" &amp; SUBSTITUTE(C136," ","&lt;/s&gt;&lt;s&gt;") &amp; "&lt;/s&gt;&lt;/t&gt;","//s[number(.)=number(.)]")))</f>
        <v>0</v>
      </c>
      <c r="F136" s="4" t="str">
        <f t="shared" ca="1" si="17"/>
        <v>4987035614715</v>
      </c>
      <c r="G136" s="4" t="str">
        <f t="shared" ca="1" si="18"/>
        <v>2026/03/25</v>
      </c>
      <c r="H136" t="str">
        <f t="shared" ca="1" si="19"/>
        <v>2026/04/01</v>
      </c>
      <c r="I136" t="str">
        <f t="shared" ca="1" si="20"/>
        <v>レキサルティOD錠1mg 大塚製薬</v>
      </c>
      <c r="J136" t="str">
        <f t="shared" ca="1" si="21"/>
        <v xml:space="preserve">レキサルティOD錠1mg </v>
      </c>
      <c r="K136" t="str" cm="1">
        <f t="array" aca="1" ref="K136" ca="1">_xlfn.LET(
  _xlpm.s, SUBSTITUTE(SUBSTITUTE(I136," ",""),"　",""),
  _xlpm.dic, SUBSTITUTE(SUBSTITUTE(メーカー!$A$1:$A$100," ",""),"　",""),
  _xlpm.pos, MATCH(TRUE, RIGHT(_xlpm.s, LEN(_xlpm.dic)) = _xlpm.dic, 0),
  INDEX(メーカー!$A$1:$A$100, _xlpm.pos)
)</f>
        <v>大塚製薬</v>
      </c>
      <c r="L136" cm="1">
        <f t="array" aca="1" ref="L136" ca="1">INDEX(_xlfn.FILTERXML("&lt;t&gt;&lt;s&gt;" &amp; SUBSTITUTE(MID(C136,23,999)," ","&lt;/s&gt;&lt;s&gt;") &amp; "&lt;/s&gt;&lt;/t&gt;","//s[number(.)=number(.)]"),1)</f>
        <v>1</v>
      </c>
      <c r="M136" cm="1">
        <f t="array" aca="1" ref="M136" ca="1">INDEX(
  _xlfn.FILTERXML("&lt;t&gt;&lt;s&gt;" &amp; SUBSTITUTE(MID(C136, 22 + LEN(I136) + 1, 999), " ", "&lt;/s&gt;&lt;s&gt;") &amp; "&lt;/s&gt;&lt;/t&gt;",
            "//s[number(.)=number(.)]"),
  2
)</f>
        <v>12</v>
      </c>
      <c r="N136" t="str" cm="1">
        <f t="array" aca="1" ref="N136" ca="1">_xlfn.REGEXEXTRACT(C136, "\d{2}:\d{2}:\d{2}")</f>
        <v>08:54:48</v>
      </c>
      <c r="O136" t="str">
        <f t="shared" ca="1" si="22"/>
        <v>1mg/錠 バラ 500錠×1瓶</v>
      </c>
      <c r="P136" t="str">
        <f t="shared" ca="1" si="23"/>
        <v>1</v>
      </c>
    </row>
    <row r="137" spans="2:16" x14ac:dyDescent="0.45">
      <c r="B137">
        <f t="shared" si="16"/>
        <v>610</v>
      </c>
      <c r="C137" t="str">
        <f ca="1">_xlfn.CONCAT(OFFSET(元!$B$10,'1行'!B137,0)," ",OFFSET(元!$B$12,'1行'!B137,0))</f>
        <v>2026/03/25 2026/04/01 クービビック錠25mg 塩野義製薬 1 13 08:54:48 25mg/錠 PTP 10錠×10 4987087043143 1 0</v>
      </c>
      <c r="D137" cm="1">
        <f t="array" aca="1" ref="D137" ca="1">INDEX(_xlfn.FILTERXML("&lt;t&gt;&lt;s&gt;" &amp; SUBSTITUTE(C137," ","&lt;/s&gt;&lt;s&gt;") &amp; "&lt;/s&gt;&lt;/t&gt;","//s[number(.)=number(.)]"),
       COUNT(_xlfn.FILTERXML("&lt;t&gt;&lt;s&gt;" &amp; SUBSTITUTE(C137," ","&lt;/s&gt;&lt;s&gt;") &amp; "&lt;/s&gt;&lt;/t&gt;","//s[number(.)=number(.)]"))-1)</f>
        <v>1</v>
      </c>
      <c r="E137" cm="1">
        <f t="array" aca="1" ref="E137" ca="1">INDEX(_xlfn.FILTERXML("&lt;t&gt;&lt;s&gt;" &amp; SUBSTITUTE(C137," ","&lt;/s&gt;&lt;s&gt;") &amp; "&lt;/s&gt;&lt;/t&gt;","//s[number(.)=number(.)]"),
       COUNT(_xlfn.FILTERXML("&lt;t&gt;&lt;s&gt;" &amp; SUBSTITUTE(C137," ","&lt;/s&gt;&lt;s&gt;") &amp; "&lt;/s&gt;&lt;/t&gt;","//s[number(.)=number(.)]")))</f>
        <v>0</v>
      </c>
      <c r="F137" s="4" t="str">
        <f t="shared" ca="1" si="17"/>
        <v>4987087043143</v>
      </c>
      <c r="G137" s="4" t="str">
        <f t="shared" ca="1" si="18"/>
        <v>2026/03/25</v>
      </c>
      <c r="H137" t="str">
        <f t="shared" ca="1" si="19"/>
        <v>2026/04/01</v>
      </c>
      <c r="I137" t="str">
        <f t="shared" ca="1" si="20"/>
        <v>クービビック錠25mg 塩野義製薬</v>
      </c>
      <c r="J137" t="str">
        <f t="shared" ca="1" si="21"/>
        <v xml:space="preserve">クービビック錠25mg </v>
      </c>
      <c r="K137" t="str" cm="1">
        <f t="array" aca="1" ref="K137" ca="1">_xlfn.LET(
  _xlpm.s, SUBSTITUTE(SUBSTITUTE(I137," ",""),"　",""),
  _xlpm.dic, SUBSTITUTE(SUBSTITUTE(メーカー!$A$1:$A$100," ",""),"　",""),
  _xlpm.pos, MATCH(TRUE, RIGHT(_xlpm.s, LEN(_xlpm.dic)) = _xlpm.dic, 0),
  INDEX(メーカー!$A$1:$A$100, _xlpm.pos)
)</f>
        <v>塩野義製薬</v>
      </c>
      <c r="L137" cm="1">
        <f t="array" aca="1" ref="L137" ca="1">INDEX(_xlfn.FILTERXML("&lt;t&gt;&lt;s&gt;" &amp; SUBSTITUTE(MID(C137,23,999)," ","&lt;/s&gt;&lt;s&gt;") &amp; "&lt;/s&gt;&lt;/t&gt;","//s[number(.)=number(.)]"),1)</f>
        <v>1</v>
      </c>
      <c r="M137" cm="1">
        <f t="array" aca="1" ref="M137" ca="1">INDEX(
  _xlfn.FILTERXML("&lt;t&gt;&lt;s&gt;" &amp; SUBSTITUTE(MID(C137, 22 + LEN(I137) + 1, 999), " ", "&lt;/s&gt;&lt;s&gt;") &amp; "&lt;/s&gt;&lt;/t&gt;",
            "//s[number(.)=number(.)]"),
  2
)</f>
        <v>13</v>
      </c>
      <c r="N137" t="str" cm="1">
        <f t="array" aca="1" ref="N137" ca="1">_xlfn.REGEXEXTRACT(C137, "\d{2}:\d{2}:\d{2}")</f>
        <v>08:54:48</v>
      </c>
      <c r="O137" t="str">
        <f t="shared" ca="1" si="22"/>
        <v>25mg/錠 PTP 10錠×10</v>
      </c>
      <c r="P137" t="str">
        <f t="shared" ca="1" si="23"/>
        <v>1</v>
      </c>
    </row>
    <row r="138" spans="2:16" x14ac:dyDescent="0.45">
      <c r="B138">
        <f t="shared" si="16"/>
        <v>614</v>
      </c>
      <c r="C138" t="str">
        <f ca="1">_xlfn.CONCAT(OFFSET(元!$B$10,'1行'!B138,0)," ",OFFSET(元!$B$12,'1行'!B138,0))</f>
        <v>2026/03/25 2026/04/01 ムコスタ点眼液UD2% 大塚製薬 1 14 08:54:48 2%0.35mL1本×112本4987035515616 1 0</v>
      </c>
      <c r="D138" cm="1">
        <f t="array" aca="1" ref="D138" ca="1">INDEX(_xlfn.FILTERXML("&lt;t&gt;&lt;s&gt;" &amp; SUBSTITUTE(C138," ","&lt;/s&gt;&lt;s&gt;") &amp; "&lt;/s&gt;&lt;/t&gt;","//s[number(.)=number(.)]"),
       COUNT(_xlfn.FILTERXML("&lt;t&gt;&lt;s&gt;" &amp; SUBSTITUTE(C138," ","&lt;/s&gt;&lt;s&gt;") &amp; "&lt;/s&gt;&lt;/t&gt;","//s[number(.)=number(.)]"))-1)</f>
        <v>1</v>
      </c>
      <c r="E138" cm="1">
        <f t="array" aca="1" ref="E138" ca="1">INDEX(_xlfn.FILTERXML("&lt;t&gt;&lt;s&gt;" &amp; SUBSTITUTE(C138," ","&lt;/s&gt;&lt;s&gt;") &amp; "&lt;/s&gt;&lt;/t&gt;","//s[number(.)=number(.)]"),
       COUNT(_xlfn.FILTERXML("&lt;t&gt;&lt;s&gt;" &amp; SUBSTITUTE(C138," ","&lt;/s&gt;&lt;s&gt;") &amp; "&lt;/s&gt;&lt;/t&gt;","//s[number(.)=number(.)]")))</f>
        <v>0</v>
      </c>
      <c r="F138" s="4" t="str">
        <f t="shared" ca="1" si="17"/>
        <v>4987035515616</v>
      </c>
      <c r="G138" s="4" t="str">
        <f t="shared" ca="1" si="18"/>
        <v>2026/03/25</v>
      </c>
      <c r="H138" t="str">
        <f t="shared" ca="1" si="19"/>
        <v>2026/04/01</v>
      </c>
      <c r="I138" t="str">
        <f t="shared" ca="1" si="20"/>
        <v>ムコスタ点眼液UD2% 大塚製薬</v>
      </c>
      <c r="J138" t="str">
        <f t="shared" ca="1" si="21"/>
        <v xml:space="preserve">ムコスタ点眼液UD2% </v>
      </c>
      <c r="K138" t="str" cm="1">
        <f t="array" aca="1" ref="K138" ca="1">_xlfn.LET(
  _xlpm.s, SUBSTITUTE(SUBSTITUTE(I138," ",""),"　",""),
  _xlpm.dic, SUBSTITUTE(SUBSTITUTE(メーカー!$A$1:$A$100," ",""),"　",""),
  _xlpm.pos, MATCH(TRUE, RIGHT(_xlpm.s, LEN(_xlpm.dic)) = _xlpm.dic, 0),
  INDEX(メーカー!$A$1:$A$100, _xlpm.pos)
)</f>
        <v>大塚製薬</v>
      </c>
      <c r="L138" cm="1">
        <f t="array" aca="1" ref="L138" ca="1">INDEX(_xlfn.FILTERXML("&lt;t&gt;&lt;s&gt;" &amp; SUBSTITUTE(MID(C138,23,999)," ","&lt;/s&gt;&lt;s&gt;") &amp; "&lt;/s&gt;&lt;/t&gt;","//s[number(.)=number(.)]"),1)</f>
        <v>1</v>
      </c>
      <c r="M138" cm="1">
        <f t="array" aca="1" ref="M138" ca="1">INDEX(
  _xlfn.FILTERXML("&lt;t&gt;&lt;s&gt;" &amp; SUBSTITUTE(MID(C138, 22 + LEN(I138) + 1, 999), " ", "&lt;/s&gt;&lt;s&gt;") &amp; "&lt;/s&gt;&lt;/t&gt;",
            "//s[number(.)=number(.)]"),
  2
)</f>
        <v>14</v>
      </c>
      <c r="N138" t="str" cm="1">
        <f t="array" aca="1" ref="N138" ca="1">_xlfn.REGEXEXTRACT(C138, "\d{2}:\d{2}:\d{2}")</f>
        <v>08:54:48</v>
      </c>
      <c r="O138" t="str">
        <f t="shared" ca="1" si="22"/>
        <v>2%0.35mL1本×112本</v>
      </c>
      <c r="P138" t="str">
        <f t="shared" ca="1" si="23"/>
        <v>1</v>
      </c>
    </row>
    <row r="139" spans="2:16" x14ac:dyDescent="0.45">
      <c r="B139">
        <f t="shared" si="16"/>
        <v>618</v>
      </c>
      <c r="C139" t="str">
        <f ca="1">_xlfn.CONCAT(OFFSET(元!$B$10,'1行'!B139,0)," ",OFFSET(元!$B$12,'1行'!B139,0))</f>
        <v>2026/03/25 2026/04/01 カロナール錠200 あゆみ製薬 1 15 08:54:48 200mg/錠 バラ 500錠×1瓶4987896011029 1 0</v>
      </c>
      <c r="D139" cm="1">
        <f t="array" aca="1" ref="D139" ca="1">INDEX(_xlfn.FILTERXML("&lt;t&gt;&lt;s&gt;" &amp; SUBSTITUTE(C139," ","&lt;/s&gt;&lt;s&gt;") &amp; "&lt;/s&gt;&lt;/t&gt;","//s[number(.)=number(.)]"),
       COUNT(_xlfn.FILTERXML("&lt;t&gt;&lt;s&gt;" &amp; SUBSTITUTE(C139," ","&lt;/s&gt;&lt;s&gt;") &amp; "&lt;/s&gt;&lt;/t&gt;","//s[number(.)=number(.)]"))-1)</f>
        <v>1</v>
      </c>
      <c r="E139" cm="1">
        <f t="array" aca="1" ref="E139" ca="1">INDEX(_xlfn.FILTERXML("&lt;t&gt;&lt;s&gt;" &amp; SUBSTITUTE(C139," ","&lt;/s&gt;&lt;s&gt;") &amp; "&lt;/s&gt;&lt;/t&gt;","//s[number(.)=number(.)]"),
       COUNT(_xlfn.FILTERXML("&lt;t&gt;&lt;s&gt;" &amp; SUBSTITUTE(C139," ","&lt;/s&gt;&lt;s&gt;") &amp; "&lt;/s&gt;&lt;/t&gt;","//s[number(.)=number(.)]")))</f>
        <v>0</v>
      </c>
      <c r="F139" s="4" t="str">
        <f t="shared" ca="1" si="17"/>
        <v>4987896011029</v>
      </c>
      <c r="G139" s="4" t="str">
        <f t="shared" ca="1" si="18"/>
        <v>2026/03/25</v>
      </c>
      <c r="H139" t="str">
        <f t="shared" ca="1" si="19"/>
        <v>2026/04/01</v>
      </c>
      <c r="I139" t="str">
        <f t="shared" ca="1" si="20"/>
        <v>カロナール錠200 あゆみ製薬</v>
      </c>
      <c r="J139" t="str">
        <f t="shared" ca="1" si="21"/>
        <v xml:space="preserve">カロナール錠200 </v>
      </c>
      <c r="K139" t="str" cm="1">
        <f t="array" aca="1" ref="K139" ca="1">_xlfn.LET(
  _xlpm.s, SUBSTITUTE(SUBSTITUTE(I139," ",""),"　",""),
  _xlpm.dic, SUBSTITUTE(SUBSTITUTE(メーカー!$A$1:$A$100," ",""),"　",""),
  _xlpm.pos, MATCH(TRUE, RIGHT(_xlpm.s, LEN(_xlpm.dic)) = _xlpm.dic, 0),
  INDEX(メーカー!$A$1:$A$100, _xlpm.pos)
)</f>
        <v>あゆみ製薬</v>
      </c>
      <c r="L139" cm="1">
        <f t="array" aca="1" ref="L139" ca="1">INDEX(_xlfn.FILTERXML("&lt;t&gt;&lt;s&gt;" &amp; SUBSTITUTE(MID(C139,23,999)," ","&lt;/s&gt;&lt;s&gt;") &amp; "&lt;/s&gt;&lt;/t&gt;","//s[number(.)=number(.)]"),1)</f>
        <v>1</v>
      </c>
      <c r="M139" cm="1">
        <f t="array" aca="1" ref="M139" ca="1">INDEX(
  _xlfn.FILTERXML("&lt;t&gt;&lt;s&gt;" &amp; SUBSTITUTE(MID(C139, 22 + LEN(I139) + 1, 999), " ", "&lt;/s&gt;&lt;s&gt;") &amp; "&lt;/s&gt;&lt;/t&gt;",
            "//s[number(.)=number(.)]"),
  2
)</f>
        <v>15</v>
      </c>
      <c r="N139" t="str" cm="1">
        <f t="array" aca="1" ref="N139" ca="1">_xlfn.REGEXEXTRACT(C139, "\d{2}:\d{2}:\d{2}")</f>
        <v>08:54:48</v>
      </c>
      <c r="O139" t="str">
        <f t="shared" ca="1" si="22"/>
        <v>200mg/錠 バラ 500錠×1瓶</v>
      </c>
      <c r="P139" t="str">
        <f t="shared" ca="1" si="23"/>
        <v>1</v>
      </c>
    </row>
    <row r="140" spans="2:16" x14ac:dyDescent="0.45">
      <c r="B140">
        <f t="shared" si="16"/>
        <v>622</v>
      </c>
      <c r="C140" t="str">
        <f ca="1">_xlfn.CONCAT(OFFSET(元!$B$10,'1行'!B140,0)," ",OFFSET(元!$B$12,'1行'!B140,0))</f>
        <v>2026/03/25 2026/04/01 ビラノアOD錠20mg Ｍｅｉｊｉ　Ｓｅｉｋａ　ファル 1 16 08:54:48 20mg/錠 PTP 10錠×50 4987222002103 1 0</v>
      </c>
      <c r="D140" cm="1">
        <f t="array" aca="1" ref="D140" ca="1">INDEX(_xlfn.FILTERXML("&lt;t&gt;&lt;s&gt;" &amp; SUBSTITUTE(C140," ","&lt;/s&gt;&lt;s&gt;") &amp; "&lt;/s&gt;&lt;/t&gt;","//s[number(.)=number(.)]"),
       COUNT(_xlfn.FILTERXML("&lt;t&gt;&lt;s&gt;" &amp; SUBSTITUTE(C140," ","&lt;/s&gt;&lt;s&gt;") &amp; "&lt;/s&gt;&lt;/t&gt;","//s[number(.)=number(.)]"))-1)</f>
        <v>1</v>
      </c>
      <c r="E140" cm="1">
        <f t="array" aca="1" ref="E140" ca="1">INDEX(_xlfn.FILTERXML("&lt;t&gt;&lt;s&gt;" &amp; SUBSTITUTE(C140," ","&lt;/s&gt;&lt;s&gt;") &amp; "&lt;/s&gt;&lt;/t&gt;","//s[number(.)=number(.)]"),
       COUNT(_xlfn.FILTERXML("&lt;t&gt;&lt;s&gt;" &amp; SUBSTITUTE(C140," ","&lt;/s&gt;&lt;s&gt;") &amp; "&lt;/s&gt;&lt;/t&gt;","//s[number(.)=number(.)]")))</f>
        <v>0</v>
      </c>
      <c r="F140" s="4" t="str">
        <f t="shared" ca="1" si="17"/>
        <v>4987222002103</v>
      </c>
      <c r="G140" s="4" t="str">
        <f t="shared" ca="1" si="18"/>
        <v>2026/03/25</v>
      </c>
      <c r="H140" t="str">
        <f t="shared" ca="1" si="19"/>
        <v>2026/04/01</v>
      </c>
      <c r="I140" t="str">
        <f t="shared" ca="1" si="20"/>
        <v>ビラノアOD錠20mg Ｍｅｉｊｉ　Ｓｅｉｋａ　ファル</v>
      </c>
      <c r="J140" t="str">
        <f t="shared" ca="1" si="21"/>
        <v xml:space="preserve">ビラノアOD錠20mg </v>
      </c>
      <c r="K140" t="str" cm="1">
        <f t="array" aca="1" ref="K140" ca="1">_xlfn.LET(
  _xlpm.s, SUBSTITUTE(SUBSTITUTE(I140," ",""),"　",""),
  _xlpm.dic, SUBSTITUTE(SUBSTITUTE(メーカー!$A$1:$A$100," ",""),"　",""),
  _xlpm.pos, MATCH(TRUE, RIGHT(_xlpm.s, LEN(_xlpm.dic)) = _xlpm.dic, 0),
  INDEX(メーカー!$A$1:$A$100, _xlpm.pos)
)</f>
        <v>Ｍｅｉｊｉ Ｓｅｉｋａ ファル</v>
      </c>
      <c r="L140" cm="1">
        <f t="array" aca="1" ref="L140" ca="1">INDEX(_xlfn.FILTERXML("&lt;t&gt;&lt;s&gt;" &amp; SUBSTITUTE(MID(C140,23,999)," ","&lt;/s&gt;&lt;s&gt;") &amp; "&lt;/s&gt;&lt;/t&gt;","//s[number(.)=number(.)]"),1)</f>
        <v>1</v>
      </c>
      <c r="M140" cm="1">
        <f t="array" aca="1" ref="M140" ca="1">INDEX(
  _xlfn.FILTERXML("&lt;t&gt;&lt;s&gt;" &amp; SUBSTITUTE(MID(C140, 22 + LEN(I140) + 1, 999), " ", "&lt;/s&gt;&lt;s&gt;") &amp; "&lt;/s&gt;&lt;/t&gt;",
            "//s[number(.)=number(.)]"),
  2
)</f>
        <v>16</v>
      </c>
      <c r="N140" t="str" cm="1">
        <f t="array" aca="1" ref="N140" ca="1">_xlfn.REGEXEXTRACT(C140, "\d{2}:\d{2}:\d{2}")</f>
        <v>08:54:48</v>
      </c>
      <c r="O140" t="str">
        <f t="shared" ca="1" si="22"/>
        <v>20mg/錠 PTP 10錠×50</v>
      </c>
      <c r="P140" t="str">
        <f t="shared" ca="1" si="23"/>
        <v>1</v>
      </c>
    </row>
    <row r="141" spans="2:16" x14ac:dyDescent="0.45">
      <c r="B141">
        <f t="shared" si="16"/>
        <v>626</v>
      </c>
      <c r="C141" t="str">
        <f ca="1">_xlfn.CONCAT(OFFSET(元!$B$10,'1行'!B141,0)," ",OFFSET(元!$B$12,'1行'!B141,0))</f>
        <v>2026/03/25 2026/04/01 アリドネパッチ27.5mg 興和 3 17 08:54:48 27.5mg1枚 1枚×28袋4987770525703 3 0</v>
      </c>
      <c r="D141" cm="1">
        <f t="array" aca="1" ref="D141" ca="1">INDEX(_xlfn.FILTERXML("&lt;t&gt;&lt;s&gt;" &amp; SUBSTITUTE(C141," ","&lt;/s&gt;&lt;s&gt;") &amp; "&lt;/s&gt;&lt;/t&gt;","//s[number(.)=number(.)]"),
       COUNT(_xlfn.FILTERXML("&lt;t&gt;&lt;s&gt;" &amp; SUBSTITUTE(C141," ","&lt;/s&gt;&lt;s&gt;") &amp; "&lt;/s&gt;&lt;/t&gt;","//s[number(.)=number(.)]"))-1)</f>
        <v>3</v>
      </c>
      <c r="E141" cm="1">
        <f t="array" aca="1" ref="E141" ca="1">INDEX(_xlfn.FILTERXML("&lt;t&gt;&lt;s&gt;" &amp; SUBSTITUTE(C141," ","&lt;/s&gt;&lt;s&gt;") &amp; "&lt;/s&gt;&lt;/t&gt;","//s[number(.)=number(.)]"),
       COUNT(_xlfn.FILTERXML("&lt;t&gt;&lt;s&gt;" &amp; SUBSTITUTE(C141," ","&lt;/s&gt;&lt;s&gt;") &amp; "&lt;/s&gt;&lt;/t&gt;","//s[number(.)=number(.)]")))</f>
        <v>0</v>
      </c>
      <c r="F141" s="4" t="str">
        <f t="shared" ca="1" si="17"/>
        <v>4987770525703</v>
      </c>
      <c r="G141" s="4" t="str">
        <f t="shared" ca="1" si="18"/>
        <v>2026/03/25</v>
      </c>
      <c r="H141" t="str">
        <f t="shared" ca="1" si="19"/>
        <v>2026/04/01</v>
      </c>
      <c r="I141" t="str">
        <f t="shared" ca="1" si="20"/>
        <v>アリドネパッチ27.5mg 興和</v>
      </c>
      <c r="J141" t="str">
        <f t="shared" ca="1" si="21"/>
        <v xml:space="preserve">アリドネパッチ27.5mg </v>
      </c>
      <c r="K141" t="str" cm="1">
        <f t="array" aca="1" ref="K141" ca="1">_xlfn.LET(
  _xlpm.s, SUBSTITUTE(SUBSTITUTE(I141," ",""),"　",""),
  _xlpm.dic, SUBSTITUTE(SUBSTITUTE(メーカー!$A$1:$A$100," ",""),"　",""),
  _xlpm.pos, MATCH(TRUE, RIGHT(_xlpm.s, LEN(_xlpm.dic)) = _xlpm.dic, 0),
  INDEX(メーカー!$A$1:$A$100, _xlpm.pos)
)</f>
        <v>興和</v>
      </c>
      <c r="L141" cm="1">
        <f t="array" aca="1" ref="L141" ca="1">INDEX(_xlfn.FILTERXML("&lt;t&gt;&lt;s&gt;" &amp; SUBSTITUTE(MID(C141,23,999)," ","&lt;/s&gt;&lt;s&gt;") &amp; "&lt;/s&gt;&lt;/t&gt;","//s[number(.)=number(.)]"),1)</f>
        <v>3</v>
      </c>
      <c r="M141" cm="1">
        <f t="array" aca="1" ref="M141" ca="1">INDEX(
  _xlfn.FILTERXML("&lt;t&gt;&lt;s&gt;" &amp; SUBSTITUTE(MID(C141, 22 + LEN(I141) + 1, 999), " ", "&lt;/s&gt;&lt;s&gt;") &amp; "&lt;/s&gt;&lt;/t&gt;",
            "//s[number(.)=number(.)]"),
  2
)</f>
        <v>17</v>
      </c>
      <c r="N141" t="str" cm="1">
        <f t="array" aca="1" ref="N141" ca="1">_xlfn.REGEXEXTRACT(C141, "\d{2}:\d{2}:\d{2}")</f>
        <v>08:54:48</v>
      </c>
      <c r="O141" t="str">
        <f t="shared" ca="1" si="22"/>
        <v>27.5mg1枚 1枚×28袋</v>
      </c>
      <c r="P141" t="str">
        <f t="shared" ca="1" si="23"/>
        <v>3</v>
      </c>
    </row>
    <row r="142" spans="2:16" x14ac:dyDescent="0.45">
      <c r="B142" s="3">
        <f>B141+10</f>
        <v>636</v>
      </c>
      <c r="C142" t="str">
        <f ca="1">_xlfn.CONCAT(OFFSET(元!$B$10,'1行'!B142,0)," ",OFFSET(元!$B$12,'1行'!B142,0))</f>
        <v>2026/03/26 2026/03/26 オロパタジン塩酸塩OD錠5mg「トーワ」東和薬品 1 1 15:43:55 5mg/錠 PTP 10錠×10 4987155095128 1 0</v>
      </c>
      <c r="D142" cm="1">
        <f t="array" aca="1" ref="D142" ca="1">INDEX(_xlfn.FILTERXML("&lt;t&gt;&lt;s&gt;" &amp; SUBSTITUTE(C142," ","&lt;/s&gt;&lt;s&gt;") &amp; "&lt;/s&gt;&lt;/t&gt;","//s[number(.)=number(.)]"),
       COUNT(_xlfn.FILTERXML("&lt;t&gt;&lt;s&gt;" &amp; SUBSTITUTE(C142," ","&lt;/s&gt;&lt;s&gt;") &amp; "&lt;/s&gt;&lt;/t&gt;","//s[number(.)=number(.)]"))-1)</f>
        <v>1</v>
      </c>
      <c r="E142" cm="1">
        <f t="array" aca="1" ref="E142" ca="1">INDEX(_xlfn.FILTERXML("&lt;t&gt;&lt;s&gt;" &amp; SUBSTITUTE(C142," ","&lt;/s&gt;&lt;s&gt;") &amp; "&lt;/s&gt;&lt;/t&gt;","//s[number(.)=number(.)]"),
       COUNT(_xlfn.FILTERXML("&lt;t&gt;&lt;s&gt;" &amp; SUBSTITUTE(C142," ","&lt;/s&gt;&lt;s&gt;") &amp; "&lt;/s&gt;&lt;/t&gt;","//s[number(.)=number(.)]")))</f>
        <v>0</v>
      </c>
      <c r="F142" s="4" t="str">
        <f t="shared" ca="1" si="17"/>
        <v>4987155095128</v>
      </c>
      <c r="G142" s="4" t="str">
        <f t="shared" ca="1" si="18"/>
        <v>2026/03/26</v>
      </c>
      <c r="H142" t="str">
        <f t="shared" ca="1" si="19"/>
        <v>2026/03/26</v>
      </c>
      <c r="I142" t="str">
        <f t="shared" ca="1" si="20"/>
        <v>オロパタジン塩酸塩OD錠5mg「トーワ」東和薬品</v>
      </c>
      <c r="J142" t="str">
        <f t="shared" ca="1" si="21"/>
        <v>オロパタジン塩酸塩OD錠5mg「トーワ」</v>
      </c>
      <c r="K142" t="str" cm="1">
        <f t="array" aca="1" ref="K142" ca="1">_xlfn.LET(
  _xlpm.s, SUBSTITUTE(SUBSTITUTE(I142," ",""),"　",""),
  _xlpm.dic, SUBSTITUTE(SUBSTITUTE(メーカー!$A$1:$A$100," ",""),"　",""),
  _xlpm.pos, MATCH(TRUE, RIGHT(_xlpm.s, LEN(_xlpm.dic)) = _xlpm.dic, 0),
  INDEX(メーカー!$A$1:$A$100, _xlpm.pos)
)</f>
        <v>東和薬品</v>
      </c>
      <c r="L142" cm="1">
        <f t="array" aca="1" ref="L142" ca="1">INDEX(_xlfn.FILTERXML("&lt;t&gt;&lt;s&gt;" &amp; SUBSTITUTE(MID(C142,23,999)," ","&lt;/s&gt;&lt;s&gt;") &amp; "&lt;/s&gt;&lt;/t&gt;","//s[number(.)=number(.)]"),1)</f>
        <v>1</v>
      </c>
      <c r="M142" cm="1">
        <f t="array" aca="1" ref="M142" ca="1">INDEX(
  _xlfn.FILTERXML("&lt;t&gt;&lt;s&gt;" &amp; SUBSTITUTE(MID(C142, 22 + LEN(I142) + 1, 999), " ", "&lt;/s&gt;&lt;s&gt;") &amp; "&lt;/s&gt;&lt;/t&gt;",
            "//s[number(.)=number(.)]"),
  2
)</f>
        <v>1</v>
      </c>
      <c r="N142" t="str" cm="1">
        <f t="array" aca="1" ref="N142" ca="1">_xlfn.REGEXEXTRACT(C142, "\d{2}:\d{2}:\d{2}")</f>
        <v>15:43:55</v>
      </c>
      <c r="O142" t="str">
        <f t="shared" ca="1" si="22"/>
        <v>5mg/錠 PTP 10錠×10</v>
      </c>
      <c r="P142" t="str">
        <f t="shared" ca="1" si="23"/>
        <v>1</v>
      </c>
    </row>
    <row r="143" spans="2:16" x14ac:dyDescent="0.45">
      <c r="B143">
        <f t="shared" si="16"/>
        <v>640</v>
      </c>
      <c r="C143" t="str">
        <f ca="1">_xlfn.CONCAT(OFFSET(元!$B$10,'1行'!B143,0)," ",OFFSET(元!$B$12,'1行'!B143,0))</f>
        <v>2026/03/25 2026/04/01 エスシタロプラムOD錠10mg「トーワ」東和薬品 2 2 08:54:48 10mg/錠 PTP 10錠×10 4987155159172 2 0</v>
      </c>
      <c r="D143" cm="1">
        <f t="array" aca="1" ref="D143" ca="1">INDEX(_xlfn.FILTERXML("&lt;t&gt;&lt;s&gt;" &amp; SUBSTITUTE(C143," ","&lt;/s&gt;&lt;s&gt;") &amp; "&lt;/s&gt;&lt;/t&gt;","//s[number(.)=number(.)]"),
       COUNT(_xlfn.FILTERXML("&lt;t&gt;&lt;s&gt;" &amp; SUBSTITUTE(C143," ","&lt;/s&gt;&lt;s&gt;") &amp; "&lt;/s&gt;&lt;/t&gt;","//s[number(.)=number(.)]"))-1)</f>
        <v>2</v>
      </c>
      <c r="E143" cm="1">
        <f t="array" aca="1" ref="E143" ca="1">INDEX(_xlfn.FILTERXML("&lt;t&gt;&lt;s&gt;" &amp; SUBSTITUTE(C143," ","&lt;/s&gt;&lt;s&gt;") &amp; "&lt;/s&gt;&lt;/t&gt;","//s[number(.)=number(.)]"),
       COUNT(_xlfn.FILTERXML("&lt;t&gt;&lt;s&gt;" &amp; SUBSTITUTE(C143," ","&lt;/s&gt;&lt;s&gt;") &amp; "&lt;/s&gt;&lt;/t&gt;","//s[number(.)=number(.)]")))</f>
        <v>0</v>
      </c>
      <c r="F143" s="4" t="str">
        <f t="shared" ca="1" si="17"/>
        <v>4987155159172</v>
      </c>
      <c r="G143" s="4" t="str">
        <f t="shared" ca="1" si="18"/>
        <v>2026/03/25</v>
      </c>
      <c r="H143" t="str">
        <f t="shared" ca="1" si="19"/>
        <v>2026/04/01</v>
      </c>
      <c r="I143" t="str">
        <f t="shared" ca="1" si="20"/>
        <v>エスシタロプラムOD錠10mg「トーワ」東和薬品</v>
      </c>
      <c r="J143" t="str">
        <f t="shared" ca="1" si="21"/>
        <v>エスシタロプラムOD錠10mg「トーワ」</v>
      </c>
      <c r="K143" t="str" cm="1">
        <f t="array" aca="1" ref="K143" ca="1">_xlfn.LET(
  _xlpm.s, SUBSTITUTE(SUBSTITUTE(I143," ",""),"　",""),
  _xlpm.dic, SUBSTITUTE(SUBSTITUTE(メーカー!$A$1:$A$100," ",""),"　",""),
  _xlpm.pos, MATCH(TRUE, RIGHT(_xlpm.s, LEN(_xlpm.dic)) = _xlpm.dic, 0),
  INDEX(メーカー!$A$1:$A$100, _xlpm.pos)
)</f>
        <v>東和薬品</v>
      </c>
      <c r="L143" cm="1">
        <f t="array" aca="1" ref="L143" ca="1">INDEX(_xlfn.FILTERXML("&lt;t&gt;&lt;s&gt;" &amp; SUBSTITUTE(MID(C143,23,999)," ","&lt;/s&gt;&lt;s&gt;") &amp; "&lt;/s&gt;&lt;/t&gt;","//s[number(.)=number(.)]"),1)</f>
        <v>2</v>
      </c>
      <c r="M143" cm="1">
        <f t="array" aca="1" ref="M143" ca="1">INDEX(
  _xlfn.FILTERXML("&lt;t&gt;&lt;s&gt;" &amp; SUBSTITUTE(MID(C143, 22 + LEN(I143) + 1, 999), " ", "&lt;/s&gt;&lt;s&gt;") &amp; "&lt;/s&gt;&lt;/t&gt;",
            "//s[number(.)=number(.)]"),
  2
)</f>
        <v>2</v>
      </c>
      <c r="N143" t="str" cm="1">
        <f t="array" aca="1" ref="N143" ca="1">_xlfn.REGEXEXTRACT(C143, "\d{2}:\d{2}:\d{2}")</f>
        <v>08:54:48</v>
      </c>
      <c r="O143" t="str">
        <f t="shared" ca="1" si="22"/>
        <v>10mg/錠 PTP 10錠×10</v>
      </c>
      <c r="P143" t="str">
        <f t="shared" ca="1" si="23"/>
        <v>2</v>
      </c>
    </row>
    <row r="144" spans="2:16" x14ac:dyDescent="0.45">
      <c r="B144" s="3">
        <f>B143+20</f>
        <v>660</v>
      </c>
      <c r="C144" t="str">
        <f ca="1">_xlfn.CONCAT(OFFSET(元!$B$10,'1行'!B144,0)," ",OFFSET(元!$B$12,'1行'!B144,0))</f>
        <v>2026/03/25 2026/04/01 ボグリボースOD錠0.2mg「トーワ」東和薬品 1 3 08:54:48 0.2mg/錠 PTP 10錠×10 4987155881011 1 0</v>
      </c>
      <c r="D144" cm="1">
        <f t="array" aca="1" ref="D144" ca="1">INDEX(_xlfn.FILTERXML("&lt;t&gt;&lt;s&gt;" &amp; SUBSTITUTE(C144," ","&lt;/s&gt;&lt;s&gt;") &amp; "&lt;/s&gt;&lt;/t&gt;","//s[number(.)=number(.)]"),
       COUNT(_xlfn.FILTERXML("&lt;t&gt;&lt;s&gt;" &amp; SUBSTITUTE(C144," ","&lt;/s&gt;&lt;s&gt;") &amp; "&lt;/s&gt;&lt;/t&gt;","//s[number(.)=number(.)]"))-1)</f>
        <v>1</v>
      </c>
      <c r="E144" cm="1">
        <f t="array" aca="1" ref="E144" ca="1">INDEX(_xlfn.FILTERXML("&lt;t&gt;&lt;s&gt;" &amp; SUBSTITUTE(C144," ","&lt;/s&gt;&lt;s&gt;") &amp; "&lt;/s&gt;&lt;/t&gt;","//s[number(.)=number(.)]"),
       COUNT(_xlfn.FILTERXML("&lt;t&gt;&lt;s&gt;" &amp; SUBSTITUTE(C144," ","&lt;/s&gt;&lt;s&gt;") &amp; "&lt;/s&gt;&lt;/t&gt;","//s[number(.)=number(.)]")))</f>
        <v>0</v>
      </c>
      <c r="F144" s="4" t="str">
        <f t="shared" ca="1" si="17"/>
        <v>4987155881011</v>
      </c>
      <c r="G144" s="4" t="str">
        <f t="shared" ca="1" si="18"/>
        <v>2026/03/25</v>
      </c>
      <c r="H144" t="str">
        <f t="shared" ca="1" si="19"/>
        <v>2026/04/01</v>
      </c>
      <c r="I144" t="str">
        <f t="shared" ca="1" si="20"/>
        <v>ボグリボースOD錠0.2mg「トーワ」東和薬品</v>
      </c>
      <c r="J144" t="str">
        <f t="shared" ca="1" si="21"/>
        <v>ボグリボースOD錠0.2mg「トーワ」</v>
      </c>
      <c r="K144" t="str" cm="1">
        <f t="array" aca="1" ref="K144" ca="1">_xlfn.LET(
  _xlpm.s, SUBSTITUTE(SUBSTITUTE(I144," ",""),"　",""),
  _xlpm.dic, SUBSTITUTE(SUBSTITUTE(メーカー!$A$1:$A$100," ",""),"　",""),
  _xlpm.pos, MATCH(TRUE, RIGHT(_xlpm.s, LEN(_xlpm.dic)) = _xlpm.dic, 0),
  INDEX(メーカー!$A$1:$A$100, _xlpm.pos)
)</f>
        <v>東和薬品</v>
      </c>
      <c r="L144" cm="1">
        <f t="array" aca="1" ref="L144" ca="1">INDEX(_xlfn.FILTERXML("&lt;t&gt;&lt;s&gt;" &amp; SUBSTITUTE(MID(C144,23,999)," ","&lt;/s&gt;&lt;s&gt;") &amp; "&lt;/s&gt;&lt;/t&gt;","//s[number(.)=number(.)]"),1)</f>
        <v>1</v>
      </c>
      <c r="M144" cm="1">
        <f t="array" aca="1" ref="M144" ca="1">INDEX(
  _xlfn.FILTERXML("&lt;t&gt;&lt;s&gt;" &amp; SUBSTITUTE(MID(C144, 22 + LEN(I144) + 1, 999), " ", "&lt;/s&gt;&lt;s&gt;") &amp; "&lt;/s&gt;&lt;/t&gt;",
            "//s[number(.)=number(.)]"),
  2
)</f>
        <v>3</v>
      </c>
      <c r="N144" t="str" cm="1">
        <f t="array" aca="1" ref="N144" ca="1">_xlfn.REGEXEXTRACT(C144, "\d{2}:\d{2}:\d{2}")</f>
        <v>08:54:48</v>
      </c>
      <c r="O144" t="str">
        <f t="shared" ca="1" si="22"/>
        <v>0.2mg/錠 PTP 10錠×10</v>
      </c>
      <c r="P144" t="str">
        <f t="shared" ca="1" si="23"/>
        <v>1</v>
      </c>
    </row>
    <row r="145" spans="2:16" x14ac:dyDescent="0.45">
      <c r="B145">
        <f t="shared" si="16"/>
        <v>664</v>
      </c>
      <c r="C145" t="str">
        <f ca="1">_xlfn.CONCAT(OFFSET(元!$B$10,'1行'!B145,0)," ",OFFSET(元!$B$12,'1行'!B145,0))</f>
        <v>2026/03/25 2026/04/01 レベチラセタム錠250mg「トーワ」東和薬品 2 4 08:54:48 250mg/錠 PTP 10錠×10 4987155155174 2 0</v>
      </c>
      <c r="D145" cm="1">
        <f t="array" aca="1" ref="D145" ca="1">INDEX(_xlfn.FILTERXML("&lt;t&gt;&lt;s&gt;" &amp; SUBSTITUTE(C145," ","&lt;/s&gt;&lt;s&gt;") &amp; "&lt;/s&gt;&lt;/t&gt;","//s[number(.)=number(.)]"),
       COUNT(_xlfn.FILTERXML("&lt;t&gt;&lt;s&gt;" &amp; SUBSTITUTE(C145," ","&lt;/s&gt;&lt;s&gt;") &amp; "&lt;/s&gt;&lt;/t&gt;","//s[number(.)=number(.)]"))-1)</f>
        <v>2</v>
      </c>
      <c r="E145" cm="1">
        <f t="array" aca="1" ref="E145" ca="1">INDEX(_xlfn.FILTERXML("&lt;t&gt;&lt;s&gt;" &amp; SUBSTITUTE(C145," ","&lt;/s&gt;&lt;s&gt;") &amp; "&lt;/s&gt;&lt;/t&gt;","//s[number(.)=number(.)]"),
       COUNT(_xlfn.FILTERXML("&lt;t&gt;&lt;s&gt;" &amp; SUBSTITUTE(C145," ","&lt;/s&gt;&lt;s&gt;") &amp; "&lt;/s&gt;&lt;/t&gt;","//s[number(.)=number(.)]")))</f>
        <v>0</v>
      </c>
      <c r="F145" s="4" t="str">
        <f t="shared" ca="1" si="17"/>
        <v>4987155155174</v>
      </c>
      <c r="G145" s="4" t="str">
        <f t="shared" ca="1" si="18"/>
        <v>2026/03/25</v>
      </c>
      <c r="H145" t="str">
        <f t="shared" ca="1" si="19"/>
        <v>2026/04/01</v>
      </c>
      <c r="I145" t="str">
        <f t="shared" ca="1" si="20"/>
        <v>レベチラセタム錠250mg「トーワ」東和薬品</v>
      </c>
      <c r="J145" t="str">
        <f t="shared" ca="1" si="21"/>
        <v>レベチラセタム錠250mg「トーワ」</v>
      </c>
      <c r="K145" t="str" cm="1">
        <f t="array" aca="1" ref="K145" ca="1">_xlfn.LET(
  _xlpm.s, SUBSTITUTE(SUBSTITUTE(I145," ",""),"　",""),
  _xlpm.dic, SUBSTITUTE(SUBSTITUTE(メーカー!$A$1:$A$100," ",""),"　",""),
  _xlpm.pos, MATCH(TRUE, RIGHT(_xlpm.s, LEN(_xlpm.dic)) = _xlpm.dic, 0),
  INDEX(メーカー!$A$1:$A$100, _xlpm.pos)
)</f>
        <v>東和薬品</v>
      </c>
      <c r="L145" cm="1">
        <f t="array" aca="1" ref="L145" ca="1">INDEX(_xlfn.FILTERXML("&lt;t&gt;&lt;s&gt;" &amp; SUBSTITUTE(MID(C145,23,999)," ","&lt;/s&gt;&lt;s&gt;") &amp; "&lt;/s&gt;&lt;/t&gt;","//s[number(.)=number(.)]"),1)</f>
        <v>2</v>
      </c>
      <c r="M145" cm="1">
        <f t="array" aca="1" ref="M145" ca="1">INDEX(
  _xlfn.FILTERXML("&lt;t&gt;&lt;s&gt;" &amp; SUBSTITUTE(MID(C145, 22 + LEN(I145) + 1, 999), " ", "&lt;/s&gt;&lt;s&gt;") &amp; "&lt;/s&gt;&lt;/t&gt;",
            "//s[number(.)=number(.)]"),
  2
)</f>
        <v>4</v>
      </c>
      <c r="N145" t="str" cm="1">
        <f t="array" aca="1" ref="N145" ca="1">_xlfn.REGEXEXTRACT(C145, "\d{2}:\d{2}:\d{2}")</f>
        <v>08:54:48</v>
      </c>
      <c r="O145" t="str">
        <f t="shared" ca="1" si="22"/>
        <v>250mg/錠 PTP 10錠×10</v>
      </c>
      <c r="P145" t="str">
        <f t="shared" ca="1" si="23"/>
        <v>2</v>
      </c>
    </row>
    <row r="146" spans="2:16" x14ac:dyDescent="0.45">
      <c r="B146">
        <f t="shared" si="16"/>
        <v>668</v>
      </c>
      <c r="C146" t="str">
        <f ca="1">_xlfn.CONCAT(OFFSET(元!$B$10,'1行'!B146,0)," ",OFFSET(元!$B$12,'1行'!B146,0))</f>
        <v>2026/03/25 2026/04/01 ソリフェナシンコハク酸塩OD錠5mg「トーワ」東和薬品 1 5 08:54:48 5mg/錠 PTP 10錠×10 4987155153071 1 0</v>
      </c>
      <c r="D146" cm="1">
        <f t="array" aca="1" ref="D146" ca="1">INDEX(_xlfn.FILTERXML("&lt;t&gt;&lt;s&gt;" &amp; SUBSTITUTE(C146," ","&lt;/s&gt;&lt;s&gt;") &amp; "&lt;/s&gt;&lt;/t&gt;","//s[number(.)=number(.)]"),
       COUNT(_xlfn.FILTERXML("&lt;t&gt;&lt;s&gt;" &amp; SUBSTITUTE(C146," ","&lt;/s&gt;&lt;s&gt;") &amp; "&lt;/s&gt;&lt;/t&gt;","//s[number(.)=number(.)]"))-1)</f>
        <v>1</v>
      </c>
      <c r="E146" cm="1">
        <f t="array" aca="1" ref="E146" ca="1">INDEX(_xlfn.FILTERXML("&lt;t&gt;&lt;s&gt;" &amp; SUBSTITUTE(C146," ","&lt;/s&gt;&lt;s&gt;") &amp; "&lt;/s&gt;&lt;/t&gt;","//s[number(.)=number(.)]"),
       COUNT(_xlfn.FILTERXML("&lt;t&gt;&lt;s&gt;" &amp; SUBSTITUTE(C146," ","&lt;/s&gt;&lt;s&gt;") &amp; "&lt;/s&gt;&lt;/t&gt;","//s[number(.)=number(.)]")))</f>
        <v>0</v>
      </c>
      <c r="F146" s="4" t="str">
        <f t="shared" ca="1" si="17"/>
        <v>4987155153071</v>
      </c>
      <c r="G146" s="4" t="str">
        <f t="shared" ca="1" si="18"/>
        <v>2026/03/25</v>
      </c>
      <c r="H146" t="str">
        <f t="shared" ca="1" si="19"/>
        <v>2026/04/01</v>
      </c>
      <c r="I146" t="str">
        <f t="shared" ca="1" si="20"/>
        <v>ソリフェナシンコハク酸塩OD錠5mg「トーワ」東和薬品</v>
      </c>
      <c r="J146" t="str">
        <f t="shared" ca="1" si="21"/>
        <v>ソリフェナシンコハク酸塩OD錠5mg「トーワ」</v>
      </c>
      <c r="K146" t="str" cm="1">
        <f t="array" aca="1" ref="K146" ca="1">_xlfn.LET(
  _xlpm.s, SUBSTITUTE(SUBSTITUTE(I146," ",""),"　",""),
  _xlpm.dic, SUBSTITUTE(SUBSTITUTE(メーカー!$A$1:$A$100," ",""),"　",""),
  _xlpm.pos, MATCH(TRUE, RIGHT(_xlpm.s, LEN(_xlpm.dic)) = _xlpm.dic, 0),
  INDEX(メーカー!$A$1:$A$100, _xlpm.pos)
)</f>
        <v>東和薬品</v>
      </c>
      <c r="L146" cm="1">
        <f t="array" aca="1" ref="L146" ca="1">INDEX(_xlfn.FILTERXML("&lt;t&gt;&lt;s&gt;" &amp; SUBSTITUTE(MID(C146,23,999)," ","&lt;/s&gt;&lt;s&gt;") &amp; "&lt;/s&gt;&lt;/t&gt;","//s[number(.)=number(.)]"),1)</f>
        <v>1</v>
      </c>
      <c r="M146" cm="1">
        <f t="array" aca="1" ref="M146" ca="1">INDEX(
  _xlfn.FILTERXML("&lt;t&gt;&lt;s&gt;" &amp; SUBSTITUTE(MID(C146, 22 + LEN(I146) + 1, 999), " ", "&lt;/s&gt;&lt;s&gt;") &amp; "&lt;/s&gt;&lt;/t&gt;",
            "//s[number(.)=number(.)]"),
  2
)</f>
        <v>5</v>
      </c>
      <c r="N146" t="str" cm="1">
        <f t="array" aca="1" ref="N146" ca="1">_xlfn.REGEXEXTRACT(C146, "\d{2}:\d{2}:\d{2}")</f>
        <v>08:54:48</v>
      </c>
      <c r="O146" t="str">
        <f t="shared" ca="1" si="22"/>
        <v>5mg/錠 PTP 10錠×10</v>
      </c>
      <c r="P146" t="str">
        <f t="shared" ca="1" si="23"/>
        <v>1</v>
      </c>
    </row>
    <row r="147" spans="2:16" x14ac:dyDescent="0.45">
      <c r="B147">
        <f t="shared" si="16"/>
        <v>672</v>
      </c>
      <c r="C147" t="str">
        <f ca="1">_xlfn.CONCAT(OFFSET(元!$B$10,'1行'!B147,0)," ",OFFSET(元!$B$12,'1行'!B147,0))</f>
        <v>2026/03/25 2026/04/01 エゼチミブOD錠10mg「トーワ」東和薬品 1 6 08:54:48 10mg/錠 PTP 10錠×10 4987155148190 1 0</v>
      </c>
      <c r="D147" cm="1">
        <f t="array" aca="1" ref="D147" ca="1">INDEX(_xlfn.FILTERXML("&lt;t&gt;&lt;s&gt;" &amp; SUBSTITUTE(C147," ","&lt;/s&gt;&lt;s&gt;") &amp; "&lt;/s&gt;&lt;/t&gt;","//s[number(.)=number(.)]"),
       COUNT(_xlfn.FILTERXML("&lt;t&gt;&lt;s&gt;" &amp; SUBSTITUTE(C147," ","&lt;/s&gt;&lt;s&gt;") &amp; "&lt;/s&gt;&lt;/t&gt;","//s[number(.)=number(.)]"))-1)</f>
        <v>1</v>
      </c>
      <c r="E147" cm="1">
        <f t="array" aca="1" ref="E147" ca="1">INDEX(_xlfn.FILTERXML("&lt;t&gt;&lt;s&gt;" &amp; SUBSTITUTE(C147," ","&lt;/s&gt;&lt;s&gt;") &amp; "&lt;/s&gt;&lt;/t&gt;","//s[number(.)=number(.)]"),
       COUNT(_xlfn.FILTERXML("&lt;t&gt;&lt;s&gt;" &amp; SUBSTITUTE(C147," ","&lt;/s&gt;&lt;s&gt;") &amp; "&lt;/s&gt;&lt;/t&gt;","//s[number(.)=number(.)]")))</f>
        <v>0</v>
      </c>
      <c r="F147" s="4" t="str">
        <f t="shared" ca="1" si="17"/>
        <v>4987155148190</v>
      </c>
      <c r="G147" s="4" t="str">
        <f t="shared" ca="1" si="18"/>
        <v>2026/03/25</v>
      </c>
      <c r="H147" t="str">
        <f t="shared" ca="1" si="19"/>
        <v>2026/04/01</v>
      </c>
      <c r="I147" t="str">
        <f t="shared" ca="1" si="20"/>
        <v>エゼチミブOD錠10mg「トーワ」東和薬品</v>
      </c>
      <c r="J147" t="str">
        <f t="shared" ca="1" si="21"/>
        <v>エゼチミブOD錠10mg「トーワ」</v>
      </c>
      <c r="K147" t="str" cm="1">
        <f t="array" aca="1" ref="K147" ca="1">_xlfn.LET(
  _xlpm.s, SUBSTITUTE(SUBSTITUTE(I147," ",""),"　",""),
  _xlpm.dic, SUBSTITUTE(SUBSTITUTE(メーカー!$A$1:$A$100," ",""),"　",""),
  _xlpm.pos, MATCH(TRUE, RIGHT(_xlpm.s, LEN(_xlpm.dic)) = _xlpm.dic, 0),
  INDEX(メーカー!$A$1:$A$100, _xlpm.pos)
)</f>
        <v>東和薬品</v>
      </c>
      <c r="L147" cm="1">
        <f t="array" aca="1" ref="L147" ca="1">INDEX(_xlfn.FILTERXML("&lt;t&gt;&lt;s&gt;" &amp; SUBSTITUTE(MID(C147,23,999)," ","&lt;/s&gt;&lt;s&gt;") &amp; "&lt;/s&gt;&lt;/t&gt;","//s[number(.)=number(.)]"),1)</f>
        <v>1</v>
      </c>
      <c r="M147" cm="1">
        <f t="array" aca="1" ref="M147" ca="1">INDEX(
  _xlfn.FILTERXML("&lt;t&gt;&lt;s&gt;" &amp; SUBSTITUTE(MID(C147, 22 + LEN(I147) + 1, 999), " ", "&lt;/s&gt;&lt;s&gt;") &amp; "&lt;/s&gt;&lt;/t&gt;",
            "//s[number(.)=number(.)]"),
  2
)</f>
        <v>6</v>
      </c>
      <c r="N147" t="str" cm="1">
        <f t="array" aca="1" ref="N147" ca="1">_xlfn.REGEXEXTRACT(C147, "\d{2}:\d{2}:\d{2}")</f>
        <v>08:54:48</v>
      </c>
      <c r="O147" t="str">
        <f t="shared" ca="1" si="22"/>
        <v>10mg/錠 PTP 10錠×10</v>
      </c>
      <c r="P147" t="str">
        <f t="shared" ca="1" si="23"/>
        <v>1</v>
      </c>
    </row>
    <row r="148" spans="2:16" x14ac:dyDescent="0.45">
      <c r="B148">
        <f t="shared" si="16"/>
        <v>676</v>
      </c>
      <c r="C148" t="str">
        <f ca="1">_xlfn.CONCAT(OFFSET(元!$B$10,'1行'!B148,0)," ",OFFSET(元!$B$12,'1行'!B148,0))</f>
        <v>2026/03/25 2026/04/01 グリメピリド錠1mg「トーワ」東和薬品 1 7 08:54:48 1mg/錠 バラ 500錠×1瓶4987155491036 1 0</v>
      </c>
      <c r="D148" cm="1">
        <f t="array" aca="1" ref="D148" ca="1">INDEX(_xlfn.FILTERXML("&lt;t&gt;&lt;s&gt;" &amp; SUBSTITUTE(C148," ","&lt;/s&gt;&lt;s&gt;") &amp; "&lt;/s&gt;&lt;/t&gt;","//s[number(.)=number(.)]"),
       COUNT(_xlfn.FILTERXML("&lt;t&gt;&lt;s&gt;" &amp; SUBSTITUTE(C148," ","&lt;/s&gt;&lt;s&gt;") &amp; "&lt;/s&gt;&lt;/t&gt;","//s[number(.)=number(.)]"))-1)</f>
        <v>1</v>
      </c>
      <c r="E148" cm="1">
        <f t="array" aca="1" ref="E148" ca="1">INDEX(_xlfn.FILTERXML("&lt;t&gt;&lt;s&gt;" &amp; SUBSTITUTE(C148," ","&lt;/s&gt;&lt;s&gt;") &amp; "&lt;/s&gt;&lt;/t&gt;","//s[number(.)=number(.)]"),
       COUNT(_xlfn.FILTERXML("&lt;t&gt;&lt;s&gt;" &amp; SUBSTITUTE(C148," ","&lt;/s&gt;&lt;s&gt;") &amp; "&lt;/s&gt;&lt;/t&gt;","//s[number(.)=number(.)]")))</f>
        <v>0</v>
      </c>
      <c r="F148" s="4" t="str">
        <f t="shared" ca="1" si="17"/>
        <v>4987155491036</v>
      </c>
      <c r="G148" s="4" t="str">
        <f t="shared" ca="1" si="18"/>
        <v>2026/03/25</v>
      </c>
      <c r="H148" t="str">
        <f t="shared" ca="1" si="19"/>
        <v>2026/04/01</v>
      </c>
      <c r="I148" t="str">
        <f t="shared" ca="1" si="20"/>
        <v>グリメピリド錠1mg「トーワ」東和薬品</v>
      </c>
      <c r="J148" t="str">
        <f t="shared" ca="1" si="21"/>
        <v>グリメピリド錠1mg「トーワ」</v>
      </c>
      <c r="K148" t="str" cm="1">
        <f t="array" aca="1" ref="K148" ca="1">_xlfn.LET(
  _xlpm.s, SUBSTITUTE(SUBSTITUTE(I148," ",""),"　",""),
  _xlpm.dic, SUBSTITUTE(SUBSTITUTE(メーカー!$A$1:$A$100," ",""),"　",""),
  _xlpm.pos, MATCH(TRUE, RIGHT(_xlpm.s, LEN(_xlpm.dic)) = _xlpm.dic, 0),
  INDEX(メーカー!$A$1:$A$100, _xlpm.pos)
)</f>
        <v>東和薬品</v>
      </c>
      <c r="L148" cm="1">
        <f t="array" aca="1" ref="L148" ca="1">INDEX(_xlfn.FILTERXML("&lt;t&gt;&lt;s&gt;" &amp; SUBSTITUTE(MID(C148,23,999)," ","&lt;/s&gt;&lt;s&gt;") &amp; "&lt;/s&gt;&lt;/t&gt;","//s[number(.)=number(.)]"),1)</f>
        <v>1</v>
      </c>
      <c r="M148" cm="1">
        <f t="array" aca="1" ref="M148" ca="1">INDEX(
  _xlfn.FILTERXML("&lt;t&gt;&lt;s&gt;" &amp; SUBSTITUTE(MID(C148, 22 + LEN(I148) + 1, 999), " ", "&lt;/s&gt;&lt;s&gt;") &amp; "&lt;/s&gt;&lt;/t&gt;",
            "//s[number(.)=number(.)]"),
  2
)</f>
        <v>7</v>
      </c>
      <c r="N148" t="str" cm="1">
        <f t="array" aca="1" ref="N148" ca="1">_xlfn.REGEXEXTRACT(C148, "\d{2}:\d{2}:\d{2}")</f>
        <v>08:54:48</v>
      </c>
      <c r="O148" t="str">
        <f t="shared" ca="1" si="22"/>
        <v>1mg/錠 バラ 500錠×1瓶</v>
      </c>
      <c r="P148" t="str">
        <f t="shared" ca="1" si="23"/>
        <v>1</v>
      </c>
    </row>
    <row r="149" spans="2:16" x14ac:dyDescent="0.45">
      <c r="B149">
        <f t="shared" si="16"/>
        <v>680</v>
      </c>
      <c r="C149" t="str">
        <f ca="1">_xlfn.CONCAT(OFFSET(元!$B$10,'1行'!B149,0)," ",OFFSET(元!$B$12,'1行'!B149,0))</f>
        <v>2026/03/25 2026/04/01 ブロムヘキシン塩酸塩錠4mg「トーワ」東和薬品 1 8 08:54:48 4mg/錠 PTP 10錠×100 4987155139181 1 0</v>
      </c>
      <c r="D149" cm="1">
        <f t="array" aca="1" ref="D149" ca="1">INDEX(_xlfn.FILTERXML("&lt;t&gt;&lt;s&gt;" &amp; SUBSTITUTE(C149," ","&lt;/s&gt;&lt;s&gt;") &amp; "&lt;/s&gt;&lt;/t&gt;","//s[number(.)=number(.)]"),
       COUNT(_xlfn.FILTERXML("&lt;t&gt;&lt;s&gt;" &amp; SUBSTITUTE(C149," ","&lt;/s&gt;&lt;s&gt;") &amp; "&lt;/s&gt;&lt;/t&gt;","//s[number(.)=number(.)]"))-1)</f>
        <v>1</v>
      </c>
      <c r="E149" cm="1">
        <f t="array" aca="1" ref="E149" ca="1">INDEX(_xlfn.FILTERXML("&lt;t&gt;&lt;s&gt;" &amp; SUBSTITUTE(C149," ","&lt;/s&gt;&lt;s&gt;") &amp; "&lt;/s&gt;&lt;/t&gt;","//s[number(.)=number(.)]"),
       COUNT(_xlfn.FILTERXML("&lt;t&gt;&lt;s&gt;" &amp; SUBSTITUTE(C149," ","&lt;/s&gt;&lt;s&gt;") &amp; "&lt;/s&gt;&lt;/t&gt;","//s[number(.)=number(.)]")))</f>
        <v>0</v>
      </c>
      <c r="F149" s="4" t="str">
        <f t="shared" ca="1" si="17"/>
        <v>4987155139181</v>
      </c>
      <c r="G149" s="4" t="str">
        <f t="shared" ca="1" si="18"/>
        <v>2026/03/25</v>
      </c>
      <c r="H149" t="str">
        <f t="shared" ca="1" si="19"/>
        <v>2026/04/01</v>
      </c>
      <c r="I149" t="str">
        <f t="shared" ca="1" si="20"/>
        <v>ブロムヘキシン塩酸塩錠4mg「トーワ」東和薬品</v>
      </c>
      <c r="J149" t="str">
        <f t="shared" ca="1" si="21"/>
        <v>ブロムヘキシン塩酸塩錠4mg「トーワ」</v>
      </c>
      <c r="K149" t="str" cm="1">
        <f t="array" aca="1" ref="K149" ca="1">_xlfn.LET(
  _xlpm.s, SUBSTITUTE(SUBSTITUTE(I149," ",""),"　",""),
  _xlpm.dic, SUBSTITUTE(SUBSTITUTE(メーカー!$A$1:$A$100," ",""),"　",""),
  _xlpm.pos, MATCH(TRUE, RIGHT(_xlpm.s, LEN(_xlpm.dic)) = _xlpm.dic, 0),
  INDEX(メーカー!$A$1:$A$100, _xlpm.pos)
)</f>
        <v>東和薬品</v>
      </c>
      <c r="L149" cm="1">
        <f t="array" aca="1" ref="L149" ca="1">INDEX(_xlfn.FILTERXML("&lt;t&gt;&lt;s&gt;" &amp; SUBSTITUTE(MID(C149,23,999)," ","&lt;/s&gt;&lt;s&gt;") &amp; "&lt;/s&gt;&lt;/t&gt;","//s[number(.)=number(.)]"),1)</f>
        <v>1</v>
      </c>
      <c r="M149" cm="1">
        <f t="array" aca="1" ref="M149" ca="1">INDEX(
  _xlfn.FILTERXML("&lt;t&gt;&lt;s&gt;" &amp; SUBSTITUTE(MID(C149, 22 + LEN(I149) + 1, 999), " ", "&lt;/s&gt;&lt;s&gt;") &amp; "&lt;/s&gt;&lt;/t&gt;",
            "//s[number(.)=number(.)]"),
  2
)</f>
        <v>8</v>
      </c>
      <c r="N149" t="str" cm="1">
        <f t="array" aca="1" ref="N149" ca="1">_xlfn.REGEXEXTRACT(C149, "\d{2}:\d{2}:\d{2}")</f>
        <v>08:54:48</v>
      </c>
      <c r="O149" t="str">
        <f t="shared" ca="1" si="22"/>
        <v>4mg/錠 PTP 10錠×100</v>
      </c>
      <c r="P149" t="str">
        <f t="shared" ca="1" si="23"/>
        <v>1</v>
      </c>
    </row>
    <row r="150" spans="2:16" x14ac:dyDescent="0.45">
      <c r="B150">
        <f t="shared" si="16"/>
        <v>684</v>
      </c>
      <c r="C150" t="str">
        <f ca="1">_xlfn.CONCAT(OFFSET(元!$B$10,'1行'!B150,0)," ",OFFSET(元!$B$12,'1行'!B150,0))</f>
        <v>2026/03/25 2026/04/01 テオフィリン徐放U錠200mg「トーワ」東和薬品 1 9 08:54:48 200mg/錠 PTP 10錠×10 4987155278071 1 0</v>
      </c>
      <c r="D150" cm="1">
        <f t="array" aca="1" ref="D150" ca="1">INDEX(_xlfn.FILTERXML("&lt;t&gt;&lt;s&gt;" &amp; SUBSTITUTE(C150," ","&lt;/s&gt;&lt;s&gt;") &amp; "&lt;/s&gt;&lt;/t&gt;","//s[number(.)=number(.)]"),
       COUNT(_xlfn.FILTERXML("&lt;t&gt;&lt;s&gt;" &amp; SUBSTITUTE(C150," ","&lt;/s&gt;&lt;s&gt;") &amp; "&lt;/s&gt;&lt;/t&gt;","//s[number(.)=number(.)]"))-1)</f>
        <v>1</v>
      </c>
      <c r="E150" cm="1">
        <f t="array" aca="1" ref="E150" ca="1">INDEX(_xlfn.FILTERXML("&lt;t&gt;&lt;s&gt;" &amp; SUBSTITUTE(C150," ","&lt;/s&gt;&lt;s&gt;") &amp; "&lt;/s&gt;&lt;/t&gt;","//s[number(.)=number(.)]"),
       COUNT(_xlfn.FILTERXML("&lt;t&gt;&lt;s&gt;" &amp; SUBSTITUTE(C150," ","&lt;/s&gt;&lt;s&gt;") &amp; "&lt;/s&gt;&lt;/t&gt;","//s[number(.)=number(.)]")))</f>
        <v>0</v>
      </c>
      <c r="F150" s="4" t="str">
        <f t="shared" ca="1" si="17"/>
        <v>4987155278071</v>
      </c>
      <c r="G150" s="4" t="str">
        <f t="shared" ca="1" si="18"/>
        <v>2026/03/25</v>
      </c>
      <c r="H150" t="str">
        <f t="shared" ca="1" si="19"/>
        <v>2026/04/01</v>
      </c>
      <c r="I150" t="str">
        <f t="shared" ca="1" si="20"/>
        <v>テオフィリン徐放U錠200mg「トーワ」東和薬品</v>
      </c>
      <c r="J150" t="str">
        <f t="shared" ca="1" si="21"/>
        <v>テオフィリン徐放U錠200mg「トーワ」</v>
      </c>
      <c r="K150" t="str" cm="1">
        <f t="array" aca="1" ref="K150" ca="1">_xlfn.LET(
  _xlpm.s, SUBSTITUTE(SUBSTITUTE(I150," ",""),"　",""),
  _xlpm.dic, SUBSTITUTE(SUBSTITUTE(メーカー!$A$1:$A$100," ",""),"　",""),
  _xlpm.pos, MATCH(TRUE, RIGHT(_xlpm.s, LEN(_xlpm.dic)) = _xlpm.dic, 0),
  INDEX(メーカー!$A$1:$A$100, _xlpm.pos)
)</f>
        <v>東和薬品</v>
      </c>
      <c r="L150" cm="1">
        <f t="array" aca="1" ref="L150" ca="1">INDEX(_xlfn.FILTERXML("&lt;t&gt;&lt;s&gt;" &amp; SUBSTITUTE(MID(C150,23,999)," ","&lt;/s&gt;&lt;s&gt;") &amp; "&lt;/s&gt;&lt;/t&gt;","//s[number(.)=number(.)]"),1)</f>
        <v>1</v>
      </c>
      <c r="M150" cm="1">
        <f t="array" aca="1" ref="M150" ca="1">INDEX(
  _xlfn.FILTERXML("&lt;t&gt;&lt;s&gt;" &amp; SUBSTITUTE(MID(C150, 22 + LEN(I150) + 1, 999), " ", "&lt;/s&gt;&lt;s&gt;") &amp; "&lt;/s&gt;&lt;/t&gt;",
            "//s[number(.)=number(.)]"),
  2
)</f>
        <v>9</v>
      </c>
      <c r="N150" t="str" cm="1">
        <f t="array" aca="1" ref="N150" ca="1">_xlfn.REGEXEXTRACT(C150, "\d{2}:\d{2}:\d{2}")</f>
        <v>08:54:48</v>
      </c>
      <c r="O150" t="str">
        <f t="shared" ca="1" si="22"/>
        <v>200mg/錠 PTP 10錠×10</v>
      </c>
      <c r="P150" t="str">
        <f t="shared" ca="1" si="23"/>
        <v>1</v>
      </c>
    </row>
    <row r="151" spans="2:16" x14ac:dyDescent="0.45">
      <c r="B151">
        <f t="shared" si="16"/>
        <v>688</v>
      </c>
      <c r="C151" t="str">
        <f ca="1">_xlfn.CONCAT(OFFSET(元!$B$10,'1行'!B151,0)," ",OFFSET(元!$B$12,'1行'!B151,0))</f>
        <v>2026/03/25 2026/04/01 メコバラミン錠500「トーワ」東和薬品 1 10 08:54:48 0.5mg/錠 バラ 1000錠×1瓶4987155207026 1 0</v>
      </c>
      <c r="D151" cm="1">
        <f t="array" aca="1" ref="D151" ca="1">INDEX(_xlfn.FILTERXML("&lt;t&gt;&lt;s&gt;" &amp; SUBSTITUTE(C151," ","&lt;/s&gt;&lt;s&gt;") &amp; "&lt;/s&gt;&lt;/t&gt;","//s[number(.)=number(.)]"),
       COUNT(_xlfn.FILTERXML("&lt;t&gt;&lt;s&gt;" &amp; SUBSTITUTE(C151," ","&lt;/s&gt;&lt;s&gt;") &amp; "&lt;/s&gt;&lt;/t&gt;","//s[number(.)=number(.)]"))-1)</f>
        <v>1</v>
      </c>
      <c r="E151" cm="1">
        <f t="array" aca="1" ref="E151" ca="1">INDEX(_xlfn.FILTERXML("&lt;t&gt;&lt;s&gt;" &amp; SUBSTITUTE(C151," ","&lt;/s&gt;&lt;s&gt;") &amp; "&lt;/s&gt;&lt;/t&gt;","//s[number(.)=number(.)]"),
       COUNT(_xlfn.FILTERXML("&lt;t&gt;&lt;s&gt;" &amp; SUBSTITUTE(C151," ","&lt;/s&gt;&lt;s&gt;") &amp; "&lt;/s&gt;&lt;/t&gt;","//s[number(.)=number(.)]")))</f>
        <v>0</v>
      </c>
      <c r="F151" s="4" t="str">
        <f t="shared" ca="1" si="17"/>
        <v>4987155207026</v>
      </c>
      <c r="G151" s="4" t="str">
        <f t="shared" ca="1" si="18"/>
        <v>2026/03/25</v>
      </c>
      <c r="H151" t="str">
        <f t="shared" ca="1" si="19"/>
        <v>2026/04/01</v>
      </c>
      <c r="I151" t="str">
        <f t="shared" ca="1" si="20"/>
        <v>メコバラミン錠500「トーワ」東和薬品</v>
      </c>
      <c r="J151" t="str">
        <f t="shared" ca="1" si="21"/>
        <v>メコバラミン錠500「トーワ」</v>
      </c>
      <c r="K151" t="str" cm="1">
        <f t="array" aca="1" ref="K151" ca="1">_xlfn.LET(
  _xlpm.s, SUBSTITUTE(SUBSTITUTE(I151," ",""),"　",""),
  _xlpm.dic, SUBSTITUTE(SUBSTITUTE(メーカー!$A$1:$A$100," ",""),"　",""),
  _xlpm.pos, MATCH(TRUE, RIGHT(_xlpm.s, LEN(_xlpm.dic)) = _xlpm.dic, 0),
  INDEX(メーカー!$A$1:$A$100, _xlpm.pos)
)</f>
        <v>東和薬品</v>
      </c>
      <c r="L151" cm="1">
        <f t="array" aca="1" ref="L151" ca="1">INDEX(_xlfn.FILTERXML("&lt;t&gt;&lt;s&gt;" &amp; SUBSTITUTE(MID(C151,23,999)," ","&lt;/s&gt;&lt;s&gt;") &amp; "&lt;/s&gt;&lt;/t&gt;","//s[number(.)=number(.)]"),1)</f>
        <v>1</v>
      </c>
      <c r="M151" cm="1">
        <f t="array" aca="1" ref="M151" ca="1">INDEX(
  _xlfn.FILTERXML("&lt;t&gt;&lt;s&gt;" &amp; SUBSTITUTE(MID(C151, 22 + LEN(I151) + 1, 999), " ", "&lt;/s&gt;&lt;s&gt;") &amp; "&lt;/s&gt;&lt;/t&gt;",
            "//s[number(.)=number(.)]"),
  2
)</f>
        <v>10</v>
      </c>
      <c r="N151" t="str" cm="1">
        <f t="array" aca="1" ref="N151" ca="1">_xlfn.REGEXEXTRACT(C151, "\d{2}:\d{2}:\d{2}")</f>
        <v>08:54:48</v>
      </c>
      <c r="O151" t="str">
        <f t="shared" ca="1" si="22"/>
        <v>0.5mg/錠 バラ 1000錠×1瓶</v>
      </c>
      <c r="P151" t="str">
        <f t="shared" ca="1" si="23"/>
        <v>1</v>
      </c>
    </row>
    <row r="152" spans="2:16" x14ac:dyDescent="0.45">
      <c r="B152">
        <f t="shared" si="16"/>
        <v>692</v>
      </c>
      <c r="C152" t="str">
        <f ca="1">_xlfn.CONCAT(OFFSET(元!$B$10,'1行'!B152,0)," ",OFFSET(元!$B$12,'1行'!B152,0))</f>
        <v>2026/03/25 2026/04/01 メコバラミン錠500「トーワ」東和薬品 1 11 08:54:48 0.5mg/錠 PTP 10錠×100 4987155207040 1 0</v>
      </c>
      <c r="D152" cm="1">
        <f t="array" aca="1" ref="D152" ca="1">INDEX(_xlfn.FILTERXML("&lt;t&gt;&lt;s&gt;" &amp; SUBSTITUTE(C152," ","&lt;/s&gt;&lt;s&gt;") &amp; "&lt;/s&gt;&lt;/t&gt;","//s[number(.)=number(.)]"),
       COUNT(_xlfn.FILTERXML("&lt;t&gt;&lt;s&gt;" &amp; SUBSTITUTE(C152," ","&lt;/s&gt;&lt;s&gt;") &amp; "&lt;/s&gt;&lt;/t&gt;","//s[number(.)=number(.)]"))-1)</f>
        <v>1</v>
      </c>
      <c r="E152" cm="1">
        <f t="array" aca="1" ref="E152" ca="1">INDEX(_xlfn.FILTERXML("&lt;t&gt;&lt;s&gt;" &amp; SUBSTITUTE(C152," ","&lt;/s&gt;&lt;s&gt;") &amp; "&lt;/s&gt;&lt;/t&gt;","//s[number(.)=number(.)]"),
       COUNT(_xlfn.FILTERXML("&lt;t&gt;&lt;s&gt;" &amp; SUBSTITUTE(C152," ","&lt;/s&gt;&lt;s&gt;") &amp; "&lt;/s&gt;&lt;/t&gt;","//s[number(.)=number(.)]")))</f>
        <v>0</v>
      </c>
      <c r="F152" s="4" t="str">
        <f t="shared" ca="1" si="17"/>
        <v>4987155207040</v>
      </c>
      <c r="G152" s="4" t="str">
        <f t="shared" ca="1" si="18"/>
        <v>2026/03/25</v>
      </c>
      <c r="H152" t="str">
        <f t="shared" ca="1" si="19"/>
        <v>2026/04/01</v>
      </c>
      <c r="I152" t="str">
        <f t="shared" ca="1" si="20"/>
        <v>メコバラミン錠500「トーワ」東和薬品</v>
      </c>
      <c r="J152" t="str">
        <f t="shared" ca="1" si="21"/>
        <v>メコバラミン錠500「トーワ」</v>
      </c>
      <c r="K152" t="str" cm="1">
        <f t="array" aca="1" ref="K152" ca="1">_xlfn.LET(
  _xlpm.s, SUBSTITUTE(SUBSTITUTE(I152," ",""),"　",""),
  _xlpm.dic, SUBSTITUTE(SUBSTITUTE(メーカー!$A$1:$A$100," ",""),"　",""),
  _xlpm.pos, MATCH(TRUE, RIGHT(_xlpm.s, LEN(_xlpm.dic)) = _xlpm.dic, 0),
  INDEX(メーカー!$A$1:$A$100, _xlpm.pos)
)</f>
        <v>東和薬品</v>
      </c>
      <c r="L152" cm="1">
        <f t="array" aca="1" ref="L152" ca="1">INDEX(_xlfn.FILTERXML("&lt;t&gt;&lt;s&gt;" &amp; SUBSTITUTE(MID(C152,23,999)," ","&lt;/s&gt;&lt;s&gt;") &amp; "&lt;/s&gt;&lt;/t&gt;","//s[number(.)=number(.)]"),1)</f>
        <v>1</v>
      </c>
      <c r="M152" cm="1">
        <f t="array" aca="1" ref="M152" ca="1">INDEX(
  _xlfn.FILTERXML("&lt;t&gt;&lt;s&gt;" &amp; SUBSTITUTE(MID(C152, 22 + LEN(I152) + 1, 999), " ", "&lt;/s&gt;&lt;s&gt;") &amp; "&lt;/s&gt;&lt;/t&gt;",
            "//s[number(.)=number(.)]"),
  2
)</f>
        <v>11</v>
      </c>
      <c r="N152" t="str" cm="1">
        <f t="array" aca="1" ref="N152" ca="1">_xlfn.REGEXEXTRACT(C152, "\d{2}:\d{2}:\d{2}")</f>
        <v>08:54:48</v>
      </c>
      <c r="O152" t="str">
        <f t="shared" ca="1" si="22"/>
        <v>0.5mg/錠 PTP 10錠×100</v>
      </c>
      <c r="P152" t="str">
        <f t="shared" ca="1" si="23"/>
        <v>1</v>
      </c>
    </row>
    <row r="153" spans="2:16" x14ac:dyDescent="0.45">
      <c r="B153">
        <f t="shared" si="16"/>
        <v>696</v>
      </c>
      <c r="C153" t="str">
        <f ca="1">_xlfn.CONCAT(OFFSET(元!$B$10,'1行'!B153,0)," ",OFFSET(元!$B$12,'1行'!B153,0))</f>
        <v>2026/03/25 2026/04/01 エスシタロプラムOD錠10mg「トーワ」東和薬品 1 12 08:54:48 10mg/錠 バラ 300錠×1瓶4987155159196 1 0</v>
      </c>
      <c r="D153" cm="1">
        <f t="array" aca="1" ref="D153" ca="1">INDEX(_xlfn.FILTERXML("&lt;t&gt;&lt;s&gt;" &amp; SUBSTITUTE(C153," ","&lt;/s&gt;&lt;s&gt;") &amp; "&lt;/s&gt;&lt;/t&gt;","//s[number(.)=number(.)]"),
       COUNT(_xlfn.FILTERXML("&lt;t&gt;&lt;s&gt;" &amp; SUBSTITUTE(C153," ","&lt;/s&gt;&lt;s&gt;") &amp; "&lt;/s&gt;&lt;/t&gt;","//s[number(.)=number(.)]"))-1)</f>
        <v>1</v>
      </c>
      <c r="E153" cm="1">
        <f t="array" aca="1" ref="E153" ca="1">INDEX(_xlfn.FILTERXML("&lt;t&gt;&lt;s&gt;" &amp; SUBSTITUTE(C153," ","&lt;/s&gt;&lt;s&gt;") &amp; "&lt;/s&gt;&lt;/t&gt;","//s[number(.)=number(.)]"),
       COUNT(_xlfn.FILTERXML("&lt;t&gt;&lt;s&gt;" &amp; SUBSTITUTE(C153," ","&lt;/s&gt;&lt;s&gt;") &amp; "&lt;/s&gt;&lt;/t&gt;","//s[number(.)=number(.)]")))</f>
        <v>0</v>
      </c>
      <c r="F153" s="4" t="str">
        <f t="shared" ca="1" si="17"/>
        <v>4987155159196</v>
      </c>
      <c r="G153" s="4" t="str">
        <f t="shared" ca="1" si="18"/>
        <v>2026/03/25</v>
      </c>
      <c r="H153" t="str">
        <f t="shared" ca="1" si="19"/>
        <v>2026/04/01</v>
      </c>
      <c r="I153" t="str">
        <f t="shared" ca="1" si="20"/>
        <v>エスシタロプラムOD錠10mg「トーワ」東和薬品</v>
      </c>
      <c r="J153" t="str">
        <f t="shared" ca="1" si="21"/>
        <v>エスシタロプラムOD錠10mg「トーワ」</v>
      </c>
      <c r="K153" t="str" cm="1">
        <f t="array" aca="1" ref="K153" ca="1">_xlfn.LET(
  _xlpm.s, SUBSTITUTE(SUBSTITUTE(I153," ",""),"　",""),
  _xlpm.dic, SUBSTITUTE(SUBSTITUTE(メーカー!$A$1:$A$100," ",""),"　",""),
  _xlpm.pos, MATCH(TRUE, RIGHT(_xlpm.s, LEN(_xlpm.dic)) = _xlpm.dic, 0),
  INDEX(メーカー!$A$1:$A$100, _xlpm.pos)
)</f>
        <v>東和薬品</v>
      </c>
      <c r="L153" cm="1">
        <f t="array" aca="1" ref="L153" ca="1">INDEX(_xlfn.FILTERXML("&lt;t&gt;&lt;s&gt;" &amp; SUBSTITUTE(MID(C153,23,999)," ","&lt;/s&gt;&lt;s&gt;") &amp; "&lt;/s&gt;&lt;/t&gt;","//s[number(.)=number(.)]"),1)</f>
        <v>1</v>
      </c>
      <c r="M153" cm="1">
        <f t="array" aca="1" ref="M153" ca="1">INDEX(
  _xlfn.FILTERXML("&lt;t&gt;&lt;s&gt;" &amp; SUBSTITUTE(MID(C153, 22 + LEN(I153) + 1, 999), " ", "&lt;/s&gt;&lt;s&gt;") &amp; "&lt;/s&gt;&lt;/t&gt;",
            "//s[number(.)=number(.)]"),
  2
)</f>
        <v>12</v>
      </c>
      <c r="N153" t="str" cm="1">
        <f t="array" aca="1" ref="N153" ca="1">_xlfn.REGEXEXTRACT(C153, "\d{2}:\d{2}:\d{2}")</f>
        <v>08:54:48</v>
      </c>
      <c r="O153" t="str">
        <f t="shared" ca="1" si="22"/>
        <v>10mg/錠 バラ 300錠×1瓶</v>
      </c>
      <c r="P153" t="str">
        <f t="shared" ca="1" si="23"/>
        <v>1</v>
      </c>
    </row>
    <row r="154" spans="2:16" x14ac:dyDescent="0.45">
      <c r="B154">
        <f t="shared" si="16"/>
        <v>700</v>
      </c>
      <c r="C154" t="str">
        <f ca="1">_xlfn.CONCAT(OFFSET(元!$B$10,'1行'!B154,0)," ",OFFSET(元!$B$12,'1行'!B154,0))</f>
        <v>2026/03/25 2026/04/01 エスゾピクロン錠1mg「トーワ」東和薬品 5 13 08:54:48 1mg/錠 バラ 100錠×1瓶4987155154092 5 0</v>
      </c>
      <c r="D154" cm="1">
        <f t="array" aca="1" ref="D154" ca="1">INDEX(_xlfn.FILTERXML("&lt;t&gt;&lt;s&gt;" &amp; SUBSTITUTE(C154," ","&lt;/s&gt;&lt;s&gt;") &amp; "&lt;/s&gt;&lt;/t&gt;","//s[number(.)=number(.)]"),
       COUNT(_xlfn.FILTERXML("&lt;t&gt;&lt;s&gt;" &amp; SUBSTITUTE(C154," ","&lt;/s&gt;&lt;s&gt;") &amp; "&lt;/s&gt;&lt;/t&gt;","//s[number(.)=number(.)]"))-1)</f>
        <v>5</v>
      </c>
      <c r="E154" cm="1">
        <f t="array" aca="1" ref="E154" ca="1">INDEX(_xlfn.FILTERXML("&lt;t&gt;&lt;s&gt;" &amp; SUBSTITUTE(C154," ","&lt;/s&gt;&lt;s&gt;") &amp; "&lt;/s&gt;&lt;/t&gt;","//s[number(.)=number(.)]"),
       COUNT(_xlfn.FILTERXML("&lt;t&gt;&lt;s&gt;" &amp; SUBSTITUTE(C154," ","&lt;/s&gt;&lt;s&gt;") &amp; "&lt;/s&gt;&lt;/t&gt;","//s[number(.)=number(.)]")))</f>
        <v>0</v>
      </c>
      <c r="F154" s="4" t="str">
        <f t="shared" ca="1" si="17"/>
        <v>4987155154092</v>
      </c>
      <c r="G154" s="4" t="str">
        <f t="shared" ca="1" si="18"/>
        <v>2026/03/25</v>
      </c>
      <c r="H154" t="str">
        <f t="shared" ca="1" si="19"/>
        <v>2026/04/01</v>
      </c>
      <c r="I154" t="str">
        <f t="shared" ca="1" si="20"/>
        <v>エスゾピクロン錠1mg「トーワ」東和薬品</v>
      </c>
      <c r="J154" t="str">
        <f t="shared" ca="1" si="21"/>
        <v>エスゾピクロン錠1mg「トーワ」</v>
      </c>
      <c r="K154" t="str" cm="1">
        <f t="array" aca="1" ref="K154" ca="1">_xlfn.LET(
  _xlpm.s, SUBSTITUTE(SUBSTITUTE(I154," ",""),"　",""),
  _xlpm.dic, SUBSTITUTE(SUBSTITUTE(メーカー!$A$1:$A$100," ",""),"　",""),
  _xlpm.pos, MATCH(TRUE, RIGHT(_xlpm.s, LEN(_xlpm.dic)) = _xlpm.dic, 0),
  INDEX(メーカー!$A$1:$A$100, _xlpm.pos)
)</f>
        <v>東和薬品</v>
      </c>
      <c r="L154" cm="1">
        <f t="array" aca="1" ref="L154" ca="1">INDEX(_xlfn.FILTERXML("&lt;t&gt;&lt;s&gt;" &amp; SUBSTITUTE(MID(C154,23,999)," ","&lt;/s&gt;&lt;s&gt;") &amp; "&lt;/s&gt;&lt;/t&gt;","//s[number(.)=number(.)]"),1)</f>
        <v>5</v>
      </c>
      <c r="M154" cm="1">
        <f t="array" aca="1" ref="M154" ca="1">INDEX(
  _xlfn.FILTERXML("&lt;t&gt;&lt;s&gt;" &amp; SUBSTITUTE(MID(C154, 22 + LEN(I154) + 1, 999), " ", "&lt;/s&gt;&lt;s&gt;") &amp; "&lt;/s&gt;&lt;/t&gt;",
            "//s[number(.)=number(.)]"),
  2
)</f>
        <v>13</v>
      </c>
      <c r="N154" t="str" cm="1">
        <f t="array" aca="1" ref="N154" ca="1">_xlfn.REGEXEXTRACT(C154, "\d{2}:\d{2}:\d{2}")</f>
        <v>08:54:48</v>
      </c>
      <c r="O154" t="str">
        <f t="shared" ca="1" si="22"/>
        <v>1mg/錠 バラ 100錠×1瓶</v>
      </c>
      <c r="P154" t="str">
        <f t="shared" ca="1" si="23"/>
        <v>5</v>
      </c>
    </row>
    <row r="155" spans="2:16" x14ac:dyDescent="0.45">
      <c r="B155">
        <f t="shared" si="16"/>
        <v>704</v>
      </c>
      <c r="C155" t="str">
        <f ca="1">_xlfn.CONCAT(OFFSET(元!$B$10,'1行'!B155,0)," ",OFFSET(元!$B$12,'1行'!B155,0))</f>
        <v>2026/03/25 2026/04/01 ビソプロロールフマル酸塩錠0.625mg「トーワ」東和薬品 3 14 08:54:48 0.625mg/錠 PTP 10錠×10 4987155107159 3 0</v>
      </c>
      <c r="D155" cm="1">
        <f t="array" aca="1" ref="D155" ca="1">INDEX(_xlfn.FILTERXML("&lt;t&gt;&lt;s&gt;" &amp; SUBSTITUTE(C155," ","&lt;/s&gt;&lt;s&gt;") &amp; "&lt;/s&gt;&lt;/t&gt;","//s[number(.)=number(.)]"),
       COUNT(_xlfn.FILTERXML("&lt;t&gt;&lt;s&gt;" &amp; SUBSTITUTE(C155," ","&lt;/s&gt;&lt;s&gt;") &amp; "&lt;/s&gt;&lt;/t&gt;","//s[number(.)=number(.)]"))-1)</f>
        <v>3</v>
      </c>
      <c r="E155" cm="1">
        <f t="array" aca="1" ref="E155" ca="1">INDEX(_xlfn.FILTERXML("&lt;t&gt;&lt;s&gt;" &amp; SUBSTITUTE(C155," ","&lt;/s&gt;&lt;s&gt;") &amp; "&lt;/s&gt;&lt;/t&gt;","//s[number(.)=number(.)]"),
       COUNT(_xlfn.FILTERXML("&lt;t&gt;&lt;s&gt;" &amp; SUBSTITUTE(C155," ","&lt;/s&gt;&lt;s&gt;") &amp; "&lt;/s&gt;&lt;/t&gt;","//s[number(.)=number(.)]")))</f>
        <v>0</v>
      </c>
      <c r="F155" s="4" t="str">
        <f t="shared" ca="1" si="17"/>
        <v>4987155107159</v>
      </c>
      <c r="G155" s="4" t="str">
        <f t="shared" ca="1" si="18"/>
        <v>2026/03/25</v>
      </c>
      <c r="H155" t="str">
        <f t="shared" ca="1" si="19"/>
        <v>2026/04/01</v>
      </c>
      <c r="I155" t="str">
        <f t="shared" ca="1" si="20"/>
        <v>ビソプロロールフマル酸塩錠0.625mg「トーワ」東和薬品</v>
      </c>
      <c r="J155" t="str">
        <f t="shared" ca="1" si="21"/>
        <v>ビソプロロールフマル酸塩錠0.625mg「トーワ」</v>
      </c>
      <c r="K155" t="str" cm="1">
        <f t="array" aca="1" ref="K155" ca="1">_xlfn.LET(
  _xlpm.s, SUBSTITUTE(SUBSTITUTE(I155," ",""),"　",""),
  _xlpm.dic, SUBSTITUTE(SUBSTITUTE(メーカー!$A$1:$A$100," ",""),"　",""),
  _xlpm.pos, MATCH(TRUE, RIGHT(_xlpm.s, LEN(_xlpm.dic)) = _xlpm.dic, 0),
  INDEX(メーカー!$A$1:$A$100, _xlpm.pos)
)</f>
        <v>東和薬品</v>
      </c>
      <c r="L155" cm="1">
        <f t="array" aca="1" ref="L155" ca="1">INDEX(_xlfn.FILTERXML("&lt;t&gt;&lt;s&gt;" &amp; SUBSTITUTE(MID(C155,23,999)," ","&lt;/s&gt;&lt;s&gt;") &amp; "&lt;/s&gt;&lt;/t&gt;","//s[number(.)=number(.)]"),1)</f>
        <v>3</v>
      </c>
      <c r="M155" cm="1">
        <f t="array" aca="1" ref="M155" ca="1">INDEX(
  _xlfn.FILTERXML("&lt;t&gt;&lt;s&gt;" &amp; SUBSTITUTE(MID(C155, 22 + LEN(I155) + 1, 999), " ", "&lt;/s&gt;&lt;s&gt;") &amp; "&lt;/s&gt;&lt;/t&gt;",
            "//s[number(.)=number(.)]"),
  2
)</f>
        <v>14</v>
      </c>
      <c r="N155" t="str" cm="1">
        <f t="array" aca="1" ref="N155" ca="1">_xlfn.REGEXEXTRACT(C155, "\d{2}:\d{2}:\d{2}")</f>
        <v>08:54:48</v>
      </c>
      <c r="O155" t="str">
        <f t="shared" ca="1" si="22"/>
        <v>0.625mg/錠 PTP 10錠×10</v>
      </c>
      <c r="P155" t="str">
        <f t="shared" ca="1" si="23"/>
        <v>3</v>
      </c>
    </row>
    <row r="156" spans="2:16" x14ac:dyDescent="0.45">
      <c r="B156">
        <f t="shared" si="16"/>
        <v>708</v>
      </c>
      <c r="C156" t="str">
        <f ca="1">_xlfn.CONCAT(OFFSET(元!$B$10,'1行'!B156,0)," ",OFFSET(元!$B$12,'1行'!B156,0))</f>
        <v>2026/03/25 2026/04/01 イバンドロン酸静注1mgシリンジ「トーワ」東和薬品 1 15 08:54:48 1mg1mL1筒×10筒4987155159547 1 0</v>
      </c>
      <c r="D156" cm="1">
        <f t="array" aca="1" ref="D156" ca="1">INDEX(_xlfn.FILTERXML("&lt;t&gt;&lt;s&gt;" &amp; SUBSTITUTE(C156," ","&lt;/s&gt;&lt;s&gt;") &amp; "&lt;/s&gt;&lt;/t&gt;","//s[number(.)=number(.)]"),
       COUNT(_xlfn.FILTERXML("&lt;t&gt;&lt;s&gt;" &amp; SUBSTITUTE(C156," ","&lt;/s&gt;&lt;s&gt;") &amp; "&lt;/s&gt;&lt;/t&gt;","//s[number(.)=number(.)]"))-1)</f>
        <v>1</v>
      </c>
      <c r="E156" cm="1">
        <f t="array" aca="1" ref="E156" ca="1">INDEX(_xlfn.FILTERXML("&lt;t&gt;&lt;s&gt;" &amp; SUBSTITUTE(C156," ","&lt;/s&gt;&lt;s&gt;") &amp; "&lt;/s&gt;&lt;/t&gt;","//s[number(.)=number(.)]"),
       COUNT(_xlfn.FILTERXML("&lt;t&gt;&lt;s&gt;" &amp; SUBSTITUTE(C156," ","&lt;/s&gt;&lt;s&gt;") &amp; "&lt;/s&gt;&lt;/t&gt;","//s[number(.)=number(.)]")))</f>
        <v>0</v>
      </c>
      <c r="F156" s="4" t="str">
        <f t="shared" ca="1" si="17"/>
        <v>4987155159547</v>
      </c>
      <c r="G156" s="4" t="str">
        <f t="shared" ca="1" si="18"/>
        <v>2026/03/25</v>
      </c>
      <c r="H156" t="str">
        <f t="shared" ca="1" si="19"/>
        <v>2026/04/01</v>
      </c>
      <c r="I156" t="str">
        <f t="shared" ca="1" si="20"/>
        <v>イバンドロン酸静注1mgシリンジ「トーワ」東和薬品</v>
      </c>
      <c r="J156" t="str">
        <f t="shared" ca="1" si="21"/>
        <v>イバンドロン酸静注1mgシリンジ「トーワ」</v>
      </c>
      <c r="K156" t="str" cm="1">
        <f t="array" aca="1" ref="K156" ca="1">_xlfn.LET(
  _xlpm.s, SUBSTITUTE(SUBSTITUTE(I156," ",""),"　",""),
  _xlpm.dic, SUBSTITUTE(SUBSTITUTE(メーカー!$A$1:$A$100," ",""),"　",""),
  _xlpm.pos, MATCH(TRUE, RIGHT(_xlpm.s, LEN(_xlpm.dic)) = _xlpm.dic, 0),
  INDEX(メーカー!$A$1:$A$100, _xlpm.pos)
)</f>
        <v>東和薬品</v>
      </c>
      <c r="L156" cm="1">
        <f t="array" aca="1" ref="L156" ca="1">INDEX(_xlfn.FILTERXML("&lt;t&gt;&lt;s&gt;" &amp; SUBSTITUTE(MID(C156,23,999)," ","&lt;/s&gt;&lt;s&gt;") &amp; "&lt;/s&gt;&lt;/t&gt;","//s[number(.)=number(.)]"),1)</f>
        <v>1</v>
      </c>
      <c r="M156" cm="1">
        <f t="array" aca="1" ref="M156" ca="1">INDEX(
  _xlfn.FILTERXML("&lt;t&gt;&lt;s&gt;" &amp; SUBSTITUTE(MID(C156, 22 + LEN(I156) + 1, 999), " ", "&lt;/s&gt;&lt;s&gt;") &amp; "&lt;/s&gt;&lt;/t&gt;",
            "//s[number(.)=number(.)]"),
  2
)</f>
        <v>15</v>
      </c>
      <c r="N156" t="str" cm="1">
        <f t="array" aca="1" ref="N156" ca="1">_xlfn.REGEXEXTRACT(C156, "\d{2}:\d{2}:\d{2}")</f>
        <v>08:54:48</v>
      </c>
      <c r="O156" t="str">
        <f t="shared" ca="1" si="22"/>
        <v>1mg1mL1筒×10筒</v>
      </c>
      <c r="P156" t="str">
        <f t="shared" ca="1" si="23"/>
        <v>1</v>
      </c>
    </row>
    <row r="157" spans="2:16" x14ac:dyDescent="0.45">
      <c r="B157">
        <f t="shared" si="16"/>
        <v>712</v>
      </c>
      <c r="C157" t="str">
        <f ca="1">_xlfn.CONCAT(OFFSET(元!$B$10,'1行'!B157,0)," ",OFFSET(元!$B$12,'1行'!B157,0))</f>
        <v>2026/03/25 2026/04/01 チザニジン錠1mg「トーワ」東和薬品 1 16 08:54:48 1mg/錠 PTP 10錠×10 4987155097108 1 0</v>
      </c>
      <c r="D157" cm="1">
        <f t="array" aca="1" ref="D157" ca="1">INDEX(_xlfn.FILTERXML("&lt;t&gt;&lt;s&gt;" &amp; SUBSTITUTE(C157," ","&lt;/s&gt;&lt;s&gt;") &amp; "&lt;/s&gt;&lt;/t&gt;","//s[number(.)=number(.)]"),
       COUNT(_xlfn.FILTERXML("&lt;t&gt;&lt;s&gt;" &amp; SUBSTITUTE(C157," ","&lt;/s&gt;&lt;s&gt;") &amp; "&lt;/s&gt;&lt;/t&gt;","//s[number(.)=number(.)]"))-1)</f>
        <v>1</v>
      </c>
      <c r="E157" cm="1">
        <f t="array" aca="1" ref="E157" ca="1">INDEX(_xlfn.FILTERXML("&lt;t&gt;&lt;s&gt;" &amp; SUBSTITUTE(C157," ","&lt;/s&gt;&lt;s&gt;") &amp; "&lt;/s&gt;&lt;/t&gt;","//s[number(.)=number(.)]"),
       COUNT(_xlfn.FILTERXML("&lt;t&gt;&lt;s&gt;" &amp; SUBSTITUTE(C157," ","&lt;/s&gt;&lt;s&gt;") &amp; "&lt;/s&gt;&lt;/t&gt;","//s[number(.)=number(.)]")))</f>
        <v>0</v>
      </c>
      <c r="F157" s="4" t="str">
        <f t="shared" ca="1" si="17"/>
        <v>4987155097108</v>
      </c>
      <c r="G157" s="4" t="str">
        <f t="shared" ca="1" si="18"/>
        <v>2026/03/25</v>
      </c>
      <c r="H157" t="str">
        <f t="shared" ca="1" si="19"/>
        <v>2026/04/01</v>
      </c>
      <c r="I157" t="str">
        <f t="shared" ca="1" si="20"/>
        <v>チザニジン錠1mg「トーワ」東和薬品</v>
      </c>
      <c r="J157" t="str">
        <f t="shared" ca="1" si="21"/>
        <v>チザニジン錠1mg「トーワ」</v>
      </c>
      <c r="K157" t="str" cm="1">
        <f t="array" aca="1" ref="K157" ca="1">_xlfn.LET(
  _xlpm.s, SUBSTITUTE(SUBSTITUTE(I157," ",""),"　",""),
  _xlpm.dic, SUBSTITUTE(SUBSTITUTE(メーカー!$A$1:$A$100," ",""),"　",""),
  _xlpm.pos, MATCH(TRUE, RIGHT(_xlpm.s, LEN(_xlpm.dic)) = _xlpm.dic, 0),
  INDEX(メーカー!$A$1:$A$100, _xlpm.pos)
)</f>
        <v>東和薬品</v>
      </c>
      <c r="L157" cm="1">
        <f t="array" aca="1" ref="L157" ca="1">INDEX(_xlfn.FILTERXML("&lt;t&gt;&lt;s&gt;" &amp; SUBSTITUTE(MID(C157,23,999)," ","&lt;/s&gt;&lt;s&gt;") &amp; "&lt;/s&gt;&lt;/t&gt;","//s[number(.)=number(.)]"),1)</f>
        <v>1</v>
      </c>
      <c r="M157" cm="1">
        <f t="array" aca="1" ref="M157" ca="1">INDEX(
  _xlfn.FILTERXML("&lt;t&gt;&lt;s&gt;" &amp; SUBSTITUTE(MID(C157, 22 + LEN(I157) + 1, 999), " ", "&lt;/s&gt;&lt;s&gt;") &amp; "&lt;/s&gt;&lt;/t&gt;",
            "//s[number(.)=number(.)]"),
  2
)</f>
        <v>16</v>
      </c>
      <c r="N157" t="str" cm="1">
        <f t="array" aca="1" ref="N157" ca="1">_xlfn.REGEXEXTRACT(C157, "\d{2}:\d{2}:\d{2}")</f>
        <v>08:54:48</v>
      </c>
      <c r="O157" t="str">
        <f t="shared" ca="1" si="22"/>
        <v>1mg/錠 PTP 10錠×10</v>
      </c>
      <c r="P157" t="str">
        <f t="shared" ca="1" si="23"/>
        <v>1</v>
      </c>
    </row>
    <row r="158" spans="2:16" x14ac:dyDescent="0.45">
      <c r="B158">
        <f t="shared" si="16"/>
        <v>716</v>
      </c>
      <c r="C158" t="str">
        <f ca="1">_xlfn.CONCAT(OFFSET(元!$B$10,'1行'!B158,0)," ",OFFSET(元!$B$12,'1行'!B158,0))</f>
        <v>2026/03/25 2026/04/01 ラメルテオン錠8mg「トーワ」東和薬品 2 17 08:54:48 8mg/錠 バラ 300錠×1瓶4987155159295 2 0</v>
      </c>
      <c r="D158" cm="1">
        <f t="array" aca="1" ref="D158" ca="1">INDEX(_xlfn.FILTERXML("&lt;t&gt;&lt;s&gt;" &amp; SUBSTITUTE(C158," ","&lt;/s&gt;&lt;s&gt;") &amp; "&lt;/s&gt;&lt;/t&gt;","//s[number(.)=number(.)]"),
       COUNT(_xlfn.FILTERXML("&lt;t&gt;&lt;s&gt;" &amp; SUBSTITUTE(C158," ","&lt;/s&gt;&lt;s&gt;") &amp; "&lt;/s&gt;&lt;/t&gt;","//s[number(.)=number(.)]"))-1)</f>
        <v>2</v>
      </c>
      <c r="E158" cm="1">
        <f t="array" aca="1" ref="E158" ca="1">INDEX(_xlfn.FILTERXML("&lt;t&gt;&lt;s&gt;" &amp; SUBSTITUTE(C158," ","&lt;/s&gt;&lt;s&gt;") &amp; "&lt;/s&gt;&lt;/t&gt;","//s[number(.)=number(.)]"),
       COUNT(_xlfn.FILTERXML("&lt;t&gt;&lt;s&gt;" &amp; SUBSTITUTE(C158," ","&lt;/s&gt;&lt;s&gt;") &amp; "&lt;/s&gt;&lt;/t&gt;","//s[number(.)=number(.)]")))</f>
        <v>0</v>
      </c>
      <c r="F158" s="4" t="str">
        <f t="shared" ca="1" si="17"/>
        <v>4987155159295</v>
      </c>
      <c r="G158" s="4" t="str">
        <f t="shared" ca="1" si="18"/>
        <v>2026/03/25</v>
      </c>
      <c r="H158" t="str">
        <f t="shared" ca="1" si="19"/>
        <v>2026/04/01</v>
      </c>
      <c r="I158" t="str">
        <f t="shared" ca="1" si="20"/>
        <v>ラメルテオン錠8mg「トーワ」東和薬品</v>
      </c>
      <c r="J158" t="str">
        <f t="shared" ca="1" si="21"/>
        <v>ラメルテオン錠8mg「トーワ」</v>
      </c>
      <c r="K158" t="str" cm="1">
        <f t="array" aca="1" ref="K158" ca="1">_xlfn.LET(
  _xlpm.s, SUBSTITUTE(SUBSTITUTE(I158," ",""),"　",""),
  _xlpm.dic, SUBSTITUTE(SUBSTITUTE(メーカー!$A$1:$A$100," ",""),"　",""),
  _xlpm.pos, MATCH(TRUE, RIGHT(_xlpm.s, LEN(_xlpm.dic)) = _xlpm.dic, 0),
  INDEX(メーカー!$A$1:$A$100, _xlpm.pos)
)</f>
        <v>東和薬品</v>
      </c>
      <c r="L158" cm="1">
        <f t="array" aca="1" ref="L158" ca="1">INDEX(_xlfn.FILTERXML("&lt;t&gt;&lt;s&gt;" &amp; SUBSTITUTE(MID(C158,23,999)," ","&lt;/s&gt;&lt;s&gt;") &amp; "&lt;/s&gt;&lt;/t&gt;","//s[number(.)=number(.)]"),1)</f>
        <v>2</v>
      </c>
      <c r="M158" cm="1">
        <f t="array" aca="1" ref="M158" ca="1">INDEX(
  _xlfn.FILTERXML("&lt;t&gt;&lt;s&gt;" &amp; SUBSTITUTE(MID(C158, 22 + LEN(I158) + 1, 999), " ", "&lt;/s&gt;&lt;s&gt;") &amp; "&lt;/s&gt;&lt;/t&gt;",
            "//s[number(.)=number(.)]"),
  2
)</f>
        <v>17</v>
      </c>
      <c r="N158" t="str" cm="1">
        <f t="array" aca="1" ref="N158" ca="1">_xlfn.REGEXEXTRACT(C158, "\d{2}:\d{2}:\d{2}")</f>
        <v>08:54:48</v>
      </c>
      <c r="O158" t="str">
        <f t="shared" ca="1" si="22"/>
        <v>8mg/錠 バラ 300錠×1瓶</v>
      </c>
      <c r="P158" t="str">
        <f t="shared" ca="1" si="23"/>
        <v>2</v>
      </c>
    </row>
    <row r="159" spans="2:16" x14ac:dyDescent="0.45">
      <c r="B159">
        <f t="shared" si="16"/>
        <v>720</v>
      </c>
      <c r="C159" t="str">
        <f ca="1">_xlfn.CONCAT(OFFSET(元!$B$10,'1行'!B159,0)," ",OFFSET(元!$B$12,'1行'!B159,0))</f>
        <v>2026/03/25 2026/04/01 ビソプロロールフマル酸塩錠2.5mg「トーワ」東和薬品 3 18 08:54:48 2.5mg/錠 PTP 10錠×10 4987155289046 3 0</v>
      </c>
      <c r="D159" cm="1">
        <f t="array" aca="1" ref="D159" ca="1">INDEX(_xlfn.FILTERXML("&lt;t&gt;&lt;s&gt;" &amp; SUBSTITUTE(C159," ","&lt;/s&gt;&lt;s&gt;") &amp; "&lt;/s&gt;&lt;/t&gt;","//s[number(.)=number(.)]"),
       COUNT(_xlfn.FILTERXML("&lt;t&gt;&lt;s&gt;" &amp; SUBSTITUTE(C159," ","&lt;/s&gt;&lt;s&gt;") &amp; "&lt;/s&gt;&lt;/t&gt;","//s[number(.)=number(.)]"))-1)</f>
        <v>3</v>
      </c>
      <c r="E159" cm="1">
        <f t="array" aca="1" ref="E159" ca="1">INDEX(_xlfn.FILTERXML("&lt;t&gt;&lt;s&gt;" &amp; SUBSTITUTE(C159," ","&lt;/s&gt;&lt;s&gt;") &amp; "&lt;/s&gt;&lt;/t&gt;","//s[number(.)=number(.)]"),
       COUNT(_xlfn.FILTERXML("&lt;t&gt;&lt;s&gt;" &amp; SUBSTITUTE(C159," ","&lt;/s&gt;&lt;s&gt;") &amp; "&lt;/s&gt;&lt;/t&gt;","//s[number(.)=number(.)]")))</f>
        <v>0</v>
      </c>
      <c r="F159" s="4" t="str">
        <f t="shared" ca="1" si="17"/>
        <v>4987155289046</v>
      </c>
      <c r="G159" s="4" t="str">
        <f t="shared" ca="1" si="18"/>
        <v>2026/03/25</v>
      </c>
      <c r="H159" t="str">
        <f t="shared" ca="1" si="19"/>
        <v>2026/04/01</v>
      </c>
      <c r="I159" t="str">
        <f t="shared" ca="1" si="20"/>
        <v>ビソプロロールフマル酸塩錠2.5mg「トーワ」東和薬品</v>
      </c>
      <c r="J159" t="str">
        <f t="shared" ca="1" si="21"/>
        <v>ビソプロロールフマル酸塩錠2.5mg「トーワ」</v>
      </c>
      <c r="K159" t="str" cm="1">
        <f t="array" aca="1" ref="K159" ca="1">_xlfn.LET(
  _xlpm.s, SUBSTITUTE(SUBSTITUTE(I159," ",""),"　",""),
  _xlpm.dic, SUBSTITUTE(SUBSTITUTE(メーカー!$A$1:$A$100," ",""),"　",""),
  _xlpm.pos, MATCH(TRUE, RIGHT(_xlpm.s, LEN(_xlpm.dic)) = _xlpm.dic, 0),
  INDEX(メーカー!$A$1:$A$100, _xlpm.pos)
)</f>
        <v>東和薬品</v>
      </c>
      <c r="L159" cm="1">
        <f t="array" aca="1" ref="L159" ca="1">INDEX(_xlfn.FILTERXML("&lt;t&gt;&lt;s&gt;" &amp; SUBSTITUTE(MID(C159,23,999)," ","&lt;/s&gt;&lt;s&gt;") &amp; "&lt;/s&gt;&lt;/t&gt;","//s[number(.)=number(.)]"),1)</f>
        <v>3</v>
      </c>
      <c r="M159" cm="1">
        <f t="array" aca="1" ref="M159" ca="1">INDEX(
  _xlfn.FILTERXML("&lt;t&gt;&lt;s&gt;" &amp; SUBSTITUTE(MID(C159, 22 + LEN(I159) + 1, 999), " ", "&lt;/s&gt;&lt;s&gt;") &amp; "&lt;/s&gt;&lt;/t&gt;",
            "//s[number(.)=number(.)]"),
  2
)</f>
        <v>18</v>
      </c>
      <c r="N159" t="str" cm="1">
        <f t="array" aca="1" ref="N159" ca="1">_xlfn.REGEXEXTRACT(C159, "\d{2}:\d{2}:\d{2}")</f>
        <v>08:54:48</v>
      </c>
      <c r="O159" t="str">
        <f t="shared" ca="1" si="22"/>
        <v>2.5mg/錠 PTP 10錠×10</v>
      </c>
      <c r="P159" t="str">
        <f t="shared" ca="1" si="23"/>
        <v>3</v>
      </c>
    </row>
    <row r="160" spans="2:16" x14ac:dyDescent="0.45">
      <c r="B160" s="3">
        <f>B159+10</f>
        <v>730</v>
      </c>
      <c r="C160" t="str">
        <f ca="1">_xlfn.CONCAT(OFFSET(元!$B$10,'1行'!B160,0)," ",OFFSET(元!$B$12,'1行'!B160,0))</f>
        <v>2026/03/09 2026/03/09 テルビナフィン塩酸塩クリーム1%「サワイ」沢井製薬 5 1 16:08:58 1%1g 10g×10本 (アルミニウムチューブ) 4987080036111 5 0</v>
      </c>
      <c r="D160" cm="1">
        <f t="array" aca="1" ref="D160" ca="1">INDEX(_xlfn.FILTERXML("&lt;t&gt;&lt;s&gt;" &amp; SUBSTITUTE(C160," ","&lt;/s&gt;&lt;s&gt;") &amp; "&lt;/s&gt;&lt;/t&gt;","//s[number(.)=number(.)]"),
       COUNT(_xlfn.FILTERXML("&lt;t&gt;&lt;s&gt;" &amp; SUBSTITUTE(C160," ","&lt;/s&gt;&lt;s&gt;") &amp; "&lt;/s&gt;&lt;/t&gt;","//s[number(.)=number(.)]"))-1)</f>
        <v>5</v>
      </c>
      <c r="E160" cm="1">
        <f t="array" aca="1" ref="E160" ca="1">INDEX(_xlfn.FILTERXML("&lt;t&gt;&lt;s&gt;" &amp; SUBSTITUTE(C160," ","&lt;/s&gt;&lt;s&gt;") &amp; "&lt;/s&gt;&lt;/t&gt;","//s[number(.)=number(.)]"),
       COUNT(_xlfn.FILTERXML("&lt;t&gt;&lt;s&gt;" &amp; SUBSTITUTE(C160," ","&lt;/s&gt;&lt;s&gt;") &amp; "&lt;/s&gt;&lt;/t&gt;","//s[number(.)=number(.)]")))</f>
        <v>0</v>
      </c>
      <c r="F160" s="4" t="str">
        <f t="shared" ca="1" si="17"/>
        <v>4987080036111</v>
      </c>
      <c r="G160" s="4" t="str">
        <f t="shared" ca="1" si="18"/>
        <v>2026/03/09</v>
      </c>
      <c r="H160" t="str">
        <f t="shared" ca="1" si="19"/>
        <v>2026/03/09</v>
      </c>
      <c r="I160" t="str">
        <f t="shared" ca="1" si="20"/>
        <v>テルビナフィン塩酸塩クリーム1%「サワイ」沢井製薬</v>
      </c>
      <c r="J160" t="str">
        <f t="shared" ca="1" si="21"/>
        <v>テルビナフィン塩酸塩クリーム1%「サワイ」</v>
      </c>
      <c r="K160" t="str" cm="1">
        <f t="array" aca="1" ref="K160" ca="1">_xlfn.LET(
  _xlpm.s, SUBSTITUTE(SUBSTITUTE(I160," ",""),"　",""),
  _xlpm.dic, SUBSTITUTE(SUBSTITUTE(メーカー!$A$1:$A$100," ",""),"　",""),
  _xlpm.pos, MATCH(TRUE, RIGHT(_xlpm.s, LEN(_xlpm.dic)) = _xlpm.dic, 0),
  INDEX(メーカー!$A$1:$A$100, _xlpm.pos)
)</f>
        <v>沢井製薬</v>
      </c>
      <c r="L160" cm="1">
        <f t="array" aca="1" ref="L160" ca="1">INDEX(_xlfn.FILTERXML("&lt;t&gt;&lt;s&gt;" &amp; SUBSTITUTE(MID(C160,23,999)," ","&lt;/s&gt;&lt;s&gt;") &amp; "&lt;/s&gt;&lt;/t&gt;","//s[number(.)=number(.)]"),1)</f>
        <v>5</v>
      </c>
      <c r="M160" cm="1">
        <f t="array" aca="1" ref="M160" ca="1">INDEX(
  _xlfn.FILTERXML("&lt;t&gt;&lt;s&gt;" &amp; SUBSTITUTE(MID(C160, 22 + LEN(I160) + 1, 999), " ", "&lt;/s&gt;&lt;s&gt;") &amp; "&lt;/s&gt;&lt;/t&gt;",
            "//s[number(.)=number(.)]"),
  2
)</f>
        <v>1</v>
      </c>
      <c r="N160" t="str" cm="1">
        <f t="array" aca="1" ref="N160" ca="1">_xlfn.REGEXEXTRACT(C160, "\d{2}:\d{2}:\d{2}")</f>
        <v>16:08:58</v>
      </c>
      <c r="O160" t="str">
        <f t="shared" ca="1" si="22"/>
        <v>1%1g 10g×10本 (アルミニウムチューブ)</v>
      </c>
      <c r="P160" t="str">
        <f t="shared" ca="1" si="23"/>
        <v>5</v>
      </c>
    </row>
    <row r="161" spans="2:16" x14ac:dyDescent="0.45">
      <c r="B161">
        <f t="shared" si="16"/>
        <v>734</v>
      </c>
      <c r="C161" t="str">
        <f ca="1">_xlfn.CONCAT(OFFSET(元!$B$10,'1行'!B161,0)," ",OFFSET(元!$B$12,'1行'!B161,0))</f>
        <v>2026/03/25 2026/04/01 カモスタットメシル酸塩錠100mg「サワイ」沢井製薬 1 2 08:54:48 100mg/錠 PTP 10錠×10 4987080197010 1 0</v>
      </c>
      <c r="D161" cm="1">
        <f t="array" aca="1" ref="D161" ca="1">INDEX(_xlfn.FILTERXML("&lt;t&gt;&lt;s&gt;" &amp; SUBSTITUTE(C161," ","&lt;/s&gt;&lt;s&gt;") &amp; "&lt;/s&gt;&lt;/t&gt;","//s[number(.)=number(.)]"),
       COUNT(_xlfn.FILTERXML("&lt;t&gt;&lt;s&gt;" &amp; SUBSTITUTE(C161," ","&lt;/s&gt;&lt;s&gt;") &amp; "&lt;/s&gt;&lt;/t&gt;","//s[number(.)=number(.)]"))-1)</f>
        <v>1</v>
      </c>
      <c r="E161" cm="1">
        <f t="array" aca="1" ref="E161" ca="1">INDEX(_xlfn.FILTERXML("&lt;t&gt;&lt;s&gt;" &amp; SUBSTITUTE(C161," ","&lt;/s&gt;&lt;s&gt;") &amp; "&lt;/s&gt;&lt;/t&gt;","//s[number(.)=number(.)]"),
       COUNT(_xlfn.FILTERXML("&lt;t&gt;&lt;s&gt;" &amp; SUBSTITUTE(C161," ","&lt;/s&gt;&lt;s&gt;") &amp; "&lt;/s&gt;&lt;/t&gt;","//s[number(.)=number(.)]")))</f>
        <v>0</v>
      </c>
      <c r="F161" s="4" t="str">
        <f t="shared" ca="1" si="17"/>
        <v>4987080197010</v>
      </c>
      <c r="G161" s="4" t="str">
        <f t="shared" ca="1" si="18"/>
        <v>2026/03/25</v>
      </c>
      <c r="H161" t="str">
        <f t="shared" ca="1" si="19"/>
        <v>2026/04/01</v>
      </c>
      <c r="I161" t="str">
        <f t="shared" ca="1" si="20"/>
        <v>カモスタットメシル酸塩錠100mg「サワイ」沢井製薬</v>
      </c>
      <c r="J161" t="str">
        <f t="shared" ca="1" si="21"/>
        <v>カモスタットメシル酸塩錠100mg「サワイ」</v>
      </c>
      <c r="K161" t="str" cm="1">
        <f t="array" aca="1" ref="K161" ca="1">_xlfn.LET(
  _xlpm.s, SUBSTITUTE(SUBSTITUTE(I161," ",""),"　",""),
  _xlpm.dic, SUBSTITUTE(SUBSTITUTE(メーカー!$A$1:$A$100," ",""),"　",""),
  _xlpm.pos, MATCH(TRUE, RIGHT(_xlpm.s, LEN(_xlpm.dic)) = _xlpm.dic, 0),
  INDEX(メーカー!$A$1:$A$100, _xlpm.pos)
)</f>
        <v>沢井製薬</v>
      </c>
      <c r="L161" cm="1">
        <f t="array" aca="1" ref="L161" ca="1">INDEX(_xlfn.FILTERXML("&lt;t&gt;&lt;s&gt;" &amp; SUBSTITUTE(MID(C161,23,999)," ","&lt;/s&gt;&lt;s&gt;") &amp; "&lt;/s&gt;&lt;/t&gt;","//s[number(.)=number(.)]"),1)</f>
        <v>1</v>
      </c>
      <c r="M161" cm="1">
        <f t="array" aca="1" ref="M161" ca="1">INDEX(
  _xlfn.FILTERXML("&lt;t&gt;&lt;s&gt;" &amp; SUBSTITUTE(MID(C161, 22 + LEN(I161) + 1, 999), " ", "&lt;/s&gt;&lt;s&gt;") &amp; "&lt;/s&gt;&lt;/t&gt;",
            "//s[number(.)=number(.)]"),
  2
)</f>
        <v>2</v>
      </c>
      <c r="N161" t="str" cm="1">
        <f t="array" aca="1" ref="N161" ca="1">_xlfn.REGEXEXTRACT(C161, "\d{2}:\d{2}:\d{2}")</f>
        <v>08:54:48</v>
      </c>
      <c r="O161" t="str">
        <f t="shared" ca="1" si="22"/>
        <v>100mg/錠 PTP 10錠×10</v>
      </c>
      <c r="P161" t="str">
        <f t="shared" ca="1" si="23"/>
        <v>1</v>
      </c>
    </row>
    <row r="162" spans="2:16" x14ac:dyDescent="0.45">
      <c r="B162">
        <f t="shared" si="16"/>
        <v>738</v>
      </c>
      <c r="C162" t="str">
        <f ca="1">_xlfn.CONCAT(OFFSET(元!$B$10,'1行'!B162,0)," ",OFFSET(元!$B$12,'1行'!B162,0))</f>
        <v>2026/03/25 2026/04/01 シロドシンOD錠4mg「KMP」共創未来ファーマ 2 3 08:54:48 4mg/錠 PTP 10錠×10 4987885022340 2 0</v>
      </c>
      <c r="D162" cm="1">
        <f t="array" aca="1" ref="D162" ca="1">INDEX(_xlfn.FILTERXML("&lt;t&gt;&lt;s&gt;" &amp; SUBSTITUTE(C162," ","&lt;/s&gt;&lt;s&gt;") &amp; "&lt;/s&gt;&lt;/t&gt;","//s[number(.)=number(.)]"),
       COUNT(_xlfn.FILTERXML("&lt;t&gt;&lt;s&gt;" &amp; SUBSTITUTE(C162," ","&lt;/s&gt;&lt;s&gt;") &amp; "&lt;/s&gt;&lt;/t&gt;","//s[number(.)=number(.)]"))-1)</f>
        <v>2</v>
      </c>
      <c r="E162" cm="1">
        <f t="array" aca="1" ref="E162" ca="1">INDEX(_xlfn.FILTERXML("&lt;t&gt;&lt;s&gt;" &amp; SUBSTITUTE(C162," ","&lt;/s&gt;&lt;s&gt;") &amp; "&lt;/s&gt;&lt;/t&gt;","//s[number(.)=number(.)]"),
       COUNT(_xlfn.FILTERXML("&lt;t&gt;&lt;s&gt;" &amp; SUBSTITUTE(C162," ","&lt;/s&gt;&lt;s&gt;") &amp; "&lt;/s&gt;&lt;/t&gt;","//s[number(.)=number(.)]")))</f>
        <v>0</v>
      </c>
      <c r="F162" s="4" t="str">
        <f t="shared" ca="1" si="17"/>
        <v>4987885022340</v>
      </c>
      <c r="G162" s="4" t="str">
        <f t="shared" ca="1" si="18"/>
        <v>2026/03/25</v>
      </c>
      <c r="H162" t="str">
        <f t="shared" ca="1" si="19"/>
        <v>2026/04/01</v>
      </c>
      <c r="I162" t="str">
        <f t="shared" ca="1" si="20"/>
        <v>シロドシンOD錠4mg「KMP」共創未来ファーマ</v>
      </c>
      <c r="J162" t="str">
        <f t="shared" ca="1" si="21"/>
        <v>シロドシンOD錠4mg「KMP」</v>
      </c>
      <c r="K162" t="str" cm="1">
        <f t="array" aca="1" ref="K162" ca="1">_xlfn.LET(
  _xlpm.s, SUBSTITUTE(SUBSTITUTE(I162," ",""),"　",""),
  _xlpm.dic, SUBSTITUTE(SUBSTITUTE(メーカー!$A$1:$A$100," ",""),"　",""),
  _xlpm.pos, MATCH(TRUE, RIGHT(_xlpm.s, LEN(_xlpm.dic)) = _xlpm.dic, 0),
  INDEX(メーカー!$A$1:$A$100, _xlpm.pos)
)</f>
        <v>共創未来ファーマ</v>
      </c>
      <c r="L162" cm="1">
        <f t="array" aca="1" ref="L162" ca="1">INDEX(_xlfn.FILTERXML("&lt;t&gt;&lt;s&gt;" &amp; SUBSTITUTE(MID(C162,23,999)," ","&lt;/s&gt;&lt;s&gt;") &amp; "&lt;/s&gt;&lt;/t&gt;","//s[number(.)=number(.)]"),1)</f>
        <v>2</v>
      </c>
      <c r="M162" cm="1">
        <f t="array" aca="1" ref="M162" ca="1">INDEX(
  _xlfn.FILTERXML("&lt;t&gt;&lt;s&gt;" &amp; SUBSTITUTE(MID(C162, 22 + LEN(I162) + 1, 999), " ", "&lt;/s&gt;&lt;s&gt;") &amp; "&lt;/s&gt;&lt;/t&gt;",
            "//s[number(.)=number(.)]"),
  2
)</f>
        <v>3</v>
      </c>
      <c r="N162" t="str" cm="1">
        <f t="array" aca="1" ref="N162" ca="1">_xlfn.REGEXEXTRACT(C162, "\d{2}:\d{2}:\d{2}")</f>
        <v>08:54:48</v>
      </c>
      <c r="O162" t="str">
        <f t="shared" ca="1" si="22"/>
        <v>4mg/錠 PTP 10錠×10</v>
      </c>
      <c r="P162" t="str">
        <f t="shared" ca="1" si="23"/>
        <v>2</v>
      </c>
    </row>
    <row r="163" spans="2:16" x14ac:dyDescent="0.45">
      <c r="B163">
        <f t="shared" si="16"/>
        <v>742</v>
      </c>
      <c r="C163" t="str">
        <f ca="1">_xlfn.CONCAT(OFFSET(元!$B$10,'1行'!B163,0)," ",OFFSET(元!$B$12,'1行'!B163,0))</f>
        <v>2026/03/25 2026/04/01 ヒルドイドソフト軟膏0.3% マルホ 1 4 08:54:48 25g×10本 (ポリエチレンチューブ) 4987213052810 1 0</v>
      </c>
      <c r="D163" cm="1">
        <f t="array" aca="1" ref="D163" ca="1">INDEX(_xlfn.FILTERXML("&lt;t&gt;&lt;s&gt;" &amp; SUBSTITUTE(C163," ","&lt;/s&gt;&lt;s&gt;") &amp; "&lt;/s&gt;&lt;/t&gt;","//s[number(.)=number(.)]"),
       COUNT(_xlfn.FILTERXML("&lt;t&gt;&lt;s&gt;" &amp; SUBSTITUTE(C163," ","&lt;/s&gt;&lt;s&gt;") &amp; "&lt;/s&gt;&lt;/t&gt;","//s[number(.)=number(.)]"))-1)</f>
        <v>1</v>
      </c>
      <c r="E163" cm="1">
        <f t="array" aca="1" ref="E163" ca="1">INDEX(_xlfn.FILTERXML("&lt;t&gt;&lt;s&gt;" &amp; SUBSTITUTE(C163," ","&lt;/s&gt;&lt;s&gt;") &amp; "&lt;/s&gt;&lt;/t&gt;","//s[number(.)=number(.)]"),
       COUNT(_xlfn.FILTERXML("&lt;t&gt;&lt;s&gt;" &amp; SUBSTITUTE(C163," ","&lt;/s&gt;&lt;s&gt;") &amp; "&lt;/s&gt;&lt;/t&gt;","//s[number(.)=number(.)]")))</f>
        <v>0</v>
      </c>
      <c r="F163" s="4" t="str">
        <f t="shared" ca="1" si="17"/>
        <v>4987213052810</v>
      </c>
      <c r="G163" s="4" t="str">
        <f t="shared" ca="1" si="18"/>
        <v>2026/03/25</v>
      </c>
      <c r="H163" t="str">
        <f t="shared" ca="1" si="19"/>
        <v>2026/04/01</v>
      </c>
      <c r="I163" t="str">
        <f t="shared" ca="1" si="20"/>
        <v>ヒルドイドソフト軟膏0.3% マルホ</v>
      </c>
      <c r="J163" t="str">
        <f t="shared" ca="1" si="21"/>
        <v xml:space="preserve">ヒルドイドソフト軟膏0.3% </v>
      </c>
      <c r="K163" t="str" cm="1">
        <f t="array" aca="1" ref="K163" ca="1">_xlfn.LET(
  _xlpm.s, SUBSTITUTE(SUBSTITUTE(I163," ",""),"　",""),
  _xlpm.dic, SUBSTITUTE(SUBSTITUTE(メーカー!$A$1:$A$100," ",""),"　",""),
  _xlpm.pos, MATCH(TRUE, RIGHT(_xlpm.s, LEN(_xlpm.dic)) = _xlpm.dic, 0),
  INDEX(メーカー!$A$1:$A$100, _xlpm.pos)
)</f>
        <v>マルホ</v>
      </c>
      <c r="L163" cm="1">
        <f t="array" aca="1" ref="L163" ca="1">INDEX(_xlfn.FILTERXML("&lt;t&gt;&lt;s&gt;" &amp; SUBSTITUTE(MID(C163,23,999)," ","&lt;/s&gt;&lt;s&gt;") &amp; "&lt;/s&gt;&lt;/t&gt;","//s[number(.)=number(.)]"),1)</f>
        <v>1</v>
      </c>
      <c r="M163" cm="1">
        <f t="array" aca="1" ref="M163" ca="1">INDEX(
  _xlfn.FILTERXML("&lt;t&gt;&lt;s&gt;" &amp; SUBSTITUTE(MID(C163, 22 + LEN(I163) + 1, 999), " ", "&lt;/s&gt;&lt;s&gt;") &amp; "&lt;/s&gt;&lt;/t&gt;",
            "//s[number(.)=number(.)]"),
  2
)</f>
        <v>4</v>
      </c>
      <c r="N163" t="str" cm="1">
        <f t="array" aca="1" ref="N163" ca="1">_xlfn.REGEXEXTRACT(C163, "\d{2}:\d{2}:\d{2}")</f>
        <v>08:54:48</v>
      </c>
      <c r="O163" t="str">
        <f t="shared" ca="1" si="22"/>
        <v>25g×10本 (ポリエチレンチューブ)</v>
      </c>
      <c r="P163" t="str">
        <f t="shared" ca="1" si="23"/>
        <v>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D016-F568-4BE8-B984-FA11307D47F0}">
  <dimension ref="A1:A50"/>
  <sheetViews>
    <sheetView topLeftCell="A37" workbookViewId="0">
      <selection activeCell="A51" sqref="A51"/>
    </sheetView>
  </sheetViews>
  <sheetFormatPr defaultRowHeight="18" x14ac:dyDescent="0.45"/>
  <cols>
    <col min="1" max="1" width="29.69921875" bestFit="1" customWidth="1"/>
  </cols>
  <sheetData>
    <row r="1" spans="1:1" x14ac:dyDescent="0.45">
      <c r="A1" t="s">
        <v>357</v>
      </c>
    </row>
    <row r="2" spans="1:1" x14ac:dyDescent="0.45">
      <c r="A2" t="s">
        <v>375</v>
      </c>
    </row>
    <row r="3" spans="1:1" x14ac:dyDescent="0.45">
      <c r="A3" t="s">
        <v>330</v>
      </c>
    </row>
    <row r="4" spans="1:1" x14ac:dyDescent="0.45">
      <c r="A4" t="s">
        <v>337</v>
      </c>
    </row>
    <row r="5" spans="1:1" x14ac:dyDescent="0.45">
      <c r="A5" t="s">
        <v>376</v>
      </c>
    </row>
    <row r="6" spans="1:1" x14ac:dyDescent="0.45">
      <c r="A6" t="s">
        <v>348</v>
      </c>
    </row>
    <row r="7" spans="1:1" x14ac:dyDescent="0.45">
      <c r="A7" t="s">
        <v>377</v>
      </c>
    </row>
    <row r="8" spans="1:1" x14ac:dyDescent="0.45">
      <c r="A8" t="s">
        <v>336</v>
      </c>
    </row>
    <row r="9" spans="1:1" x14ac:dyDescent="0.45">
      <c r="A9" t="s">
        <v>358</v>
      </c>
    </row>
    <row r="10" spans="1:1" x14ac:dyDescent="0.45">
      <c r="A10" t="s">
        <v>360</v>
      </c>
    </row>
    <row r="11" spans="1:1" x14ac:dyDescent="0.45">
      <c r="A11" t="s">
        <v>378</v>
      </c>
    </row>
    <row r="12" spans="1:1" x14ac:dyDescent="0.45">
      <c r="A12" t="s">
        <v>346</v>
      </c>
    </row>
    <row r="13" spans="1:1" x14ac:dyDescent="0.45">
      <c r="A13" t="s">
        <v>352</v>
      </c>
    </row>
    <row r="14" spans="1:1" x14ac:dyDescent="0.45">
      <c r="A14" t="s">
        <v>379</v>
      </c>
    </row>
    <row r="15" spans="1:1" x14ac:dyDescent="0.45">
      <c r="A15" t="s">
        <v>359</v>
      </c>
    </row>
    <row r="16" spans="1:1" x14ac:dyDescent="0.45">
      <c r="A16" t="s">
        <v>345</v>
      </c>
    </row>
    <row r="17" spans="1:1" x14ac:dyDescent="0.45">
      <c r="A17" t="s">
        <v>338</v>
      </c>
    </row>
    <row r="18" spans="1:1" x14ac:dyDescent="0.45">
      <c r="A18" t="s">
        <v>349</v>
      </c>
    </row>
    <row r="19" spans="1:1" x14ac:dyDescent="0.45">
      <c r="A19" t="s">
        <v>342</v>
      </c>
    </row>
    <row r="20" spans="1:1" x14ac:dyDescent="0.45">
      <c r="A20" t="s">
        <v>343</v>
      </c>
    </row>
    <row r="21" spans="1:1" x14ac:dyDescent="0.45">
      <c r="A21" t="s">
        <v>380</v>
      </c>
    </row>
    <row r="22" spans="1:1" x14ac:dyDescent="0.45">
      <c r="A22" t="s">
        <v>331</v>
      </c>
    </row>
    <row r="23" spans="1:1" x14ac:dyDescent="0.45">
      <c r="A23" t="s">
        <v>381</v>
      </c>
    </row>
    <row r="24" spans="1:1" x14ac:dyDescent="0.45">
      <c r="A24" t="s">
        <v>351</v>
      </c>
    </row>
    <row r="25" spans="1:1" x14ac:dyDescent="0.45">
      <c r="A25" t="s">
        <v>382</v>
      </c>
    </row>
    <row r="26" spans="1:1" x14ac:dyDescent="0.45">
      <c r="A26" t="s">
        <v>350</v>
      </c>
    </row>
    <row r="27" spans="1:1" x14ac:dyDescent="0.45">
      <c r="A27" t="s">
        <v>355</v>
      </c>
    </row>
    <row r="28" spans="1:1" x14ac:dyDescent="0.45">
      <c r="A28" t="s">
        <v>353</v>
      </c>
    </row>
    <row r="29" spans="1:1" x14ac:dyDescent="0.45">
      <c r="A29" t="s">
        <v>354</v>
      </c>
    </row>
    <row r="30" spans="1:1" x14ac:dyDescent="0.45">
      <c r="A30" t="s">
        <v>383</v>
      </c>
    </row>
    <row r="31" spans="1:1" x14ac:dyDescent="0.45">
      <c r="A31" t="s">
        <v>356</v>
      </c>
    </row>
    <row r="32" spans="1:1" x14ac:dyDescent="0.45">
      <c r="A32" t="s">
        <v>347</v>
      </c>
    </row>
    <row r="33" spans="1:1" x14ac:dyDescent="0.45">
      <c r="A33" t="s">
        <v>339</v>
      </c>
    </row>
    <row r="34" spans="1:1" x14ac:dyDescent="0.45">
      <c r="A34" t="s">
        <v>332</v>
      </c>
    </row>
    <row r="35" spans="1:1" x14ac:dyDescent="0.45">
      <c r="A35" t="s">
        <v>340</v>
      </c>
    </row>
    <row r="36" spans="1:1" x14ac:dyDescent="0.45">
      <c r="A36" t="s">
        <v>384</v>
      </c>
    </row>
    <row r="37" spans="1:1" x14ac:dyDescent="0.45">
      <c r="A37" t="s">
        <v>333</v>
      </c>
    </row>
    <row r="38" spans="1:1" x14ac:dyDescent="0.45">
      <c r="A38" t="s">
        <v>385</v>
      </c>
    </row>
    <row r="39" spans="1:1" x14ac:dyDescent="0.45">
      <c r="A39" t="s">
        <v>390</v>
      </c>
    </row>
    <row r="40" spans="1:1" x14ac:dyDescent="0.45">
      <c r="A40" t="s">
        <v>335</v>
      </c>
    </row>
    <row r="41" spans="1:1" x14ac:dyDescent="0.45">
      <c r="A41" t="s">
        <v>341</v>
      </c>
    </row>
    <row r="42" spans="1:1" x14ac:dyDescent="0.45">
      <c r="A42" t="s">
        <v>386</v>
      </c>
    </row>
    <row r="43" spans="1:1" x14ac:dyDescent="0.45">
      <c r="A43" t="s">
        <v>387</v>
      </c>
    </row>
    <row r="44" spans="1:1" x14ac:dyDescent="0.45">
      <c r="A44" t="s">
        <v>334</v>
      </c>
    </row>
    <row r="45" spans="1:1" x14ac:dyDescent="0.45">
      <c r="A45" t="s">
        <v>344</v>
      </c>
    </row>
    <row r="46" spans="1:1" x14ac:dyDescent="0.45">
      <c r="A46" t="s">
        <v>391</v>
      </c>
    </row>
    <row r="47" spans="1:1" x14ac:dyDescent="0.45">
      <c r="A47" t="s">
        <v>392</v>
      </c>
    </row>
    <row r="48" spans="1:1" x14ac:dyDescent="0.45">
      <c r="A48" t="s">
        <v>393</v>
      </c>
    </row>
    <row r="49" spans="1:1" x14ac:dyDescent="0.45">
      <c r="A49" t="s">
        <v>394</v>
      </c>
    </row>
    <row r="50" spans="1:1" x14ac:dyDescent="0.45">
      <c r="A50" t="s">
        <v>395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C56C-4F24-4CC6-8593-73A5801D7B2D}">
  <dimension ref="B4:B756"/>
  <sheetViews>
    <sheetView topLeftCell="A649" workbookViewId="0">
      <selection activeCell="B734" sqref="B734"/>
    </sheetView>
  </sheetViews>
  <sheetFormatPr defaultRowHeight="18" x14ac:dyDescent="0.45"/>
  <sheetData>
    <row r="4" spans="2:2" x14ac:dyDescent="0.45">
      <c r="B4" s="1" t="s">
        <v>0</v>
      </c>
    </row>
    <row r="5" spans="2:2" x14ac:dyDescent="0.45">
      <c r="B5" s="2"/>
    </row>
    <row r="6" spans="2:2" x14ac:dyDescent="0.45">
      <c r="B6" s="1" t="s">
        <v>1</v>
      </c>
    </row>
    <row r="7" spans="2:2" x14ac:dyDescent="0.45">
      <c r="B7" s="2"/>
    </row>
    <row r="8" spans="2:2" x14ac:dyDescent="0.45">
      <c r="B8" s="2" t="s">
        <v>364</v>
      </c>
    </row>
    <row r="9" spans="2:2" x14ac:dyDescent="0.45">
      <c r="B9" s="2"/>
    </row>
    <row r="10" spans="2:2" x14ac:dyDescent="0.45">
      <c r="B10" s="2" t="s">
        <v>15</v>
      </c>
    </row>
    <row r="11" spans="2:2" x14ac:dyDescent="0.45">
      <c r="B11" s="2"/>
    </row>
    <row r="12" spans="2:2" x14ac:dyDescent="0.45">
      <c r="B12" s="2" t="s">
        <v>16</v>
      </c>
    </row>
    <row r="13" spans="2:2" x14ac:dyDescent="0.45">
      <c r="B13" s="2"/>
    </row>
    <row r="14" spans="2:2" x14ac:dyDescent="0.45">
      <c r="B14" s="2" t="s">
        <v>17</v>
      </c>
    </row>
    <row r="15" spans="2:2" x14ac:dyDescent="0.45">
      <c r="B15" s="2"/>
    </row>
    <row r="16" spans="2:2" x14ac:dyDescent="0.45">
      <c r="B16" s="2" t="s">
        <v>18</v>
      </c>
    </row>
    <row r="17" spans="2:2" x14ac:dyDescent="0.45">
      <c r="B17" s="2"/>
    </row>
    <row r="18" spans="2:2" x14ac:dyDescent="0.45">
      <c r="B18" s="2" t="s">
        <v>19</v>
      </c>
    </row>
    <row r="19" spans="2:2" x14ac:dyDescent="0.45">
      <c r="B19" s="2"/>
    </row>
    <row r="20" spans="2:2" x14ac:dyDescent="0.45">
      <c r="B20" s="2" t="s">
        <v>20</v>
      </c>
    </row>
    <row r="21" spans="2:2" x14ac:dyDescent="0.45">
      <c r="B21" s="2"/>
    </row>
    <row r="22" spans="2:2" x14ac:dyDescent="0.45">
      <c r="B22" s="2" t="s">
        <v>21</v>
      </c>
    </row>
    <row r="23" spans="2:2" x14ac:dyDescent="0.45">
      <c r="B23" s="2"/>
    </row>
    <row r="24" spans="2:2" x14ac:dyDescent="0.45">
      <c r="B24" s="2" t="s">
        <v>22</v>
      </c>
    </row>
    <row r="25" spans="2:2" x14ac:dyDescent="0.45">
      <c r="B25" s="2"/>
    </row>
    <row r="26" spans="2:2" x14ac:dyDescent="0.45">
      <c r="B26" s="2" t="s">
        <v>23</v>
      </c>
    </row>
    <row r="27" spans="2:2" x14ac:dyDescent="0.45">
      <c r="B27" s="2"/>
    </row>
    <row r="28" spans="2:2" x14ac:dyDescent="0.45">
      <c r="B28" s="2" t="s">
        <v>24</v>
      </c>
    </row>
    <row r="29" spans="2:2" x14ac:dyDescent="0.45">
      <c r="B29" s="2"/>
    </row>
    <row r="30" spans="2:2" x14ac:dyDescent="0.45">
      <c r="B30" s="2" t="s">
        <v>25</v>
      </c>
    </row>
    <row r="31" spans="2:2" x14ac:dyDescent="0.45">
      <c r="B31" s="2"/>
    </row>
    <row r="32" spans="2:2" x14ac:dyDescent="0.45">
      <c r="B32" s="2" t="s">
        <v>26</v>
      </c>
    </row>
    <row r="33" spans="2:2" x14ac:dyDescent="0.45">
      <c r="B33" s="2"/>
    </row>
    <row r="34" spans="2:2" x14ac:dyDescent="0.45">
      <c r="B34" s="2" t="s">
        <v>27</v>
      </c>
    </row>
    <row r="35" spans="2:2" x14ac:dyDescent="0.45">
      <c r="B35" s="2"/>
    </row>
    <row r="36" spans="2:2" x14ac:dyDescent="0.45">
      <c r="B36" s="2" t="s">
        <v>28</v>
      </c>
    </row>
    <row r="37" spans="2:2" x14ac:dyDescent="0.45">
      <c r="B37" s="2"/>
    </row>
    <row r="38" spans="2:2" x14ac:dyDescent="0.45">
      <c r="B38" s="2" t="s">
        <v>29</v>
      </c>
    </row>
    <row r="39" spans="2:2" x14ac:dyDescent="0.45">
      <c r="B39" s="2"/>
    </row>
    <row r="40" spans="2:2" x14ac:dyDescent="0.45">
      <c r="B40" s="2" t="s">
        <v>30</v>
      </c>
    </row>
    <row r="41" spans="2:2" x14ac:dyDescent="0.45">
      <c r="B41" s="2"/>
    </row>
    <row r="42" spans="2:2" x14ac:dyDescent="0.45">
      <c r="B42" s="2" t="s">
        <v>31</v>
      </c>
    </row>
    <row r="43" spans="2:2" x14ac:dyDescent="0.45">
      <c r="B43" s="2"/>
    </row>
    <row r="44" spans="2:2" x14ac:dyDescent="0.45">
      <c r="B44" s="2" t="s">
        <v>32</v>
      </c>
    </row>
    <row r="45" spans="2:2" x14ac:dyDescent="0.45">
      <c r="B45" s="2"/>
    </row>
    <row r="46" spans="2:2" x14ac:dyDescent="0.45">
      <c r="B46" s="2" t="s">
        <v>33</v>
      </c>
    </row>
    <row r="47" spans="2:2" x14ac:dyDescent="0.45">
      <c r="B47" s="2"/>
    </row>
    <row r="48" spans="2:2" x14ac:dyDescent="0.45">
      <c r="B48" s="2" t="s">
        <v>34</v>
      </c>
    </row>
    <row r="49" spans="2:2" x14ac:dyDescent="0.45">
      <c r="B49" s="2"/>
    </row>
    <row r="50" spans="2:2" x14ac:dyDescent="0.45">
      <c r="B50" s="2" t="s">
        <v>35</v>
      </c>
    </row>
    <row r="51" spans="2:2" x14ac:dyDescent="0.45">
      <c r="B51" s="2"/>
    </row>
    <row r="52" spans="2:2" x14ac:dyDescent="0.45">
      <c r="B52" s="2" t="s">
        <v>36</v>
      </c>
    </row>
    <row r="53" spans="2:2" x14ac:dyDescent="0.45">
      <c r="B53" s="2"/>
    </row>
    <row r="54" spans="2:2" x14ac:dyDescent="0.45">
      <c r="B54" s="2" t="s">
        <v>37</v>
      </c>
    </row>
    <row r="55" spans="2:2" x14ac:dyDescent="0.45">
      <c r="B55" s="2"/>
    </row>
    <row r="56" spans="2:2" x14ac:dyDescent="0.45">
      <c r="B56" s="2" t="s">
        <v>38</v>
      </c>
    </row>
    <row r="57" spans="2:2" x14ac:dyDescent="0.45">
      <c r="B57" s="2"/>
    </row>
    <row r="58" spans="2:2" x14ac:dyDescent="0.45">
      <c r="B58" s="2" t="s">
        <v>39</v>
      </c>
    </row>
    <row r="59" spans="2:2" x14ac:dyDescent="0.45">
      <c r="B59" s="2"/>
    </row>
    <row r="60" spans="2:2" x14ac:dyDescent="0.45">
      <c r="B60" s="2" t="s">
        <v>40</v>
      </c>
    </row>
    <row r="61" spans="2:2" x14ac:dyDescent="0.45">
      <c r="B61" s="2"/>
    </row>
    <row r="62" spans="2:2" x14ac:dyDescent="0.45">
      <c r="B62" s="2" t="s">
        <v>41</v>
      </c>
    </row>
    <row r="63" spans="2:2" x14ac:dyDescent="0.45">
      <c r="B63" s="2"/>
    </row>
    <row r="64" spans="2:2" x14ac:dyDescent="0.45">
      <c r="B64" s="2" t="s">
        <v>42</v>
      </c>
    </row>
    <row r="65" spans="2:2" x14ac:dyDescent="0.45">
      <c r="B65" s="2"/>
    </row>
    <row r="66" spans="2:2" x14ac:dyDescent="0.45">
      <c r="B66" s="2" t="s">
        <v>43</v>
      </c>
    </row>
    <row r="67" spans="2:2" x14ac:dyDescent="0.45">
      <c r="B67" s="2"/>
    </row>
    <row r="68" spans="2:2" x14ac:dyDescent="0.45">
      <c r="B68" s="2" t="s">
        <v>44</v>
      </c>
    </row>
    <row r="69" spans="2:2" x14ac:dyDescent="0.45">
      <c r="B69" s="2"/>
    </row>
    <row r="70" spans="2:2" x14ac:dyDescent="0.45">
      <c r="B70" s="2" t="s">
        <v>45</v>
      </c>
    </row>
    <row r="71" spans="2:2" x14ac:dyDescent="0.45">
      <c r="B71" s="2"/>
    </row>
    <row r="72" spans="2:2" x14ac:dyDescent="0.45">
      <c r="B72" s="2" t="s">
        <v>46</v>
      </c>
    </row>
    <row r="73" spans="2:2" x14ac:dyDescent="0.45">
      <c r="B73" s="2"/>
    </row>
    <row r="74" spans="2:2" x14ac:dyDescent="0.45">
      <c r="B74" s="2" t="s">
        <v>47</v>
      </c>
    </row>
    <row r="75" spans="2:2" x14ac:dyDescent="0.45">
      <c r="B75" s="2"/>
    </row>
    <row r="76" spans="2:2" x14ac:dyDescent="0.45">
      <c r="B76" s="2" t="s">
        <v>48</v>
      </c>
    </row>
    <row r="77" spans="2:2" x14ac:dyDescent="0.45">
      <c r="B77" s="2"/>
    </row>
    <row r="78" spans="2:2" x14ac:dyDescent="0.45">
      <c r="B78" s="2" t="s">
        <v>49</v>
      </c>
    </row>
    <row r="79" spans="2:2" x14ac:dyDescent="0.45">
      <c r="B79" s="2"/>
    </row>
    <row r="80" spans="2:2" x14ac:dyDescent="0.45">
      <c r="B80" s="2" t="s">
        <v>50</v>
      </c>
    </row>
    <row r="81" spans="2:2" x14ac:dyDescent="0.45">
      <c r="B81" s="2"/>
    </row>
    <row r="82" spans="2:2" x14ac:dyDescent="0.45">
      <c r="B82" s="2" t="s">
        <v>51</v>
      </c>
    </row>
    <row r="83" spans="2:2" x14ac:dyDescent="0.45">
      <c r="B83" s="2"/>
    </row>
    <row r="84" spans="2:2" x14ac:dyDescent="0.45">
      <c r="B84" s="2" t="s">
        <v>52</v>
      </c>
    </row>
    <row r="85" spans="2:2" x14ac:dyDescent="0.45">
      <c r="B85" s="2"/>
    </row>
    <row r="86" spans="2:2" x14ac:dyDescent="0.45">
      <c r="B86" s="2" t="s">
        <v>53</v>
      </c>
    </row>
    <row r="87" spans="2:2" x14ac:dyDescent="0.45">
      <c r="B87" s="2"/>
    </row>
    <row r="88" spans="2:2" x14ac:dyDescent="0.45">
      <c r="B88" s="2" t="s">
        <v>54</v>
      </c>
    </row>
    <row r="89" spans="2:2" x14ac:dyDescent="0.45">
      <c r="B89" s="2"/>
    </row>
    <row r="90" spans="2:2" x14ac:dyDescent="0.45">
      <c r="B90" s="2" t="s">
        <v>55</v>
      </c>
    </row>
    <row r="91" spans="2:2" x14ac:dyDescent="0.45">
      <c r="B91" s="2"/>
    </row>
    <row r="92" spans="2:2" x14ac:dyDescent="0.45">
      <c r="B92" s="2" t="s">
        <v>56</v>
      </c>
    </row>
    <row r="93" spans="2:2" x14ac:dyDescent="0.45">
      <c r="B93" s="2"/>
    </row>
    <row r="94" spans="2:2" x14ac:dyDescent="0.45">
      <c r="B94" s="2" t="s">
        <v>57</v>
      </c>
    </row>
    <row r="95" spans="2:2" x14ac:dyDescent="0.45">
      <c r="B95" s="2"/>
    </row>
    <row r="96" spans="2:2" x14ac:dyDescent="0.45">
      <c r="B96" s="2" t="s">
        <v>58</v>
      </c>
    </row>
    <row r="97" spans="2:2" x14ac:dyDescent="0.45">
      <c r="B97" s="2"/>
    </row>
    <row r="98" spans="2:2" x14ac:dyDescent="0.45">
      <c r="B98" s="2" t="s">
        <v>59</v>
      </c>
    </row>
    <row r="99" spans="2:2" x14ac:dyDescent="0.45">
      <c r="B99" s="2"/>
    </row>
    <row r="100" spans="2:2" x14ac:dyDescent="0.45">
      <c r="B100" s="2" t="s">
        <v>60</v>
      </c>
    </row>
    <row r="101" spans="2:2" x14ac:dyDescent="0.45">
      <c r="B101" s="2"/>
    </row>
    <row r="102" spans="2:2" x14ac:dyDescent="0.45">
      <c r="B102" s="2" t="s">
        <v>61</v>
      </c>
    </row>
    <row r="103" spans="2:2" x14ac:dyDescent="0.45">
      <c r="B103" s="2"/>
    </row>
    <row r="104" spans="2:2" x14ac:dyDescent="0.45">
      <c r="B104" s="2" t="s">
        <v>62</v>
      </c>
    </row>
    <row r="105" spans="2:2" x14ac:dyDescent="0.45">
      <c r="B105" s="2"/>
    </row>
    <row r="106" spans="2:2" x14ac:dyDescent="0.45">
      <c r="B106" s="2" t="s">
        <v>63</v>
      </c>
    </row>
    <row r="107" spans="2:2" x14ac:dyDescent="0.45">
      <c r="B107" s="2"/>
    </row>
    <row r="108" spans="2:2" x14ac:dyDescent="0.45">
      <c r="B108" s="2" t="s">
        <v>64</v>
      </c>
    </row>
    <row r="109" spans="2:2" x14ac:dyDescent="0.45">
      <c r="B109" s="2"/>
    </row>
    <row r="110" spans="2:2" x14ac:dyDescent="0.45">
      <c r="B110" s="2" t="s">
        <v>65</v>
      </c>
    </row>
    <row r="111" spans="2:2" x14ac:dyDescent="0.45">
      <c r="B111" s="2"/>
    </row>
    <row r="112" spans="2:2" x14ac:dyDescent="0.45">
      <c r="B112" s="2" t="s">
        <v>66</v>
      </c>
    </row>
    <row r="113" spans="2:2" x14ac:dyDescent="0.45">
      <c r="B113" s="2"/>
    </row>
    <row r="114" spans="2:2" x14ac:dyDescent="0.45">
      <c r="B114" s="2" t="s">
        <v>67</v>
      </c>
    </row>
    <row r="115" spans="2:2" x14ac:dyDescent="0.45">
      <c r="B115" s="2"/>
    </row>
    <row r="116" spans="2:2" x14ac:dyDescent="0.45">
      <c r="B116" s="2" t="s">
        <v>68</v>
      </c>
    </row>
    <row r="117" spans="2:2" x14ac:dyDescent="0.45">
      <c r="B117" s="2"/>
    </row>
    <row r="118" spans="2:2" x14ac:dyDescent="0.45">
      <c r="B118" s="2" t="s">
        <v>69</v>
      </c>
    </row>
    <row r="119" spans="2:2" x14ac:dyDescent="0.45">
      <c r="B119" s="2"/>
    </row>
    <row r="120" spans="2:2" x14ac:dyDescent="0.45">
      <c r="B120" s="2" t="s">
        <v>70</v>
      </c>
    </row>
    <row r="121" spans="2:2" x14ac:dyDescent="0.45">
      <c r="B121" s="2"/>
    </row>
    <row r="122" spans="2:2" x14ac:dyDescent="0.45">
      <c r="B122" s="2" t="s">
        <v>71</v>
      </c>
    </row>
    <row r="123" spans="2:2" x14ac:dyDescent="0.45">
      <c r="B123" s="2"/>
    </row>
    <row r="124" spans="2:2" x14ac:dyDescent="0.45">
      <c r="B124" s="2" t="s">
        <v>72</v>
      </c>
    </row>
    <row r="125" spans="2:2" x14ac:dyDescent="0.45">
      <c r="B125" s="2"/>
    </row>
    <row r="126" spans="2:2" x14ac:dyDescent="0.45">
      <c r="B126" s="2" t="s">
        <v>73</v>
      </c>
    </row>
    <row r="127" spans="2:2" x14ac:dyDescent="0.45">
      <c r="B127" s="2"/>
    </row>
    <row r="128" spans="2:2" x14ac:dyDescent="0.45">
      <c r="B128" s="2" t="s">
        <v>74</v>
      </c>
    </row>
    <row r="129" spans="2:2" x14ac:dyDescent="0.45">
      <c r="B129" s="2"/>
    </row>
    <row r="130" spans="2:2" x14ac:dyDescent="0.45">
      <c r="B130" s="1" t="s">
        <v>75</v>
      </c>
    </row>
    <row r="131" spans="2:2" x14ac:dyDescent="0.45">
      <c r="B131" s="2"/>
    </row>
    <row r="132" spans="2:2" x14ac:dyDescent="0.45">
      <c r="B132" s="1" t="s">
        <v>2</v>
      </c>
    </row>
    <row r="133" spans="2:2" x14ac:dyDescent="0.45">
      <c r="B133" s="2"/>
    </row>
    <row r="134" spans="2:2" x14ac:dyDescent="0.45">
      <c r="B134" s="2" t="s">
        <v>3</v>
      </c>
    </row>
    <row r="135" spans="2:2" x14ac:dyDescent="0.45">
      <c r="B135" s="2"/>
    </row>
    <row r="136" spans="2:2" x14ac:dyDescent="0.45">
      <c r="B136" s="1" t="s">
        <v>76</v>
      </c>
    </row>
    <row r="137" spans="2:2" x14ac:dyDescent="0.45">
      <c r="B137" s="2"/>
    </row>
    <row r="138" spans="2:2" x14ac:dyDescent="0.45">
      <c r="B138" s="1" t="s">
        <v>4</v>
      </c>
    </row>
    <row r="139" spans="2:2" x14ac:dyDescent="0.45">
      <c r="B139" s="2"/>
    </row>
    <row r="140" spans="2:2" x14ac:dyDescent="0.45">
      <c r="B140" s="1" t="s">
        <v>0</v>
      </c>
    </row>
    <row r="141" spans="2:2" x14ac:dyDescent="0.45">
      <c r="B141" s="2"/>
    </row>
    <row r="142" spans="2:2" x14ac:dyDescent="0.45">
      <c r="B142" s="1" t="s">
        <v>1</v>
      </c>
    </row>
    <row r="143" spans="2:2" x14ac:dyDescent="0.45">
      <c r="B143" s="2"/>
    </row>
    <row r="144" spans="2:2" x14ac:dyDescent="0.45">
      <c r="B144" s="2" t="s">
        <v>14</v>
      </c>
    </row>
    <row r="145" spans="2:2" x14ac:dyDescent="0.45">
      <c r="B145" s="2"/>
    </row>
    <row r="146" spans="2:2" x14ac:dyDescent="0.45">
      <c r="B146" s="2" t="s">
        <v>77</v>
      </c>
    </row>
    <row r="147" spans="2:2" x14ac:dyDescent="0.45">
      <c r="B147" s="2"/>
    </row>
    <row r="148" spans="2:2" x14ac:dyDescent="0.45">
      <c r="B148" s="2" t="s">
        <v>78</v>
      </c>
    </row>
    <row r="149" spans="2:2" x14ac:dyDescent="0.45">
      <c r="B149" s="2"/>
    </row>
    <row r="150" spans="2:2" x14ac:dyDescent="0.45">
      <c r="B150" s="2" t="s">
        <v>79</v>
      </c>
    </row>
    <row r="151" spans="2:2" x14ac:dyDescent="0.45">
      <c r="B151" s="2"/>
    </row>
    <row r="152" spans="2:2" x14ac:dyDescent="0.45">
      <c r="B152" s="2" t="s">
        <v>80</v>
      </c>
    </row>
    <row r="153" spans="2:2" x14ac:dyDescent="0.45">
      <c r="B153" s="2"/>
    </row>
    <row r="154" spans="2:2" x14ac:dyDescent="0.45">
      <c r="B154" s="2" t="s">
        <v>81</v>
      </c>
    </row>
    <row r="155" spans="2:2" x14ac:dyDescent="0.45">
      <c r="B155" s="2"/>
    </row>
    <row r="156" spans="2:2" x14ac:dyDescent="0.45">
      <c r="B156" s="2" t="s">
        <v>82</v>
      </c>
    </row>
    <row r="157" spans="2:2" x14ac:dyDescent="0.45">
      <c r="B157" s="2"/>
    </row>
    <row r="158" spans="2:2" x14ac:dyDescent="0.45">
      <c r="B158" s="2" t="s">
        <v>83</v>
      </c>
    </row>
    <row r="159" spans="2:2" x14ac:dyDescent="0.45">
      <c r="B159" s="2"/>
    </row>
    <row r="160" spans="2:2" x14ac:dyDescent="0.45">
      <c r="B160" s="2" t="s">
        <v>84</v>
      </c>
    </row>
    <row r="161" spans="2:2" x14ac:dyDescent="0.45">
      <c r="B161" s="2"/>
    </row>
    <row r="162" spans="2:2" x14ac:dyDescent="0.45">
      <c r="B162" s="2" t="s">
        <v>85</v>
      </c>
    </row>
    <row r="163" spans="2:2" x14ac:dyDescent="0.45">
      <c r="B163" s="2"/>
    </row>
    <row r="164" spans="2:2" x14ac:dyDescent="0.45">
      <c r="B164" s="2" t="s">
        <v>86</v>
      </c>
    </row>
    <row r="165" spans="2:2" x14ac:dyDescent="0.45">
      <c r="B165" s="2"/>
    </row>
    <row r="166" spans="2:2" x14ac:dyDescent="0.45">
      <c r="B166" s="2" t="s">
        <v>87</v>
      </c>
    </row>
    <row r="167" spans="2:2" x14ac:dyDescent="0.45">
      <c r="B167" s="2"/>
    </row>
    <row r="168" spans="2:2" x14ac:dyDescent="0.45">
      <c r="B168" s="2" t="s">
        <v>88</v>
      </c>
    </row>
    <row r="169" spans="2:2" x14ac:dyDescent="0.45">
      <c r="B169" s="2"/>
    </row>
    <row r="170" spans="2:2" x14ac:dyDescent="0.45">
      <c r="B170" s="2" t="s">
        <v>89</v>
      </c>
    </row>
    <row r="171" spans="2:2" x14ac:dyDescent="0.45">
      <c r="B171" s="2"/>
    </row>
    <row r="172" spans="2:2" x14ac:dyDescent="0.45">
      <c r="B172" s="2" t="s">
        <v>90</v>
      </c>
    </row>
    <row r="173" spans="2:2" x14ac:dyDescent="0.45">
      <c r="B173" s="2"/>
    </row>
    <row r="174" spans="2:2" x14ac:dyDescent="0.45">
      <c r="B174" s="2" t="s">
        <v>85</v>
      </c>
    </row>
    <row r="175" spans="2:2" x14ac:dyDescent="0.45">
      <c r="B175" s="2"/>
    </row>
    <row r="176" spans="2:2" x14ac:dyDescent="0.45">
      <c r="B176" s="2" t="s">
        <v>91</v>
      </c>
    </row>
    <row r="177" spans="2:2" x14ac:dyDescent="0.45">
      <c r="B177" s="2"/>
    </row>
    <row r="178" spans="2:2" x14ac:dyDescent="0.45">
      <c r="B178" s="2" t="s">
        <v>87</v>
      </c>
    </row>
    <row r="179" spans="2:2" x14ac:dyDescent="0.45">
      <c r="B179" s="2"/>
    </row>
    <row r="180" spans="2:2" x14ac:dyDescent="0.45">
      <c r="B180" s="2" t="s">
        <v>92</v>
      </c>
    </row>
    <row r="181" spans="2:2" x14ac:dyDescent="0.45">
      <c r="B181" s="2"/>
    </row>
    <row r="182" spans="2:2" x14ac:dyDescent="0.45">
      <c r="B182" s="2" t="s">
        <v>93</v>
      </c>
    </row>
    <row r="183" spans="2:2" x14ac:dyDescent="0.45">
      <c r="B183" s="2"/>
    </row>
    <row r="184" spans="2:2" x14ac:dyDescent="0.45">
      <c r="B184" s="2" t="s">
        <v>94</v>
      </c>
    </row>
    <row r="185" spans="2:2" x14ac:dyDescent="0.45">
      <c r="B185" s="2"/>
    </row>
    <row r="186" spans="2:2" x14ac:dyDescent="0.45">
      <c r="B186" s="2" t="s">
        <v>95</v>
      </c>
    </row>
    <row r="187" spans="2:2" x14ac:dyDescent="0.45">
      <c r="B187" s="2"/>
    </row>
    <row r="188" spans="2:2" x14ac:dyDescent="0.45">
      <c r="B188" s="2" t="s">
        <v>96</v>
      </c>
    </row>
    <row r="189" spans="2:2" x14ac:dyDescent="0.45">
      <c r="B189" s="2"/>
    </row>
    <row r="190" spans="2:2" x14ac:dyDescent="0.45">
      <c r="B190" s="2" t="s">
        <v>97</v>
      </c>
    </row>
    <row r="191" spans="2:2" x14ac:dyDescent="0.45">
      <c r="B191" s="2"/>
    </row>
    <row r="192" spans="2:2" x14ac:dyDescent="0.45">
      <c r="B192" s="2" t="s">
        <v>98</v>
      </c>
    </row>
    <row r="193" spans="2:2" x14ac:dyDescent="0.45">
      <c r="B193" s="2"/>
    </row>
    <row r="194" spans="2:2" x14ac:dyDescent="0.45">
      <c r="B194" s="2" t="s">
        <v>99</v>
      </c>
    </row>
    <row r="195" spans="2:2" x14ac:dyDescent="0.45">
      <c r="B195" s="2"/>
    </row>
    <row r="196" spans="2:2" x14ac:dyDescent="0.45">
      <c r="B196" s="2" t="s">
        <v>100</v>
      </c>
    </row>
    <row r="197" spans="2:2" x14ac:dyDescent="0.45">
      <c r="B197" s="2"/>
    </row>
    <row r="198" spans="2:2" x14ac:dyDescent="0.45">
      <c r="B198" s="2" t="s">
        <v>101</v>
      </c>
    </row>
    <row r="199" spans="2:2" x14ac:dyDescent="0.45">
      <c r="B199" s="2"/>
    </row>
    <row r="200" spans="2:2" x14ac:dyDescent="0.45">
      <c r="B200" s="2" t="s">
        <v>102</v>
      </c>
    </row>
    <row r="201" spans="2:2" x14ac:dyDescent="0.45">
      <c r="B201" s="2"/>
    </row>
    <row r="202" spans="2:2" x14ac:dyDescent="0.45">
      <c r="B202" s="2" t="s">
        <v>103</v>
      </c>
    </row>
    <row r="203" spans="2:2" x14ac:dyDescent="0.45">
      <c r="B203" s="2"/>
    </row>
    <row r="204" spans="2:2" x14ac:dyDescent="0.45">
      <c r="B204" s="2" t="s">
        <v>104</v>
      </c>
    </row>
    <row r="205" spans="2:2" x14ac:dyDescent="0.45">
      <c r="B205" s="2"/>
    </row>
    <row r="206" spans="2:2" x14ac:dyDescent="0.45">
      <c r="B206" s="2" t="s">
        <v>105</v>
      </c>
    </row>
    <row r="207" spans="2:2" x14ac:dyDescent="0.45">
      <c r="B207" s="2"/>
    </row>
    <row r="208" spans="2:2" x14ac:dyDescent="0.45">
      <c r="B208" s="2" t="s">
        <v>106</v>
      </c>
    </row>
    <row r="209" spans="2:2" x14ac:dyDescent="0.45">
      <c r="B209" s="2"/>
    </row>
    <row r="210" spans="2:2" x14ac:dyDescent="0.45">
      <c r="B210" s="2" t="s">
        <v>107</v>
      </c>
    </row>
    <row r="211" spans="2:2" x14ac:dyDescent="0.45">
      <c r="B211" s="2"/>
    </row>
    <row r="212" spans="2:2" x14ac:dyDescent="0.45">
      <c r="B212" s="2" t="s">
        <v>108</v>
      </c>
    </row>
    <row r="213" spans="2:2" x14ac:dyDescent="0.45">
      <c r="B213" s="2"/>
    </row>
    <row r="214" spans="2:2" x14ac:dyDescent="0.45">
      <c r="B214" s="2" t="s">
        <v>109</v>
      </c>
    </row>
    <row r="215" spans="2:2" x14ac:dyDescent="0.45">
      <c r="B215" s="2"/>
    </row>
    <row r="216" spans="2:2" x14ac:dyDescent="0.45">
      <c r="B216" s="2" t="s">
        <v>110</v>
      </c>
    </row>
    <row r="217" spans="2:2" x14ac:dyDescent="0.45">
      <c r="B217" s="2"/>
    </row>
    <row r="218" spans="2:2" x14ac:dyDescent="0.45">
      <c r="B218" s="2" t="s">
        <v>111</v>
      </c>
    </row>
    <row r="219" spans="2:2" x14ac:dyDescent="0.45">
      <c r="B219" s="2"/>
    </row>
    <row r="220" spans="2:2" x14ac:dyDescent="0.45">
      <c r="B220" s="2" t="s">
        <v>112</v>
      </c>
    </row>
    <row r="221" spans="2:2" x14ac:dyDescent="0.45">
      <c r="B221" s="2"/>
    </row>
    <row r="222" spans="2:2" x14ac:dyDescent="0.45">
      <c r="B222" s="2" t="s">
        <v>113</v>
      </c>
    </row>
    <row r="223" spans="2:2" x14ac:dyDescent="0.45">
      <c r="B223" s="2"/>
    </row>
    <row r="224" spans="2:2" x14ac:dyDescent="0.45">
      <c r="B224" s="2" t="s">
        <v>114</v>
      </c>
    </row>
    <row r="225" spans="2:2" x14ac:dyDescent="0.45">
      <c r="B225" s="2"/>
    </row>
    <row r="226" spans="2:2" x14ac:dyDescent="0.45">
      <c r="B226" s="2" t="s">
        <v>115</v>
      </c>
    </row>
    <row r="227" spans="2:2" x14ac:dyDescent="0.45">
      <c r="B227" s="2"/>
    </row>
    <row r="228" spans="2:2" x14ac:dyDescent="0.45">
      <c r="B228" s="2" t="s">
        <v>116</v>
      </c>
    </row>
    <row r="229" spans="2:2" x14ac:dyDescent="0.45">
      <c r="B229" s="2"/>
    </row>
    <row r="230" spans="2:2" x14ac:dyDescent="0.45">
      <c r="B230" s="2" t="s">
        <v>117</v>
      </c>
    </row>
    <row r="231" spans="2:2" x14ac:dyDescent="0.45">
      <c r="B231" s="2"/>
    </row>
    <row r="232" spans="2:2" x14ac:dyDescent="0.45">
      <c r="B232" s="2" t="s">
        <v>118</v>
      </c>
    </row>
    <row r="233" spans="2:2" x14ac:dyDescent="0.45">
      <c r="B233" s="2"/>
    </row>
    <row r="234" spans="2:2" x14ac:dyDescent="0.45">
      <c r="B234" s="2" t="s">
        <v>119</v>
      </c>
    </row>
    <row r="235" spans="2:2" x14ac:dyDescent="0.45">
      <c r="B235" s="2"/>
    </row>
    <row r="236" spans="2:2" x14ac:dyDescent="0.45">
      <c r="B236" s="2" t="s">
        <v>120</v>
      </c>
    </row>
    <row r="237" spans="2:2" x14ac:dyDescent="0.45">
      <c r="B237" s="2"/>
    </row>
    <row r="238" spans="2:2" x14ac:dyDescent="0.45">
      <c r="B238" s="1" t="s">
        <v>5</v>
      </c>
    </row>
    <row r="239" spans="2:2" x14ac:dyDescent="0.45">
      <c r="B239" s="2"/>
    </row>
    <row r="240" spans="2:2" x14ac:dyDescent="0.45">
      <c r="B240" s="1" t="s">
        <v>1</v>
      </c>
    </row>
    <row r="241" spans="2:2" x14ac:dyDescent="0.45">
      <c r="B241" s="2"/>
    </row>
    <row r="242" spans="2:2" x14ac:dyDescent="0.45">
      <c r="B242" s="2" t="s">
        <v>14</v>
      </c>
    </row>
    <row r="243" spans="2:2" x14ac:dyDescent="0.45">
      <c r="B243" s="2"/>
    </row>
    <row r="244" spans="2:2" x14ac:dyDescent="0.45">
      <c r="B244" s="2" t="s">
        <v>397</v>
      </c>
    </row>
    <row r="245" spans="2:2" x14ac:dyDescent="0.45">
      <c r="B245" s="2"/>
    </row>
    <row r="246" spans="2:2" x14ac:dyDescent="0.45">
      <c r="B246" s="2" t="s">
        <v>121</v>
      </c>
    </row>
    <row r="247" spans="2:2" x14ac:dyDescent="0.45">
      <c r="B247" s="2"/>
    </row>
    <row r="248" spans="2:2" x14ac:dyDescent="0.45">
      <c r="B248" s="2" t="s">
        <v>396</v>
      </c>
    </row>
    <row r="249" spans="2:2" x14ac:dyDescent="0.45">
      <c r="B249" s="2"/>
    </row>
    <row r="250" spans="2:2" x14ac:dyDescent="0.45">
      <c r="B250" s="2" t="s">
        <v>122</v>
      </c>
    </row>
    <row r="251" spans="2:2" x14ac:dyDescent="0.45">
      <c r="B251" s="2"/>
    </row>
    <row r="252" spans="2:2" x14ac:dyDescent="0.45">
      <c r="B252" s="2" t="s">
        <v>123</v>
      </c>
    </row>
    <row r="253" spans="2:2" x14ac:dyDescent="0.45">
      <c r="B253" s="2"/>
    </row>
    <row r="254" spans="2:2" x14ac:dyDescent="0.45">
      <c r="B254" s="2" t="s">
        <v>124</v>
      </c>
    </row>
    <row r="255" spans="2:2" x14ac:dyDescent="0.45">
      <c r="B255" s="2"/>
    </row>
    <row r="256" spans="2:2" x14ac:dyDescent="0.45">
      <c r="B256" s="2" t="s">
        <v>125</v>
      </c>
    </row>
    <row r="257" spans="2:2" x14ac:dyDescent="0.45">
      <c r="B257" s="2"/>
    </row>
    <row r="258" spans="2:2" x14ac:dyDescent="0.45">
      <c r="B258" s="2" t="s">
        <v>126</v>
      </c>
    </row>
    <row r="259" spans="2:2" x14ac:dyDescent="0.45">
      <c r="B259" s="2"/>
    </row>
    <row r="260" spans="2:2" x14ac:dyDescent="0.45">
      <c r="B260" s="1" t="s">
        <v>75</v>
      </c>
    </row>
    <row r="261" spans="2:2" x14ac:dyDescent="0.45">
      <c r="B261" s="2"/>
    </row>
    <row r="262" spans="2:2" x14ac:dyDescent="0.45">
      <c r="B262" s="1" t="s">
        <v>2</v>
      </c>
    </row>
    <row r="263" spans="2:2" x14ac:dyDescent="0.45">
      <c r="B263" s="2"/>
    </row>
    <row r="264" spans="2:2" x14ac:dyDescent="0.45">
      <c r="B264" s="2" t="s">
        <v>6</v>
      </c>
    </row>
    <row r="265" spans="2:2" x14ac:dyDescent="0.45">
      <c r="B265" s="2"/>
    </row>
    <row r="266" spans="2:2" x14ac:dyDescent="0.45">
      <c r="B266" s="1" t="s">
        <v>76</v>
      </c>
    </row>
    <row r="267" spans="2:2" x14ac:dyDescent="0.45">
      <c r="B267" s="2"/>
    </row>
    <row r="268" spans="2:2" x14ac:dyDescent="0.45">
      <c r="B268" s="1" t="s">
        <v>4</v>
      </c>
    </row>
    <row r="269" spans="2:2" x14ac:dyDescent="0.45">
      <c r="B269" s="2"/>
    </row>
    <row r="270" spans="2:2" x14ac:dyDescent="0.45">
      <c r="B270" s="1" t="s">
        <v>5</v>
      </c>
    </row>
    <row r="271" spans="2:2" x14ac:dyDescent="0.45">
      <c r="B271" s="2"/>
    </row>
    <row r="272" spans="2:2" x14ac:dyDescent="0.45">
      <c r="B272" s="1" t="s">
        <v>1</v>
      </c>
    </row>
    <row r="273" spans="2:2" x14ac:dyDescent="0.45">
      <c r="B273" s="2"/>
    </row>
    <row r="274" spans="2:2" x14ac:dyDescent="0.45">
      <c r="B274" s="2" t="s">
        <v>14</v>
      </c>
    </row>
    <row r="275" spans="2:2" x14ac:dyDescent="0.45">
      <c r="B275" s="2"/>
    </row>
    <row r="276" spans="2:2" x14ac:dyDescent="0.45">
      <c r="B276" s="2" t="s">
        <v>127</v>
      </c>
    </row>
    <row r="277" spans="2:2" x14ac:dyDescent="0.45">
      <c r="B277" s="2"/>
    </row>
    <row r="278" spans="2:2" x14ac:dyDescent="0.45">
      <c r="B278" s="2" t="s">
        <v>128</v>
      </c>
    </row>
    <row r="279" spans="2:2" x14ac:dyDescent="0.45">
      <c r="B279" s="2"/>
    </row>
    <row r="280" spans="2:2" x14ac:dyDescent="0.45">
      <c r="B280" s="2" t="s">
        <v>129</v>
      </c>
    </row>
    <row r="281" spans="2:2" x14ac:dyDescent="0.45">
      <c r="B281" s="2"/>
    </row>
    <row r="282" spans="2:2" x14ac:dyDescent="0.45">
      <c r="B282" s="2" t="s">
        <v>130</v>
      </c>
    </row>
    <row r="283" spans="2:2" x14ac:dyDescent="0.45">
      <c r="B283" s="2"/>
    </row>
    <row r="284" spans="2:2" x14ac:dyDescent="0.45">
      <c r="B284" s="2" t="s">
        <v>131</v>
      </c>
    </row>
    <row r="285" spans="2:2" x14ac:dyDescent="0.45">
      <c r="B285" s="2"/>
    </row>
    <row r="286" spans="2:2" x14ac:dyDescent="0.45">
      <c r="B286" s="2" t="s">
        <v>132</v>
      </c>
    </row>
    <row r="287" spans="2:2" x14ac:dyDescent="0.45">
      <c r="B287" s="2"/>
    </row>
    <row r="288" spans="2:2" x14ac:dyDescent="0.45">
      <c r="B288" s="2" t="s">
        <v>133</v>
      </c>
    </row>
    <row r="289" spans="2:2" x14ac:dyDescent="0.45">
      <c r="B289" s="2"/>
    </row>
    <row r="290" spans="2:2" x14ac:dyDescent="0.45">
      <c r="B290" s="2" t="s">
        <v>134</v>
      </c>
    </row>
    <row r="291" spans="2:2" x14ac:dyDescent="0.45">
      <c r="B291" s="2"/>
    </row>
    <row r="292" spans="2:2" x14ac:dyDescent="0.45">
      <c r="B292" s="2" t="s">
        <v>135</v>
      </c>
    </row>
    <row r="293" spans="2:2" x14ac:dyDescent="0.45">
      <c r="B293" s="2"/>
    </row>
    <row r="294" spans="2:2" x14ac:dyDescent="0.45">
      <c r="B294" s="2" t="s">
        <v>136</v>
      </c>
    </row>
    <row r="295" spans="2:2" x14ac:dyDescent="0.45">
      <c r="B295" s="2"/>
    </row>
    <row r="296" spans="2:2" x14ac:dyDescent="0.45">
      <c r="B296" s="2" t="s">
        <v>137</v>
      </c>
    </row>
    <row r="297" spans="2:2" x14ac:dyDescent="0.45">
      <c r="B297" s="2"/>
    </row>
    <row r="298" spans="2:2" x14ac:dyDescent="0.45">
      <c r="B298" s="2" t="s">
        <v>138</v>
      </c>
    </row>
    <row r="299" spans="2:2" x14ac:dyDescent="0.45">
      <c r="B299" s="2"/>
    </row>
    <row r="300" spans="2:2" x14ac:dyDescent="0.45">
      <c r="B300" s="2" t="s">
        <v>139</v>
      </c>
    </row>
    <row r="301" spans="2:2" x14ac:dyDescent="0.45">
      <c r="B301" s="2"/>
    </row>
    <row r="302" spans="2:2" x14ac:dyDescent="0.45">
      <c r="B302" s="2" t="s">
        <v>140</v>
      </c>
    </row>
    <row r="303" spans="2:2" x14ac:dyDescent="0.45">
      <c r="B303" s="2"/>
    </row>
    <row r="304" spans="2:2" x14ac:dyDescent="0.45">
      <c r="B304" s="2" t="s">
        <v>141</v>
      </c>
    </row>
    <row r="305" spans="2:2" x14ac:dyDescent="0.45">
      <c r="B305" s="2"/>
    </row>
    <row r="306" spans="2:2" x14ac:dyDescent="0.45">
      <c r="B306" s="2" t="s">
        <v>142</v>
      </c>
    </row>
    <row r="307" spans="2:2" x14ac:dyDescent="0.45">
      <c r="B307" s="2"/>
    </row>
    <row r="308" spans="2:2" x14ac:dyDescent="0.45">
      <c r="B308" s="2" t="s">
        <v>143</v>
      </c>
    </row>
    <row r="309" spans="2:2" x14ac:dyDescent="0.45">
      <c r="B309" s="2"/>
    </row>
    <row r="310" spans="2:2" x14ac:dyDescent="0.45">
      <c r="B310" s="2" t="s">
        <v>144</v>
      </c>
    </row>
    <row r="311" spans="2:2" x14ac:dyDescent="0.45">
      <c r="B311" s="2"/>
    </row>
    <row r="312" spans="2:2" x14ac:dyDescent="0.45">
      <c r="B312" s="2" t="s">
        <v>145</v>
      </c>
    </row>
    <row r="313" spans="2:2" x14ac:dyDescent="0.45">
      <c r="B313" s="2"/>
    </row>
    <row r="314" spans="2:2" x14ac:dyDescent="0.45">
      <c r="B314" s="2" t="s">
        <v>146</v>
      </c>
    </row>
    <row r="315" spans="2:2" x14ac:dyDescent="0.45">
      <c r="B315" s="2"/>
    </row>
    <row r="316" spans="2:2" x14ac:dyDescent="0.45">
      <c r="B316" s="2" t="s">
        <v>147</v>
      </c>
    </row>
    <row r="317" spans="2:2" x14ac:dyDescent="0.45">
      <c r="B317" s="2"/>
    </row>
    <row r="318" spans="2:2" x14ac:dyDescent="0.45">
      <c r="B318" s="2" t="s">
        <v>148</v>
      </c>
    </row>
    <row r="319" spans="2:2" x14ac:dyDescent="0.45">
      <c r="B319" s="2"/>
    </row>
    <row r="320" spans="2:2" x14ac:dyDescent="0.45">
      <c r="B320" s="2" t="s">
        <v>149</v>
      </c>
    </row>
    <row r="321" spans="2:2" x14ac:dyDescent="0.45">
      <c r="B321" s="2"/>
    </row>
    <row r="322" spans="2:2" x14ac:dyDescent="0.45">
      <c r="B322" s="2" t="s">
        <v>150</v>
      </c>
    </row>
    <row r="323" spans="2:2" x14ac:dyDescent="0.45">
      <c r="B323" s="2"/>
    </row>
    <row r="324" spans="2:2" x14ac:dyDescent="0.45">
      <c r="B324" s="2" t="s">
        <v>151</v>
      </c>
    </row>
    <row r="325" spans="2:2" x14ac:dyDescent="0.45">
      <c r="B325" s="2"/>
    </row>
    <row r="326" spans="2:2" x14ac:dyDescent="0.45">
      <c r="B326" s="2" t="s">
        <v>152</v>
      </c>
    </row>
    <row r="327" spans="2:2" x14ac:dyDescent="0.45">
      <c r="B327" s="2"/>
    </row>
    <row r="328" spans="2:2" x14ac:dyDescent="0.45">
      <c r="B328" s="2" t="s">
        <v>153</v>
      </c>
    </row>
    <row r="329" spans="2:2" x14ac:dyDescent="0.45">
      <c r="B329" s="2"/>
    </row>
    <row r="330" spans="2:2" x14ac:dyDescent="0.45">
      <c r="B330" s="2" t="s">
        <v>154</v>
      </c>
    </row>
    <row r="331" spans="2:2" x14ac:dyDescent="0.45">
      <c r="B331" s="2"/>
    </row>
    <row r="332" spans="2:2" x14ac:dyDescent="0.45">
      <c r="B332" s="2" t="s">
        <v>155</v>
      </c>
    </row>
    <row r="333" spans="2:2" x14ac:dyDescent="0.45">
      <c r="B333" s="2"/>
    </row>
    <row r="334" spans="2:2" x14ac:dyDescent="0.45">
      <c r="B334" s="2" t="s">
        <v>156</v>
      </c>
    </row>
    <row r="335" spans="2:2" x14ac:dyDescent="0.45">
      <c r="B335" s="2"/>
    </row>
    <row r="336" spans="2:2" x14ac:dyDescent="0.45">
      <c r="B336" s="2" t="s">
        <v>157</v>
      </c>
    </row>
    <row r="337" spans="2:2" x14ac:dyDescent="0.45">
      <c r="B337" s="2"/>
    </row>
    <row r="338" spans="2:2" x14ac:dyDescent="0.45">
      <c r="B338" s="2" t="s">
        <v>158</v>
      </c>
    </row>
    <row r="339" spans="2:2" x14ac:dyDescent="0.45">
      <c r="B339" s="2"/>
    </row>
    <row r="340" spans="2:2" x14ac:dyDescent="0.45">
      <c r="B340" s="2" t="s">
        <v>159</v>
      </c>
    </row>
    <row r="341" spans="2:2" x14ac:dyDescent="0.45">
      <c r="B341" s="2"/>
    </row>
    <row r="342" spans="2:2" x14ac:dyDescent="0.45">
      <c r="B342" s="2" t="s">
        <v>160</v>
      </c>
    </row>
    <row r="343" spans="2:2" x14ac:dyDescent="0.45">
      <c r="B343" s="2"/>
    </row>
    <row r="344" spans="2:2" x14ac:dyDescent="0.45">
      <c r="B344" s="2" t="s">
        <v>161</v>
      </c>
    </row>
    <row r="345" spans="2:2" x14ac:dyDescent="0.45">
      <c r="B345" s="2"/>
    </row>
    <row r="346" spans="2:2" x14ac:dyDescent="0.45">
      <c r="B346" s="2" t="s">
        <v>162</v>
      </c>
    </row>
    <row r="347" spans="2:2" x14ac:dyDescent="0.45">
      <c r="B347" s="2"/>
    </row>
    <row r="348" spans="2:2" x14ac:dyDescent="0.45">
      <c r="B348" s="2" t="s">
        <v>163</v>
      </c>
    </row>
    <row r="349" spans="2:2" x14ac:dyDescent="0.45">
      <c r="B349" s="2"/>
    </row>
    <row r="350" spans="2:2" x14ac:dyDescent="0.45">
      <c r="B350" s="2" t="s">
        <v>164</v>
      </c>
    </row>
    <row r="351" spans="2:2" x14ac:dyDescent="0.45">
      <c r="B351" s="2"/>
    </row>
    <row r="352" spans="2:2" x14ac:dyDescent="0.45">
      <c r="B352" s="2" t="s">
        <v>165</v>
      </c>
    </row>
    <row r="353" spans="2:2" x14ac:dyDescent="0.45">
      <c r="B353" s="2"/>
    </row>
    <row r="354" spans="2:2" x14ac:dyDescent="0.45">
      <c r="B354" s="2" t="s">
        <v>166</v>
      </c>
    </row>
    <row r="355" spans="2:2" x14ac:dyDescent="0.45">
      <c r="B355" s="2"/>
    </row>
    <row r="356" spans="2:2" x14ac:dyDescent="0.45">
      <c r="B356" s="2" t="s">
        <v>167</v>
      </c>
    </row>
    <row r="357" spans="2:2" x14ac:dyDescent="0.45">
      <c r="B357" s="2"/>
    </row>
    <row r="358" spans="2:2" x14ac:dyDescent="0.45">
      <c r="B358" s="2" t="s">
        <v>168</v>
      </c>
    </row>
    <row r="359" spans="2:2" x14ac:dyDescent="0.45">
      <c r="B359" s="2"/>
    </row>
    <row r="360" spans="2:2" x14ac:dyDescent="0.45">
      <c r="B360" s="2" t="s">
        <v>169</v>
      </c>
    </row>
    <row r="361" spans="2:2" x14ac:dyDescent="0.45">
      <c r="B361" s="2"/>
    </row>
    <row r="362" spans="2:2" x14ac:dyDescent="0.45">
      <c r="B362" s="2" t="s">
        <v>170</v>
      </c>
    </row>
    <row r="363" spans="2:2" x14ac:dyDescent="0.45">
      <c r="B363" s="2"/>
    </row>
    <row r="364" spans="2:2" x14ac:dyDescent="0.45">
      <c r="B364" s="2" t="s">
        <v>171</v>
      </c>
    </row>
    <row r="365" spans="2:2" x14ac:dyDescent="0.45">
      <c r="B365" s="2"/>
    </row>
    <row r="366" spans="2:2" x14ac:dyDescent="0.45">
      <c r="B366" s="2" t="s">
        <v>172</v>
      </c>
    </row>
    <row r="367" spans="2:2" x14ac:dyDescent="0.45">
      <c r="B367" s="2"/>
    </row>
    <row r="368" spans="2:2" x14ac:dyDescent="0.45">
      <c r="B368" s="2" t="s">
        <v>173</v>
      </c>
    </row>
    <row r="369" spans="2:2" x14ac:dyDescent="0.45">
      <c r="B369" s="2"/>
    </row>
    <row r="370" spans="2:2" x14ac:dyDescent="0.45">
      <c r="B370" s="2" t="s">
        <v>174</v>
      </c>
    </row>
    <row r="371" spans="2:2" x14ac:dyDescent="0.45">
      <c r="B371" s="2"/>
    </row>
    <row r="372" spans="2:2" x14ac:dyDescent="0.45">
      <c r="B372" s="2" t="s">
        <v>175</v>
      </c>
    </row>
    <row r="373" spans="2:2" x14ac:dyDescent="0.45">
      <c r="B373" s="2"/>
    </row>
    <row r="374" spans="2:2" x14ac:dyDescent="0.45">
      <c r="B374" s="2" t="s">
        <v>176</v>
      </c>
    </row>
    <row r="375" spans="2:2" x14ac:dyDescent="0.45">
      <c r="B375" s="2"/>
    </row>
    <row r="376" spans="2:2" x14ac:dyDescent="0.45">
      <c r="B376" s="2" t="s">
        <v>177</v>
      </c>
    </row>
    <row r="377" spans="2:2" x14ac:dyDescent="0.45">
      <c r="B377" s="2"/>
    </row>
    <row r="378" spans="2:2" x14ac:dyDescent="0.45">
      <c r="B378" s="2" t="s">
        <v>178</v>
      </c>
    </row>
    <row r="379" spans="2:2" x14ac:dyDescent="0.45">
      <c r="B379" s="2"/>
    </row>
    <row r="380" spans="2:2" x14ac:dyDescent="0.45">
      <c r="B380" s="2" t="s">
        <v>179</v>
      </c>
    </row>
    <row r="381" spans="2:2" x14ac:dyDescent="0.45">
      <c r="B381" s="2"/>
    </row>
    <row r="382" spans="2:2" x14ac:dyDescent="0.45">
      <c r="B382" s="2" t="s">
        <v>180</v>
      </c>
    </row>
    <row r="383" spans="2:2" x14ac:dyDescent="0.45">
      <c r="B383" s="2"/>
    </row>
    <row r="384" spans="2:2" x14ac:dyDescent="0.45">
      <c r="B384" s="2" t="s">
        <v>181</v>
      </c>
    </row>
    <row r="385" spans="2:2" x14ac:dyDescent="0.45">
      <c r="B385" s="2"/>
    </row>
    <row r="386" spans="2:2" x14ac:dyDescent="0.45">
      <c r="B386" s="2" t="s">
        <v>182</v>
      </c>
    </row>
    <row r="387" spans="2:2" x14ac:dyDescent="0.45">
      <c r="B387" s="2"/>
    </row>
    <row r="388" spans="2:2" x14ac:dyDescent="0.45">
      <c r="B388" s="2" t="s">
        <v>183</v>
      </c>
    </row>
    <row r="389" spans="2:2" x14ac:dyDescent="0.45">
      <c r="B389" s="2"/>
    </row>
    <row r="390" spans="2:2" x14ac:dyDescent="0.45">
      <c r="B390" s="2" t="s">
        <v>184</v>
      </c>
    </row>
    <row r="391" spans="2:2" x14ac:dyDescent="0.45">
      <c r="B391" s="2"/>
    </row>
    <row r="392" spans="2:2" x14ac:dyDescent="0.45">
      <c r="B392" s="2" t="s">
        <v>185</v>
      </c>
    </row>
    <row r="393" spans="2:2" x14ac:dyDescent="0.45">
      <c r="B393" s="2"/>
    </row>
    <row r="394" spans="2:2" x14ac:dyDescent="0.45">
      <c r="B394" s="2" t="s">
        <v>186</v>
      </c>
    </row>
    <row r="395" spans="2:2" x14ac:dyDescent="0.45">
      <c r="B395" s="2"/>
    </row>
    <row r="396" spans="2:2" x14ac:dyDescent="0.45">
      <c r="B396" s="1" t="s">
        <v>75</v>
      </c>
    </row>
    <row r="397" spans="2:2" x14ac:dyDescent="0.45">
      <c r="B397" s="2"/>
    </row>
    <row r="398" spans="2:2" x14ac:dyDescent="0.45">
      <c r="B398" s="1" t="s">
        <v>2</v>
      </c>
    </row>
    <row r="399" spans="2:2" x14ac:dyDescent="0.45">
      <c r="B399" s="2"/>
    </row>
    <row r="400" spans="2:2" x14ac:dyDescent="0.45">
      <c r="B400" s="2" t="s">
        <v>7</v>
      </c>
    </row>
    <row r="401" spans="2:2" x14ac:dyDescent="0.45">
      <c r="B401" s="2"/>
    </row>
    <row r="402" spans="2:2" x14ac:dyDescent="0.45">
      <c r="B402" s="1" t="s">
        <v>76</v>
      </c>
    </row>
    <row r="403" spans="2:2" x14ac:dyDescent="0.45">
      <c r="B403" s="2"/>
    </row>
    <row r="404" spans="2:2" x14ac:dyDescent="0.45">
      <c r="B404" s="1" t="s">
        <v>4</v>
      </c>
    </row>
    <row r="405" spans="2:2" x14ac:dyDescent="0.45">
      <c r="B405" s="2"/>
    </row>
    <row r="406" spans="2:2" x14ac:dyDescent="0.45">
      <c r="B406" s="1" t="s">
        <v>5</v>
      </c>
    </row>
    <row r="407" spans="2:2" x14ac:dyDescent="0.45">
      <c r="B407" s="2"/>
    </row>
    <row r="408" spans="2:2" x14ac:dyDescent="0.45">
      <c r="B408" s="1" t="s">
        <v>1</v>
      </c>
    </row>
    <row r="409" spans="2:2" x14ac:dyDescent="0.45">
      <c r="B409" s="2"/>
    </row>
    <row r="410" spans="2:2" x14ac:dyDescent="0.45">
      <c r="B410" s="2" t="s">
        <v>14</v>
      </c>
    </row>
    <row r="411" spans="2:2" x14ac:dyDescent="0.45">
      <c r="B411" s="2"/>
    </row>
    <row r="412" spans="2:2" x14ac:dyDescent="0.45">
      <c r="B412" s="2" t="s">
        <v>187</v>
      </c>
    </row>
    <row r="413" spans="2:2" x14ac:dyDescent="0.45">
      <c r="B413" s="2"/>
    </row>
    <row r="414" spans="2:2" x14ac:dyDescent="0.45">
      <c r="B414" s="2" t="s">
        <v>188</v>
      </c>
    </row>
    <row r="415" spans="2:2" x14ac:dyDescent="0.45">
      <c r="B415" s="2"/>
    </row>
    <row r="416" spans="2:2" x14ac:dyDescent="0.45">
      <c r="B416" s="2" t="s">
        <v>189</v>
      </c>
    </row>
    <row r="417" spans="2:2" x14ac:dyDescent="0.45">
      <c r="B417" s="2"/>
    </row>
    <row r="418" spans="2:2" x14ac:dyDescent="0.45">
      <c r="B418" s="2" t="s">
        <v>190</v>
      </c>
    </row>
    <row r="419" spans="2:2" x14ac:dyDescent="0.45">
      <c r="B419" s="2"/>
    </row>
    <row r="420" spans="2:2" x14ac:dyDescent="0.45">
      <c r="B420" s="2" t="s">
        <v>191</v>
      </c>
    </row>
    <row r="421" spans="2:2" x14ac:dyDescent="0.45">
      <c r="B421" s="2"/>
    </row>
    <row r="422" spans="2:2" x14ac:dyDescent="0.45">
      <c r="B422" s="2" t="s">
        <v>192</v>
      </c>
    </row>
    <row r="423" spans="2:2" x14ac:dyDescent="0.45">
      <c r="B423" s="2"/>
    </row>
    <row r="424" spans="2:2" x14ac:dyDescent="0.45">
      <c r="B424" s="2" t="s">
        <v>193</v>
      </c>
    </row>
    <row r="425" spans="2:2" x14ac:dyDescent="0.45">
      <c r="B425" s="2"/>
    </row>
    <row r="426" spans="2:2" x14ac:dyDescent="0.45">
      <c r="B426" s="2" t="s">
        <v>194</v>
      </c>
    </row>
    <row r="427" spans="2:2" x14ac:dyDescent="0.45">
      <c r="B427" s="2"/>
    </row>
    <row r="428" spans="2:2" x14ac:dyDescent="0.45">
      <c r="B428" s="2" t="s">
        <v>195</v>
      </c>
    </row>
    <row r="429" spans="2:2" x14ac:dyDescent="0.45">
      <c r="B429" s="2"/>
    </row>
    <row r="430" spans="2:2" x14ac:dyDescent="0.45">
      <c r="B430" s="2" t="s">
        <v>196</v>
      </c>
    </row>
    <row r="431" spans="2:2" x14ac:dyDescent="0.45">
      <c r="B431" s="2"/>
    </row>
    <row r="432" spans="2:2" x14ac:dyDescent="0.45">
      <c r="B432" s="2" t="s">
        <v>197</v>
      </c>
    </row>
    <row r="433" spans="2:2" x14ac:dyDescent="0.45">
      <c r="B433" s="2"/>
    </row>
    <row r="434" spans="2:2" x14ac:dyDescent="0.45">
      <c r="B434" s="2" t="s">
        <v>198</v>
      </c>
    </row>
    <row r="435" spans="2:2" x14ac:dyDescent="0.45">
      <c r="B435" s="2"/>
    </row>
    <row r="436" spans="2:2" x14ac:dyDescent="0.45">
      <c r="B436" s="2" t="s">
        <v>199</v>
      </c>
    </row>
    <row r="437" spans="2:2" x14ac:dyDescent="0.45">
      <c r="B437" s="2"/>
    </row>
    <row r="438" spans="2:2" x14ac:dyDescent="0.45">
      <c r="B438" s="2" t="s">
        <v>200</v>
      </c>
    </row>
    <row r="439" spans="2:2" x14ac:dyDescent="0.45">
      <c r="B439" s="2"/>
    </row>
    <row r="440" spans="2:2" x14ac:dyDescent="0.45">
      <c r="B440" s="2" t="s">
        <v>201</v>
      </c>
    </row>
    <row r="441" spans="2:2" x14ac:dyDescent="0.45">
      <c r="B441" s="2"/>
    </row>
    <row r="442" spans="2:2" x14ac:dyDescent="0.45">
      <c r="B442" s="2" t="s">
        <v>202</v>
      </c>
    </row>
    <row r="443" spans="2:2" x14ac:dyDescent="0.45">
      <c r="B443" s="2"/>
    </row>
    <row r="444" spans="2:2" x14ac:dyDescent="0.45">
      <c r="B444" s="2" t="s">
        <v>203</v>
      </c>
    </row>
    <row r="445" spans="2:2" x14ac:dyDescent="0.45">
      <c r="B445" s="2"/>
    </row>
    <row r="446" spans="2:2" x14ac:dyDescent="0.45">
      <c r="B446" s="2" t="s">
        <v>204</v>
      </c>
    </row>
    <row r="447" spans="2:2" x14ac:dyDescent="0.45">
      <c r="B447" s="2"/>
    </row>
    <row r="448" spans="2:2" x14ac:dyDescent="0.45">
      <c r="B448" s="2" t="s">
        <v>205</v>
      </c>
    </row>
    <row r="449" spans="2:2" x14ac:dyDescent="0.45">
      <c r="B449" s="2"/>
    </row>
    <row r="450" spans="2:2" x14ac:dyDescent="0.45">
      <c r="B450" s="2" t="s">
        <v>206</v>
      </c>
    </row>
    <row r="451" spans="2:2" x14ac:dyDescent="0.45">
      <c r="B451" s="2"/>
    </row>
    <row r="452" spans="2:2" x14ac:dyDescent="0.45">
      <c r="B452" s="2" t="s">
        <v>207</v>
      </c>
    </row>
    <row r="453" spans="2:2" x14ac:dyDescent="0.45">
      <c r="B453" s="2"/>
    </row>
    <row r="454" spans="2:2" x14ac:dyDescent="0.45">
      <c r="B454" s="2" t="s">
        <v>208</v>
      </c>
    </row>
    <row r="455" spans="2:2" x14ac:dyDescent="0.45">
      <c r="B455" s="2"/>
    </row>
    <row r="456" spans="2:2" x14ac:dyDescent="0.45">
      <c r="B456" s="2" t="s">
        <v>209</v>
      </c>
    </row>
    <row r="457" spans="2:2" x14ac:dyDescent="0.45">
      <c r="B457" s="2"/>
    </row>
    <row r="458" spans="2:2" x14ac:dyDescent="0.45">
      <c r="B458" s="2" t="s">
        <v>210</v>
      </c>
    </row>
    <row r="459" spans="2:2" x14ac:dyDescent="0.45">
      <c r="B459" s="2"/>
    </row>
    <row r="460" spans="2:2" x14ac:dyDescent="0.45">
      <c r="B460" s="2" t="s">
        <v>211</v>
      </c>
    </row>
    <row r="461" spans="2:2" x14ac:dyDescent="0.45">
      <c r="B461" s="2"/>
    </row>
    <row r="462" spans="2:2" x14ac:dyDescent="0.45">
      <c r="B462" s="2" t="s">
        <v>212</v>
      </c>
    </row>
    <row r="463" spans="2:2" x14ac:dyDescent="0.45">
      <c r="B463" s="2"/>
    </row>
    <row r="464" spans="2:2" x14ac:dyDescent="0.45">
      <c r="B464" s="2" t="s">
        <v>213</v>
      </c>
    </row>
    <row r="465" spans="2:2" x14ac:dyDescent="0.45">
      <c r="B465" s="2"/>
    </row>
    <row r="466" spans="2:2" x14ac:dyDescent="0.45">
      <c r="B466" s="2" t="s">
        <v>214</v>
      </c>
    </row>
    <row r="467" spans="2:2" x14ac:dyDescent="0.45">
      <c r="B467" s="2"/>
    </row>
    <row r="468" spans="2:2" x14ac:dyDescent="0.45">
      <c r="B468" s="2" t="s">
        <v>215</v>
      </c>
    </row>
    <row r="469" spans="2:2" x14ac:dyDescent="0.45">
      <c r="B469" s="2"/>
    </row>
    <row r="470" spans="2:2" x14ac:dyDescent="0.45">
      <c r="B470" s="2" t="s">
        <v>216</v>
      </c>
    </row>
    <row r="471" spans="2:2" x14ac:dyDescent="0.45">
      <c r="B471" s="2"/>
    </row>
    <row r="472" spans="2:2" x14ac:dyDescent="0.45">
      <c r="B472" s="2" t="s">
        <v>217</v>
      </c>
    </row>
    <row r="473" spans="2:2" x14ac:dyDescent="0.45">
      <c r="B473" s="2"/>
    </row>
    <row r="474" spans="2:2" x14ac:dyDescent="0.45">
      <c r="B474" s="2" t="s">
        <v>218</v>
      </c>
    </row>
    <row r="475" spans="2:2" x14ac:dyDescent="0.45">
      <c r="B475" s="2"/>
    </row>
    <row r="476" spans="2:2" x14ac:dyDescent="0.45">
      <c r="B476" s="2" t="s">
        <v>219</v>
      </c>
    </row>
    <row r="477" spans="2:2" x14ac:dyDescent="0.45">
      <c r="B477" s="2"/>
    </row>
    <row r="478" spans="2:2" x14ac:dyDescent="0.45">
      <c r="B478" s="2" t="s">
        <v>220</v>
      </c>
    </row>
    <row r="479" spans="2:2" x14ac:dyDescent="0.45">
      <c r="B479" s="2"/>
    </row>
    <row r="480" spans="2:2" x14ac:dyDescent="0.45">
      <c r="B480" s="2" t="s">
        <v>221</v>
      </c>
    </row>
    <row r="481" spans="2:2" x14ac:dyDescent="0.45">
      <c r="B481" s="2"/>
    </row>
    <row r="482" spans="2:2" x14ac:dyDescent="0.45">
      <c r="B482" s="2" t="s">
        <v>222</v>
      </c>
    </row>
    <row r="483" spans="2:2" x14ac:dyDescent="0.45">
      <c r="B483" s="2"/>
    </row>
    <row r="484" spans="2:2" x14ac:dyDescent="0.45">
      <c r="B484" s="2" t="s">
        <v>223</v>
      </c>
    </row>
    <row r="485" spans="2:2" x14ac:dyDescent="0.45">
      <c r="B485" s="2"/>
    </row>
    <row r="486" spans="2:2" x14ac:dyDescent="0.45">
      <c r="B486" s="2" t="s">
        <v>224</v>
      </c>
    </row>
    <row r="487" spans="2:2" x14ac:dyDescent="0.45">
      <c r="B487" s="2"/>
    </row>
    <row r="488" spans="2:2" x14ac:dyDescent="0.45">
      <c r="B488" s="2" t="s">
        <v>225</v>
      </c>
    </row>
    <row r="489" spans="2:2" x14ac:dyDescent="0.45">
      <c r="B489" s="2"/>
    </row>
    <row r="490" spans="2:2" x14ac:dyDescent="0.45">
      <c r="B490" s="2" t="s">
        <v>226</v>
      </c>
    </row>
    <row r="491" spans="2:2" x14ac:dyDescent="0.45">
      <c r="B491" s="2"/>
    </row>
    <row r="492" spans="2:2" x14ac:dyDescent="0.45">
      <c r="B492" s="2" t="s">
        <v>227</v>
      </c>
    </row>
    <row r="493" spans="2:2" x14ac:dyDescent="0.45">
      <c r="B493" s="2"/>
    </row>
    <row r="494" spans="2:2" x14ac:dyDescent="0.45">
      <c r="B494" s="2" t="s">
        <v>228</v>
      </c>
    </row>
    <row r="495" spans="2:2" x14ac:dyDescent="0.45">
      <c r="B495" s="2"/>
    </row>
    <row r="496" spans="2:2" x14ac:dyDescent="0.45">
      <c r="B496" s="2" t="s">
        <v>229</v>
      </c>
    </row>
    <row r="497" spans="2:2" x14ac:dyDescent="0.45">
      <c r="B497" s="2"/>
    </row>
    <row r="498" spans="2:2" x14ac:dyDescent="0.45">
      <c r="B498" s="2" t="s">
        <v>230</v>
      </c>
    </row>
    <row r="499" spans="2:2" x14ac:dyDescent="0.45">
      <c r="B499" s="2"/>
    </row>
    <row r="500" spans="2:2" x14ac:dyDescent="0.45">
      <c r="B500" s="2" t="s">
        <v>231</v>
      </c>
    </row>
    <row r="501" spans="2:2" x14ac:dyDescent="0.45">
      <c r="B501" s="2"/>
    </row>
    <row r="502" spans="2:2" x14ac:dyDescent="0.45">
      <c r="B502" s="2" t="s">
        <v>232</v>
      </c>
    </row>
    <row r="503" spans="2:2" x14ac:dyDescent="0.45">
      <c r="B503" s="2"/>
    </row>
    <row r="504" spans="2:2" x14ac:dyDescent="0.45">
      <c r="B504" s="2" t="s">
        <v>233</v>
      </c>
    </row>
    <row r="505" spans="2:2" x14ac:dyDescent="0.45">
      <c r="B505" s="2"/>
    </row>
    <row r="506" spans="2:2" x14ac:dyDescent="0.45">
      <c r="B506" s="2" t="s">
        <v>234</v>
      </c>
    </row>
    <row r="507" spans="2:2" x14ac:dyDescent="0.45">
      <c r="B507" s="2"/>
    </row>
    <row r="508" spans="2:2" x14ac:dyDescent="0.45">
      <c r="B508" s="2" t="s">
        <v>235</v>
      </c>
    </row>
    <row r="509" spans="2:2" x14ac:dyDescent="0.45">
      <c r="B509" s="2"/>
    </row>
    <row r="510" spans="2:2" x14ac:dyDescent="0.45">
      <c r="B510" s="2" t="s">
        <v>236</v>
      </c>
    </row>
    <row r="511" spans="2:2" x14ac:dyDescent="0.45">
      <c r="B511" s="2"/>
    </row>
    <row r="512" spans="2:2" x14ac:dyDescent="0.45">
      <c r="B512" s="2" t="s">
        <v>237</v>
      </c>
    </row>
    <row r="513" spans="2:2" x14ac:dyDescent="0.45">
      <c r="B513" s="2"/>
    </row>
    <row r="514" spans="2:2" x14ac:dyDescent="0.45">
      <c r="B514" s="2" t="s">
        <v>238</v>
      </c>
    </row>
    <row r="515" spans="2:2" x14ac:dyDescent="0.45">
      <c r="B515" s="2"/>
    </row>
    <row r="516" spans="2:2" x14ac:dyDescent="0.45">
      <c r="B516" s="1" t="s">
        <v>8</v>
      </c>
    </row>
    <row r="517" spans="2:2" x14ac:dyDescent="0.45">
      <c r="B517" s="2"/>
    </row>
    <row r="518" spans="2:2" x14ac:dyDescent="0.45">
      <c r="B518" s="1" t="s">
        <v>1</v>
      </c>
    </row>
    <row r="519" spans="2:2" x14ac:dyDescent="0.45">
      <c r="B519" s="2"/>
    </row>
    <row r="520" spans="2:2" x14ac:dyDescent="0.45">
      <c r="B520" s="2" t="s">
        <v>14</v>
      </c>
    </row>
    <row r="521" spans="2:2" x14ac:dyDescent="0.45">
      <c r="B521" s="2"/>
    </row>
    <row r="522" spans="2:2" x14ac:dyDescent="0.45">
      <c r="B522" s="2" t="s">
        <v>239</v>
      </c>
    </row>
    <row r="523" spans="2:2" x14ac:dyDescent="0.45">
      <c r="B523" s="2"/>
    </row>
    <row r="524" spans="2:2" x14ac:dyDescent="0.45">
      <c r="B524" s="2" t="s">
        <v>240</v>
      </c>
    </row>
    <row r="525" spans="2:2" x14ac:dyDescent="0.45">
      <c r="B525" s="2"/>
    </row>
    <row r="526" spans="2:2" x14ac:dyDescent="0.45">
      <c r="B526" s="1" t="s">
        <v>75</v>
      </c>
    </row>
    <row r="527" spans="2:2" x14ac:dyDescent="0.45">
      <c r="B527" s="2"/>
    </row>
    <row r="528" spans="2:2" x14ac:dyDescent="0.45">
      <c r="B528" s="1" t="s">
        <v>2</v>
      </c>
    </row>
    <row r="529" spans="2:2" x14ac:dyDescent="0.45">
      <c r="B529" s="2"/>
    </row>
    <row r="530" spans="2:2" x14ac:dyDescent="0.45">
      <c r="B530" s="2" t="s">
        <v>9</v>
      </c>
    </row>
    <row r="531" spans="2:2" x14ac:dyDescent="0.45">
      <c r="B531" s="2"/>
    </row>
    <row r="532" spans="2:2" x14ac:dyDescent="0.45">
      <c r="B532" s="1" t="s">
        <v>76</v>
      </c>
    </row>
    <row r="533" spans="2:2" x14ac:dyDescent="0.45">
      <c r="B533" s="2"/>
    </row>
    <row r="534" spans="2:2" x14ac:dyDescent="0.45">
      <c r="B534" s="1" t="s">
        <v>4</v>
      </c>
    </row>
    <row r="535" spans="2:2" x14ac:dyDescent="0.45">
      <c r="B535" s="2"/>
    </row>
    <row r="536" spans="2:2" x14ac:dyDescent="0.45">
      <c r="B536" s="1" t="s">
        <v>8</v>
      </c>
    </row>
    <row r="537" spans="2:2" x14ac:dyDescent="0.45">
      <c r="B537" s="2"/>
    </row>
    <row r="538" spans="2:2" x14ac:dyDescent="0.45">
      <c r="B538" s="1" t="s">
        <v>1</v>
      </c>
    </row>
    <row r="539" spans="2:2" x14ac:dyDescent="0.45">
      <c r="B539" s="2"/>
    </row>
    <row r="540" spans="2:2" x14ac:dyDescent="0.45">
      <c r="B540" s="2" t="s">
        <v>14</v>
      </c>
    </row>
    <row r="541" spans="2:2" x14ac:dyDescent="0.45">
      <c r="B541" s="2"/>
    </row>
    <row r="542" spans="2:2" x14ac:dyDescent="0.45">
      <c r="B542" s="2" t="s">
        <v>241</v>
      </c>
    </row>
    <row r="543" spans="2:2" x14ac:dyDescent="0.45">
      <c r="B543" s="2"/>
    </row>
    <row r="544" spans="2:2" x14ac:dyDescent="0.45">
      <c r="B544" s="2" t="s">
        <v>242</v>
      </c>
    </row>
    <row r="545" spans="2:2" x14ac:dyDescent="0.45">
      <c r="B545" s="2"/>
    </row>
    <row r="546" spans="2:2" x14ac:dyDescent="0.45">
      <c r="B546" s="2" t="s">
        <v>243</v>
      </c>
    </row>
    <row r="547" spans="2:2" x14ac:dyDescent="0.45">
      <c r="B547" s="2"/>
    </row>
    <row r="548" spans="2:2" x14ac:dyDescent="0.45">
      <c r="B548" s="2" t="s">
        <v>244</v>
      </c>
    </row>
    <row r="549" spans="2:2" x14ac:dyDescent="0.45">
      <c r="B549" s="2"/>
    </row>
    <row r="550" spans="2:2" x14ac:dyDescent="0.45">
      <c r="B550" s="2" t="s">
        <v>245</v>
      </c>
    </row>
    <row r="551" spans="2:2" x14ac:dyDescent="0.45">
      <c r="B551" s="2"/>
    </row>
    <row r="552" spans="2:2" x14ac:dyDescent="0.45">
      <c r="B552" s="2" t="s">
        <v>246</v>
      </c>
    </row>
    <row r="553" spans="2:2" x14ac:dyDescent="0.45">
      <c r="B553" s="2"/>
    </row>
    <row r="554" spans="2:2" x14ac:dyDescent="0.45">
      <c r="B554" s="2" t="s">
        <v>247</v>
      </c>
    </row>
    <row r="555" spans="2:2" x14ac:dyDescent="0.45">
      <c r="B555" s="2"/>
    </row>
    <row r="556" spans="2:2" x14ac:dyDescent="0.45">
      <c r="B556" s="2" t="s">
        <v>248</v>
      </c>
    </row>
    <row r="557" spans="2:2" x14ac:dyDescent="0.45">
      <c r="B557" s="2"/>
    </row>
    <row r="558" spans="2:2" x14ac:dyDescent="0.45">
      <c r="B558" s="2" t="s">
        <v>249</v>
      </c>
    </row>
    <row r="559" spans="2:2" x14ac:dyDescent="0.45">
      <c r="B559" s="2"/>
    </row>
    <row r="560" spans="2:2" x14ac:dyDescent="0.45">
      <c r="B560" s="2" t="s">
        <v>250</v>
      </c>
    </row>
    <row r="561" spans="2:2" x14ac:dyDescent="0.45">
      <c r="B561" s="2"/>
    </row>
    <row r="562" spans="2:2" x14ac:dyDescent="0.45">
      <c r="B562" s="2" t="s">
        <v>251</v>
      </c>
    </row>
    <row r="563" spans="2:2" x14ac:dyDescent="0.45">
      <c r="B563" s="2"/>
    </row>
    <row r="564" spans="2:2" x14ac:dyDescent="0.45">
      <c r="B564" s="2" t="s">
        <v>252</v>
      </c>
    </row>
    <row r="565" spans="2:2" x14ac:dyDescent="0.45">
      <c r="B565" s="2"/>
    </row>
    <row r="566" spans="2:2" x14ac:dyDescent="0.45">
      <c r="B566" s="1" t="s">
        <v>10</v>
      </c>
    </row>
    <row r="567" spans="2:2" x14ac:dyDescent="0.45">
      <c r="B567" s="2"/>
    </row>
    <row r="568" spans="2:2" x14ac:dyDescent="0.45">
      <c r="B568" s="1" t="s">
        <v>1</v>
      </c>
    </row>
    <row r="569" spans="2:2" x14ac:dyDescent="0.45">
      <c r="B569" s="2"/>
    </row>
    <row r="570" spans="2:2" x14ac:dyDescent="0.45">
      <c r="B570" s="2" t="s">
        <v>14</v>
      </c>
    </row>
    <row r="571" spans="2:2" x14ac:dyDescent="0.45">
      <c r="B571" s="2"/>
    </row>
    <row r="572" spans="2:2" x14ac:dyDescent="0.45">
      <c r="B572" s="2" t="s">
        <v>253</v>
      </c>
    </row>
    <row r="573" spans="2:2" x14ac:dyDescent="0.45">
      <c r="B573" s="2"/>
    </row>
    <row r="574" spans="2:2" x14ac:dyDescent="0.45">
      <c r="B574" s="2" t="s">
        <v>254</v>
      </c>
    </row>
    <row r="575" spans="2:2" x14ac:dyDescent="0.45">
      <c r="B575" s="2"/>
    </row>
    <row r="576" spans="2:2" x14ac:dyDescent="0.45">
      <c r="B576" s="2" t="s">
        <v>255</v>
      </c>
    </row>
    <row r="577" spans="2:2" x14ac:dyDescent="0.45">
      <c r="B577" s="2"/>
    </row>
    <row r="578" spans="2:2" x14ac:dyDescent="0.45">
      <c r="B578" s="2" t="s">
        <v>256</v>
      </c>
    </row>
    <row r="579" spans="2:2" x14ac:dyDescent="0.45">
      <c r="B579" s="2"/>
    </row>
    <row r="580" spans="2:2" x14ac:dyDescent="0.45">
      <c r="B580" s="2" t="s">
        <v>257</v>
      </c>
    </row>
    <row r="581" spans="2:2" x14ac:dyDescent="0.45">
      <c r="B581" s="2"/>
    </row>
    <row r="582" spans="2:2" x14ac:dyDescent="0.45">
      <c r="B582" s="2" t="s">
        <v>258</v>
      </c>
    </row>
    <row r="583" spans="2:2" x14ac:dyDescent="0.45">
      <c r="B583" s="2"/>
    </row>
    <row r="584" spans="2:2" x14ac:dyDescent="0.45">
      <c r="B584" s="2" t="s">
        <v>259</v>
      </c>
    </row>
    <row r="585" spans="2:2" x14ac:dyDescent="0.45">
      <c r="B585" s="2"/>
    </row>
    <row r="586" spans="2:2" x14ac:dyDescent="0.45">
      <c r="B586" s="2" t="s">
        <v>260</v>
      </c>
    </row>
    <row r="587" spans="2:2" x14ac:dyDescent="0.45">
      <c r="B587" s="2"/>
    </row>
    <row r="588" spans="2:2" x14ac:dyDescent="0.45">
      <c r="B588" s="2" t="s">
        <v>261</v>
      </c>
    </row>
    <row r="589" spans="2:2" x14ac:dyDescent="0.45">
      <c r="B589" s="2"/>
    </row>
    <row r="590" spans="2:2" x14ac:dyDescent="0.45">
      <c r="B590" s="2" t="s">
        <v>262</v>
      </c>
    </row>
    <row r="591" spans="2:2" x14ac:dyDescent="0.45">
      <c r="B591" s="2"/>
    </row>
    <row r="592" spans="2:2" x14ac:dyDescent="0.45">
      <c r="B592" s="2" t="s">
        <v>263</v>
      </c>
    </row>
    <row r="593" spans="2:2" x14ac:dyDescent="0.45">
      <c r="B593" s="2"/>
    </row>
    <row r="594" spans="2:2" x14ac:dyDescent="0.45">
      <c r="B594" s="2" t="s">
        <v>264</v>
      </c>
    </row>
    <row r="595" spans="2:2" x14ac:dyDescent="0.45">
      <c r="B595" s="2"/>
    </row>
    <row r="596" spans="2:2" x14ac:dyDescent="0.45">
      <c r="B596" s="2" t="s">
        <v>265</v>
      </c>
    </row>
    <row r="597" spans="2:2" x14ac:dyDescent="0.45">
      <c r="B597" s="2"/>
    </row>
    <row r="598" spans="2:2" x14ac:dyDescent="0.45">
      <c r="B598" s="2" t="s">
        <v>266</v>
      </c>
    </row>
    <row r="599" spans="2:2" x14ac:dyDescent="0.45">
      <c r="B599" s="2"/>
    </row>
    <row r="600" spans="2:2" x14ac:dyDescent="0.45">
      <c r="B600" s="2" t="s">
        <v>267</v>
      </c>
    </row>
    <row r="601" spans="2:2" x14ac:dyDescent="0.45">
      <c r="B601" s="2"/>
    </row>
    <row r="602" spans="2:2" x14ac:dyDescent="0.45">
      <c r="B602" s="2" t="s">
        <v>268</v>
      </c>
    </row>
    <row r="603" spans="2:2" x14ac:dyDescent="0.45">
      <c r="B603" s="2"/>
    </row>
    <row r="604" spans="2:2" x14ac:dyDescent="0.45">
      <c r="B604" s="2" t="s">
        <v>269</v>
      </c>
    </row>
    <row r="605" spans="2:2" x14ac:dyDescent="0.45">
      <c r="B605" s="2"/>
    </row>
    <row r="606" spans="2:2" x14ac:dyDescent="0.45">
      <c r="B606" s="2" t="s">
        <v>270</v>
      </c>
    </row>
    <row r="607" spans="2:2" x14ac:dyDescent="0.45">
      <c r="B607" s="2"/>
    </row>
    <row r="608" spans="2:2" x14ac:dyDescent="0.45">
      <c r="B608" s="2" t="s">
        <v>271</v>
      </c>
    </row>
    <row r="609" spans="2:2" x14ac:dyDescent="0.45">
      <c r="B609" s="2"/>
    </row>
    <row r="610" spans="2:2" x14ac:dyDescent="0.45">
      <c r="B610" s="2" t="s">
        <v>272</v>
      </c>
    </row>
    <row r="611" spans="2:2" x14ac:dyDescent="0.45">
      <c r="B611" s="2"/>
    </row>
    <row r="612" spans="2:2" x14ac:dyDescent="0.45">
      <c r="B612" s="2" t="s">
        <v>273</v>
      </c>
    </row>
    <row r="613" spans="2:2" x14ac:dyDescent="0.45">
      <c r="B613" s="2"/>
    </row>
    <row r="614" spans="2:2" x14ac:dyDescent="0.45">
      <c r="B614" s="2" t="s">
        <v>274</v>
      </c>
    </row>
    <row r="615" spans="2:2" x14ac:dyDescent="0.45">
      <c r="B615" s="2"/>
    </row>
    <row r="616" spans="2:2" x14ac:dyDescent="0.45">
      <c r="B616" s="2" t="s">
        <v>275</v>
      </c>
    </row>
    <row r="617" spans="2:2" x14ac:dyDescent="0.45">
      <c r="B617" s="2"/>
    </row>
    <row r="618" spans="2:2" x14ac:dyDescent="0.45">
      <c r="B618" s="2" t="s">
        <v>276</v>
      </c>
    </row>
    <row r="619" spans="2:2" x14ac:dyDescent="0.45">
      <c r="B619" s="2"/>
    </row>
    <row r="620" spans="2:2" x14ac:dyDescent="0.45">
      <c r="B620" s="2" t="s">
        <v>277</v>
      </c>
    </row>
    <row r="621" spans="2:2" x14ac:dyDescent="0.45">
      <c r="B621" s="2"/>
    </row>
    <row r="622" spans="2:2" x14ac:dyDescent="0.45">
      <c r="B622" s="2" t="s">
        <v>278</v>
      </c>
    </row>
    <row r="623" spans="2:2" x14ac:dyDescent="0.45">
      <c r="B623" s="2"/>
    </row>
    <row r="624" spans="2:2" x14ac:dyDescent="0.45">
      <c r="B624" s="2" t="s">
        <v>279</v>
      </c>
    </row>
    <row r="625" spans="2:2" x14ac:dyDescent="0.45">
      <c r="B625" s="2"/>
    </row>
    <row r="626" spans="2:2" x14ac:dyDescent="0.45">
      <c r="B626" s="2" t="s">
        <v>280</v>
      </c>
    </row>
    <row r="627" spans="2:2" x14ac:dyDescent="0.45">
      <c r="B627" s="2"/>
    </row>
    <row r="628" spans="2:2" x14ac:dyDescent="0.45">
      <c r="B628" s="2" t="s">
        <v>281</v>
      </c>
    </row>
    <row r="629" spans="2:2" x14ac:dyDescent="0.45">
      <c r="B629" s="2"/>
    </row>
    <row r="630" spans="2:2" x14ac:dyDescent="0.45">
      <c r="B630" s="2" t="s">
        <v>282</v>
      </c>
    </row>
    <row r="631" spans="2:2" x14ac:dyDescent="0.45">
      <c r="B631" s="2"/>
    </row>
    <row r="632" spans="2:2" x14ac:dyDescent="0.45">
      <c r="B632" s="2" t="s">
        <v>283</v>
      </c>
    </row>
    <row r="633" spans="2:2" x14ac:dyDescent="0.45">
      <c r="B633" s="2"/>
    </row>
    <row r="634" spans="2:2" x14ac:dyDescent="0.45">
      <c r="B634" s="2" t="s">
        <v>284</v>
      </c>
    </row>
    <row r="635" spans="2:2" x14ac:dyDescent="0.45">
      <c r="B635" s="2"/>
    </row>
    <row r="636" spans="2:2" x14ac:dyDescent="0.45">
      <c r="B636" s="2" t="s">
        <v>285</v>
      </c>
    </row>
    <row r="637" spans="2:2" x14ac:dyDescent="0.45">
      <c r="B637" s="2"/>
    </row>
    <row r="638" spans="2:2" x14ac:dyDescent="0.45">
      <c r="B638" s="2" t="s">
        <v>286</v>
      </c>
    </row>
    <row r="639" spans="2:2" x14ac:dyDescent="0.45">
      <c r="B639" s="2"/>
    </row>
    <row r="640" spans="2:2" x14ac:dyDescent="0.45">
      <c r="B640" s="1" t="s">
        <v>11</v>
      </c>
    </row>
    <row r="641" spans="2:2" x14ac:dyDescent="0.45">
      <c r="B641" s="2"/>
    </row>
    <row r="642" spans="2:2" x14ac:dyDescent="0.45">
      <c r="B642" s="1" t="s">
        <v>1</v>
      </c>
    </row>
    <row r="643" spans="2:2" x14ac:dyDescent="0.45">
      <c r="B643" s="2"/>
    </row>
    <row r="644" spans="2:2" x14ac:dyDescent="0.45">
      <c r="B644" s="2" t="s">
        <v>14</v>
      </c>
    </row>
    <row r="645" spans="2:2" x14ac:dyDescent="0.45">
      <c r="B645" s="2"/>
    </row>
    <row r="646" spans="2:2" x14ac:dyDescent="0.45">
      <c r="B646" s="2" t="s">
        <v>287</v>
      </c>
    </row>
    <row r="647" spans="2:2" x14ac:dyDescent="0.45">
      <c r="B647" s="2"/>
    </row>
    <row r="648" spans="2:2" x14ac:dyDescent="0.45">
      <c r="B648" s="2" t="s">
        <v>288</v>
      </c>
    </row>
    <row r="649" spans="2:2" x14ac:dyDescent="0.45">
      <c r="B649" s="2"/>
    </row>
    <row r="650" spans="2:2" x14ac:dyDescent="0.45">
      <c r="B650" s="2" t="s">
        <v>289</v>
      </c>
    </row>
    <row r="651" spans="2:2" x14ac:dyDescent="0.45">
      <c r="B651" s="2"/>
    </row>
    <row r="652" spans="2:2" x14ac:dyDescent="0.45">
      <c r="B652" s="2" t="s">
        <v>290</v>
      </c>
    </row>
    <row r="653" spans="2:2" x14ac:dyDescent="0.45">
      <c r="B653" s="2"/>
    </row>
    <row r="654" spans="2:2" x14ac:dyDescent="0.45">
      <c r="B654" s="1" t="s">
        <v>75</v>
      </c>
    </row>
    <row r="655" spans="2:2" x14ac:dyDescent="0.45">
      <c r="B655" s="2"/>
    </row>
    <row r="656" spans="2:2" x14ac:dyDescent="0.45">
      <c r="B656" s="1" t="s">
        <v>2</v>
      </c>
    </row>
    <row r="657" spans="2:2" x14ac:dyDescent="0.45">
      <c r="B657" s="2"/>
    </row>
    <row r="658" spans="2:2" x14ac:dyDescent="0.45">
      <c r="B658" s="2" t="s">
        <v>12</v>
      </c>
    </row>
    <row r="659" spans="2:2" x14ac:dyDescent="0.45">
      <c r="B659" s="2"/>
    </row>
    <row r="660" spans="2:2" x14ac:dyDescent="0.45">
      <c r="B660" s="1" t="s">
        <v>76</v>
      </c>
    </row>
    <row r="661" spans="2:2" x14ac:dyDescent="0.45">
      <c r="B661" s="2"/>
    </row>
    <row r="662" spans="2:2" x14ac:dyDescent="0.45">
      <c r="B662" s="1" t="s">
        <v>4</v>
      </c>
    </row>
    <row r="663" spans="2:2" x14ac:dyDescent="0.45">
      <c r="B663" s="2"/>
    </row>
    <row r="664" spans="2:2" x14ac:dyDescent="0.45">
      <c r="B664" s="1" t="s">
        <v>11</v>
      </c>
    </row>
    <row r="665" spans="2:2" x14ac:dyDescent="0.45">
      <c r="B665" s="2"/>
    </row>
    <row r="666" spans="2:2" x14ac:dyDescent="0.45">
      <c r="B666" s="1" t="s">
        <v>1</v>
      </c>
    </row>
    <row r="667" spans="2:2" x14ac:dyDescent="0.45">
      <c r="B667" s="2"/>
    </row>
    <row r="668" spans="2:2" x14ac:dyDescent="0.45">
      <c r="B668" s="2" t="s">
        <v>14</v>
      </c>
    </row>
    <row r="669" spans="2:2" x14ac:dyDescent="0.45">
      <c r="B669" s="2"/>
    </row>
    <row r="670" spans="2:2" x14ac:dyDescent="0.45">
      <c r="B670" s="2" t="s">
        <v>291</v>
      </c>
    </row>
    <row r="671" spans="2:2" x14ac:dyDescent="0.45">
      <c r="B671" s="2"/>
    </row>
    <row r="672" spans="2:2" x14ac:dyDescent="0.45">
      <c r="B672" s="2" t="s">
        <v>292</v>
      </c>
    </row>
    <row r="673" spans="2:2" x14ac:dyDescent="0.45">
      <c r="B673" s="2"/>
    </row>
    <row r="674" spans="2:2" x14ac:dyDescent="0.45">
      <c r="B674" s="2" t="s">
        <v>293</v>
      </c>
    </row>
    <row r="675" spans="2:2" x14ac:dyDescent="0.45">
      <c r="B675" s="2"/>
    </row>
    <row r="676" spans="2:2" x14ac:dyDescent="0.45">
      <c r="B676" s="2" t="s">
        <v>294</v>
      </c>
    </row>
    <row r="677" spans="2:2" x14ac:dyDescent="0.45">
      <c r="B677" s="2"/>
    </row>
    <row r="678" spans="2:2" x14ac:dyDescent="0.45">
      <c r="B678" s="2" t="s">
        <v>295</v>
      </c>
    </row>
    <row r="679" spans="2:2" x14ac:dyDescent="0.45">
      <c r="B679" s="2"/>
    </row>
    <row r="680" spans="2:2" x14ac:dyDescent="0.45">
      <c r="B680" s="2" t="s">
        <v>296</v>
      </c>
    </row>
    <row r="681" spans="2:2" x14ac:dyDescent="0.45">
      <c r="B681" s="2"/>
    </row>
    <row r="682" spans="2:2" x14ac:dyDescent="0.45">
      <c r="B682" s="2" t="s">
        <v>297</v>
      </c>
    </row>
    <row r="683" spans="2:2" x14ac:dyDescent="0.45">
      <c r="B683" s="2"/>
    </row>
    <row r="684" spans="2:2" x14ac:dyDescent="0.45">
      <c r="B684" s="2" t="s">
        <v>298</v>
      </c>
    </row>
    <row r="685" spans="2:2" x14ac:dyDescent="0.45">
      <c r="B685" s="2"/>
    </row>
    <row r="686" spans="2:2" x14ac:dyDescent="0.45">
      <c r="B686" s="2" t="s">
        <v>299</v>
      </c>
    </row>
    <row r="687" spans="2:2" x14ac:dyDescent="0.45">
      <c r="B687" s="2"/>
    </row>
    <row r="688" spans="2:2" x14ac:dyDescent="0.45">
      <c r="B688" s="2" t="s">
        <v>300</v>
      </c>
    </row>
    <row r="689" spans="2:2" x14ac:dyDescent="0.45">
      <c r="B689" s="2"/>
    </row>
    <row r="690" spans="2:2" x14ac:dyDescent="0.45">
      <c r="B690" s="2" t="s">
        <v>301</v>
      </c>
    </row>
    <row r="691" spans="2:2" x14ac:dyDescent="0.45">
      <c r="B691" s="2"/>
    </row>
    <row r="692" spans="2:2" x14ac:dyDescent="0.45">
      <c r="B692" s="2" t="s">
        <v>302</v>
      </c>
    </row>
    <row r="693" spans="2:2" x14ac:dyDescent="0.45">
      <c r="B693" s="2"/>
    </row>
    <row r="694" spans="2:2" x14ac:dyDescent="0.45">
      <c r="B694" s="2" t="s">
        <v>303</v>
      </c>
    </row>
    <row r="695" spans="2:2" x14ac:dyDescent="0.45">
      <c r="B695" s="2"/>
    </row>
    <row r="696" spans="2:2" x14ac:dyDescent="0.45">
      <c r="B696" s="2" t="s">
        <v>304</v>
      </c>
    </row>
    <row r="697" spans="2:2" x14ac:dyDescent="0.45">
      <c r="B697" s="2"/>
    </row>
    <row r="698" spans="2:2" x14ac:dyDescent="0.45">
      <c r="B698" s="2" t="s">
        <v>305</v>
      </c>
    </row>
    <row r="699" spans="2:2" x14ac:dyDescent="0.45">
      <c r="B699" s="2"/>
    </row>
    <row r="700" spans="2:2" x14ac:dyDescent="0.45">
      <c r="B700" s="2" t="s">
        <v>306</v>
      </c>
    </row>
    <row r="701" spans="2:2" x14ac:dyDescent="0.45">
      <c r="B701" s="2"/>
    </row>
    <row r="702" spans="2:2" x14ac:dyDescent="0.45">
      <c r="B702" s="2" t="s">
        <v>305</v>
      </c>
    </row>
    <row r="703" spans="2:2" x14ac:dyDescent="0.45">
      <c r="B703" s="2"/>
    </row>
    <row r="704" spans="2:2" x14ac:dyDescent="0.45">
      <c r="B704" s="2" t="s">
        <v>307</v>
      </c>
    </row>
    <row r="705" spans="2:2" x14ac:dyDescent="0.45">
      <c r="B705" s="2"/>
    </row>
    <row r="706" spans="2:2" x14ac:dyDescent="0.45">
      <c r="B706" s="2" t="s">
        <v>308</v>
      </c>
    </row>
    <row r="707" spans="2:2" x14ac:dyDescent="0.45">
      <c r="B707" s="2"/>
    </row>
    <row r="708" spans="2:2" x14ac:dyDescent="0.45">
      <c r="B708" s="2" t="s">
        <v>309</v>
      </c>
    </row>
    <row r="709" spans="2:2" x14ac:dyDescent="0.45">
      <c r="B709" s="2"/>
    </row>
    <row r="710" spans="2:2" x14ac:dyDescent="0.45">
      <c r="B710" s="2" t="s">
        <v>310</v>
      </c>
    </row>
    <row r="711" spans="2:2" x14ac:dyDescent="0.45">
      <c r="B711" s="2"/>
    </row>
    <row r="712" spans="2:2" x14ac:dyDescent="0.45">
      <c r="B712" s="2" t="s">
        <v>311</v>
      </c>
    </row>
    <row r="713" spans="2:2" x14ac:dyDescent="0.45">
      <c r="B713" s="2"/>
    </row>
    <row r="714" spans="2:2" x14ac:dyDescent="0.45">
      <c r="B714" s="2" t="s">
        <v>312</v>
      </c>
    </row>
    <row r="715" spans="2:2" x14ac:dyDescent="0.45">
      <c r="B715" s="2"/>
    </row>
    <row r="716" spans="2:2" x14ac:dyDescent="0.45">
      <c r="B716" s="2" t="s">
        <v>313</v>
      </c>
    </row>
    <row r="717" spans="2:2" x14ac:dyDescent="0.45">
      <c r="B717" s="2"/>
    </row>
    <row r="718" spans="2:2" x14ac:dyDescent="0.45">
      <c r="B718" s="2" t="s">
        <v>314</v>
      </c>
    </row>
    <row r="719" spans="2:2" x14ac:dyDescent="0.45">
      <c r="B719" s="2"/>
    </row>
    <row r="720" spans="2:2" x14ac:dyDescent="0.45">
      <c r="B720" s="2" t="s">
        <v>315</v>
      </c>
    </row>
    <row r="721" spans="2:2" x14ac:dyDescent="0.45">
      <c r="B721" s="2"/>
    </row>
    <row r="722" spans="2:2" x14ac:dyDescent="0.45">
      <c r="B722" s="2" t="s">
        <v>316</v>
      </c>
    </row>
    <row r="723" spans="2:2" x14ac:dyDescent="0.45">
      <c r="B723" s="2"/>
    </row>
    <row r="724" spans="2:2" x14ac:dyDescent="0.45">
      <c r="B724" s="2" t="s">
        <v>317</v>
      </c>
    </row>
    <row r="725" spans="2:2" x14ac:dyDescent="0.45">
      <c r="B725" s="2"/>
    </row>
    <row r="726" spans="2:2" x14ac:dyDescent="0.45">
      <c r="B726" s="2" t="s">
        <v>318</v>
      </c>
    </row>
    <row r="727" spans="2:2" x14ac:dyDescent="0.45">
      <c r="B727" s="2"/>
    </row>
    <row r="728" spans="2:2" x14ac:dyDescent="0.45">
      <c r="B728" s="2" t="s">
        <v>319</v>
      </c>
    </row>
    <row r="729" spans="2:2" x14ac:dyDescent="0.45">
      <c r="B729" s="2"/>
    </row>
    <row r="730" spans="2:2" x14ac:dyDescent="0.45">
      <c r="B730" s="2" t="s">
        <v>320</v>
      </c>
    </row>
    <row r="731" spans="2:2" x14ac:dyDescent="0.45">
      <c r="B731" s="2"/>
    </row>
    <row r="732" spans="2:2" x14ac:dyDescent="0.45">
      <c r="B732" s="2" t="s">
        <v>321</v>
      </c>
    </row>
    <row r="733" spans="2:2" x14ac:dyDescent="0.45">
      <c r="B733" s="2"/>
    </row>
    <row r="734" spans="2:2" x14ac:dyDescent="0.45">
      <c r="B734" s="1" t="s">
        <v>13</v>
      </c>
    </row>
    <row r="735" spans="2:2" x14ac:dyDescent="0.45">
      <c r="B735" s="2"/>
    </row>
    <row r="736" spans="2:2" x14ac:dyDescent="0.45">
      <c r="B736" s="1" t="s">
        <v>1</v>
      </c>
    </row>
    <row r="737" spans="2:2" x14ac:dyDescent="0.45">
      <c r="B737" s="2"/>
    </row>
    <row r="738" spans="2:2" x14ac:dyDescent="0.45">
      <c r="B738" s="2" t="s">
        <v>14</v>
      </c>
    </row>
    <row r="739" spans="2:2" x14ac:dyDescent="0.45">
      <c r="B739" s="2"/>
    </row>
    <row r="740" spans="2:2" x14ac:dyDescent="0.45">
      <c r="B740" s="2" t="s">
        <v>322</v>
      </c>
    </row>
    <row r="741" spans="2:2" x14ac:dyDescent="0.45">
      <c r="B741" s="2"/>
    </row>
    <row r="742" spans="2:2" x14ac:dyDescent="0.45">
      <c r="B742" s="2" t="s">
        <v>323</v>
      </c>
    </row>
    <row r="743" spans="2:2" x14ac:dyDescent="0.45">
      <c r="B743" s="2"/>
    </row>
    <row r="744" spans="2:2" x14ac:dyDescent="0.45">
      <c r="B744" s="2" t="s">
        <v>324</v>
      </c>
    </row>
    <row r="745" spans="2:2" x14ac:dyDescent="0.45">
      <c r="B745" s="2"/>
    </row>
    <row r="746" spans="2:2" x14ac:dyDescent="0.45">
      <c r="B746" s="2" t="s">
        <v>325</v>
      </c>
    </row>
    <row r="747" spans="2:2" x14ac:dyDescent="0.45">
      <c r="B747" s="2"/>
    </row>
    <row r="748" spans="2:2" x14ac:dyDescent="0.45">
      <c r="B748" s="2" t="s">
        <v>326</v>
      </c>
    </row>
    <row r="749" spans="2:2" x14ac:dyDescent="0.45">
      <c r="B749" s="2"/>
    </row>
    <row r="750" spans="2:2" x14ac:dyDescent="0.45">
      <c r="B750" s="2" t="s">
        <v>327</v>
      </c>
    </row>
    <row r="751" spans="2:2" x14ac:dyDescent="0.45">
      <c r="B751" s="2"/>
    </row>
    <row r="752" spans="2:2" x14ac:dyDescent="0.45">
      <c r="B752" s="2" t="s">
        <v>328</v>
      </c>
    </row>
    <row r="753" spans="2:2" x14ac:dyDescent="0.45">
      <c r="B753" s="2"/>
    </row>
    <row r="754" spans="2:2" x14ac:dyDescent="0.45">
      <c r="B754" s="2" t="s">
        <v>329</v>
      </c>
    </row>
    <row r="755" spans="2:2" x14ac:dyDescent="0.45">
      <c r="B755" s="5"/>
    </row>
    <row r="756" spans="2:2" x14ac:dyDescent="0.45">
      <c r="B756" s="6" t="s">
        <v>363</v>
      </c>
    </row>
  </sheetData>
  <phoneticPr fontId="3"/>
  <hyperlinks>
    <hyperlink ref="B756" r:id="rId1" display="https://aka.ms/AAb9ysg" xr:uid="{BF47BB60-47EC-47F8-9A14-9E11C436F8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リスト</vt:lpstr>
      <vt:lpstr>1行</vt:lpstr>
      <vt:lpstr>メーカー</vt:lpstr>
      <vt:lpstr>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2026-03-27T00:19:46Z</dcterms:created>
  <dcterms:modified xsi:type="dcterms:W3CDTF">2026-03-27T05:19:08Z</dcterms:modified>
</cp:coreProperties>
</file>