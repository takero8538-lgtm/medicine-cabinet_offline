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B9B68C45-C56E-40EA-A087-F890D180732F}" xr6:coauthVersionLast="47" xr6:coauthVersionMax="47" xr10:uidLastSave="{00000000-0000-0000-0000-000000000000}"/>
  <bookViews>
    <workbookView xWindow="-108" yWindow="-108" windowWidth="23256" windowHeight="13896" tabRatio="893" activeTab="1" xr2:uid="{00000000-000D-0000-FFFF-FFFF00000000}"/>
  </bookViews>
  <sheets>
    <sheet name="Sheet3" sheetId="44" r:id="rId1"/>
    <sheet name="表" sheetId="43" r:id="rId2"/>
    <sheet name="分類" sheetId="16" r:id="rId3"/>
    <sheet name="Sheet2" sheetId="40" r:id="rId4"/>
  </sheets>
  <definedNames>
    <definedName name="_xlnm._FilterDatabase" localSheetId="3" hidden="1">Sheet2!$A$1:$B$58</definedName>
    <definedName name="_xlnm._FilterDatabase" localSheetId="0" hidden="1">Sheet3!$A$1:$B$32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43" l="1"/>
  <c r="B38" i="43" s="1"/>
  <c r="D36" i="43"/>
  <c r="C36" i="43"/>
  <c r="G35" i="43"/>
  <c r="F35" i="43"/>
  <c r="E35" i="43"/>
  <c r="G34" i="43"/>
  <c r="E34" i="43"/>
  <c r="G33" i="43"/>
  <c r="H33" i="43" s="1"/>
  <c r="F33" i="43"/>
  <c r="F34" i="43" s="1"/>
  <c r="E5" i="43"/>
  <c r="E4" i="43"/>
  <c r="D6" i="43"/>
  <c r="C6" i="43"/>
  <c r="B7" i="43"/>
  <c r="B8" i="43" s="1"/>
  <c r="D8" i="43" s="1"/>
  <c r="F3" i="43"/>
  <c r="F4" i="43" s="1"/>
  <c r="AU5" i="16"/>
  <c r="AU6" i="16" s="1"/>
  <c r="AE7" i="16"/>
  <c r="AD7" i="16"/>
  <c r="AD6" i="16"/>
  <c r="AE5" i="16"/>
  <c r="AF5" i="16" s="1"/>
  <c r="AC10" i="16"/>
  <c r="AB10" i="16"/>
  <c r="AA11" i="16"/>
  <c r="AC11" i="16" s="1"/>
  <c r="I33" i="43" l="1"/>
  <c r="H35" i="43"/>
  <c r="H34" i="43"/>
  <c r="C38" i="43"/>
  <c r="B39" i="43"/>
  <c r="D38" i="43"/>
  <c r="C37" i="43"/>
  <c r="D37" i="43"/>
  <c r="C8" i="43"/>
  <c r="C7" i="43"/>
  <c r="D7" i="43"/>
  <c r="F5" i="43"/>
  <c r="B9" i="43"/>
  <c r="G3" i="43"/>
  <c r="AU7" i="16"/>
  <c r="AF7" i="16"/>
  <c r="AG5" i="16"/>
  <c r="AB11" i="16"/>
  <c r="AA12" i="16"/>
  <c r="B40" i="43" l="1"/>
  <c r="C39" i="43"/>
  <c r="D39" i="43"/>
  <c r="J33" i="43"/>
  <c r="I34" i="43"/>
  <c r="I35" i="43"/>
  <c r="G4" i="43"/>
  <c r="G5" i="43"/>
  <c r="D9" i="43"/>
  <c r="C9" i="43"/>
  <c r="H3" i="43"/>
  <c r="B10" i="43"/>
  <c r="AH5" i="16"/>
  <c r="AG7" i="16"/>
  <c r="AA13" i="16"/>
  <c r="AB12" i="16"/>
  <c r="AC12" i="16"/>
  <c r="J35" i="43" l="1"/>
  <c r="J34" i="43"/>
  <c r="K33" i="43"/>
  <c r="B41" i="43"/>
  <c r="D40" i="43"/>
  <c r="C40" i="43"/>
  <c r="D10" i="43"/>
  <c r="C10" i="43"/>
  <c r="H4" i="43"/>
  <c r="H5" i="43"/>
  <c r="B11" i="43"/>
  <c r="I3" i="43"/>
  <c r="AI5" i="16"/>
  <c r="AH7" i="16"/>
  <c r="AA14" i="16"/>
  <c r="AB13" i="16"/>
  <c r="AC13" i="16"/>
  <c r="D41" i="43" l="1"/>
  <c r="B42" i="43"/>
  <c r="C41" i="43"/>
  <c r="K35" i="43"/>
  <c r="L33" i="43"/>
  <c r="K34" i="43"/>
  <c r="I4" i="43"/>
  <c r="I5" i="43"/>
  <c r="D11" i="43"/>
  <c r="C11" i="43"/>
  <c r="B12" i="43"/>
  <c r="J3" i="43"/>
  <c r="AJ5" i="16"/>
  <c r="AI7" i="16"/>
  <c r="AA15" i="16"/>
  <c r="AC14" i="16"/>
  <c r="AB14" i="16"/>
  <c r="B43" i="43" l="1"/>
  <c r="D42" i="43"/>
  <c r="C42" i="43"/>
  <c r="L35" i="43"/>
  <c r="L34" i="43"/>
  <c r="M33" i="43"/>
  <c r="J4" i="43"/>
  <c r="J5" i="43"/>
  <c r="D12" i="43"/>
  <c r="C12" i="43"/>
  <c r="B13" i="43"/>
  <c r="K3" i="43"/>
  <c r="AK5" i="16"/>
  <c r="AJ7" i="16"/>
  <c r="AA16" i="16"/>
  <c r="AC15" i="16"/>
  <c r="AB15" i="16"/>
  <c r="A31" i="16"/>
  <c r="D43" i="43" l="1"/>
  <c r="B44" i="43"/>
  <c r="C43" i="43"/>
  <c r="M35" i="43"/>
  <c r="M34" i="43"/>
  <c r="N33" i="43"/>
  <c r="D13" i="43"/>
  <c r="C13" i="43"/>
  <c r="K5" i="43"/>
  <c r="K4" i="43"/>
  <c r="L3" i="43"/>
  <c r="B14" i="43"/>
  <c r="A32" i="16"/>
  <c r="AE6" i="16"/>
  <c r="AL5" i="16"/>
  <c r="AK7" i="16"/>
  <c r="AA17" i="16"/>
  <c r="AB16" i="16"/>
  <c r="AC16" i="16"/>
  <c r="N34" i="43" l="1"/>
  <c r="O33" i="43"/>
  <c r="N35" i="43"/>
  <c r="B45" i="43"/>
  <c r="D44" i="43"/>
  <c r="C44" i="43"/>
  <c r="C14" i="43"/>
  <c r="D14" i="43"/>
  <c r="L4" i="43"/>
  <c r="L5" i="43"/>
  <c r="B15" i="43"/>
  <c r="M3" i="43"/>
  <c r="AM5" i="16"/>
  <c r="AL7" i="16"/>
  <c r="A33" i="16"/>
  <c r="AF6" i="16"/>
  <c r="AA18" i="16"/>
  <c r="AB17" i="16"/>
  <c r="AC17" i="16"/>
  <c r="B46" i="43" l="1"/>
  <c r="D45" i="43"/>
  <c r="C45" i="43"/>
  <c r="O34" i="43"/>
  <c r="P33" i="43"/>
  <c r="O35" i="43"/>
  <c r="M5" i="43"/>
  <c r="M4" i="43"/>
  <c r="D15" i="43"/>
  <c r="C15" i="43"/>
  <c r="N3" i="43"/>
  <c r="B16" i="43"/>
  <c r="A34" i="16"/>
  <c r="AG6" i="16"/>
  <c r="AN5" i="16"/>
  <c r="AM7" i="16"/>
  <c r="AA19" i="16"/>
  <c r="AC18" i="16"/>
  <c r="AB18" i="16"/>
  <c r="C46" i="43" l="1"/>
  <c r="B47" i="43"/>
  <c r="D46" i="43"/>
  <c r="Q33" i="43"/>
  <c r="P35" i="43"/>
  <c r="P34" i="43"/>
  <c r="C16" i="43"/>
  <c r="D16" i="43"/>
  <c r="N5" i="43"/>
  <c r="N4" i="43"/>
  <c r="B17" i="43"/>
  <c r="O3" i="43"/>
  <c r="AO5" i="16"/>
  <c r="AN7" i="16"/>
  <c r="A35" i="16"/>
  <c r="AH6" i="16"/>
  <c r="AA20" i="16"/>
  <c r="AC19" i="16"/>
  <c r="AB19" i="16"/>
  <c r="C47" i="43" l="1"/>
  <c r="B48" i="43"/>
  <c r="D47" i="43"/>
  <c r="Q34" i="43"/>
  <c r="R33" i="43"/>
  <c r="Q35" i="43"/>
  <c r="O4" i="43"/>
  <c r="O5" i="43"/>
  <c r="C17" i="43"/>
  <c r="D17" i="43"/>
  <c r="P3" i="43"/>
  <c r="B18" i="43"/>
  <c r="A36" i="16"/>
  <c r="AI6" i="16"/>
  <c r="AP5" i="16"/>
  <c r="AO7" i="16"/>
  <c r="AA21" i="16"/>
  <c r="AB20" i="16"/>
  <c r="AC20" i="16"/>
  <c r="B49" i="43" l="1"/>
  <c r="D48" i="43"/>
  <c r="C48" i="43"/>
  <c r="R34" i="43"/>
  <c r="S33" i="43"/>
  <c r="R35" i="43"/>
  <c r="P5" i="43"/>
  <c r="P4" i="43"/>
  <c r="D18" i="43"/>
  <c r="C18" i="43"/>
  <c r="B19" i="43"/>
  <c r="Q3" i="43"/>
  <c r="A37" i="16"/>
  <c r="AJ6" i="16"/>
  <c r="AQ5" i="16"/>
  <c r="AP7" i="16"/>
  <c r="AA22" i="16"/>
  <c r="AB21" i="16"/>
  <c r="AC21" i="16"/>
  <c r="S35" i="43" l="1"/>
  <c r="T33" i="43"/>
  <c r="S34" i="43"/>
  <c r="B50" i="43"/>
  <c r="C49" i="43"/>
  <c r="D49" i="43"/>
  <c r="C19" i="43"/>
  <c r="D19" i="43"/>
  <c r="Q4" i="43"/>
  <c r="Q5" i="43"/>
  <c r="R3" i="43"/>
  <c r="B20" i="43"/>
  <c r="AR5" i="16"/>
  <c r="AQ7" i="16"/>
  <c r="A38" i="16"/>
  <c r="AK6" i="16"/>
  <c r="AA23" i="16"/>
  <c r="AC22" i="16"/>
  <c r="AB22" i="16"/>
  <c r="B51" i="43" l="1"/>
  <c r="D50" i="43"/>
  <c r="C50" i="43"/>
  <c r="T35" i="43"/>
  <c r="T34" i="43"/>
  <c r="U33" i="43"/>
  <c r="D20" i="43"/>
  <c r="C20" i="43"/>
  <c r="R4" i="43"/>
  <c r="R5" i="43"/>
  <c r="S3" i="43"/>
  <c r="B21" i="43"/>
  <c r="A39" i="16"/>
  <c r="AL6" i="16"/>
  <c r="AS5" i="16"/>
  <c r="AR6" i="16"/>
  <c r="AR7" i="16"/>
  <c r="AA24" i="16"/>
  <c r="AC23" i="16"/>
  <c r="AB23" i="16"/>
  <c r="U35" i="43" l="1"/>
  <c r="U34" i="43"/>
  <c r="V33" i="43"/>
  <c r="D51" i="43"/>
  <c r="C51" i="43"/>
  <c r="B52" i="43"/>
  <c r="D21" i="43"/>
  <c r="C21" i="43"/>
  <c r="S4" i="43"/>
  <c r="S5" i="43"/>
  <c r="T3" i="43"/>
  <c r="B22" i="43"/>
  <c r="A40" i="16"/>
  <c r="AM6" i="16"/>
  <c r="AT5" i="16"/>
  <c r="AS7" i="16"/>
  <c r="AS6" i="16"/>
  <c r="AA25" i="16"/>
  <c r="AB24" i="16"/>
  <c r="AC24" i="16"/>
  <c r="D52" i="43" l="1"/>
  <c r="C52" i="43"/>
  <c r="B53" i="43"/>
  <c r="V34" i="43"/>
  <c r="V35" i="43"/>
  <c r="D22" i="43"/>
  <c r="C22" i="43"/>
  <c r="T4" i="43"/>
  <c r="T5" i="43"/>
  <c r="B23" i="43"/>
  <c r="U3" i="43"/>
  <c r="AT7" i="16"/>
  <c r="AT6" i="16"/>
  <c r="A41" i="16"/>
  <c r="AN6" i="16"/>
  <c r="AA26" i="16"/>
  <c r="AB25" i="16"/>
  <c r="AC25" i="16"/>
  <c r="B54" i="43" l="1"/>
  <c r="D53" i="43"/>
  <c r="C53" i="43"/>
  <c r="U4" i="43"/>
  <c r="U5" i="43"/>
  <c r="D23" i="43"/>
  <c r="C23" i="43"/>
  <c r="V3" i="43"/>
  <c r="B24" i="43"/>
  <c r="A42" i="16"/>
  <c r="AO6" i="16"/>
  <c r="AA27" i="16"/>
  <c r="AB26" i="16"/>
  <c r="AC26" i="16"/>
  <c r="C54" i="43" l="1"/>
  <c r="B55" i="43"/>
  <c r="D54" i="43"/>
  <c r="D24" i="43"/>
  <c r="C24" i="43"/>
  <c r="V4" i="43"/>
  <c r="V5" i="43"/>
  <c r="B25" i="43"/>
  <c r="A43" i="16"/>
  <c r="AQ6" i="16" s="1"/>
  <c r="AP6" i="16"/>
  <c r="AA28" i="16"/>
  <c r="AC27" i="16"/>
  <c r="AB27" i="16"/>
  <c r="B56" i="43" l="1"/>
  <c r="C55" i="43"/>
  <c r="D55" i="43"/>
  <c r="D25" i="43"/>
  <c r="C25" i="43"/>
  <c r="B26" i="43"/>
  <c r="AA29" i="16"/>
  <c r="AB28" i="16"/>
  <c r="AC28" i="16"/>
  <c r="B57" i="43" l="1"/>
  <c r="D56" i="43"/>
  <c r="C56" i="43"/>
  <c r="D26" i="43"/>
  <c r="C26" i="43"/>
  <c r="B27" i="43"/>
  <c r="AB29" i="16"/>
  <c r="AA30" i="16"/>
  <c r="AC29" i="16"/>
  <c r="B58" i="43" l="1"/>
  <c r="D57" i="43"/>
  <c r="C57" i="43"/>
  <c r="D27" i="43"/>
  <c r="C27" i="43"/>
  <c r="B28" i="43"/>
  <c r="AA31" i="16"/>
  <c r="AB30" i="16"/>
  <c r="AC30" i="16"/>
  <c r="B59" i="43" l="1"/>
  <c r="D58" i="43"/>
  <c r="C58" i="43"/>
  <c r="D28" i="43"/>
  <c r="C28" i="43"/>
  <c r="B29" i="43"/>
  <c r="AA32" i="16"/>
  <c r="AC31" i="16"/>
  <c r="AB31" i="16"/>
  <c r="D59" i="43" l="1"/>
  <c r="C59" i="43"/>
  <c r="D29" i="43"/>
  <c r="C29" i="43"/>
  <c r="AA33" i="16"/>
  <c r="AB32" i="16"/>
  <c r="AC32" i="16"/>
  <c r="AB33" i="16" l="1"/>
  <c r="AC33" i="16"/>
</calcChain>
</file>

<file path=xl/sharedStrings.xml><?xml version="1.0" encoding="utf-8"?>
<sst xmlns="http://schemas.openxmlformats.org/spreadsheetml/2006/main" count="86" uniqueCount="65">
  <si>
    <t/>
  </si>
  <si>
    <t>カプセル</t>
  </si>
  <si>
    <t>軟膏</t>
  </si>
  <si>
    <t>注射剤</t>
  </si>
  <si>
    <t>クリーム</t>
  </si>
  <si>
    <t>錠剤</t>
  </si>
  <si>
    <t>散</t>
  </si>
  <si>
    <t>点眼剤</t>
  </si>
  <si>
    <t>吸入剤</t>
  </si>
  <si>
    <t>貼付剤</t>
  </si>
  <si>
    <t>その他</t>
  </si>
  <si>
    <t>外用液剤</t>
  </si>
  <si>
    <t>トローチ</t>
  </si>
  <si>
    <t>液（内用）</t>
  </si>
  <si>
    <t>細粒</t>
  </si>
  <si>
    <t>坐剤</t>
  </si>
  <si>
    <t>噴霧剤</t>
  </si>
  <si>
    <t>浣腸</t>
  </si>
  <si>
    <t>膣錠</t>
  </si>
  <si>
    <t>点鼻薬</t>
  </si>
  <si>
    <t>顆粒</t>
  </si>
  <si>
    <t>点耳薬</t>
  </si>
  <si>
    <t>シロップ</t>
  </si>
  <si>
    <t>含漱剤</t>
  </si>
  <si>
    <t>ゼリー（ゲル）</t>
  </si>
  <si>
    <t>No</t>
    <phoneticPr fontId="1"/>
  </si>
  <si>
    <t>分類</t>
    <rPh sb="0" eb="2">
      <t>ブンルイ</t>
    </rPh>
    <phoneticPr fontId="1"/>
  </si>
  <si>
    <t>採用０（非採用）はいらない</t>
    <rPh sb="0" eb="2">
      <t>サイヨウ</t>
    </rPh>
    <rPh sb="4" eb="5">
      <t>ヒ</t>
    </rPh>
    <rPh sb="5" eb="7">
      <t>サイヨウ</t>
    </rPh>
    <phoneticPr fontId="1"/>
  </si>
  <si>
    <t>採用２（臨時採用薬）で1グループ</t>
    <rPh sb="0" eb="2">
      <t>サイヨウ</t>
    </rPh>
    <rPh sb="4" eb="9">
      <t>リンジサイヨウヤク</t>
    </rPh>
    <phoneticPr fontId="1"/>
  </si>
  <si>
    <t>採用１（採用薬）</t>
    <rPh sb="0" eb="2">
      <t>サイヨウ</t>
    </rPh>
    <rPh sb="4" eb="7">
      <t>サイヨウヤク</t>
    </rPh>
    <phoneticPr fontId="1"/>
  </si>
  <si>
    <t>散剤</t>
    <rPh sb="0" eb="2">
      <t>サンザイ</t>
    </rPh>
    <phoneticPr fontId="1"/>
  </si>
  <si>
    <t>錠剤</t>
    <rPh sb="0" eb="2">
      <t>ジョウザイ</t>
    </rPh>
    <phoneticPr fontId="1"/>
  </si>
  <si>
    <t>注射</t>
    <rPh sb="0" eb="2">
      <t>チュウシャ</t>
    </rPh>
    <phoneticPr fontId="1"/>
  </si>
  <si>
    <t>点眼</t>
  </si>
  <si>
    <t>点鼻</t>
  </si>
  <si>
    <t>外用剤</t>
  </si>
  <si>
    <t>吸入</t>
  </si>
  <si>
    <t>貼付薬</t>
  </si>
  <si>
    <t>棚</t>
    <rPh sb="0" eb="1">
      <t>タナ</t>
    </rPh>
    <phoneticPr fontId="1"/>
  </si>
  <si>
    <t>調剤棚</t>
    <phoneticPr fontId="1"/>
  </si>
  <si>
    <t>散薬調剤台</t>
    <phoneticPr fontId="1"/>
  </si>
  <si>
    <t>外用.臨時.散薬ヒート</t>
    <phoneticPr fontId="1"/>
  </si>
  <si>
    <t>漢方薬</t>
    <phoneticPr fontId="1"/>
  </si>
  <si>
    <t>普通薬バラ</t>
    <phoneticPr fontId="1"/>
  </si>
  <si>
    <t>劇薬バラ</t>
    <phoneticPr fontId="1"/>
  </si>
  <si>
    <t>軟膏</t>
    <phoneticPr fontId="1"/>
  </si>
  <si>
    <t>抗生剤.小輸液</t>
    <phoneticPr fontId="1"/>
  </si>
  <si>
    <t>注射</t>
    <phoneticPr fontId="1"/>
  </si>
  <si>
    <t>輸液</t>
    <phoneticPr fontId="1"/>
  </si>
  <si>
    <t>冷蔵庫</t>
    <phoneticPr fontId="1"/>
  </si>
  <si>
    <t>湿布</t>
    <phoneticPr fontId="1"/>
  </si>
  <si>
    <t>液剤瓶</t>
    <phoneticPr fontId="1"/>
  </si>
  <si>
    <t>グリセリン浣腸</t>
    <phoneticPr fontId="1"/>
  </si>
  <si>
    <t>不良在庫</t>
    <rPh sb="0" eb="4">
      <t>フリョウザイコ</t>
    </rPh>
    <phoneticPr fontId="1"/>
  </si>
  <si>
    <t>調剤棚　＆　普通薬バラ</t>
    <rPh sb="6" eb="8">
      <t>フツウ</t>
    </rPh>
    <rPh sb="8" eb="9">
      <t>ヤク</t>
    </rPh>
    <phoneticPr fontId="1"/>
  </si>
  <si>
    <t>調剤棚　＆　劇薬バラ</t>
    <rPh sb="0" eb="3">
      <t>チョウザイタナ</t>
    </rPh>
    <rPh sb="6" eb="8">
      <t>ゲキヤク</t>
    </rPh>
    <phoneticPr fontId="1"/>
  </si>
  <si>
    <t>場所</t>
    <rPh sb="0" eb="2">
      <t>バショ</t>
    </rPh>
    <phoneticPr fontId="1"/>
  </si>
  <si>
    <t>外用</t>
    <phoneticPr fontId="1"/>
  </si>
  <si>
    <t>その他</t>
    <rPh sb="2" eb="3">
      <t>タ</t>
    </rPh>
    <phoneticPr fontId="1"/>
  </si>
  <si>
    <t>浣腸</t>
    <rPh sb="0" eb="2">
      <t>カンチョウ</t>
    </rPh>
    <phoneticPr fontId="1"/>
  </si>
  <si>
    <t>非採用</t>
    <rPh sb="0" eb="3">
      <t>ヒサイヨウ</t>
    </rPh>
    <phoneticPr fontId="1"/>
  </si>
  <si>
    <t>臨時</t>
    <rPh sb="0" eb="2">
      <t>リンジ</t>
    </rPh>
    <phoneticPr fontId="1"/>
  </si>
  <si>
    <t>剤形</t>
    <rPh sb="0" eb="2">
      <t>ザイケイ</t>
    </rPh>
    <phoneticPr fontId="1"/>
  </si>
  <si>
    <t>分包機</t>
    <rPh sb="0" eb="3">
      <t>ブンポウキ</t>
    </rPh>
    <phoneticPr fontId="1"/>
  </si>
  <si>
    <t>採用薬</t>
    <rPh sb="0" eb="3">
      <t>サイヨウヤク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</si>
</sst>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b/>
      <u/>
      <sz val="18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CFFFF"/>
        <bgColor indexed="64"/>
      </patternFill>
    </fill>
    <fill>
      <patternFill patternType="solid">
        <fgColor rgb="FF9966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3" borderId="1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0" borderId="11" xfId="0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0" borderId="14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3" borderId="16" xfId="0" applyFill="1" applyBorder="1">
      <alignment vertical="center"/>
    </xf>
    <xf numFmtId="0" fontId="0" fillId="0" borderId="17" xfId="0" applyBorder="1">
      <alignment vertical="center"/>
    </xf>
    <xf numFmtId="0" fontId="5" fillId="0" borderId="0" xfId="0" applyFont="1">
      <alignment vertical="center"/>
    </xf>
    <xf numFmtId="0" fontId="0" fillId="4" borderId="12" xfId="0" applyFill="1" applyBorder="1">
      <alignment vertical="center"/>
    </xf>
  </cellXfs>
  <cellStyles count="2">
    <cellStyle name="どちらでもない 2" xfId="1" xr:uid="{00000000-0005-0000-0000-000001000000}"/>
    <cellStyle name="標準" xfId="0" builtinId="0"/>
  </cellStyles>
  <dxfs count="0"/>
  <tableStyles count="0" defaultTableStyle="TableStyleMedium2" defaultPivotStyle="PivotStyleLight16"/>
  <colors>
    <mruColors>
      <color rgb="FF9966FF"/>
      <color rgb="FFCCFFFF"/>
      <color rgb="FF99FF99"/>
      <color rgb="FFFFCC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291B-8331-41C7-9567-AA74D27E7A55}">
  <sheetPr filterMode="1"/>
  <dimension ref="A1:B32"/>
  <sheetViews>
    <sheetView workbookViewId="0"/>
  </sheetViews>
  <sheetFormatPr defaultRowHeight="13.2" x14ac:dyDescent="0.2"/>
  <sheetData>
    <row r="1" spans="1:2" x14ac:dyDescent="0.2">
      <c r="A1" t="s">
        <v>62</v>
      </c>
      <c r="B1" t="s">
        <v>56</v>
      </c>
    </row>
    <row r="2" spans="1:2" hidden="1" x14ac:dyDescent="0.2">
      <c r="A2">
        <v>3</v>
      </c>
      <c r="B2">
        <v>4</v>
      </c>
    </row>
    <row r="3" spans="1:2" hidden="1" x14ac:dyDescent="0.2">
      <c r="A3">
        <v>5</v>
      </c>
      <c r="B3">
        <v>4</v>
      </c>
    </row>
    <row r="4" spans="1:2" hidden="1" x14ac:dyDescent="0.2">
      <c r="A4">
        <v>1</v>
      </c>
      <c r="B4">
        <v>15</v>
      </c>
    </row>
    <row r="5" spans="1:2" hidden="1" x14ac:dyDescent="0.2">
      <c r="A5">
        <v>1</v>
      </c>
      <c r="B5">
        <v>3</v>
      </c>
    </row>
    <row r="6" spans="1:2" x14ac:dyDescent="0.2">
      <c r="A6">
        <v>25</v>
      </c>
      <c r="B6">
        <v>9</v>
      </c>
    </row>
    <row r="7" spans="1:2" x14ac:dyDescent="0.2">
      <c r="A7">
        <v>25</v>
      </c>
      <c r="B7">
        <v>8</v>
      </c>
    </row>
    <row r="8" spans="1:2" hidden="1" x14ac:dyDescent="0.2">
      <c r="A8">
        <v>10</v>
      </c>
      <c r="B8">
        <v>3</v>
      </c>
    </row>
    <row r="9" spans="1:2" x14ac:dyDescent="0.2">
      <c r="A9">
        <v>25</v>
      </c>
      <c r="B9">
        <v>15</v>
      </c>
    </row>
    <row r="10" spans="1:2" hidden="1" x14ac:dyDescent="0.2">
      <c r="A10">
        <v>24</v>
      </c>
      <c r="B10">
        <v>7</v>
      </c>
    </row>
    <row r="11" spans="1:2" hidden="1" x14ac:dyDescent="0.2">
      <c r="A11">
        <v>21</v>
      </c>
      <c r="B11">
        <v>15</v>
      </c>
    </row>
    <row r="12" spans="1:2" hidden="1" x14ac:dyDescent="0.2">
      <c r="A12">
        <v>17</v>
      </c>
      <c r="B12">
        <v>3</v>
      </c>
    </row>
    <row r="13" spans="1:2" hidden="1" x14ac:dyDescent="0.2">
      <c r="A13">
        <v>3</v>
      </c>
      <c r="B13">
        <v>15</v>
      </c>
    </row>
    <row r="14" spans="1:2" hidden="1" x14ac:dyDescent="0.2">
      <c r="A14">
        <v>21</v>
      </c>
      <c r="B14">
        <v>3</v>
      </c>
    </row>
    <row r="15" spans="1:2" hidden="1" x14ac:dyDescent="0.2">
      <c r="A15">
        <v>2</v>
      </c>
      <c r="B15">
        <v>2</v>
      </c>
    </row>
    <row r="16" spans="1:2" hidden="1" x14ac:dyDescent="0.2">
      <c r="A16">
        <v>2</v>
      </c>
      <c r="B16">
        <v>3</v>
      </c>
    </row>
    <row r="17" spans="1:2" hidden="1" x14ac:dyDescent="0.2">
      <c r="A17">
        <v>4</v>
      </c>
      <c r="B17">
        <v>3</v>
      </c>
    </row>
    <row r="18" spans="1:2" hidden="1" x14ac:dyDescent="0.2">
      <c r="A18">
        <v>2</v>
      </c>
      <c r="B18">
        <v>15</v>
      </c>
    </row>
    <row r="19" spans="1:2" x14ac:dyDescent="0.2">
      <c r="A19">
        <v>25</v>
      </c>
      <c r="B19">
        <v>11</v>
      </c>
    </row>
    <row r="20" spans="1:2" hidden="1" x14ac:dyDescent="0.2">
      <c r="A20">
        <v>1</v>
      </c>
      <c r="B20">
        <v>8</v>
      </c>
    </row>
    <row r="21" spans="1:2" hidden="1" x14ac:dyDescent="0.2">
      <c r="A21">
        <v>1</v>
      </c>
      <c r="B21" t="s">
        <v>0</v>
      </c>
    </row>
    <row r="22" spans="1:2" hidden="1" x14ac:dyDescent="0.2">
      <c r="A22">
        <v>3</v>
      </c>
      <c r="B22">
        <v>2</v>
      </c>
    </row>
    <row r="23" spans="1:2" hidden="1" x14ac:dyDescent="0.2">
      <c r="A23">
        <v>19</v>
      </c>
      <c r="B23">
        <v>3</v>
      </c>
    </row>
    <row r="24" spans="1:2" hidden="1" x14ac:dyDescent="0.2">
      <c r="A24">
        <v>11</v>
      </c>
      <c r="B24">
        <v>15</v>
      </c>
    </row>
    <row r="25" spans="1:2" hidden="1" x14ac:dyDescent="0.2">
      <c r="A25">
        <v>1</v>
      </c>
      <c r="B25">
        <v>1</v>
      </c>
    </row>
    <row r="26" spans="1:2" hidden="1" x14ac:dyDescent="0.2">
      <c r="A26">
        <v>5</v>
      </c>
      <c r="B26">
        <v>1</v>
      </c>
    </row>
    <row r="27" spans="1:2" hidden="1" x14ac:dyDescent="0.2">
      <c r="A27">
        <v>11</v>
      </c>
      <c r="B27">
        <v>3</v>
      </c>
    </row>
    <row r="28" spans="1:2" hidden="1" x14ac:dyDescent="0.2">
      <c r="A28">
        <v>1</v>
      </c>
      <c r="B28">
        <v>2</v>
      </c>
    </row>
    <row r="29" spans="1:2" hidden="1" x14ac:dyDescent="0.2">
      <c r="A29">
        <v>7</v>
      </c>
      <c r="B29">
        <v>15</v>
      </c>
    </row>
    <row r="30" spans="1:2" x14ac:dyDescent="0.2">
      <c r="A30">
        <v>25</v>
      </c>
      <c r="B30">
        <v>6</v>
      </c>
    </row>
    <row r="31" spans="1:2" hidden="1" x14ac:dyDescent="0.2">
      <c r="A31">
        <v>14</v>
      </c>
      <c r="B31">
        <v>3</v>
      </c>
    </row>
    <row r="32" spans="1:2" hidden="1" x14ac:dyDescent="0.2">
      <c r="A32">
        <v>3</v>
      </c>
      <c r="B32">
        <v>3</v>
      </c>
    </row>
  </sheetData>
  <autoFilter ref="A1:B32" xr:uid="{32BA291B-8331-41C7-9567-AA74D27E7A55}">
    <filterColumn colId="0">
      <filters>
        <filter val="25"/>
      </filters>
    </filterColumn>
  </autoFilter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5642-F084-44CC-B9E1-5BDDBD2BC9F5}">
  <sheetPr>
    <tabColor rgb="FFFFFF00"/>
    <pageSetUpPr fitToPage="1"/>
  </sheetPr>
  <dimension ref="A3:V59"/>
  <sheetViews>
    <sheetView tabSelected="1" workbookViewId="0">
      <selection activeCell="X39" sqref="X39"/>
    </sheetView>
  </sheetViews>
  <sheetFormatPr defaultRowHeight="13.2" x14ac:dyDescent="0.2"/>
  <cols>
    <col min="1" max="2" width="3.77734375" style="12" customWidth="1"/>
    <col min="4" max="4" width="15.77734375" customWidth="1"/>
  </cols>
  <sheetData>
    <row r="3" spans="2:22" s="12" customFormat="1" ht="21" x14ac:dyDescent="0.2">
      <c r="C3" s="26" t="s">
        <v>64</v>
      </c>
      <c r="E3" s="12">
        <v>1</v>
      </c>
      <c r="F3" s="12">
        <f>E3+1</f>
        <v>2</v>
      </c>
      <c r="G3" s="12">
        <f t="shared" ref="G3:V3" si="0">F3+1</f>
        <v>3</v>
      </c>
      <c r="H3" s="12">
        <f t="shared" si="0"/>
        <v>4</v>
      </c>
      <c r="I3" s="12">
        <f t="shared" si="0"/>
        <v>5</v>
      </c>
      <c r="J3" s="12">
        <f t="shared" si="0"/>
        <v>6</v>
      </c>
      <c r="K3" s="12">
        <f t="shared" si="0"/>
        <v>7</v>
      </c>
      <c r="L3" s="12">
        <f t="shared" si="0"/>
        <v>8</v>
      </c>
      <c r="M3" s="12">
        <f t="shared" si="0"/>
        <v>9</v>
      </c>
      <c r="N3" s="12">
        <f t="shared" si="0"/>
        <v>10</v>
      </c>
      <c r="O3" s="12">
        <f t="shared" si="0"/>
        <v>11</v>
      </c>
      <c r="P3" s="12">
        <f t="shared" si="0"/>
        <v>12</v>
      </c>
      <c r="Q3" s="12">
        <f t="shared" si="0"/>
        <v>13</v>
      </c>
      <c r="R3" s="12">
        <f t="shared" si="0"/>
        <v>14</v>
      </c>
      <c r="S3" s="12">
        <f t="shared" si="0"/>
        <v>15</v>
      </c>
      <c r="T3" s="12">
        <f t="shared" si="0"/>
        <v>16</v>
      </c>
      <c r="U3" s="12">
        <f t="shared" si="0"/>
        <v>17</v>
      </c>
      <c r="V3" s="12">
        <f t="shared" si="0"/>
        <v>18</v>
      </c>
    </row>
    <row r="4" spans="2:22" x14ac:dyDescent="0.2">
      <c r="E4" s="3">
        <f ca="1">OFFSET(分類!$A$30,E3-1,0)</f>
        <v>1</v>
      </c>
      <c r="F4" s="3">
        <f ca="1">OFFSET(分類!$A$30,F3-1,0)</f>
        <v>2</v>
      </c>
      <c r="G4" s="3">
        <f ca="1">OFFSET(分類!$A$30,G3-1,0)</f>
        <v>3</v>
      </c>
      <c r="H4" s="3">
        <f ca="1">OFFSET(分類!$A$30,H3-1,0)</f>
        <v>4</v>
      </c>
      <c r="I4" s="3">
        <f ca="1">OFFSET(分類!$A$30,I3-1,0)</f>
        <v>5</v>
      </c>
      <c r="J4" s="3">
        <f ca="1">OFFSET(分類!$A$30,J3-1,0)</f>
        <v>6</v>
      </c>
      <c r="K4" s="3">
        <f ca="1">OFFSET(分類!$A$30,K3-1,0)</f>
        <v>7</v>
      </c>
      <c r="L4" s="3">
        <f ca="1">OFFSET(分類!$A$30,L3-1,0)</f>
        <v>8</v>
      </c>
      <c r="M4" s="3">
        <f ca="1">OFFSET(分類!$A$30,M3-1,0)</f>
        <v>9</v>
      </c>
      <c r="N4" s="3">
        <f ca="1">OFFSET(分類!$A$30,N3-1,0)</f>
        <v>10</v>
      </c>
      <c r="O4" s="3">
        <f ca="1">OFFSET(分類!$A$30,O3-1,0)</f>
        <v>11</v>
      </c>
      <c r="P4" s="3">
        <f ca="1">OFFSET(分類!$A$30,P3-1,0)</f>
        <v>12</v>
      </c>
      <c r="Q4" s="3">
        <f ca="1">OFFSET(分類!$A$30,Q3-1,0)</f>
        <v>13</v>
      </c>
      <c r="R4" s="3">
        <f ca="1">OFFSET(分類!$A$30,R3-1,0)</f>
        <v>14</v>
      </c>
      <c r="S4" s="3">
        <f ca="1">OFFSET(分類!$A$30,S3-1,0)</f>
        <v>15</v>
      </c>
      <c r="T4" s="3">
        <f ca="1">OFFSET(分類!$A$30,T3-1,0)</f>
        <v>25</v>
      </c>
      <c r="U4" s="3">
        <f ca="1">OFFSET(分類!$A$30,U3-1,0)</f>
        <v>26</v>
      </c>
      <c r="V4" s="3">
        <f ca="1">OFFSET(分類!$A$30,V3-1,0)</f>
        <v>27</v>
      </c>
    </row>
    <row r="5" spans="2:22" ht="40.200000000000003" thickBot="1" x14ac:dyDescent="0.25">
      <c r="E5" s="13" t="str">
        <f ca="1">OFFSET(分類!$B$30,E3-1,0)</f>
        <v>調剤棚</v>
      </c>
      <c r="F5" s="13" t="str">
        <f ca="1">OFFSET(分類!$B$30,F3-1,0)</f>
        <v>散薬調剤台</v>
      </c>
      <c r="G5" s="13" t="str">
        <f ca="1">OFFSET(分類!$B$30,G3-1,0)</f>
        <v>外用.臨時.散薬ヒート</v>
      </c>
      <c r="H5" s="13" t="str">
        <f ca="1">OFFSET(分類!$B$30,H3-1,0)</f>
        <v>漢方薬</v>
      </c>
      <c r="I5" s="13" t="str">
        <f ca="1">OFFSET(分類!$B$30,I3-1,0)</f>
        <v>普通薬バラ</v>
      </c>
      <c r="J5" s="13" t="str">
        <f ca="1">OFFSET(分類!$B$30,J3-1,0)</f>
        <v>劇薬バラ</v>
      </c>
      <c r="K5" s="13" t="str">
        <f ca="1">OFFSET(分類!$B$30,K3-1,0)</f>
        <v>軟膏</v>
      </c>
      <c r="L5" s="13" t="str">
        <f ca="1">OFFSET(分類!$B$30,L3-1,0)</f>
        <v>抗生剤.小輸液</v>
      </c>
      <c r="M5" s="13" t="str">
        <f ca="1">OFFSET(分類!$B$30,M3-1,0)</f>
        <v>注射</v>
      </c>
      <c r="N5" s="13" t="str">
        <f ca="1">OFFSET(分類!$B$30,N3-1,0)</f>
        <v>輸液</v>
      </c>
      <c r="O5" s="13" t="str">
        <f ca="1">OFFSET(分類!$B$30,O3-1,0)</f>
        <v>冷蔵庫</v>
      </c>
      <c r="P5" s="13" t="str">
        <f ca="1">OFFSET(分類!$B$30,P3-1,0)</f>
        <v>湿布</v>
      </c>
      <c r="Q5" s="13" t="str">
        <f ca="1">OFFSET(分類!$B$30,Q3-1,0)</f>
        <v>液剤瓶</v>
      </c>
      <c r="R5" s="13" t="str">
        <f ca="1">OFFSET(分類!$B$30,R3-1,0)</f>
        <v>グリセリン浣腸</v>
      </c>
      <c r="S5" s="13" t="str">
        <f ca="1">OFFSET(分類!$B$30,S3-1,0)</f>
        <v>不良在庫</v>
      </c>
      <c r="T5" s="13" t="str">
        <f ca="1">OFFSET(分類!$B$30,T3-1,0)</f>
        <v>調剤棚　＆　普通薬バラ</v>
      </c>
      <c r="U5" s="13" t="str">
        <f ca="1">OFFSET(分類!$B$30,U3-1,0)</f>
        <v>調剤棚　＆　劇薬バラ</v>
      </c>
      <c r="V5" s="13" t="str">
        <f ca="1">OFFSET(分類!$B$30,V3-1,0)</f>
        <v>分包機</v>
      </c>
    </row>
    <row r="6" spans="2:22" x14ac:dyDescent="0.2">
      <c r="B6" s="12">
        <v>1</v>
      </c>
      <c r="C6" s="3">
        <f ca="1">OFFSET(分類!$A$3,$B6-1,0)</f>
        <v>1</v>
      </c>
      <c r="D6" s="3" t="str">
        <f ca="1">OFFSET(分類!B$3,$B6-1,0)</f>
        <v>錠剤</v>
      </c>
      <c r="E6" s="15"/>
      <c r="F6" s="16"/>
      <c r="G6" s="16"/>
      <c r="H6" s="16"/>
      <c r="I6" s="16"/>
      <c r="J6" s="16"/>
      <c r="K6" s="17"/>
      <c r="L6" s="17"/>
      <c r="M6" s="17"/>
      <c r="N6" s="17"/>
      <c r="O6" s="17"/>
      <c r="P6" s="17"/>
      <c r="Q6" s="17"/>
      <c r="R6" s="17"/>
      <c r="S6" s="17"/>
      <c r="T6" s="16"/>
      <c r="U6" s="16"/>
      <c r="V6" s="18"/>
    </row>
    <row r="7" spans="2:22" x14ac:dyDescent="0.2">
      <c r="B7" s="12">
        <f>B6+1</f>
        <v>2</v>
      </c>
      <c r="C7" s="3">
        <f ca="1">OFFSET(分類!$A$3,$B7-1,0)</f>
        <v>2</v>
      </c>
      <c r="D7" s="3" t="str">
        <f ca="1">OFFSET(分類!B$3,$B7-1,0)</f>
        <v>カプセル</v>
      </c>
      <c r="E7" s="19"/>
      <c r="F7" s="14"/>
      <c r="G7" s="2"/>
      <c r="H7" s="2"/>
      <c r="I7" s="14"/>
      <c r="J7" s="1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0"/>
    </row>
    <row r="8" spans="2:22" x14ac:dyDescent="0.2">
      <c r="B8" s="12">
        <f t="shared" ref="B8:B29" si="1">B7+1</f>
        <v>3</v>
      </c>
      <c r="C8" s="3">
        <f ca="1">OFFSET(分類!$A$3,$B8-1,0)</f>
        <v>3</v>
      </c>
      <c r="D8" s="3" t="str">
        <f ca="1">OFFSET(分類!B$3,$B8-1,0)</f>
        <v>散</v>
      </c>
      <c r="E8" s="2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0"/>
    </row>
    <row r="9" spans="2:22" x14ac:dyDescent="0.2">
      <c r="B9" s="12">
        <f t="shared" si="1"/>
        <v>4</v>
      </c>
      <c r="C9" s="3">
        <f ca="1">OFFSET(分類!$A$3,$B9-1,0)</f>
        <v>4</v>
      </c>
      <c r="D9" s="3" t="str">
        <f ca="1">OFFSET(分類!B$3,$B9-1,0)</f>
        <v>細粒</v>
      </c>
      <c r="E9" s="21"/>
      <c r="F9" s="1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0"/>
    </row>
    <row r="10" spans="2:22" x14ac:dyDescent="0.2">
      <c r="B10" s="12">
        <f t="shared" si="1"/>
        <v>5</v>
      </c>
      <c r="C10" s="3">
        <f ca="1">OFFSET(分類!$A$3,$B10-1,0)</f>
        <v>5</v>
      </c>
      <c r="D10" s="3" t="str">
        <f ca="1">OFFSET(分類!B$3,$B10-1,0)</f>
        <v>顆粒</v>
      </c>
      <c r="E10" s="21"/>
      <c r="F10" s="1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0"/>
    </row>
    <row r="11" spans="2:22" x14ac:dyDescent="0.2">
      <c r="B11" s="12">
        <f t="shared" si="1"/>
        <v>6</v>
      </c>
      <c r="C11" s="3">
        <f ca="1">OFFSET(分類!$A$3,$B11-1,0)</f>
        <v>6</v>
      </c>
      <c r="D11" s="3" t="str">
        <f ca="1">OFFSET(分類!B$3,$B11-1,0)</f>
        <v>シロップ</v>
      </c>
      <c r="E11" s="2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14"/>
      <c r="R11" s="2"/>
      <c r="S11" s="2"/>
      <c r="T11" s="2"/>
      <c r="U11" s="2"/>
      <c r="V11" s="20"/>
    </row>
    <row r="12" spans="2:22" x14ac:dyDescent="0.2">
      <c r="B12" s="12">
        <f t="shared" si="1"/>
        <v>7</v>
      </c>
      <c r="C12" s="3">
        <f ca="1">OFFSET(分類!$A$3,$B12-1,0)</f>
        <v>7</v>
      </c>
      <c r="D12" s="3" t="str">
        <f ca="1">OFFSET(分類!B$3,$B12-1,0)</f>
        <v>液（内用）</v>
      </c>
      <c r="E12" s="19"/>
      <c r="F12" s="2"/>
      <c r="G12" s="2"/>
      <c r="H12" s="2"/>
      <c r="I12" s="2"/>
      <c r="J12" s="2"/>
      <c r="K12" s="14"/>
      <c r="L12" s="2"/>
      <c r="M12" s="2"/>
      <c r="N12" s="2"/>
      <c r="O12" s="14"/>
      <c r="P12" s="2"/>
      <c r="Q12" s="14"/>
      <c r="R12" s="2"/>
      <c r="S12" s="2"/>
      <c r="T12" s="2"/>
      <c r="U12" s="2"/>
      <c r="V12" s="20"/>
    </row>
    <row r="13" spans="2:22" x14ac:dyDescent="0.2">
      <c r="B13" s="12">
        <f t="shared" si="1"/>
        <v>8</v>
      </c>
      <c r="C13" s="3">
        <f ca="1">OFFSET(分類!$A$3,$B13-1,0)</f>
        <v>8</v>
      </c>
      <c r="D13" s="3" t="str">
        <f ca="1">OFFSET(分類!B$3,$B13-1,0)</f>
        <v>トローチ</v>
      </c>
      <c r="E13" s="21"/>
      <c r="F13" s="2"/>
      <c r="G13" s="1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0"/>
    </row>
    <row r="14" spans="2:22" x14ac:dyDescent="0.2">
      <c r="B14" s="12">
        <f t="shared" si="1"/>
        <v>9</v>
      </c>
      <c r="C14" s="3">
        <f ca="1">OFFSET(分類!$A$3,$B14-1,0)</f>
        <v>9</v>
      </c>
      <c r="D14" s="3" t="str">
        <f ca="1">OFFSET(分類!B$3,$B14-1,0)</f>
        <v>含漱剤</v>
      </c>
      <c r="E14" s="21"/>
      <c r="F14" s="2"/>
      <c r="G14" s="1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0"/>
    </row>
    <row r="15" spans="2:22" x14ac:dyDescent="0.2">
      <c r="B15" s="12">
        <f t="shared" si="1"/>
        <v>10</v>
      </c>
      <c r="C15" s="3">
        <f ca="1">OFFSET(分類!$A$3,$B15-1,0)</f>
        <v>10</v>
      </c>
      <c r="D15" s="3" t="str">
        <f ca="1">OFFSET(分類!B$3,$B15-1,0)</f>
        <v>吸入剤</v>
      </c>
      <c r="E15" s="21"/>
      <c r="F15" s="2"/>
      <c r="G15" s="1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0"/>
    </row>
    <row r="16" spans="2:22" x14ac:dyDescent="0.2">
      <c r="B16" s="12">
        <f t="shared" si="1"/>
        <v>11</v>
      </c>
      <c r="C16" s="3">
        <f ca="1">OFFSET(分類!$A$3,$B16-1,0)</f>
        <v>11</v>
      </c>
      <c r="D16" s="3" t="str">
        <f ca="1">OFFSET(分類!B$3,$B16-1,0)</f>
        <v>膣錠</v>
      </c>
      <c r="E16" s="21"/>
      <c r="F16" s="2"/>
      <c r="G16" s="1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0"/>
    </row>
    <row r="17" spans="2:22" x14ac:dyDescent="0.2">
      <c r="B17" s="12">
        <f t="shared" si="1"/>
        <v>12</v>
      </c>
      <c r="C17" s="3">
        <f ca="1">OFFSET(分類!$A$3,$B17-1,0)</f>
        <v>12</v>
      </c>
      <c r="D17" s="3" t="str">
        <f ca="1">OFFSET(分類!B$3,$B17-1,0)</f>
        <v>坐剤</v>
      </c>
      <c r="E17" s="21"/>
      <c r="F17" s="2"/>
      <c r="G17" s="14"/>
      <c r="H17" s="2"/>
      <c r="I17" s="2"/>
      <c r="J17" s="2"/>
      <c r="K17" s="2"/>
      <c r="L17" s="2"/>
      <c r="M17" s="2"/>
      <c r="N17" s="2"/>
      <c r="O17" s="14"/>
      <c r="P17" s="2"/>
      <c r="Q17" s="2"/>
      <c r="R17" s="2"/>
      <c r="S17" s="2"/>
      <c r="T17" s="2"/>
      <c r="U17" s="2"/>
      <c r="V17" s="20"/>
    </row>
    <row r="18" spans="2:22" x14ac:dyDescent="0.2">
      <c r="B18" s="12">
        <f t="shared" si="1"/>
        <v>13</v>
      </c>
      <c r="C18" s="3">
        <f ca="1">OFFSET(分類!$A$3,$B18-1,0)</f>
        <v>13</v>
      </c>
      <c r="D18" s="3" t="str">
        <f ca="1">OFFSET(分類!B$3,$B18-1,0)</f>
        <v>浣腸</v>
      </c>
      <c r="E18" s="2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4"/>
      <c r="S18" s="2"/>
      <c r="T18" s="2"/>
      <c r="U18" s="2"/>
      <c r="V18" s="20"/>
    </row>
    <row r="19" spans="2:22" x14ac:dyDescent="0.2">
      <c r="B19" s="12">
        <f t="shared" si="1"/>
        <v>14</v>
      </c>
      <c r="C19" s="3">
        <f ca="1">OFFSET(分類!$A$3,$B19-1,0)</f>
        <v>14</v>
      </c>
      <c r="D19" s="3" t="str">
        <f ca="1">OFFSET(分類!B$3,$B19-1,0)</f>
        <v>軟膏</v>
      </c>
      <c r="E19" s="21"/>
      <c r="F19" s="2"/>
      <c r="G19" s="14"/>
      <c r="H19" s="2"/>
      <c r="I19" s="14"/>
      <c r="J19" s="2"/>
      <c r="K19" s="14"/>
      <c r="L19" s="2"/>
      <c r="M19" s="2"/>
      <c r="N19" s="2"/>
      <c r="O19" s="2"/>
      <c r="P19" s="2"/>
      <c r="Q19" s="2"/>
      <c r="R19" s="2"/>
      <c r="S19" s="14"/>
      <c r="T19" s="2"/>
      <c r="U19" s="2"/>
      <c r="V19" s="20"/>
    </row>
    <row r="20" spans="2:22" x14ac:dyDescent="0.2">
      <c r="B20" s="12">
        <f t="shared" si="1"/>
        <v>15</v>
      </c>
      <c r="C20" s="3">
        <f ca="1">OFFSET(分類!$A$3,$B20-1,0)</f>
        <v>15</v>
      </c>
      <c r="D20" s="3" t="str">
        <f ca="1">OFFSET(分類!B$3,$B20-1,0)</f>
        <v>クリーム</v>
      </c>
      <c r="E20" s="19"/>
      <c r="F20" s="2"/>
      <c r="G20" s="14"/>
      <c r="H20" s="2"/>
      <c r="I20" s="2"/>
      <c r="J20" s="2"/>
      <c r="K20" s="14"/>
      <c r="L20" s="2"/>
      <c r="M20" s="2"/>
      <c r="N20" s="2"/>
      <c r="O20" s="2"/>
      <c r="P20" s="2"/>
      <c r="Q20" s="2"/>
      <c r="R20" s="2"/>
      <c r="S20" s="14"/>
      <c r="T20" s="2"/>
      <c r="U20" s="2"/>
      <c r="V20" s="20"/>
    </row>
    <row r="21" spans="2:22" x14ac:dyDescent="0.2">
      <c r="B21" s="12">
        <f t="shared" si="1"/>
        <v>16</v>
      </c>
      <c r="C21" s="3">
        <f ca="1">OFFSET(分類!$A$3,$B21-1,0)</f>
        <v>16</v>
      </c>
      <c r="D21" s="3" t="str">
        <f ca="1">OFFSET(分類!B$3,$B21-1,0)</f>
        <v>ゼリー（ゲル）</v>
      </c>
      <c r="E21" s="21"/>
      <c r="F21" s="2"/>
      <c r="G21" s="2"/>
      <c r="H21" s="2"/>
      <c r="I21" s="1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0"/>
    </row>
    <row r="22" spans="2:22" x14ac:dyDescent="0.2">
      <c r="B22" s="12">
        <f t="shared" si="1"/>
        <v>17</v>
      </c>
      <c r="C22" s="3">
        <f ca="1">OFFSET(分類!$A$3,$B22-1,0)</f>
        <v>17</v>
      </c>
      <c r="D22" s="3" t="str">
        <f ca="1">OFFSET(分類!B$3,$B22-1,0)</f>
        <v>外用液剤</v>
      </c>
      <c r="E22" s="21"/>
      <c r="F22" s="2"/>
      <c r="G22" s="1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14"/>
      <c r="T22" s="2"/>
      <c r="U22" s="2"/>
      <c r="V22" s="20"/>
    </row>
    <row r="23" spans="2:22" x14ac:dyDescent="0.2">
      <c r="B23" s="12">
        <f t="shared" si="1"/>
        <v>18</v>
      </c>
      <c r="C23" s="3">
        <f ca="1">OFFSET(分類!$A$3,$B23-1,0)</f>
        <v>18</v>
      </c>
      <c r="D23" s="3" t="str">
        <f ca="1">OFFSET(分類!B$3,$B23-1,0)</f>
        <v>噴霧剤</v>
      </c>
      <c r="E23" s="21"/>
      <c r="F23" s="2"/>
      <c r="G23" s="2"/>
      <c r="H23" s="2"/>
      <c r="I23" s="1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0"/>
    </row>
    <row r="24" spans="2:22" x14ac:dyDescent="0.2">
      <c r="B24" s="12">
        <f t="shared" si="1"/>
        <v>19</v>
      </c>
      <c r="C24" s="3">
        <f ca="1">OFFSET(分類!$A$3,$B24-1,0)</f>
        <v>19</v>
      </c>
      <c r="D24" s="3" t="str">
        <f ca="1">OFFSET(分類!B$3,$B24-1,0)</f>
        <v>貼付剤</v>
      </c>
      <c r="E24" s="21"/>
      <c r="F24" s="2"/>
      <c r="G24" s="14"/>
      <c r="H24" s="2"/>
      <c r="I24" s="2"/>
      <c r="J24" s="2"/>
      <c r="K24" s="2"/>
      <c r="L24" s="2"/>
      <c r="M24" s="2"/>
      <c r="N24" s="2"/>
      <c r="O24" s="2"/>
      <c r="P24" s="14"/>
      <c r="Q24" s="2"/>
      <c r="R24" s="2"/>
      <c r="S24" s="2"/>
      <c r="T24" s="2"/>
      <c r="U24" s="2"/>
      <c r="V24" s="20"/>
    </row>
    <row r="25" spans="2:22" x14ac:dyDescent="0.2">
      <c r="B25" s="12">
        <f t="shared" si="1"/>
        <v>20</v>
      </c>
      <c r="C25" s="3">
        <f ca="1">OFFSET(分類!$A$3,$B25-1,0)</f>
        <v>21</v>
      </c>
      <c r="D25" s="3" t="str">
        <f ca="1">OFFSET(分類!B$3,$B25-1,0)</f>
        <v>点眼剤</v>
      </c>
      <c r="E25" s="21"/>
      <c r="F25" s="2"/>
      <c r="G25" s="14"/>
      <c r="H25" s="2"/>
      <c r="I25" s="2"/>
      <c r="J25" s="2"/>
      <c r="K25" s="2"/>
      <c r="L25" s="2"/>
      <c r="M25" s="2"/>
      <c r="N25" s="2"/>
      <c r="O25" s="14"/>
      <c r="P25" s="2"/>
      <c r="Q25" s="2"/>
      <c r="R25" s="2"/>
      <c r="S25" s="2"/>
      <c r="T25" s="2"/>
      <c r="U25" s="2"/>
      <c r="V25" s="20"/>
    </row>
    <row r="26" spans="2:22" x14ac:dyDescent="0.2">
      <c r="B26" s="12">
        <f>B25+1</f>
        <v>21</v>
      </c>
      <c r="C26" s="3">
        <f ca="1">OFFSET(分類!$A$3,$B26-1,0)</f>
        <v>22</v>
      </c>
      <c r="D26" s="3" t="str">
        <f ca="1">OFFSET(分類!B$3,$B26-1,0)</f>
        <v>点耳薬</v>
      </c>
      <c r="E26" s="21"/>
      <c r="F26" s="2"/>
      <c r="G26" s="1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0"/>
    </row>
    <row r="27" spans="2:22" x14ac:dyDescent="0.2">
      <c r="B27" s="12">
        <f t="shared" si="1"/>
        <v>22</v>
      </c>
      <c r="C27" s="3">
        <f ca="1">OFFSET(分類!$A$3,$B27-1,0)</f>
        <v>23</v>
      </c>
      <c r="D27" s="3" t="str">
        <f ca="1">OFFSET(分類!B$3,$B27-1,0)</f>
        <v>点鼻薬</v>
      </c>
      <c r="E27" s="21"/>
      <c r="F27" s="2"/>
      <c r="G27" s="1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0"/>
    </row>
    <row r="28" spans="2:22" x14ac:dyDescent="0.2">
      <c r="B28" s="12">
        <f t="shared" si="1"/>
        <v>23</v>
      </c>
      <c r="C28" s="3">
        <f ca="1">OFFSET(分類!$A$3,$B28-1,0)</f>
        <v>24</v>
      </c>
      <c r="D28" s="3" t="str">
        <f ca="1">OFFSET(分類!B$3,$B28-1,0)</f>
        <v>その他</v>
      </c>
      <c r="E28" s="2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0"/>
    </row>
    <row r="29" spans="2:22" ht="13.8" thickBot="1" x14ac:dyDescent="0.25">
      <c r="B29" s="12">
        <f t="shared" si="1"/>
        <v>24</v>
      </c>
      <c r="C29" s="3">
        <f ca="1">OFFSET(分類!$A$3,$B29-1,0)</f>
        <v>25</v>
      </c>
      <c r="D29" s="3" t="str">
        <f ca="1">OFFSET(分類!B$3,$B29-1,0)</f>
        <v>注射剤</v>
      </c>
      <c r="E29" s="22"/>
      <c r="F29" s="23"/>
      <c r="G29" s="23"/>
      <c r="H29" s="23"/>
      <c r="I29" s="24"/>
      <c r="J29" s="24"/>
      <c r="K29" s="23"/>
      <c r="L29" s="24"/>
      <c r="M29" s="24"/>
      <c r="N29" s="24"/>
      <c r="O29" s="24"/>
      <c r="P29" s="23"/>
      <c r="Q29" s="23"/>
      <c r="R29" s="23"/>
      <c r="S29" s="24"/>
      <c r="T29" s="23"/>
      <c r="U29" s="23"/>
      <c r="V29" s="25"/>
    </row>
    <row r="33" spans="2:22" s="12" customFormat="1" ht="21" x14ac:dyDescent="0.2">
      <c r="C33" s="26" t="s">
        <v>61</v>
      </c>
      <c r="E33" s="12">
        <v>1</v>
      </c>
      <c r="F33" s="12">
        <f>E33+1</f>
        <v>2</v>
      </c>
      <c r="G33" s="12">
        <f t="shared" ref="G33" si="2">F33+1</f>
        <v>3</v>
      </c>
      <c r="H33" s="12">
        <f t="shared" ref="H33" si="3">G33+1</f>
        <v>4</v>
      </c>
      <c r="I33" s="12">
        <f t="shared" ref="I33" si="4">H33+1</f>
        <v>5</v>
      </c>
      <c r="J33" s="12">
        <f t="shared" ref="J33" si="5">I33+1</f>
        <v>6</v>
      </c>
      <c r="K33" s="12">
        <f t="shared" ref="K33" si="6">J33+1</f>
        <v>7</v>
      </c>
      <c r="L33" s="12">
        <f t="shared" ref="L33" si="7">K33+1</f>
        <v>8</v>
      </c>
      <c r="M33" s="12">
        <f t="shared" ref="M33" si="8">L33+1</f>
        <v>9</v>
      </c>
      <c r="N33" s="12">
        <f t="shared" ref="N33" si="9">M33+1</f>
        <v>10</v>
      </c>
      <c r="O33" s="12">
        <f t="shared" ref="O33" si="10">N33+1</f>
        <v>11</v>
      </c>
      <c r="P33" s="12">
        <f t="shared" ref="P33" si="11">O33+1</f>
        <v>12</v>
      </c>
      <c r="Q33" s="12">
        <f t="shared" ref="Q33" si="12">P33+1</f>
        <v>13</v>
      </c>
      <c r="R33" s="12">
        <f t="shared" ref="R33" si="13">Q33+1</f>
        <v>14</v>
      </c>
      <c r="S33" s="12">
        <f t="shared" ref="S33" si="14">R33+1</f>
        <v>15</v>
      </c>
      <c r="T33" s="12">
        <f t="shared" ref="T33" si="15">S33+1</f>
        <v>16</v>
      </c>
      <c r="U33" s="12">
        <f t="shared" ref="U33" si="16">T33+1</f>
        <v>17</v>
      </c>
      <c r="V33" s="12">
        <f t="shared" ref="V33" si="17">U33+1</f>
        <v>18</v>
      </c>
    </row>
    <row r="34" spans="2:22" x14ac:dyDescent="0.2">
      <c r="E34" s="3">
        <f ca="1">OFFSET(分類!$A$30,E33-1,0)</f>
        <v>1</v>
      </c>
      <c r="F34" s="3">
        <f ca="1">OFFSET(分類!$A$30,F33-1,0)</f>
        <v>2</v>
      </c>
      <c r="G34" s="3">
        <f ca="1">OFFSET(分類!$A$30,G33-1,0)</f>
        <v>3</v>
      </c>
      <c r="H34" s="3">
        <f ca="1">OFFSET(分類!$A$30,H33-1,0)</f>
        <v>4</v>
      </c>
      <c r="I34" s="3">
        <f ca="1">OFFSET(分類!$A$30,I33-1,0)</f>
        <v>5</v>
      </c>
      <c r="J34" s="3">
        <f ca="1">OFFSET(分類!$A$30,J33-1,0)</f>
        <v>6</v>
      </c>
      <c r="K34" s="3">
        <f ca="1">OFFSET(分類!$A$30,K33-1,0)</f>
        <v>7</v>
      </c>
      <c r="L34" s="3">
        <f ca="1">OFFSET(分類!$A$30,L33-1,0)</f>
        <v>8</v>
      </c>
      <c r="M34" s="3">
        <f ca="1">OFFSET(分類!$A$30,M33-1,0)</f>
        <v>9</v>
      </c>
      <c r="N34" s="3">
        <f ca="1">OFFSET(分類!$A$30,N33-1,0)</f>
        <v>10</v>
      </c>
      <c r="O34" s="3">
        <f ca="1">OFFSET(分類!$A$30,O33-1,0)</f>
        <v>11</v>
      </c>
      <c r="P34" s="3">
        <f ca="1">OFFSET(分類!$A$30,P33-1,0)</f>
        <v>12</v>
      </c>
      <c r="Q34" s="3">
        <f ca="1">OFFSET(分類!$A$30,Q33-1,0)</f>
        <v>13</v>
      </c>
      <c r="R34" s="3">
        <f ca="1">OFFSET(分類!$A$30,R33-1,0)</f>
        <v>14</v>
      </c>
      <c r="S34" s="3">
        <f ca="1">OFFSET(分類!$A$30,S33-1,0)</f>
        <v>15</v>
      </c>
      <c r="T34" s="3">
        <f ca="1">OFFSET(分類!$A$30,T33-1,0)</f>
        <v>25</v>
      </c>
      <c r="U34" s="3">
        <f ca="1">OFFSET(分類!$A$30,U33-1,0)</f>
        <v>26</v>
      </c>
      <c r="V34" s="3">
        <f ca="1">OFFSET(分類!$A$30,V33-1,0)</f>
        <v>27</v>
      </c>
    </row>
    <row r="35" spans="2:22" ht="40.200000000000003" thickBot="1" x14ac:dyDescent="0.25">
      <c r="E35" s="13" t="str">
        <f ca="1">OFFSET(分類!$B$30,E33-1,0)</f>
        <v>調剤棚</v>
      </c>
      <c r="F35" s="13" t="str">
        <f ca="1">OFFSET(分類!$B$30,F33-1,0)</f>
        <v>散薬調剤台</v>
      </c>
      <c r="G35" s="13" t="str">
        <f ca="1">OFFSET(分類!$B$30,G33-1,0)</f>
        <v>外用.臨時.散薬ヒート</v>
      </c>
      <c r="H35" s="13" t="str">
        <f ca="1">OFFSET(分類!$B$30,H33-1,0)</f>
        <v>漢方薬</v>
      </c>
      <c r="I35" s="13" t="str">
        <f ca="1">OFFSET(分類!$B$30,I33-1,0)</f>
        <v>普通薬バラ</v>
      </c>
      <c r="J35" s="13" t="str">
        <f ca="1">OFFSET(分類!$B$30,J33-1,0)</f>
        <v>劇薬バラ</v>
      </c>
      <c r="K35" s="13" t="str">
        <f ca="1">OFFSET(分類!$B$30,K33-1,0)</f>
        <v>軟膏</v>
      </c>
      <c r="L35" s="13" t="str">
        <f ca="1">OFFSET(分類!$B$30,L33-1,0)</f>
        <v>抗生剤.小輸液</v>
      </c>
      <c r="M35" s="13" t="str">
        <f ca="1">OFFSET(分類!$B$30,M33-1,0)</f>
        <v>注射</v>
      </c>
      <c r="N35" s="13" t="str">
        <f ca="1">OFFSET(分類!$B$30,N33-1,0)</f>
        <v>輸液</v>
      </c>
      <c r="O35" s="13" t="str">
        <f ca="1">OFFSET(分類!$B$30,O33-1,0)</f>
        <v>冷蔵庫</v>
      </c>
      <c r="P35" s="13" t="str">
        <f ca="1">OFFSET(分類!$B$30,P33-1,0)</f>
        <v>湿布</v>
      </c>
      <c r="Q35" s="13" t="str">
        <f ca="1">OFFSET(分類!$B$30,Q33-1,0)</f>
        <v>液剤瓶</v>
      </c>
      <c r="R35" s="13" t="str">
        <f ca="1">OFFSET(分類!$B$30,R33-1,0)</f>
        <v>グリセリン浣腸</v>
      </c>
      <c r="S35" s="13" t="str">
        <f ca="1">OFFSET(分類!$B$30,S33-1,0)</f>
        <v>不良在庫</v>
      </c>
      <c r="T35" s="13" t="str">
        <f ca="1">OFFSET(分類!$B$30,T33-1,0)</f>
        <v>調剤棚　＆　普通薬バラ</v>
      </c>
      <c r="U35" s="13" t="str">
        <f ca="1">OFFSET(分類!$B$30,U33-1,0)</f>
        <v>調剤棚　＆　劇薬バラ</v>
      </c>
      <c r="V35" s="13" t="str">
        <f ca="1">OFFSET(分類!$B$30,V33-1,0)</f>
        <v>分包機</v>
      </c>
    </row>
    <row r="36" spans="2:22" x14ac:dyDescent="0.2">
      <c r="B36" s="12">
        <v>1</v>
      </c>
      <c r="C36" s="3">
        <f ca="1">OFFSET(分類!$A$3,$B36-1,0)</f>
        <v>1</v>
      </c>
      <c r="D36" s="3" t="str">
        <f ca="1">OFFSET(分類!B$3,$B36-1,0)</f>
        <v>錠剤</v>
      </c>
      <c r="E36" s="15"/>
      <c r="F36" s="16"/>
      <c r="G36" s="16"/>
      <c r="H36" s="17"/>
      <c r="I36" s="17"/>
      <c r="J36" s="17"/>
      <c r="K36" s="17"/>
      <c r="L36" s="16"/>
      <c r="M36" s="17"/>
      <c r="N36" s="17"/>
      <c r="O36" s="17"/>
      <c r="P36" s="17"/>
      <c r="Q36" s="17"/>
      <c r="R36" s="17"/>
      <c r="S36" s="16"/>
      <c r="T36" s="17"/>
      <c r="U36" s="17"/>
      <c r="V36" s="27"/>
    </row>
    <row r="37" spans="2:22" x14ac:dyDescent="0.2">
      <c r="B37" s="12">
        <f>B36+1</f>
        <v>2</v>
      </c>
      <c r="C37" s="3">
        <f ca="1">OFFSET(分類!$A$3,$B37-1,0)</f>
        <v>2</v>
      </c>
      <c r="D37" s="3" t="str">
        <f ca="1">OFFSET(分類!B$3,$B37-1,0)</f>
        <v>カプセル</v>
      </c>
      <c r="E37" s="21"/>
      <c r="F37" s="14"/>
      <c r="G37" s="1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14"/>
      <c r="T37" s="2"/>
      <c r="U37" s="2"/>
      <c r="V37" s="20"/>
    </row>
    <row r="38" spans="2:22" x14ac:dyDescent="0.2">
      <c r="B38" s="12">
        <f t="shared" ref="B38:B59" si="18">B37+1</f>
        <v>3</v>
      </c>
      <c r="C38" s="3">
        <f ca="1">OFFSET(分類!$A$3,$B38-1,0)</f>
        <v>3</v>
      </c>
      <c r="D38" s="3" t="str">
        <f ca="1">OFFSET(分類!B$3,$B38-1,0)</f>
        <v>散</v>
      </c>
      <c r="E38" s="21"/>
      <c r="F38" s="14"/>
      <c r="G38" s="14"/>
      <c r="H38" s="14"/>
      <c r="I38" s="2"/>
      <c r="J38" s="2"/>
      <c r="K38" s="2"/>
      <c r="L38" s="2"/>
      <c r="M38" s="2"/>
      <c r="N38" s="2"/>
      <c r="O38" s="2"/>
      <c r="P38" s="2"/>
      <c r="Q38" s="2"/>
      <c r="R38" s="2"/>
      <c r="S38" s="14"/>
      <c r="T38" s="2"/>
      <c r="U38" s="2"/>
      <c r="V38" s="20"/>
    </row>
    <row r="39" spans="2:22" x14ac:dyDescent="0.2">
      <c r="B39" s="12">
        <f t="shared" si="18"/>
        <v>4</v>
      </c>
      <c r="C39" s="3">
        <f ca="1">OFFSET(分類!$A$3,$B39-1,0)</f>
        <v>4</v>
      </c>
      <c r="D39" s="3" t="str">
        <f ca="1">OFFSET(分類!B$3,$B39-1,0)</f>
        <v>細粒</v>
      </c>
      <c r="E39" s="21"/>
      <c r="F39" s="2"/>
      <c r="G39" s="1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0"/>
    </row>
    <row r="40" spans="2:22" x14ac:dyDescent="0.2">
      <c r="B40" s="12">
        <f t="shared" si="18"/>
        <v>5</v>
      </c>
      <c r="C40" s="3">
        <f ca="1">OFFSET(分類!$A$3,$B40-1,0)</f>
        <v>5</v>
      </c>
      <c r="D40" s="3" t="str">
        <f ca="1">OFFSET(分類!B$3,$B40-1,0)</f>
        <v>顆粒</v>
      </c>
      <c r="E40" s="19"/>
      <c r="F40" s="2"/>
      <c r="G40" s="2"/>
      <c r="H40" s="1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0"/>
    </row>
    <row r="41" spans="2:22" x14ac:dyDescent="0.2">
      <c r="B41" s="12">
        <f t="shared" si="18"/>
        <v>6</v>
      </c>
      <c r="C41" s="3">
        <f ca="1">OFFSET(分類!$A$3,$B41-1,0)</f>
        <v>6</v>
      </c>
      <c r="D41" s="3" t="str">
        <f ca="1">OFFSET(分類!B$3,$B41-1,0)</f>
        <v>シロップ</v>
      </c>
      <c r="E41" s="2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0"/>
    </row>
    <row r="42" spans="2:22" x14ac:dyDescent="0.2">
      <c r="B42" s="12">
        <f t="shared" si="18"/>
        <v>7</v>
      </c>
      <c r="C42" s="3">
        <f ca="1">OFFSET(分類!$A$3,$B42-1,0)</f>
        <v>7</v>
      </c>
      <c r="D42" s="3" t="str">
        <f ca="1">OFFSET(分類!B$3,$B42-1,0)</f>
        <v>液（内用）</v>
      </c>
      <c r="E42" s="2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4"/>
      <c r="T42" s="2"/>
      <c r="U42" s="2"/>
      <c r="V42" s="20"/>
    </row>
    <row r="43" spans="2:22" x14ac:dyDescent="0.2">
      <c r="B43" s="12">
        <f t="shared" si="18"/>
        <v>8</v>
      </c>
      <c r="C43" s="3">
        <f ca="1">OFFSET(分類!$A$3,$B43-1,0)</f>
        <v>8</v>
      </c>
      <c r="D43" s="3" t="str">
        <f ca="1">OFFSET(分類!B$3,$B43-1,0)</f>
        <v>トローチ</v>
      </c>
      <c r="E43" s="2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0"/>
    </row>
    <row r="44" spans="2:22" x14ac:dyDescent="0.2">
      <c r="B44" s="12">
        <f t="shared" si="18"/>
        <v>9</v>
      </c>
      <c r="C44" s="3">
        <f ca="1">OFFSET(分類!$A$3,$B44-1,0)</f>
        <v>9</v>
      </c>
      <c r="D44" s="3" t="str">
        <f ca="1">OFFSET(分類!B$3,$B44-1,0)</f>
        <v>含漱剤</v>
      </c>
      <c r="E44" s="2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0"/>
    </row>
    <row r="45" spans="2:22" x14ac:dyDescent="0.2">
      <c r="B45" s="12">
        <f t="shared" si="18"/>
        <v>10</v>
      </c>
      <c r="C45" s="3">
        <f ca="1">OFFSET(分類!$A$3,$B45-1,0)</f>
        <v>10</v>
      </c>
      <c r="D45" s="3" t="str">
        <f ca="1">OFFSET(分類!B$3,$B45-1,0)</f>
        <v>吸入剤</v>
      </c>
      <c r="E45" s="21"/>
      <c r="F45" s="2"/>
      <c r="G45" s="1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0"/>
    </row>
    <row r="46" spans="2:22" x14ac:dyDescent="0.2">
      <c r="B46" s="12">
        <f t="shared" si="18"/>
        <v>11</v>
      </c>
      <c r="C46" s="3">
        <f ca="1">OFFSET(分類!$A$3,$B46-1,0)</f>
        <v>11</v>
      </c>
      <c r="D46" s="3" t="str">
        <f ca="1">OFFSET(分類!B$3,$B46-1,0)</f>
        <v>膣錠</v>
      </c>
      <c r="E46" s="21"/>
      <c r="F46" s="2"/>
      <c r="G46" s="1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14"/>
      <c r="T46" s="2"/>
      <c r="U46" s="2"/>
      <c r="V46" s="20"/>
    </row>
    <row r="47" spans="2:22" x14ac:dyDescent="0.2">
      <c r="B47" s="12">
        <f t="shared" si="18"/>
        <v>12</v>
      </c>
      <c r="C47" s="3">
        <f ca="1">OFFSET(分類!$A$3,$B47-1,0)</f>
        <v>12</v>
      </c>
      <c r="D47" s="3" t="str">
        <f ca="1">OFFSET(分類!B$3,$B47-1,0)</f>
        <v>坐剤</v>
      </c>
      <c r="E47" s="2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0"/>
    </row>
    <row r="48" spans="2:22" x14ac:dyDescent="0.2">
      <c r="B48" s="12">
        <f t="shared" si="18"/>
        <v>13</v>
      </c>
      <c r="C48" s="3">
        <f ca="1">OFFSET(分類!$A$3,$B48-1,0)</f>
        <v>13</v>
      </c>
      <c r="D48" s="3" t="str">
        <f ca="1">OFFSET(分類!B$3,$B48-1,0)</f>
        <v>浣腸</v>
      </c>
      <c r="E48" s="2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0"/>
    </row>
    <row r="49" spans="2:22" x14ac:dyDescent="0.2">
      <c r="B49" s="12">
        <f t="shared" si="18"/>
        <v>14</v>
      </c>
      <c r="C49" s="3">
        <f ca="1">OFFSET(分類!$A$3,$B49-1,0)</f>
        <v>14</v>
      </c>
      <c r="D49" s="3" t="str">
        <f ca="1">OFFSET(分類!B$3,$B49-1,0)</f>
        <v>軟膏</v>
      </c>
      <c r="E49" s="21"/>
      <c r="F49" s="2"/>
      <c r="G49" s="1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0"/>
    </row>
    <row r="50" spans="2:22" x14ac:dyDescent="0.2">
      <c r="B50" s="12">
        <f t="shared" si="18"/>
        <v>15</v>
      </c>
      <c r="C50" s="3">
        <f ca="1">OFFSET(分類!$A$3,$B50-1,0)</f>
        <v>15</v>
      </c>
      <c r="D50" s="3" t="str">
        <f ca="1">OFFSET(分類!B$3,$B50-1,0)</f>
        <v>クリーム</v>
      </c>
      <c r="E50" s="2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0"/>
    </row>
    <row r="51" spans="2:22" x14ac:dyDescent="0.2">
      <c r="B51" s="12">
        <f t="shared" si="18"/>
        <v>16</v>
      </c>
      <c r="C51" s="3">
        <f ca="1">OFFSET(分類!$A$3,$B51-1,0)</f>
        <v>16</v>
      </c>
      <c r="D51" s="3" t="str">
        <f ca="1">OFFSET(分類!B$3,$B51-1,0)</f>
        <v>ゼリー（ゲル）</v>
      </c>
      <c r="E51" s="2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0"/>
    </row>
    <row r="52" spans="2:22" x14ac:dyDescent="0.2">
      <c r="B52" s="12">
        <f t="shared" si="18"/>
        <v>17</v>
      </c>
      <c r="C52" s="3">
        <f ca="1">OFFSET(分類!$A$3,$B52-1,0)</f>
        <v>17</v>
      </c>
      <c r="D52" s="3" t="str">
        <f ca="1">OFFSET(分類!B$3,$B52-1,0)</f>
        <v>外用液剤</v>
      </c>
      <c r="E52" s="21"/>
      <c r="F52" s="2"/>
      <c r="G52" s="1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0"/>
    </row>
    <row r="53" spans="2:22" x14ac:dyDescent="0.2">
      <c r="B53" s="12">
        <f t="shared" si="18"/>
        <v>18</v>
      </c>
      <c r="C53" s="3">
        <f ca="1">OFFSET(分類!$A$3,$B53-1,0)</f>
        <v>18</v>
      </c>
      <c r="D53" s="3" t="str">
        <f ca="1">OFFSET(分類!B$3,$B53-1,0)</f>
        <v>噴霧剤</v>
      </c>
      <c r="E53" s="2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0"/>
    </row>
    <row r="54" spans="2:22" x14ac:dyDescent="0.2">
      <c r="B54" s="12">
        <f t="shared" si="18"/>
        <v>19</v>
      </c>
      <c r="C54" s="3">
        <f ca="1">OFFSET(分類!$A$3,$B54-1,0)</f>
        <v>19</v>
      </c>
      <c r="D54" s="3" t="str">
        <f ca="1">OFFSET(分類!B$3,$B54-1,0)</f>
        <v>貼付剤</v>
      </c>
      <c r="E54" s="21"/>
      <c r="F54" s="2"/>
      <c r="G54" s="1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0"/>
    </row>
    <row r="55" spans="2:22" x14ac:dyDescent="0.2">
      <c r="B55" s="12">
        <f t="shared" si="18"/>
        <v>20</v>
      </c>
      <c r="C55" s="3">
        <f ca="1">OFFSET(分類!$A$3,$B55-1,0)</f>
        <v>21</v>
      </c>
      <c r="D55" s="3" t="str">
        <f ca="1">OFFSET(分類!B$3,$B55-1,0)</f>
        <v>点眼剤</v>
      </c>
      <c r="E55" s="21"/>
      <c r="F55" s="2"/>
      <c r="G55" s="1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14"/>
      <c r="T55" s="2"/>
      <c r="U55" s="2"/>
      <c r="V55" s="20"/>
    </row>
    <row r="56" spans="2:22" x14ac:dyDescent="0.2">
      <c r="B56" s="12">
        <f>B55+1</f>
        <v>21</v>
      </c>
      <c r="C56" s="3">
        <f ca="1">OFFSET(分類!$A$3,$B56-1,0)</f>
        <v>22</v>
      </c>
      <c r="D56" s="3" t="str">
        <f ca="1">OFFSET(分類!B$3,$B56-1,0)</f>
        <v>点耳薬</v>
      </c>
      <c r="E56" s="2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0"/>
    </row>
    <row r="57" spans="2:22" x14ac:dyDescent="0.2">
      <c r="B57" s="12">
        <f t="shared" si="18"/>
        <v>22</v>
      </c>
      <c r="C57" s="3">
        <f ca="1">OFFSET(分類!$A$3,$B57-1,0)</f>
        <v>23</v>
      </c>
      <c r="D57" s="3" t="str">
        <f ca="1">OFFSET(分類!B$3,$B57-1,0)</f>
        <v>点鼻薬</v>
      </c>
      <c r="E57" s="2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0"/>
    </row>
    <row r="58" spans="2:22" x14ac:dyDescent="0.2">
      <c r="B58" s="12">
        <f t="shared" si="18"/>
        <v>23</v>
      </c>
      <c r="C58" s="3">
        <f ca="1">OFFSET(分類!$A$3,$B58-1,0)</f>
        <v>24</v>
      </c>
      <c r="D58" s="3" t="str">
        <f ca="1">OFFSET(分類!B$3,$B58-1,0)</f>
        <v>その他</v>
      </c>
      <c r="E58" s="21"/>
      <c r="F58" s="2"/>
      <c r="G58" s="2"/>
      <c r="H58" s="2"/>
      <c r="I58" s="2"/>
      <c r="J58" s="2"/>
      <c r="K58" s="14"/>
      <c r="L58" s="2"/>
      <c r="M58" s="2"/>
      <c r="N58" s="2"/>
      <c r="O58" s="2"/>
      <c r="P58" s="2"/>
      <c r="Q58" s="2"/>
      <c r="R58" s="2"/>
      <c r="S58" s="2"/>
      <c r="T58" s="2"/>
      <c r="U58" s="2"/>
      <c r="V58" s="20"/>
    </row>
    <row r="59" spans="2:22" ht="13.8" thickBot="1" x14ac:dyDescent="0.25">
      <c r="B59" s="12">
        <f t="shared" si="18"/>
        <v>24</v>
      </c>
      <c r="C59" s="3">
        <f ca="1">OFFSET(分類!$A$3,$B59-1,0)</f>
        <v>25</v>
      </c>
      <c r="D59" s="3" t="str">
        <f ca="1">OFFSET(分類!B$3,$B59-1,0)</f>
        <v>注射剤</v>
      </c>
      <c r="E59" s="22"/>
      <c r="F59" s="23"/>
      <c r="G59" s="23"/>
      <c r="H59" s="23"/>
      <c r="I59" s="23"/>
      <c r="J59" s="24"/>
      <c r="K59" s="23"/>
      <c r="L59" s="24"/>
      <c r="M59" s="24"/>
      <c r="N59" s="23"/>
      <c r="O59" s="24"/>
      <c r="P59" s="23"/>
      <c r="Q59" s="23"/>
      <c r="R59" s="23"/>
      <c r="S59" s="24"/>
      <c r="T59" s="23"/>
      <c r="U59" s="23"/>
      <c r="V59" s="25"/>
    </row>
  </sheetData>
  <phoneticPr fontId="1"/>
  <pageMargins left="0.7" right="0.7" top="0.75" bottom="0.75" header="0.3" footer="0.3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66FF"/>
  </sheetPr>
  <dimension ref="A1:AU47"/>
  <sheetViews>
    <sheetView workbookViewId="0">
      <selection activeCell="AA5" sqref="AA5:AU33"/>
    </sheetView>
  </sheetViews>
  <sheetFormatPr defaultRowHeight="13.2" x14ac:dyDescent="0.2"/>
  <cols>
    <col min="3" max="4" width="3.77734375" customWidth="1"/>
    <col min="5" max="24" width="7.77734375" customWidth="1"/>
    <col min="27" max="28" width="3.5546875" bestFit="1" customWidth="1"/>
    <col min="29" max="29" width="13" bestFit="1" customWidth="1"/>
    <col min="30" max="46" width="8.77734375" customWidth="1"/>
    <col min="47" max="47" width="10.77734375" customWidth="1"/>
  </cols>
  <sheetData>
    <row r="1" spans="1:47" ht="13.8" thickBot="1" x14ac:dyDescent="0.25"/>
    <row r="2" spans="1:47" x14ac:dyDescent="0.2">
      <c r="A2" s="3" t="s">
        <v>25</v>
      </c>
      <c r="B2" s="3" t="s">
        <v>26</v>
      </c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spans="1:47" x14ac:dyDescent="0.2">
      <c r="A3">
        <v>1</v>
      </c>
      <c r="B3" t="s">
        <v>5</v>
      </c>
      <c r="E3" s="7"/>
      <c r="F3" t="s">
        <v>27</v>
      </c>
      <c r="X3" s="8"/>
    </row>
    <row r="4" spans="1:47" x14ac:dyDescent="0.2">
      <c r="A4">
        <v>2</v>
      </c>
      <c r="B4" t="s">
        <v>1</v>
      </c>
      <c r="E4" s="7"/>
      <c r="F4" t="s">
        <v>28</v>
      </c>
      <c r="X4" s="8"/>
    </row>
    <row r="5" spans="1:47" x14ac:dyDescent="0.2">
      <c r="A5">
        <v>3</v>
      </c>
      <c r="B5" t="s">
        <v>6</v>
      </c>
      <c r="E5" s="7"/>
      <c r="F5" t="s">
        <v>29</v>
      </c>
      <c r="X5" s="8"/>
      <c r="AD5">
        <v>1</v>
      </c>
      <c r="AE5">
        <f>AD5+1</f>
        <v>2</v>
      </c>
      <c r="AF5">
        <f t="shared" ref="AF5:AT5" si="0">AE5+1</f>
        <v>3</v>
      </c>
      <c r="AG5">
        <f t="shared" si="0"/>
        <v>4</v>
      </c>
      <c r="AH5">
        <f t="shared" si="0"/>
        <v>5</v>
      </c>
      <c r="AI5">
        <f t="shared" si="0"/>
        <v>6</v>
      </c>
      <c r="AJ5">
        <f t="shared" si="0"/>
        <v>7</v>
      </c>
      <c r="AK5">
        <f t="shared" si="0"/>
        <v>8</v>
      </c>
      <c r="AL5">
        <f t="shared" si="0"/>
        <v>9</v>
      </c>
      <c r="AM5">
        <f t="shared" si="0"/>
        <v>10</v>
      </c>
      <c r="AN5">
        <f t="shared" si="0"/>
        <v>11</v>
      </c>
      <c r="AO5">
        <f t="shared" si="0"/>
        <v>12</v>
      </c>
      <c r="AP5">
        <f t="shared" si="0"/>
        <v>13</v>
      </c>
      <c r="AQ5">
        <f t="shared" si="0"/>
        <v>14</v>
      </c>
      <c r="AR5">
        <f t="shared" si="0"/>
        <v>15</v>
      </c>
      <c r="AS5">
        <f t="shared" si="0"/>
        <v>16</v>
      </c>
      <c r="AT5">
        <f t="shared" si="0"/>
        <v>17</v>
      </c>
      <c r="AU5">
        <f t="shared" ref="AU5" si="1">AT5+1</f>
        <v>18</v>
      </c>
    </row>
    <row r="6" spans="1:47" x14ac:dyDescent="0.2">
      <c r="A6">
        <v>4</v>
      </c>
      <c r="B6" t="s">
        <v>14</v>
      </c>
      <c r="E6" s="7"/>
      <c r="X6" s="8"/>
      <c r="AD6">
        <f ca="1">OFFSET($A$30,AD5-1,0)</f>
        <v>1</v>
      </c>
      <c r="AE6">
        <f t="shared" ref="AE6:AU6" ca="1" si="2">OFFSET($A$30,AE5-1,0)</f>
        <v>2</v>
      </c>
      <c r="AF6">
        <f t="shared" ca="1" si="2"/>
        <v>3</v>
      </c>
      <c r="AG6">
        <f t="shared" ca="1" si="2"/>
        <v>4</v>
      </c>
      <c r="AH6">
        <f t="shared" ca="1" si="2"/>
        <v>5</v>
      </c>
      <c r="AI6">
        <f t="shared" ca="1" si="2"/>
        <v>6</v>
      </c>
      <c r="AJ6">
        <f t="shared" ca="1" si="2"/>
        <v>7</v>
      </c>
      <c r="AK6">
        <f t="shared" ca="1" si="2"/>
        <v>8</v>
      </c>
      <c r="AL6">
        <f t="shared" ca="1" si="2"/>
        <v>9</v>
      </c>
      <c r="AM6">
        <f t="shared" ca="1" si="2"/>
        <v>10</v>
      </c>
      <c r="AN6">
        <f t="shared" ca="1" si="2"/>
        <v>11</v>
      </c>
      <c r="AO6">
        <f t="shared" ca="1" si="2"/>
        <v>12</v>
      </c>
      <c r="AP6">
        <f t="shared" ca="1" si="2"/>
        <v>13</v>
      </c>
      <c r="AQ6">
        <f t="shared" ca="1" si="2"/>
        <v>14</v>
      </c>
      <c r="AR6">
        <f t="shared" ca="1" si="2"/>
        <v>15</v>
      </c>
      <c r="AS6">
        <f t="shared" ca="1" si="2"/>
        <v>25</v>
      </c>
      <c r="AT6">
        <f t="shared" ca="1" si="2"/>
        <v>26</v>
      </c>
      <c r="AU6">
        <f t="shared" ca="1" si="2"/>
        <v>27</v>
      </c>
    </row>
    <row r="7" spans="1:47" ht="39.6" x14ac:dyDescent="0.2">
      <c r="A7">
        <v>5</v>
      </c>
      <c r="B7" t="s">
        <v>20</v>
      </c>
      <c r="E7" s="7"/>
      <c r="G7" s="3" t="s">
        <v>57</v>
      </c>
      <c r="H7" s="3"/>
      <c r="I7" s="3"/>
      <c r="J7" s="3" t="s">
        <v>30</v>
      </c>
      <c r="K7" s="3"/>
      <c r="L7" s="3"/>
      <c r="M7" s="3" t="s">
        <v>31</v>
      </c>
      <c r="N7" s="3"/>
      <c r="O7" s="3"/>
      <c r="P7" s="3" t="s">
        <v>32</v>
      </c>
      <c r="Q7" s="3"/>
      <c r="R7" s="3"/>
      <c r="S7" s="3" t="s">
        <v>58</v>
      </c>
      <c r="V7" s="3"/>
      <c r="X7" s="8"/>
      <c r="AD7" s="1" t="str">
        <f ca="1">OFFSET($B$30,AD5-1,0)</f>
        <v>調剤棚</v>
      </c>
      <c r="AE7" s="1" t="str">
        <f t="shared" ref="AE7:AT7" ca="1" si="3">OFFSET($B$30,AE5-1,0)</f>
        <v>散薬調剤台</v>
      </c>
      <c r="AF7" s="1" t="str">
        <f t="shared" ca="1" si="3"/>
        <v>外用.臨時.散薬ヒート</v>
      </c>
      <c r="AG7" s="1" t="str">
        <f t="shared" ca="1" si="3"/>
        <v>漢方薬</v>
      </c>
      <c r="AH7" s="1" t="str">
        <f t="shared" ca="1" si="3"/>
        <v>普通薬バラ</v>
      </c>
      <c r="AI7" s="1" t="str">
        <f t="shared" ca="1" si="3"/>
        <v>劇薬バラ</v>
      </c>
      <c r="AJ7" s="1" t="str">
        <f t="shared" ca="1" si="3"/>
        <v>軟膏</v>
      </c>
      <c r="AK7" s="1" t="str">
        <f t="shared" ca="1" si="3"/>
        <v>抗生剤.小輸液</v>
      </c>
      <c r="AL7" s="1" t="str">
        <f t="shared" ca="1" si="3"/>
        <v>注射</v>
      </c>
      <c r="AM7" s="1" t="str">
        <f t="shared" ca="1" si="3"/>
        <v>輸液</v>
      </c>
      <c r="AN7" s="1" t="str">
        <f t="shared" ca="1" si="3"/>
        <v>冷蔵庫</v>
      </c>
      <c r="AO7" s="1" t="str">
        <f t="shared" ca="1" si="3"/>
        <v>湿布</v>
      </c>
      <c r="AP7" s="1" t="str">
        <f t="shared" ca="1" si="3"/>
        <v>液剤瓶</v>
      </c>
      <c r="AQ7" s="1" t="str">
        <f t="shared" ca="1" si="3"/>
        <v>グリセリン浣腸</v>
      </c>
      <c r="AR7" s="1" t="str">
        <f t="shared" ca="1" si="3"/>
        <v>不良在庫</v>
      </c>
      <c r="AS7" s="1" t="str">
        <f t="shared" ca="1" si="3"/>
        <v>調剤棚　＆　普通薬バラ</v>
      </c>
      <c r="AT7" s="1" t="str">
        <f t="shared" ca="1" si="3"/>
        <v>調剤棚　＆　劇薬バラ</v>
      </c>
      <c r="AU7" s="1" t="str">
        <f t="shared" ref="AU7" ca="1" si="4">OFFSET($B$30,AU5-1,0)</f>
        <v>分包機</v>
      </c>
    </row>
    <row r="8" spans="1:47" x14ac:dyDescent="0.2">
      <c r="A8">
        <v>6</v>
      </c>
      <c r="B8" t="s">
        <v>22</v>
      </c>
      <c r="E8" s="7"/>
      <c r="G8" s="2" t="s">
        <v>4</v>
      </c>
      <c r="H8">
        <v>15</v>
      </c>
      <c r="J8" s="2" t="s">
        <v>30</v>
      </c>
      <c r="K8">
        <v>3</v>
      </c>
      <c r="M8" s="2" t="s">
        <v>31</v>
      </c>
      <c r="N8">
        <v>1</v>
      </c>
      <c r="P8" s="2" t="s">
        <v>32</v>
      </c>
      <c r="Q8">
        <v>25</v>
      </c>
      <c r="S8" s="2" t="s">
        <v>22</v>
      </c>
      <c r="T8">
        <v>6</v>
      </c>
      <c r="X8" s="8"/>
      <c r="AC8" t="s">
        <v>60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x14ac:dyDescent="0.2">
      <c r="A9">
        <v>7</v>
      </c>
      <c r="B9" t="s">
        <v>13</v>
      </c>
      <c r="E9" s="7"/>
      <c r="G9" s="2" t="s">
        <v>2</v>
      </c>
      <c r="H9">
        <v>14</v>
      </c>
      <c r="J9" s="2" t="s">
        <v>14</v>
      </c>
      <c r="K9">
        <v>4</v>
      </c>
      <c r="M9" s="2" t="s">
        <v>1</v>
      </c>
      <c r="N9">
        <v>2</v>
      </c>
      <c r="P9" s="2"/>
      <c r="S9" s="2" t="s">
        <v>13</v>
      </c>
      <c r="T9">
        <v>7</v>
      </c>
      <c r="X9" s="8"/>
      <c r="AC9" t="s">
        <v>61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x14ac:dyDescent="0.2">
      <c r="A10">
        <v>8</v>
      </c>
      <c r="B10" t="s">
        <v>12</v>
      </c>
      <c r="E10" s="7"/>
      <c r="G10" s="2" t="s">
        <v>12</v>
      </c>
      <c r="H10">
        <v>8</v>
      </c>
      <c r="J10" s="2" t="s">
        <v>20</v>
      </c>
      <c r="K10">
        <v>5</v>
      </c>
      <c r="M10" s="2"/>
      <c r="P10" s="2"/>
      <c r="S10" s="2" t="s">
        <v>15</v>
      </c>
      <c r="T10">
        <v>12</v>
      </c>
      <c r="X10" s="8"/>
      <c r="AA10">
        <v>1</v>
      </c>
      <c r="AB10">
        <f t="shared" ref="AB10:AB33" ca="1" si="5">OFFSET(A$3,$AA10-1,0)</f>
        <v>1</v>
      </c>
      <c r="AC10" t="str">
        <f t="shared" ref="AC10:AC33" ca="1" si="6">OFFSET(B$3,$AA10-1,0)</f>
        <v>錠剤</v>
      </c>
      <c r="AD10" s="14"/>
      <c r="AE10" s="14"/>
      <c r="AF10" s="14"/>
      <c r="AG10" s="14"/>
      <c r="AH10" s="14"/>
      <c r="AI10" s="14"/>
      <c r="AJ10" s="2"/>
      <c r="AK10" s="2"/>
      <c r="AL10" s="2"/>
      <c r="AM10" s="2"/>
      <c r="AN10" s="2"/>
      <c r="AO10" s="2"/>
      <c r="AP10" s="2"/>
      <c r="AQ10" s="2"/>
      <c r="AR10" s="2"/>
      <c r="AS10" s="14"/>
      <c r="AT10" s="14"/>
      <c r="AU10" s="14"/>
    </row>
    <row r="11" spans="1:47" x14ac:dyDescent="0.2">
      <c r="A11">
        <v>9</v>
      </c>
      <c r="B11" t="s">
        <v>23</v>
      </c>
      <c r="E11" s="7"/>
      <c r="G11" s="2" t="s">
        <v>33</v>
      </c>
      <c r="H11">
        <v>21</v>
      </c>
      <c r="J11" s="2"/>
      <c r="M11" s="2"/>
      <c r="P11" s="2"/>
      <c r="S11" s="2" t="s">
        <v>21</v>
      </c>
      <c r="T11">
        <v>22</v>
      </c>
      <c r="X11" s="8"/>
      <c r="AA11">
        <f>AA10+1</f>
        <v>2</v>
      </c>
      <c r="AB11">
        <f t="shared" ca="1" si="5"/>
        <v>2</v>
      </c>
      <c r="AC11" t="str">
        <f t="shared" ca="1" si="6"/>
        <v>カプセル</v>
      </c>
      <c r="AD11" s="14"/>
      <c r="AE11" s="14"/>
      <c r="AF11" s="2"/>
      <c r="AG11" s="2"/>
      <c r="AH11" s="14"/>
      <c r="AI11" s="14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x14ac:dyDescent="0.2">
      <c r="A12">
        <v>10</v>
      </c>
      <c r="B12" t="s">
        <v>8</v>
      </c>
      <c r="E12" s="7"/>
      <c r="G12" s="2" t="s">
        <v>34</v>
      </c>
      <c r="H12">
        <v>23</v>
      </c>
      <c r="J12" s="2"/>
      <c r="M12" s="2"/>
      <c r="P12" s="2"/>
      <c r="S12" s="2" t="s">
        <v>10</v>
      </c>
      <c r="T12">
        <v>24</v>
      </c>
      <c r="X12" s="8"/>
      <c r="AA12">
        <f t="shared" ref="AA12:AA33" si="7">AA11+1</f>
        <v>3</v>
      </c>
      <c r="AB12">
        <f t="shared" ca="1" si="5"/>
        <v>3</v>
      </c>
      <c r="AC12" t="str">
        <f t="shared" ca="1" si="6"/>
        <v>散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x14ac:dyDescent="0.2">
      <c r="A13">
        <v>11</v>
      </c>
      <c r="B13" t="s">
        <v>18</v>
      </c>
      <c r="E13" s="7"/>
      <c r="G13" s="2" t="s">
        <v>35</v>
      </c>
      <c r="H13">
        <v>17</v>
      </c>
      <c r="J13" s="2"/>
      <c r="M13" s="2"/>
      <c r="P13" s="2"/>
      <c r="S13" s="2"/>
      <c r="X13" s="8"/>
      <c r="AA13">
        <f t="shared" si="7"/>
        <v>4</v>
      </c>
      <c r="AB13">
        <f t="shared" ca="1" si="5"/>
        <v>4</v>
      </c>
      <c r="AC13" t="str">
        <f t="shared" ca="1" si="6"/>
        <v>細粒</v>
      </c>
      <c r="AD13" s="2"/>
      <c r="AE13" s="14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x14ac:dyDescent="0.2">
      <c r="A14">
        <v>12</v>
      </c>
      <c r="B14" t="s">
        <v>15</v>
      </c>
      <c r="E14" s="7"/>
      <c r="G14" s="2" t="s">
        <v>36</v>
      </c>
      <c r="H14">
        <v>10</v>
      </c>
      <c r="J14" s="2"/>
      <c r="M14" s="2"/>
      <c r="P14" s="2"/>
      <c r="S14" s="2"/>
      <c r="X14" s="8"/>
      <c r="AA14">
        <f t="shared" si="7"/>
        <v>5</v>
      </c>
      <c r="AB14">
        <f t="shared" ca="1" si="5"/>
        <v>5</v>
      </c>
      <c r="AC14" t="str">
        <f t="shared" ca="1" si="6"/>
        <v>顆粒</v>
      </c>
      <c r="AD14" s="2"/>
      <c r="AE14" s="14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x14ac:dyDescent="0.2">
      <c r="A15">
        <v>13</v>
      </c>
      <c r="B15" t="s">
        <v>17</v>
      </c>
      <c r="E15" s="7"/>
      <c r="G15" s="2" t="s">
        <v>37</v>
      </c>
      <c r="H15">
        <v>19</v>
      </c>
      <c r="J15" s="2"/>
      <c r="M15" s="2"/>
      <c r="P15" s="2"/>
      <c r="S15" s="2"/>
      <c r="X15" s="8"/>
      <c r="AA15">
        <f t="shared" si="7"/>
        <v>6</v>
      </c>
      <c r="AB15">
        <f t="shared" ca="1" si="5"/>
        <v>6</v>
      </c>
      <c r="AC15" t="str">
        <f t="shared" ca="1" si="6"/>
        <v>シロップ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14"/>
      <c r="AQ15" s="2"/>
      <c r="AR15" s="2"/>
      <c r="AS15" s="2"/>
      <c r="AT15" s="2"/>
      <c r="AU15" s="2"/>
    </row>
    <row r="16" spans="1:47" x14ac:dyDescent="0.2">
      <c r="A16">
        <v>14</v>
      </c>
      <c r="B16" t="s">
        <v>2</v>
      </c>
      <c r="E16" s="7"/>
      <c r="G16" s="2" t="s">
        <v>59</v>
      </c>
      <c r="H16">
        <v>13</v>
      </c>
      <c r="S16" s="2"/>
      <c r="X16" s="8"/>
      <c r="AA16">
        <f t="shared" si="7"/>
        <v>7</v>
      </c>
      <c r="AB16">
        <f t="shared" ca="1" si="5"/>
        <v>7</v>
      </c>
      <c r="AC16" t="str">
        <f t="shared" ca="1" si="6"/>
        <v>液（内用）</v>
      </c>
      <c r="AD16" s="14"/>
      <c r="AE16" s="2"/>
      <c r="AF16" s="2"/>
      <c r="AG16" s="2"/>
      <c r="AH16" s="2"/>
      <c r="AI16" s="2"/>
      <c r="AJ16" s="14"/>
      <c r="AK16" s="2"/>
      <c r="AL16" s="2"/>
      <c r="AM16" s="2"/>
      <c r="AN16" s="14"/>
      <c r="AO16" s="2"/>
      <c r="AP16" s="14"/>
      <c r="AQ16" s="2"/>
      <c r="AR16" s="2"/>
      <c r="AS16" s="2"/>
      <c r="AT16" s="2"/>
      <c r="AU16" s="2"/>
    </row>
    <row r="17" spans="1:47" x14ac:dyDescent="0.2">
      <c r="A17">
        <v>15</v>
      </c>
      <c r="B17" t="s">
        <v>4</v>
      </c>
      <c r="E17" s="7"/>
      <c r="G17" s="2" t="s">
        <v>16</v>
      </c>
      <c r="H17">
        <v>18</v>
      </c>
      <c r="S17" s="2"/>
      <c r="X17" s="8"/>
      <c r="AA17">
        <f t="shared" si="7"/>
        <v>8</v>
      </c>
      <c r="AB17">
        <f t="shared" ca="1" si="5"/>
        <v>8</v>
      </c>
      <c r="AC17" t="str">
        <f t="shared" ca="1" si="6"/>
        <v>トローチ</v>
      </c>
      <c r="AD17" s="2"/>
      <c r="AE17" s="2"/>
      <c r="AF17" s="14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x14ac:dyDescent="0.2">
      <c r="A18">
        <v>16</v>
      </c>
      <c r="B18" t="s">
        <v>24</v>
      </c>
      <c r="E18" s="7"/>
      <c r="G18" s="2" t="s">
        <v>18</v>
      </c>
      <c r="H18">
        <v>11</v>
      </c>
      <c r="S18" s="2"/>
      <c r="X18" s="8"/>
      <c r="AA18">
        <f t="shared" si="7"/>
        <v>9</v>
      </c>
      <c r="AB18">
        <f t="shared" ca="1" si="5"/>
        <v>9</v>
      </c>
      <c r="AC18" t="str">
        <f t="shared" ca="1" si="6"/>
        <v>含漱剤</v>
      </c>
      <c r="AD18" s="2"/>
      <c r="AE18" s="2"/>
      <c r="AF18" s="14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x14ac:dyDescent="0.2">
      <c r="A19">
        <v>17</v>
      </c>
      <c r="B19" t="s">
        <v>11</v>
      </c>
      <c r="E19" s="7"/>
      <c r="G19" s="2" t="s">
        <v>23</v>
      </c>
      <c r="H19">
        <v>9</v>
      </c>
      <c r="S19" s="2"/>
      <c r="X19" s="8"/>
      <c r="AA19">
        <f t="shared" si="7"/>
        <v>10</v>
      </c>
      <c r="AB19">
        <f t="shared" ca="1" si="5"/>
        <v>10</v>
      </c>
      <c r="AC19" t="str">
        <f t="shared" ca="1" si="6"/>
        <v>吸入剤</v>
      </c>
      <c r="AD19" s="2"/>
      <c r="AE19" s="2"/>
      <c r="AF19" s="14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x14ac:dyDescent="0.2">
      <c r="A20">
        <v>18</v>
      </c>
      <c r="B20" t="s">
        <v>16</v>
      </c>
      <c r="E20" s="7"/>
      <c r="G20" s="2" t="s">
        <v>24</v>
      </c>
      <c r="H20">
        <v>16</v>
      </c>
      <c r="X20" s="8"/>
      <c r="AA20">
        <f t="shared" si="7"/>
        <v>11</v>
      </c>
      <c r="AB20">
        <f t="shared" ca="1" si="5"/>
        <v>11</v>
      </c>
      <c r="AC20" t="str">
        <f t="shared" ca="1" si="6"/>
        <v>膣錠</v>
      </c>
      <c r="AD20" s="2"/>
      <c r="AE20" s="2"/>
      <c r="AF20" s="14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x14ac:dyDescent="0.2">
      <c r="A21">
        <v>19</v>
      </c>
      <c r="B21" t="s">
        <v>9</v>
      </c>
      <c r="E21" s="7"/>
      <c r="X21" s="8"/>
      <c r="AA21">
        <f t="shared" si="7"/>
        <v>12</v>
      </c>
      <c r="AB21">
        <f t="shared" ca="1" si="5"/>
        <v>12</v>
      </c>
      <c r="AC21" t="str">
        <f t="shared" ca="1" si="6"/>
        <v>坐剤</v>
      </c>
      <c r="AD21" s="2"/>
      <c r="AE21" s="2"/>
      <c r="AF21" s="14"/>
      <c r="AG21" s="2"/>
      <c r="AH21" s="2"/>
      <c r="AI21" s="2"/>
      <c r="AJ21" s="2"/>
      <c r="AK21" s="2"/>
      <c r="AL21" s="2"/>
      <c r="AM21" s="2"/>
      <c r="AN21" s="14"/>
      <c r="AO21" s="2"/>
      <c r="AP21" s="2"/>
      <c r="AQ21" s="2"/>
      <c r="AR21" s="2"/>
      <c r="AS21" s="2"/>
      <c r="AT21" s="2"/>
      <c r="AU21" s="2"/>
    </row>
    <row r="22" spans="1:47" x14ac:dyDescent="0.2">
      <c r="A22">
        <v>21</v>
      </c>
      <c r="B22" t="s">
        <v>7</v>
      </c>
      <c r="E22" s="7"/>
      <c r="X22" s="8"/>
      <c r="AA22">
        <f t="shared" si="7"/>
        <v>13</v>
      </c>
      <c r="AB22">
        <f t="shared" ca="1" si="5"/>
        <v>13</v>
      </c>
      <c r="AC22" t="str">
        <f t="shared" ca="1" si="6"/>
        <v>浣腸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14"/>
      <c r="AR22" s="2"/>
      <c r="AS22" s="2"/>
      <c r="AT22" s="2"/>
      <c r="AU22" s="2"/>
    </row>
    <row r="23" spans="1:47" x14ac:dyDescent="0.2">
      <c r="A23">
        <v>22</v>
      </c>
      <c r="B23" t="s">
        <v>21</v>
      </c>
      <c r="E23" s="7"/>
      <c r="X23" s="8"/>
      <c r="AA23">
        <f t="shared" si="7"/>
        <v>14</v>
      </c>
      <c r="AB23">
        <f t="shared" ca="1" si="5"/>
        <v>14</v>
      </c>
      <c r="AC23" t="str">
        <f t="shared" ca="1" si="6"/>
        <v>軟膏</v>
      </c>
      <c r="AD23" s="2"/>
      <c r="AE23" s="2"/>
      <c r="AF23" s="14"/>
      <c r="AG23" s="2"/>
      <c r="AH23" s="14"/>
      <c r="AI23" s="2"/>
      <c r="AJ23" s="14"/>
      <c r="AK23" s="2"/>
      <c r="AL23" s="2"/>
      <c r="AM23" s="2"/>
      <c r="AN23" s="2"/>
      <c r="AO23" s="2"/>
      <c r="AP23" s="2"/>
      <c r="AQ23" s="2"/>
      <c r="AR23" s="14"/>
      <c r="AS23" s="2"/>
      <c r="AT23" s="2"/>
      <c r="AU23" s="2"/>
    </row>
    <row r="24" spans="1:47" x14ac:dyDescent="0.2">
      <c r="A24">
        <v>23</v>
      </c>
      <c r="B24" t="s">
        <v>19</v>
      </c>
      <c r="E24" s="7"/>
      <c r="X24" s="8"/>
      <c r="AA24">
        <f t="shared" si="7"/>
        <v>15</v>
      </c>
      <c r="AB24">
        <f t="shared" ca="1" si="5"/>
        <v>15</v>
      </c>
      <c r="AC24" t="str">
        <f t="shared" ca="1" si="6"/>
        <v>クリーム</v>
      </c>
      <c r="AD24" s="14"/>
      <c r="AE24" s="2"/>
      <c r="AF24" s="14"/>
      <c r="AG24" s="2"/>
      <c r="AH24" s="2"/>
      <c r="AI24" s="2"/>
      <c r="AJ24" s="14"/>
      <c r="AK24" s="2"/>
      <c r="AL24" s="2"/>
      <c r="AM24" s="2"/>
      <c r="AN24" s="2"/>
      <c r="AO24" s="2"/>
      <c r="AP24" s="2"/>
      <c r="AQ24" s="2"/>
      <c r="AR24" s="14"/>
      <c r="AS24" s="2"/>
      <c r="AT24" s="2"/>
      <c r="AU24" s="2"/>
    </row>
    <row r="25" spans="1:47" x14ac:dyDescent="0.2">
      <c r="A25">
        <v>24</v>
      </c>
      <c r="B25" t="s">
        <v>10</v>
      </c>
      <c r="E25" s="7"/>
      <c r="X25" s="8"/>
      <c r="AA25">
        <f t="shared" si="7"/>
        <v>16</v>
      </c>
      <c r="AB25">
        <f t="shared" ca="1" si="5"/>
        <v>16</v>
      </c>
      <c r="AC25" t="str">
        <f t="shared" ca="1" si="6"/>
        <v>ゼリー（ゲル）</v>
      </c>
      <c r="AD25" s="2"/>
      <c r="AE25" s="2"/>
      <c r="AF25" s="2"/>
      <c r="AG25" s="2"/>
      <c r="AH25" s="14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x14ac:dyDescent="0.2">
      <c r="A26">
        <v>25</v>
      </c>
      <c r="B26" t="s">
        <v>3</v>
      </c>
      <c r="E26" s="7"/>
      <c r="X26" s="8"/>
      <c r="AA26">
        <f t="shared" si="7"/>
        <v>17</v>
      </c>
      <c r="AB26">
        <f t="shared" ca="1" si="5"/>
        <v>17</v>
      </c>
      <c r="AC26" t="str">
        <f t="shared" ca="1" si="6"/>
        <v>外用液剤</v>
      </c>
      <c r="AD26" s="2"/>
      <c r="AE26" s="2"/>
      <c r="AF26" s="14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4"/>
      <c r="AS26" s="2"/>
      <c r="AT26" s="2"/>
      <c r="AU26" s="2"/>
    </row>
    <row r="27" spans="1:47" x14ac:dyDescent="0.2">
      <c r="E27" s="7"/>
      <c r="X27" s="8"/>
      <c r="AA27">
        <f t="shared" si="7"/>
        <v>18</v>
      </c>
      <c r="AB27">
        <f t="shared" ca="1" si="5"/>
        <v>18</v>
      </c>
      <c r="AC27" t="str">
        <f t="shared" ca="1" si="6"/>
        <v>噴霧剤</v>
      </c>
      <c r="AD27" s="2"/>
      <c r="AE27" s="2"/>
      <c r="AF27" s="2"/>
      <c r="AG27" s="2"/>
      <c r="AH27" s="14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x14ac:dyDescent="0.2">
      <c r="E28" s="7"/>
      <c r="X28" s="8"/>
      <c r="AA28">
        <f t="shared" si="7"/>
        <v>19</v>
      </c>
      <c r="AB28">
        <f t="shared" ca="1" si="5"/>
        <v>19</v>
      </c>
      <c r="AC28" t="str">
        <f t="shared" ca="1" si="6"/>
        <v>貼付剤</v>
      </c>
      <c r="AD28" s="2"/>
      <c r="AE28" s="2"/>
      <c r="AF28" s="14"/>
      <c r="AG28" s="2"/>
      <c r="AH28" s="2"/>
      <c r="AI28" s="2"/>
      <c r="AJ28" s="2"/>
      <c r="AK28" s="2"/>
      <c r="AL28" s="2"/>
      <c r="AM28" s="2"/>
      <c r="AN28" s="2"/>
      <c r="AO28" s="14"/>
      <c r="AP28" s="2"/>
      <c r="AQ28" s="2"/>
      <c r="AR28" s="2"/>
      <c r="AS28" s="2"/>
      <c r="AT28" s="2"/>
      <c r="AU28" s="2"/>
    </row>
    <row r="29" spans="1:47" ht="13.8" thickBot="1" x14ac:dyDescent="0.25">
      <c r="A29" t="s">
        <v>38</v>
      </c>
      <c r="E29" s="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1"/>
      <c r="AA29">
        <f t="shared" si="7"/>
        <v>20</v>
      </c>
      <c r="AB29">
        <f t="shared" ca="1" si="5"/>
        <v>21</v>
      </c>
      <c r="AC29" t="str">
        <f t="shared" ca="1" si="6"/>
        <v>点眼剤</v>
      </c>
      <c r="AD29" s="2"/>
      <c r="AE29" s="2"/>
      <c r="AF29" s="14"/>
      <c r="AG29" s="2"/>
      <c r="AH29" s="2"/>
      <c r="AI29" s="2"/>
      <c r="AJ29" s="2"/>
      <c r="AK29" s="2"/>
      <c r="AL29" s="2"/>
      <c r="AM29" s="2"/>
      <c r="AN29" s="14"/>
      <c r="AO29" s="2"/>
      <c r="AP29" s="2"/>
      <c r="AQ29" s="2"/>
      <c r="AR29" s="2"/>
      <c r="AS29" s="2"/>
      <c r="AT29" s="2"/>
      <c r="AU29" s="2"/>
    </row>
    <row r="30" spans="1:47" x14ac:dyDescent="0.2">
      <c r="A30">
        <v>1</v>
      </c>
      <c r="B30" t="s">
        <v>39</v>
      </c>
      <c r="AA30">
        <f>AA29+1</f>
        <v>21</v>
      </c>
      <c r="AB30">
        <f t="shared" ca="1" si="5"/>
        <v>22</v>
      </c>
      <c r="AC30" t="str">
        <f t="shared" ca="1" si="6"/>
        <v>点耳薬</v>
      </c>
      <c r="AD30" s="2"/>
      <c r="AE30" s="2"/>
      <c r="AF30" s="14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x14ac:dyDescent="0.2">
      <c r="A31">
        <f>A30+1</f>
        <v>2</v>
      </c>
      <c r="B31" t="s">
        <v>40</v>
      </c>
      <c r="AA31">
        <f t="shared" si="7"/>
        <v>22</v>
      </c>
      <c r="AB31">
        <f t="shared" ca="1" si="5"/>
        <v>23</v>
      </c>
      <c r="AC31" t="str">
        <f t="shared" ca="1" si="6"/>
        <v>点鼻薬</v>
      </c>
      <c r="AD31" s="2"/>
      <c r="AE31" s="2"/>
      <c r="AF31" s="14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x14ac:dyDescent="0.2">
      <c r="A32">
        <f t="shared" ref="A32:A43" si="8">A31+1</f>
        <v>3</v>
      </c>
      <c r="B32" t="s">
        <v>41</v>
      </c>
      <c r="AA32">
        <f t="shared" si="7"/>
        <v>23</v>
      </c>
      <c r="AB32">
        <f t="shared" ca="1" si="5"/>
        <v>24</v>
      </c>
      <c r="AC32" t="str">
        <f t="shared" ca="1" si="6"/>
        <v>その他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x14ac:dyDescent="0.2">
      <c r="A33">
        <f t="shared" si="8"/>
        <v>4</v>
      </c>
      <c r="B33" t="s">
        <v>42</v>
      </c>
      <c r="AA33">
        <f t="shared" si="7"/>
        <v>24</v>
      </c>
      <c r="AB33">
        <f t="shared" ca="1" si="5"/>
        <v>25</v>
      </c>
      <c r="AC33" t="str">
        <f t="shared" ca="1" si="6"/>
        <v>注射剤</v>
      </c>
      <c r="AD33" s="2"/>
      <c r="AE33" s="2"/>
      <c r="AF33" s="2"/>
      <c r="AG33" s="2"/>
      <c r="AH33" s="14"/>
      <c r="AI33" s="14"/>
      <c r="AJ33" s="2"/>
      <c r="AK33" s="14"/>
      <c r="AL33" s="14"/>
      <c r="AM33" s="14"/>
      <c r="AN33" s="14"/>
      <c r="AO33" s="2"/>
      <c r="AP33" s="2"/>
      <c r="AQ33" s="2"/>
      <c r="AR33" s="14"/>
      <c r="AS33" s="2"/>
      <c r="AT33" s="2"/>
      <c r="AU33" s="2"/>
    </row>
    <row r="34" spans="1:47" x14ac:dyDescent="0.2">
      <c r="A34">
        <f t="shared" si="8"/>
        <v>5</v>
      </c>
      <c r="B34" t="s">
        <v>43</v>
      </c>
    </row>
    <row r="35" spans="1:47" x14ac:dyDescent="0.2">
      <c r="A35">
        <f t="shared" si="8"/>
        <v>6</v>
      </c>
      <c r="B35" t="s">
        <v>44</v>
      </c>
    </row>
    <row r="36" spans="1:47" x14ac:dyDescent="0.2">
      <c r="A36">
        <f t="shared" si="8"/>
        <v>7</v>
      </c>
      <c r="B36" t="s">
        <v>45</v>
      </c>
    </row>
    <row r="37" spans="1:47" x14ac:dyDescent="0.2">
      <c r="A37">
        <f t="shared" si="8"/>
        <v>8</v>
      </c>
      <c r="B37" t="s">
        <v>46</v>
      </c>
    </row>
    <row r="38" spans="1:47" x14ac:dyDescent="0.2">
      <c r="A38">
        <f t="shared" si="8"/>
        <v>9</v>
      </c>
      <c r="B38" t="s">
        <v>47</v>
      </c>
    </row>
    <row r="39" spans="1:47" x14ac:dyDescent="0.2">
      <c r="A39">
        <f t="shared" si="8"/>
        <v>10</v>
      </c>
      <c r="B39" t="s">
        <v>48</v>
      </c>
    </row>
    <row r="40" spans="1:47" x14ac:dyDescent="0.2">
      <c r="A40">
        <f t="shared" si="8"/>
        <v>11</v>
      </c>
      <c r="B40" t="s">
        <v>49</v>
      </c>
    </row>
    <row r="41" spans="1:47" x14ac:dyDescent="0.2">
      <c r="A41">
        <f t="shared" si="8"/>
        <v>12</v>
      </c>
      <c r="B41" t="s">
        <v>50</v>
      </c>
    </row>
    <row r="42" spans="1:47" x14ac:dyDescent="0.2">
      <c r="A42">
        <f t="shared" si="8"/>
        <v>13</v>
      </c>
      <c r="B42" t="s">
        <v>51</v>
      </c>
    </row>
    <row r="43" spans="1:47" x14ac:dyDescent="0.2">
      <c r="A43">
        <f t="shared" si="8"/>
        <v>14</v>
      </c>
      <c r="B43" t="s">
        <v>52</v>
      </c>
    </row>
    <row r="44" spans="1:47" x14ac:dyDescent="0.2">
      <c r="A44">
        <v>15</v>
      </c>
      <c r="B44" t="s">
        <v>53</v>
      </c>
    </row>
    <row r="45" spans="1:47" x14ac:dyDescent="0.2">
      <c r="A45">
        <v>25</v>
      </c>
      <c r="B45" t="s">
        <v>54</v>
      </c>
    </row>
    <row r="46" spans="1:47" x14ac:dyDescent="0.2">
      <c r="A46">
        <v>26</v>
      </c>
      <c r="B46" t="s">
        <v>55</v>
      </c>
    </row>
    <row r="47" spans="1:47" x14ac:dyDescent="0.2">
      <c r="A47">
        <v>27</v>
      </c>
      <c r="B47" t="s">
        <v>63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B2BA-812A-407C-976F-FBA92039086B}">
  <sheetPr filterMode="1"/>
  <dimension ref="A1:B58"/>
  <sheetViews>
    <sheetView workbookViewId="0">
      <selection activeCell="I66" sqref="I66"/>
    </sheetView>
  </sheetViews>
  <sheetFormatPr defaultRowHeight="13.2" x14ac:dyDescent="0.2"/>
  <sheetData>
    <row r="1" spans="1:2" x14ac:dyDescent="0.2">
      <c r="A1" t="s">
        <v>62</v>
      </c>
      <c r="B1" t="s">
        <v>56</v>
      </c>
    </row>
    <row r="2" spans="1:2" hidden="1" x14ac:dyDescent="0.2">
      <c r="A2">
        <v>3</v>
      </c>
      <c r="B2">
        <v>4</v>
      </c>
    </row>
    <row r="3" spans="1:2" hidden="1" x14ac:dyDescent="0.2">
      <c r="A3">
        <v>1</v>
      </c>
      <c r="B3">
        <v>25</v>
      </c>
    </row>
    <row r="4" spans="1:2" hidden="1" x14ac:dyDescent="0.2">
      <c r="A4">
        <v>2</v>
      </c>
      <c r="B4">
        <v>5</v>
      </c>
    </row>
    <row r="5" spans="1:2" hidden="1" x14ac:dyDescent="0.2">
      <c r="A5">
        <v>8</v>
      </c>
      <c r="B5">
        <v>3</v>
      </c>
    </row>
    <row r="6" spans="1:2" hidden="1" x14ac:dyDescent="0.2">
      <c r="A6">
        <v>1</v>
      </c>
      <c r="B6">
        <v>5</v>
      </c>
    </row>
    <row r="7" spans="1:2" x14ac:dyDescent="0.2">
      <c r="A7">
        <v>25</v>
      </c>
      <c r="B7">
        <v>9</v>
      </c>
    </row>
    <row r="8" spans="1:2" hidden="1" x14ac:dyDescent="0.2">
      <c r="A8">
        <v>15</v>
      </c>
      <c r="B8">
        <v>3</v>
      </c>
    </row>
    <row r="9" spans="1:2" x14ac:dyDescent="0.2">
      <c r="A9">
        <v>25</v>
      </c>
      <c r="B9">
        <v>10</v>
      </c>
    </row>
    <row r="10" spans="1:2" hidden="1" x14ac:dyDescent="0.2">
      <c r="A10">
        <v>14</v>
      </c>
      <c r="B10">
        <v>15</v>
      </c>
    </row>
    <row r="11" spans="1:2" hidden="1" x14ac:dyDescent="0.2">
      <c r="A11">
        <v>1</v>
      </c>
      <c r="B11">
        <v>1</v>
      </c>
    </row>
    <row r="12" spans="1:2" x14ac:dyDescent="0.2">
      <c r="A12">
        <v>25</v>
      </c>
      <c r="B12">
        <v>11</v>
      </c>
    </row>
    <row r="13" spans="1:2" hidden="1" x14ac:dyDescent="0.2">
      <c r="A13">
        <v>3</v>
      </c>
      <c r="B13">
        <v>2</v>
      </c>
    </row>
    <row r="14" spans="1:2" hidden="1" x14ac:dyDescent="0.2">
      <c r="A14">
        <v>21</v>
      </c>
      <c r="B14">
        <v>3</v>
      </c>
    </row>
    <row r="15" spans="1:2" hidden="1" x14ac:dyDescent="0.2">
      <c r="A15">
        <v>1</v>
      </c>
      <c r="B15">
        <v>6</v>
      </c>
    </row>
    <row r="16" spans="1:2" hidden="1" x14ac:dyDescent="0.2">
      <c r="A16">
        <v>19</v>
      </c>
      <c r="B16">
        <v>12</v>
      </c>
    </row>
    <row r="17" spans="1:2" hidden="1" x14ac:dyDescent="0.2">
      <c r="A17">
        <v>2</v>
      </c>
      <c r="B17">
        <v>6</v>
      </c>
    </row>
    <row r="18" spans="1:2" hidden="1" x14ac:dyDescent="0.2">
      <c r="A18">
        <v>3</v>
      </c>
      <c r="B18">
        <v>15</v>
      </c>
    </row>
    <row r="19" spans="1:2" hidden="1" x14ac:dyDescent="0.2">
      <c r="A19">
        <v>19</v>
      </c>
      <c r="B19">
        <v>3</v>
      </c>
    </row>
    <row r="20" spans="1:2" hidden="1" x14ac:dyDescent="0.2">
      <c r="A20">
        <v>1</v>
      </c>
      <c r="B20">
        <v>26</v>
      </c>
    </row>
    <row r="21" spans="1:2" hidden="1" x14ac:dyDescent="0.2">
      <c r="A21">
        <v>2</v>
      </c>
      <c r="B21">
        <v>2</v>
      </c>
    </row>
    <row r="22" spans="1:2" x14ac:dyDescent="0.2">
      <c r="A22">
        <v>25</v>
      </c>
      <c r="B22">
        <v>6</v>
      </c>
    </row>
    <row r="23" spans="1:2" hidden="1" x14ac:dyDescent="0.2">
      <c r="A23">
        <v>15</v>
      </c>
      <c r="B23">
        <v>1</v>
      </c>
    </row>
    <row r="24" spans="1:2" hidden="1" x14ac:dyDescent="0.2">
      <c r="A24">
        <v>17</v>
      </c>
      <c r="B24">
        <v>3</v>
      </c>
    </row>
    <row r="25" spans="1:2" hidden="1" x14ac:dyDescent="0.2">
      <c r="A25">
        <v>1</v>
      </c>
      <c r="B25">
        <v>3</v>
      </c>
    </row>
    <row r="26" spans="1:2" hidden="1" x14ac:dyDescent="0.2">
      <c r="A26">
        <v>7</v>
      </c>
      <c r="B26">
        <v>1</v>
      </c>
    </row>
    <row r="27" spans="1:2" hidden="1" x14ac:dyDescent="0.2">
      <c r="A27">
        <v>14</v>
      </c>
      <c r="B27">
        <v>3</v>
      </c>
    </row>
    <row r="28" spans="1:2" hidden="1" x14ac:dyDescent="0.2">
      <c r="A28">
        <v>4</v>
      </c>
      <c r="B28">
        <v>2</v>
      </c>
    </row>
    <row r="29" spans="1:2" hidden="1" x14ac:dyDescent="0.2">
      <c r="A29">
        <v>12</v>
      </c>
      <c r="B29">
        <v>11</v>
      </c>
    </row>
    <row r="30" spans="1:2" hidden="1" x14ac:dyDescent="0.2">
      <c r="A30">
        <v>10</v>
      </c>
      <c r="B30">
        <v>3</v>
      </c>
    </row>
    <row r="31" spans="1:2" hidden="1" x14ac:dyDescent="0.2">
      <c r="A31">
        <v>13</v>
      </c>
      <c r="B31">
        <v>14</v>
      </c>
    </row>
    <row r="32" spans="1:2" hidden="1" x14ac:dyDescent="0.2">
      <c r="A32">
        <v>3</v>
      </c>
      <c r="B32">
        <v>3</v>
      </c>
    </row>
    <row r="33" spans="1:2" hidden="1" x14ac:dyDescent="0.2">
      <c r="A33">
        <v>11</v>
      </c>
      <c r="B33">
        <v>3</v>
      </c>
    </row>
    <row r="34" spans="1:2" hidden="1" x14ac:dyDescent="0.2">
      <c r="A34">
        <v>15</v>
      </c>
      <c r="B34">
        <v>7</v>
      </c>
    </row>
    <row r="35" spans="1:2" hidden="1" x14ac:dyDescent="0.2">
      <c r="A35">
        <v>23</v>
      </c>
      <c r="B35">
        <v>3</v>
      </c>
    </row>
    <row r="36" spans="1:2" hidden="1" x14ac:dyDescent="0.2">
      <c r="A36">
        <v>2</v>
      </c>
      <c r="B36">
        <v>1</v>
      </c>
    </row>
    <row r="37" spans="1:2" hidden="1" x14ac:dyDescent="0.2">
      <c r="A37">
        <v>1</v>
      </c>
      <c r="B37">
        <v>2</v>
      </c>
    </row>
    <row r="38" spans="1:2" hidden="1" x14ac:dyDescent="0.2">
      <c r="A38">
        <v>7</v>
      </c>
      <c r="B38">
        <v>11</v>
      </c>
    </row>
    <row r="39" spans="1:2" hidden="1" x14ac:dyDescent="0.2">
      <c r="A39">
        <v>14</v>
      </c>
      <c r="B39">
        <v>7</v>
      </c>
    </row>
    <row r="40" spans="1:2" hidden="1" x14ac:dyDescent="0.2">
      <c r="A40">
        <v>15</v>
      </c>
      <c r="B40">
        <v>15</v>
      </c>
    </row>
    <row r="41" spans="1:2" x14ac:dyDescent="0.2">
      <c r="A41">
        <v>25</v>
      </c>
      <c r="B41">
        <v>8</v>
      </c>
    </row>
    <row r="42" spans="1:2" hidden="1" x14ac:dyDescent="0.2">
      <c r="A42">
        <v>5</v>
      </c>
      <c r="B42">
        <v>2</v>
      </c>
    </row>
    <row r="43" spans="1:2" x14ac:dyDescent="0.2">
      <c r="A43">
        <v>25</v>
      </c>
      <c r="B43">
        <v>5</v>
      </c>
    </row>
    <row r="44" spans="1:2" hidden="1" x14ac:dyDescent="0.2">
      <c r="A44">
        <v>7</v>
      </c>
      <c r="B44">
        <v>13</v>
      </c>
    </row>
    <row r="45" spans="1:2" hidden="1" x14ac:dyDescent="0.2">
      <c r="A45">
        <v>12</v>
      </c>
      <c r="B45">
        <v>3</v>
      </c>
    </row>
    <row r="46" spans="1:2" hidden="1" x14ac:dyDescent="0.2">
      <c r="A46">
        <v>22</v>
      </c>
      <c r="B46">
        <v>3</v>
      </c>
    </row>
    <row r="47" spans="1:2" hidden="1" x14ac:dyDescent="0.2">
      <c r="A47">
        <v>17</v>
      </c>
      <c r="B47">
        <v>15</v>
      </c>
    </row>
    <row r="48" spans="1:2" x14ac:dyDescent="0.2">
      <c r="A48">
        <v>25</v>
      </c>
      <c r="B48">
        <v>15</v>
      </c>
    </row>
    <row r="49" spans="1:2" hidden="1" x14ac:dyDescent="0.2">
      <c r="A49">
        <v>6</v>
      </c>
      <c r="B49">
        <v>13</v>
      </c>
    </row>
    <row r="50" spans="1:2" hidden="1" x14ac:dyDescent="0.2">
      <c r="A50">
        <v>18</v>
      </c>
      <c r="B50">
        <v>5</v>
      </c>
    </row>
    <row r="51" spans="1:2" hidden="1" x14ac:dyDescent="0.2">
      <c r="A51">
        <v>14</v>
      </c>
      <c r="B51">
        <v>5</v>
      </c>
    </row>
    <row r="52" spans="1:2" hidden="1" x14ac:dyDescent="0.2">
      <c r="A52">
        <v>9</v>
      </c>
      <c r="B52">
        <v>3</v>
      </c>
    </row>
    <row r="53" spans="1:2" hidden="1" x14ac:dyDescent="0.2">
      <c r="A53">
        <v>16</v>
      </c>
      <c r="B53">
        <v>5</v>
      </c>
    </row>
    <row r="54" spans="1:2" hidden="1" x14ac:dyDescent="0.2">
      <c r="A54">
        <v>7</v>
      </c>
      <c r="B54">
        <v>7</v>
      </c>
    </row>
    <row r="55" spans="1:2" hidden="1" x14ac:dyDescent="0.2">
      <c r="A55">
        <v>21</v>
      </c>
      <c r="B55">
        <v>11</v>
      </c>
    </row>
    <row r="56" spans="1:2" hidden="1" x14ac:dyDescent="0.2">
      <c r="A56">
        <v>3</v>
      </c>
      <c r="B56">
        <v>1</v>
      </c>
    </row>
    <row r="57" spans="1:2" hidden="1" x14ac:dyDescent="0.2">
      <c r="A57">
        <v>1</v>
      </c>
      <c r="B57">
        <v>4</v>
      </c>
    </row>
    <row r="58" spans="1:2" hidden="1" x14ac:dyDescent="0.2">
      <c r="A58">
        <v>3</v>
      </c>
      <c r="B58">
        <v>9</v>
      </c>
    </row>
  </sheetData>
  <autoFilter ref="A1:B58" xr:uid="{75EAB2BA-812A-407C-976F-FBA92039086B}">
    <filterColumn colId="0">
      <filters>
        <filter val="25"/>
      </filters>
    </filterColumn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Sheet3</vt:lpstr>
      <vt:lpstr>表</vt:lpstr>
      <vt:lpstr>分類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2026-03-31T07:46:15Z</cp:lastPrinted>
  <dcterms:created xsi:type="dcterms:W3CDTF">2026-02-27T04:49:51Z</dcterms:created>
  <dcterms:modified xsi:type="dcterms:W3CDTF">2026-03-31T07:46:21Z</dcterms:modified>
</cp:coreProperties>
</file>