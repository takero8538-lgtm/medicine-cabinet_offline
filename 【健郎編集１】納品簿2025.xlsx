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"/>
    </mc:Choice>
  </mc:AlternateContent>
  <xr:revisionPtr revIDLastSave="0" documentId="13_ncr:1_{E626FCFD-5170-46B5-9E75-9518C79ED504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元データ" sheetId="1" r:id="rId1"/>
    <sheet name="重複削除" sheetId="3" r:id="rId2"/>
    <sheet name="注射（集計）" sheetId="9" r:id="rId3"/>
    <sheet name="漢方 (集計)" sheetId="6" r:id="rId4"/>
    <sheet name="外用 (集計)" sheetId="8" r:id="rId5"/>
    <sheet name="Sheet4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 a="1"/>
  <c r="B3" i="9" s="1"/>
  <c r="B3" i="6" a="1"/>
  <c r="B3" i="6" s="1"/>
  <c r="N3" i="6" s="1"/>
  <c r="A5" i="9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4" i="9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123" i="8"/>
  <c r="A124" i="8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5" i="8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4" i="8"/>
  <c r="B3" i="8" a="1"/>
  <c r="B3" i="8" s="1"/>
  <c r="N22" i="6" l="1"/>
  <c r="N14" i="6"/>
  <c r="N6" i="6"/>
  <c r="N8" i="6"/>
  <c r="N23" i="6"/>
  <c r="N7" i="6"/>
  <c r="N21" i="6"/>
  <c r="N13" i="6"/>
  <c r="N5" i="6"/>
  <c r="N20" i="6"/>
  <c r="N12" i="6"/>
  <c r="N4" i="6"/>
  <c r="N24" i="6"/>
  <c r="N16" i="6"/>
  <c r="N15" i="6"/>
  <c r="N19" i="6"/>
  <c r="N11" i="6"/>
  <c r="N18" i="6"/>
  <c r="N10" i="6"/>
  <c r="N17" i="6"/>
  <c r="N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<sst xmlns="http://schemas.openxmlformats.org/spreadsheetml/2006/main" count="12556" uniqueCount="1323">
  <si>
    <t>品名</t>
  </si>
  <si>
    <t>2023年度卸</t>
  </si>
  <si>
    <t>容量</t>
  </si>
  <si>
    <t>メーカー</t>
  </si>
  <si>
    <t>2023年度薬価</t>
  </si>
  <si>
    <t>薬価単位</t>
  </si>
  <si>
    <t>2023年納入価格</t>
  </si>
  <si>
    <t>剤形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</si>
  <si>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</si>
  <si>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</si>
  <si>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</si>
  <si>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</si>
  <si>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</si>
  <si>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</si>
  <si>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</si>
  <si>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漢方</t>
  </si>
  <si>
    <t>5.2</t>
  </si>
  <si>
    <t>2.5ｇｘ42</t>
  </si>
  <si>
    <t>012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</si>
  <si>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</si>
  <si>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</si>
  <si>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</si>
  <si>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</si>
  <si>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</si>
  <si>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</si>
  <si>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</si>
  <si>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</si>
  <si>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</si>
  <si>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</si>
  <si>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ﾎﾞｳﾌｳﾂｳｼﾖｳｻﾝ</t>
  </si>
  <si>
    <t>068　ｼｬｸﾔｸｶﾝｿﾞｳﾄｳ</t>
  </si>
  <si>
    <t>083 ﾂﾑﾗ ﾖｸｶﾝｻﾝｶﾁﾝﾋﾟﾊﾝｹﾞ</t>
  </si>
  <si>
    <t>100 ﾂﾑﾗ ﾀﾞｲｹﾝﾁﾕｳﾄｳ</t>
  </si>
  <si>
    <t>108　人参養栄湯エキス細粒</t>
  </si>
  <si>
    <t>3ｇｘ42包</t>
  </si>
  <si>
    <t>112　チョレイトウゴウシモットウ</t>
  </si>
  <si>
    <t>25ｍｇｱﾘﾅﾐﾝ F糖衣錠</t>
  </si>
  <si>
    <t>100Ｔ</t>
  </si>
  <si>
    <t>武田薬品工業</t>
  </si>
  <si>
    <t>錠</t>
  </si>
  <si>
    <t>内服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</si>
  <si>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</si>
  <si>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</si>
  <si>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</si>
  <si>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</si>
  <si>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</si>
  <si>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</si>
  <si>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</si>
  <si>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</si>
  <si>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</si>
  <si>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</si>
  <si>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</si>
  <si>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</si>
  <si>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</si>
  <si>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</si>
  <si>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</t>
  </si>
  <si>
    <t>４００Ｐ</t>
  </si>
  <si>
    <t>アルフレッサファーマ</t>
  </si>
  <si>
    <t>cap</t>
  </si>
  <si>
    <t>2.1.8</t>
  </si>
  <si>
    <t>SPトローチ0.25ｍｇ「明治」</t>
  </si>
  <si>
    <t>1200T</t>
  </si>
  <si>
    <t>meijiseika</t>
  </si>
  <si>
    <t>外用</t>
  </si>
  <si>
    <t>2.3.9</t>
  </si>
  <si>
    <t>T72　ヨクイニンエキス錠「コタロー」</t>
  </si>
  <si>
    <t>126Tx10</t>
  </si>
  <si>
    <t>小太郎漢方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</si>
  <si>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</si>
  <si>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</si>
  <si>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</si>
  <si>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</si>
  <si>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</si>
  <si>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</si>
  <si>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</si>
  <si>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</si>
  <si>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</si>
  <si>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</si>
  <si>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</si>
  <si>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</si>
  <si>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</si>
  <si>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注射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</si>
  <si>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</si>
  <si>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</si>
  <si>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</si>
  <si>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</si>
  <si>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</si>
  <si>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</si>
  <si>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</si>
  <si>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</si>
  <si>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</si>
  <si>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</si>
  <si>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</si>
  <si>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</si>
  <si>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</si>
  <si>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</si>
  <si>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</si>
  <si>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</si>
  <si>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</si>
  <si>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</si>
  <si>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</si>
  <si>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</si>
  <si>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</si>
  <si>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</si>
  <si>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</si>
  <si>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</si>
  <si>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</si>
  <si>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</si>
  <si>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</si>
  <si>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</si>
  <si>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</si>
  <si>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</si>
  <si>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</si>
  <si>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</si>
  <si>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</si>
  <si>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</si>
  <si>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</si>
  <si>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</si>
  <si>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</si>
  <si>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</si>
  <si>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</si>
  <si>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</si>
  <si>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</si>
  <si>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</si>
  <si>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</si>
  <si>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</si>
  <si>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</si>
  <si>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</si>
  <si>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</si>
  <si>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</si>
  <si>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</si>
  <si>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</si>
  <si>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</si>
  <si>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</si>
  <si>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</si>
  <si>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</si>
  <si>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</si>
  <si>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</si>
  <si>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</si>
  <si>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ニプロ</t>
  </si>
  <si>
    <t>1000T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</si>
  <si>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</si>
  <si>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</si>
  <si>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</si>
  <si>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</si>
  <si>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</si>
  <si>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</si>
  <si>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</si>
  <si>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</si>
  <si>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</si>
  <si>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</si>
  <si>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</si>
  <si>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検査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</si>
  <si>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</si>
  <si>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</si>
  <si>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</si>
  <si>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</si>
  <si>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</si>
  <si>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</si>
  <si>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</si>
  <si>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</si>
  <si>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</si>
  <si>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</si>
  <si>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</si>
  <si>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</si>
  <si>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</si>
  <si>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</si>
  <si>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</si>
  <si>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</si>
  <si>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</si>
  <si>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</si>
  <si>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</si>
  <si>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</si>
  <si>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</si>
  <si>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</si>
  <si>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</si>
  <si>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</si>
  <si>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</si>
  <si>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</si>
  <si>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</si>
  <si>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</si>
  <si>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</si>
  <si>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</si>
  <si>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</si>
  <si>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</si>
  <si>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</si>
  <si>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</si>
  <si>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</si>
  <si>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</si>
  <si>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</si>
  <si>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</si>
  <si>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</si>
  <si>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</si>
  <si>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</si>
  <si>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</si>
  <si>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</si>
  <si>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アナストロゾール錠1ｍｇ「ＮＫ」　採用中止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</si>
  <si>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</si>
  <si>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</si>
  <si>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</si>
  <si>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</si>
  <si>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</si>
  <si>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</si>
  <si>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</si>
  <si>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</si>
  <si>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</si>
  <si>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</si>
  <si>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</si>
  <si>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</si>
  <si>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</si>
  <si>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</si>
  <si>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</si>
  <si>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</si>
  <si>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アミオダロン塩酸塩速崩錠50ｍｇ「ＴＥ」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</si>
  <si>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</si>
  <si>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</si>
  <si>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</si>
  <si>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</si>
  <si>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</si>
  <si>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</si>
  <si>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</si>
  <si>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</si>
  <si>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</si>
  <si>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アムロジピンOD錠2.5ｍｇ「あすか」　採用中止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</si>
  <si>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</si>
  <si>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</si>
  <si>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</si>
  <si>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</si>
  <si>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</si>
  <si>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</si>
  <si>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</si>
  <si>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</si>
  <si>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</si>
  <si>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</si>
  <si>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</si>
  <si>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</si>
  <si>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</si>
  <si>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</si>
  <si>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</si>
  <si>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</si>
  <si>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</si>
  <si>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</si>
  <si>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</si>
  <si>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</si>
  <si>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</si>
  <si>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</si>
  <si>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</si>
  <si>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</si>
  <si>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</si>
  <si>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</si>
  <si>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</si>
  <si>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</si>
  <si>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</si>
  <si>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</si>
  <si>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</si>
  <si>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</si>
  <si>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</si>
  <si>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</si>
  <si>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</si>
  <si>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</si>
  <si>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</si>
  <si>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</si>
  <si>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</si>
  <si>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</si>
  <si>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</si>
  <si>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</si>
  <si>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</si>
  <si>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</si>
  <si>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</si>
  <si>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</si>
  <si>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</si>
  <si>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</si>
  <si>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</si>
  <si>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10シリンジ</t>
  </si>
  <si>
    <t>ｼﾘﾝｼﾞ</t>
  </si>
  <si>
    <t>3.9.9</t>
  </si>
  <si>
    <t>1シリンジ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</si>
  <si>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</si>
  <si>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</si>
  <si>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</si>
  <si>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</si>
  <si>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</si>
  <si>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</si>
  <si>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</si>
  <si>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</si>
  <si>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</si>
  <si>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</si>
  <si>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</si>
  <si>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</si>
  <si>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</si>
  <si>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</si>
  <si>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</si>
  <si>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インテバン軟膏１％　　　　　　　　　　　　</t>
  </si>
  <si>
    <t>25ｇｘ10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</si>
  <si>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</si>
  <si>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</si>
  <si>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</si>
  <si>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</si>
  <si>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</si>
  <si>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</si>
  <si>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</si>
  <si>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インフルエンザHAワクチン　　　　「生研」</t>
  </si>
  <si>
    <t>1ｍｌｘ1V</t>
  </si>
  <si>
    <t>6.3.1</t>
  </si>
  <si>
    <t>インフルエンザHAワクチン　「第一三共」1ｍｌｘ2</t>
  </si>
  <si>
    <t>1ｍｌｘ2V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</si>
  <si>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</si>
  <si>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</si>
  <si>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</si>
  <si>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</si>
  <si>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</si>
  <si>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</si>
  <si>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</si>
  <si>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</si>
  <si>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</si>
  <si>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</si>
  <si>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</si>
  <si>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</si>
  <si>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</si>
  <si>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</si>
  <si>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</si>
  <si>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</si>
  <si>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エナラプリルマレイン酸塩錠５ｍｇ「日新」　販売中止</t>
  </si>
  <si>
    <t>日新製薬</t>
  </si>
  <si>
    <t>エバスチンOD錠5ｍｇ「サワイ」</t>
  </si>
  <si>
    <t>4.4.9</t>
  </si>
  <si>
    <t>エバスチンOD錠5ｍｇ「杏林」</t>
  </si>
  <si>
    <t>杏林製薬</t>
  </si>
  <si>
    <t>エビスタ錠60ｍｇ</t>
  </si>
  <si>
    <t>イーライリリー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</si>
  <si>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</si>
  <si>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</si>
  <si>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</si>
  <si>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</si>
  <si>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</si>
  <si>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</si>
  <si>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</si>
  <si>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</si>
  <si>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</si>
  <si>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</si>
  <si>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</si>
  <si>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</si>
  <si>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</si>
  <si>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</si>
  <si>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</si>
  <si>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</si>
  <si>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</si>
  <si>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</si>
  <si>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</si>
  <si>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</si>
  <si>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</si>
  <si>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エポジン注シリンジ3000ﾊﾘﾅｼ</t>
  </si>
  <si>
    <t>0.5ｍｌｘ1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</si>
  <si>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</si>
  <si>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</si>
  <si>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</si>
  <si>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</si>
  <si>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</si>
  <si>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</si>
  <si>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</si>
  <si>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エルカルチンＦＦ錠250ｍｇ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</si>
  <si>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</si>
  <si>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</si>
  <si>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</si>
  <si>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</si>
  <si>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</si>
  <si>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</si>
  <si>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</si>
  <si>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</si>
  <si>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</si>
  <si>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</si>
  <si>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</si>
  <si>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</si>
  <si>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</si>
  <si>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オテズラ錠30ｍｇ</t>
  </si>
  <si>
    <t>56Ｔ</t>
  </si>
  <si>
    <t>アムジェン</t>
  </si>
  <si>
    <t>オフロキサシン点眼液0.3％「JG」</t>
  </si>
  <si>
    <t>日本ジェネリック</t>
  </si>
  <si>
    <t>オランザピンOD錠10ｍｇ「NP」　採用中止</t>
  </si>
  <si>
    <t>オランザピンOD錠10ｍｇ「ニプロ」</t>
  </si>
  <si>
    <t>オランザピンOD錠5ｍｇ「NP」　　販売中止</t>
  </si>
  <si>
    <t>オランザピンOD錠5ｍｇ「ニプロ」</t>
  </si>
  <si>
    <t>オランザピン細粒1％「NP」　　　販売中止</t>
  </si>
  <si>
    <t>オランザピン細粒1％「ニプロ」</t>
  </si>
  <si>
    <t>オランザピン錠2.5ｍｇ「NP」　　　販売中止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</si>
  <si>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</si>
  <si>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</si>
  <si>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</si>
  <si>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</si>
  <si>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</si>
  <si>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</si>
  <si>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</si>
  <si>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</si>
  <si>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</si>
  <si>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</si>
  <si>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</si>
  <si>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</si>
  <si>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</si>
  <si>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</si>
  <si>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</si>
  <si>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</si>
  <si>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</si>
  <si>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</si>
  <si>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</si>
  <si>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</si>
  <si>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</si>
  <si>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</si>
  <si>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</si>
  <si>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キシロカインポンプスプレー8％</t>
  </si>
  <si>
    <t>80ｇ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</si>
  <si>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</si>
  <si>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</si>
  <si>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</si>
  <si>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</si>
  <si>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</si>
  <si>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</si>
  <si>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</si>
  <si>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</si>
  <si>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クイックナビ-FLU+COVID19Ag</t>
  </si>
  <si>
    <t>10回用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</si>
  <si>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</si>
  <si>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</si>
  <si>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</si>
  <si>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</si>
  <si>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</si>
  <si>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</si>
  <si>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</si>
  <si>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</si>
  <si>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</si>
  <si>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</si>
  <si>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</si>
  <si>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</si>
  <si>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</si>
  <si>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</si>
  <si>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</si>
  <si>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</si>
  <si>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</si>
  <si>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</si>
  <si>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マイラン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</si>
  <si>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</si>
  <si>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</si>
  <si>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</si>
  <si>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</si>
  <si>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</si>
  <si>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</si>
  <si>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</si>
  <si>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</si>
  <si>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</si>
  <si>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</si>
  <si>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</si>
  <si>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</si>
  <si>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クリンダマイシンリン酸エステル注600mg「トーワ」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</si>
  <si>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</si>
  <si>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</si>
  <si>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</si>
  <si>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</si>
  <si>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</si>
  <si>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</si>
  <si>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</si>
  <si>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</si>
  <si>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</si>
  <si>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クロピドグレル錠25ｍｇ「トーワ」採用中止</t>
  </si>
  <si>
    <t>クロピドグレル錠75ｍｇ「JG」</t>
  </si>
  <si>
    <t>クロピドグレル錠75ｍｇ「トーワ」　採用中止</t>
  </si>
  <si>
    <t>クロピドグレル錠75ｍｇ「トーワ」採用中止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</si>
  <si>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</si>
  <si>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</si>
  <si>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</si>
  <si>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</si>
  <si>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</si>
  <si>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</si>
  <si>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</si>
  <si>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</si>
  <si>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</si>
  <si>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</si>
  <si>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</si>
  <si>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</si>
  <si>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</si>
  <si>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</si>
  <si>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</si>
  <si>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</si>
  <si>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</si>
  <si>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</si>
  <si>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</si>
  <si>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</si>
  <si>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</si>
  <si>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</si>
  <si>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</si>
  <si>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</si>
  <si>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</si>
  <si>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</si>
  <si>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</si>
  <si>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</si>
  <si>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</si>
  <si>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</si>
  <si>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</si>
  <si>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</si>
  <si>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</si>
  <si>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</si>
  <si>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</si>
  <si>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</si>
  <si>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</si>
  <si>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</si>
  <si>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</si>
  <si>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</si>
  <si>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</si>
  <si>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</si>
  <si>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</si>
  <si>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</si>
  <si>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</si>
  <si>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</si>
  <si>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</si>
  <si>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</si>
  <si>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</si>
  <si>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</si>
  <si>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</si>
  <si>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</si>
  <si>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</si>
  <si>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</si>
  <si>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</si>
  <si>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</si>
  <si>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</si>
  <si>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</si>
  <si>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</si>
  <si>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</si>
  <si>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</si>
  <si>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</si>
  <si>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</si>
  <si>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</si>
  <si>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</si>
  <si>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</si>
  <si>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</si>
  <si>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</si>
  <si>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</si>
  <si>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</si>
  <si>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</si>
  <si>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</si>
  <si>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</si>
  <si>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</si>
  <si>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</si>
  <si>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</si>
  <si>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</si>
  <si>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</si>
  <si>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</si>
  <si>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</si>
  <si>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</si>
  <si>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</si>
  <si>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</si>
  <si>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</si>
  <si>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</si>
  <si>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</si>
  <si>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</si>
  <si>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シロスタゾールOD錠100ｍｇ「トーワ」　採用中止</t>
  </si>
  <si>
    <t>シロスタゾールOD錠100ｍｇ「トーワ」採用中止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</si>
  <si>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</si>
  <si>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</si>
  <si>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</si>
  <si>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</si>
  <si>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</si>
  <si>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</si>
  <si>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</si>
  <si>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</si>
  <si>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</si>
  <si>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</si>
  <si>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</si>
  <si>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</si>
  <si>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</si>
  <si>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</si>
  <si>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</si>
  <si>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</si>
  <si>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</si>
  <si>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</si>
  <si>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</si>
  <si>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</si>
  <si>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</si>
  <si>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</si>
  <si>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</si>
  <si>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</si>
  <si>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</si>
  <si>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</si>
  <si>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</si>
  <si>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衛生材料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</si>
  <si>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</si>
  <si>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</si>
  <si>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</si>
  <si>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</si>
  <si>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</si>
  <si>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</si>
  <si>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</si>
  <si>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</si>
  <si>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</si>
  <si>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</si>
  <si>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</si>
  <si>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</si>
  <si>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</si>
  <si>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</si>
  <si>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</si>
  <si>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</si>
  <si>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</si>
  <si>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</si>
  <si>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</si>
  <si>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</si>
  <si>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</si>
  <si>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</si>
  <si>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</si>
  <si>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</si>
  <si>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</si>
  <si>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</si>
  <si>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</si>
  <si>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</si>
  <si>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</si>
  <si>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</si>
  <si>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</si>
  <si>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</si>
  <si>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センノシド錠12ｍｇ「トーワ」　　　採用中止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</si>
  <si>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</si>
  <si>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</si>
  <si>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</si>
  <si>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</si>
  <si>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</si>
  <si>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</si>
  <si>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</si>
  <si>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</si>
  <si>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</si>
  <si>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</si>
  <si>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</si>
  <si>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</si>
  <si>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</si>
  <si>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</si>
  <si>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</si>
  <si>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</si>
  <si>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</si>
  <si>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</si>
  <si>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</si>
  <si>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</si>
  <si>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</si>
  <si>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</si>
  <si>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</si>
  <si>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</si>
  <si>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</si>
  <si>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</si>
  <si>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</si>
  <si>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</si>
  <si>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</si>
  <si>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</si>
  <si>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</si>
  <si>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</si>
  <si>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</si>
  <si>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</si>
  <si>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</si>
  <si>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</si>
  <si>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</si>
  <si>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</si>
  <si>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ダプトマイシン静注用350ｍｇ「サワイ」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</si>
  <si>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</si>
  <si>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</si>
  <si>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</si>
  <si>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</si>
  <si>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</si>
  <si>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</si>
  <si>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</si>
  <si>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</si>
  <si>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</si>
  <si>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</si>
  <si>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</si>
  <si>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</si>
  <si>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</si>
  <si>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</si>
  <si>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</si>
  <si>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</si>
  <si>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</si>
  <si>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</si>
  <si>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</si>
  <si>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</si>
  <si>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</si>
  <si>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</si>
  <si>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</si>
  <si>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</si>
  <si>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</si>
  <si>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</si>
  <si>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</si>
  <si>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</si>
  <si>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</si>
  <si>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</si>
  <si>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</si>
  <si>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</si>
  <si>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</si>
  <si>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</si>
  <si>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</si>
  <si>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</si>
  <si>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</si>
  <si>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</si>
  <si>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</si>
  <si>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</si>
  <si>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</si>
  <si>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</si>
  <si>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</si>
  <si>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デタントール0.01％点眼液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</si>
  <si>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</si>
  <si>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</si>
  <si>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</si>
  <si>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</si>
  <si>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</si>
  <si>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デパケンＲ錠２００mg</t>
  </si>
  <si>
    <t>デパケンＲ錠２００ｍｇ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</si>
  <si>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</si>
  <si>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</si>
  <si>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</si>
  <si>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</si>
  <si>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</si>
  <si>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</si>
  <si>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</si>
  <si>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</si>
  <si>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</si>
  <si>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</si>
  <si>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テルビナフィン塩酸塩クリーム 1%「イワキ」　採用中止</t>
  </si>
  <si>
    <t>10ｇX50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</si>
  <si>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</si>
  <si>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</si>
  <si>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</si>
  <si>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</si>
  <si>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</si>
  <si>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</si>
  <si>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</si>
  <si>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</si>
  <si>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</si>
  <si>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</si>
  <si>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</si>
  <si>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</si>
  <si>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</si>
  <si>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トスキサシン錠150ｍｇ</t>
  </si>
  <si>
    <t>6.2.4</t>
  </si>
  <si>
    <t>ドネペジル塩酸塩OD錠10ｍｇ「トーワ」</t>
  </si>
  <si>
    <t>ドネペジル塩酸塩ＯＤ錠10ｍｇ「明治」　採用中止</t>
  </si>
  <si>
    <t>ドネペジル塩酸塩OD錠3ｍｇ「トーワ」</t>
  </si>
  <si>
    <t>28T</t>
  </si>
  <si>
    <t>ドネペジル塩酸塩ＯＤ錠3ｍｇ「明治」　採用中止</t>
  </si>
  <si>
    <t>14ｘ2Ｔ</t>
  </si>
  <si>
    <t>ドネペジル塩酸塩ＯＤ錠3ｍｇ「明治」　使用中止</t>
  </si>
  <si>
    <t>ドネペジル塩酸塩OD錠5ｍｇ「トーワ」</t>
  </si>
  <si>
    <t>ドネペジル塩酸塩ＯＤ錠5ｍｇ「明治」　採用中止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</si>
  <si>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</si>
  <si>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</si>
  <si>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</si>
  <si>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</si>
  <si>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</si>
  <si>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</si>
  <si>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</si>
  <si>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</si>
  <si>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</si>
  <si>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</si>
  <si>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</si>
  <si>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</si>
  <si>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</si>
  <si>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</si>
  <si>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</si>
  <si>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</si>
  <si>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</si>
  <si>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トリアゾラム錠0.125ｍｇ「CH」　　採用中止　　　　　　　　</t>
  </si>
  <si>
    <t>トリアゾラム錠0.25ｍｇ「CH」　　　採用中止</t>
  </si>
  <si>
    <t>トリアゾラム錠0.25ｍｇ「日医工」　　　　　　　　</t>
  </si>
  <si>
    <t>トリプタノール錠２５</t>
  </si>
  <si>
    <t>トリフリード輸液（１）</t>
  </si>
  <si>
    <t>トリフリード輸液（２）</t>
  </si>
  <si>
    <t>トリヘキシフェニジル塩酸塩錠　2ｍｇ「タカタ」　販売中止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</si>
  <si>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</si>
  <si>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</si>
  <si>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</si>
  <si>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</si>
  <si>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</si>
  <si>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</si>
  <si>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</si>
  <si>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</si>
  <si>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</si>
  <si>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</si>
  <si>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</si>
  <si>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</si>
  <si>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</si>
  <si>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</si>
  <si>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</si>
  <si>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トロペロン細粒1％　　販売中止</t>
  </si>
  <si>
    <t>トロペロン錠1ｍｇ　販売中止　　　　　　　　　　　　　　</t>
  </si>
  <si>
    <t>トロペロン錠3ｍｇ　　　　　　　　　　　　　　販売中止</t>
  </si>
  <si>
    <t>トロペロン錠3ｍｇ　販売中止　　　　　　　　　　　　　　</t>
  </si>
  <si>
    <t>トロペロン注４ｍｇ　販売中止　　　　　　　　　　　　　　</t>
  </si>
  <si>
    <t>２ｍＬ×10Ａ</t>
  </si>
  <si>
    <t>ドンペリドン錠10mg「JG」</t>
  </si>
  <si>
    <t>ドンペリドン錠10mg「トーワ」　　採用中止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</si>
  <si>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</si>
  <si>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</si>
  <si>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</si>
  <si>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</si>
  <si>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</si>
  <si>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</si>
  <si>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</si>
  <si>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</si>
  <si>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</si>
  <si>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</si>
  <si>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</si>
  <si>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</si>
  <si>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ニュープロパッチ9ｍｇ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</si>
  <si>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</si>
  <si>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</si>
  <si>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</si>
  <si>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</si>
  <si>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</si>
  <si>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</si>
  <si>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</si>
  <si>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</si>
  <si>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</si>
  <si>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</si>
  <si>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</si>
  <si>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</si>
  <si>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</si>
  <si>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</si>
  <si>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</si>
  <si>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</si>
  <si>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</si>
  <si>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</si>
  <si>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</si>
  <si>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</si>
  <si>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</si>
  <si>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</si>
  <si>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</si>
  <si>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</si>
  <si>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</si>
  <si>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パキロビットパック300</t>
  </si>
  <si>
    <t>５シート（30T）</t>
  </si>
  <si>
    <t>シート</t>
  </si>
  <si>
    <t>パキロビットパック600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</si>
  <si>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</si>
  <si>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</si>
  <si>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</si>
  <si>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</si>
  <si>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</si>
  <si>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</si>
  <si>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</si>
  <si>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</si>
  <si>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</si>
  <si>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</si>
  <si>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</si>
  <si>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</si>
  <si>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</si>
  <si>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</si>
  <si>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</si>
  <si>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</si>
  <si>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ハロペリドール錠１mg「ｱﾒﾙ」</t>
  </si>
  <si>
    <t>ハロペリドール錠１mg「アメル」</t>
  </si>
  <si>
    <t>ハロペリドール錠3mg｢ｱﾒﾙ」</t>
  </si>
  <si>
    <t>ハロマンス注100ｍｇ</t>
  </si>
  <si>
    <t>1ｍｌｘ10</t>
  </si>
  <si>
    <t>クリニジェン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</si>
  <si>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</si>
  <si>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</si>
  <si>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</si>
  <si>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</si>
  <si>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</si>
  <si>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</si>
  <si>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</si>
  <si>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</si>
  <si>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</si>
  <si>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</si>
  <si>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</si>
  <si>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</si>
  <si>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630T</t>
  </si>
  <si>
    <t>大正製薬</t>
  </si>
  <si>
    <t>ビオフェルミン配合散</t>
  </si>
  <si>
    <t>1ｋｇ</t>
  </si>
  <si>
    <t>1ｇｘ600</t>
  </si>
  <si>
    <t>1ｇｘ120</t>
  </si>
  <si>
    <t>ビカルタミド錠80ｍｇ「ＶＴＲＳ」　　採用中止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</si>
  <si>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</si>
  <si>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</si>
  <si>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</si>
  <si>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</si>
  <si>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</si>
  <si>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</si>
  <si>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</si>
  <si>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</si>
  <si>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</si>
  <si>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</si>
  <si>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</si>
  <si>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</si>
  <si>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</si>
  <si>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</si>
  <si>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</si>
  <si>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</si>
  <si>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</si>
  <si>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</si>
  <si>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</si>
  <si>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</si>
  <si>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</si>
  <si>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</si>
  <si>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</si>
  <si>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</si>
  <si>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</si>
  <si>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</si>
  <si>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</si>
  <si>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ヒューマログミックス25注ミリオペン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</si>
  <si>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</si>
  <si>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</si>
  <si>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</si>
  <si>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</si>
  <si>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</si>
  <si>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</si>
  <si>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</si>
  <si>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</si>
  <si>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</si>
  <si>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</si>
  <si>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</si>
  <si>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</si>
  <si>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</si>
  <si>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</si>
  <si>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</si>
  <si>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</si>
  <si>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</si>
  <si>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</si>
  <si>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</si>
  <si>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</si>
  <si>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</si>
  <si>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</si>
  <si>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フェノバルビタール散10％
「ホエイ」</t>
  </si>
  <si>
    <t>フェブキソスタット錠１０ｍｇ「ＡＦＰ」　採用中止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</si>
  <si>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</si>
  <si>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</si>
  <si>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</si>
  <si>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</si>
  <si>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</si>
  <si>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</si>
  <si>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</si>
  <si>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</si>
  <si>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</si>
  <si>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</si>
  <si>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</si>
  <si>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</si>
  <si>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</si>
  <si>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</si>
  <si>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</si>
  <si>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</si>
  <si>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</si>
  <si>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</si>
  <si>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</si>
  <si>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</si>
  <si>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</si>
  <si>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</si>
  <si>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</si>
  <si>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</si>
  <si>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</si>
  <si>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</si>
  <si>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</si>
  <si>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</si>
  <si>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</si>
  <si>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</si>
  <si>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</si>
  <si>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</si>
  <si>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</si>
  <si>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</si>
  <si>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</si>
  <si>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</si>
  <si>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</si>
  <si>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</si>
  <si>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</si>
  <si>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フロセミド細粒４％「EMEC」</t>
  </si>
  <si>
    <t>フロセミド錠20ｍｇ「NIG」</t>
  </si>
  <si>
    <t>1200錠</t>
  </si>
  <si>
    <t>フロセミド注20ｍｇ「NIG｣</t>
  </si>
  <si>
    <t>フロセミド注20ｍｇ「トーワ｣</t>
  </si>
  <si>
    <t>ブロチゾラム錠0.25mg「トーワ」　採用中止</t>
  </si>
  <si>
    <t>ブロチゾラム錠0.25ｍｇ「トーワ」　採用中止</t>
  </si>
  <si>
    <t>ブロチゾラム錠0.25ｍｇ「ヨシトミ」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</si>
  <si>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</si>
  <si>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</si>
  <si>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</si>
  <si>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</si>
  <si>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</si>
  <si>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</si>
  <si>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</si>
  <si>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</si>
  <si>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</si>
  <si>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</si>
  <si>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ブロムヘキシン塩酸塩錠４ｍｇ「トーワ」　　　　　　　　　　　　　　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</si>
  <si>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</si>
  <si>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</si>
  <si>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</si>
  <si>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</si>
  <si>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</si>
  <si>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</si>
  <si>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</si>
  <si>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</si>
  <si>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</si>
  <si>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</si>
  <si>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</si>
  <si>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</si>
  <si>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</si>
  <si>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</si>
  <si>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</si>
  <si>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</si>
  <si>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</si>
  <si>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</si>
  <si>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</si>
  <si>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</si>
  <si>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</si>
  <si>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</si>
  <si>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</si>
  <si>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</si>
  <si>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</si>
  <si>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</si>
  <si>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</si>
  <si>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</si>
  <si>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</si>
  <si>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</si>
  <si>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</si>
  <si>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</si>
  <si>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</si>
  <si>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</si>
  <si>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田辺ファーマ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</si>
  <si>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</si>
  <si>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</si>
  <si>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</si>
  <si>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</si>
  <si>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</si>
  <si>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</si>
  <si>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</si>
  <si>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</si>
  <si>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</si>
  <si>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</si>
  <si>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</si>
  <si>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</si>
  <si>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</si>
  <si>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</si>
  <si>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</si>
  <si>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</si>
  <si>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</si>
  <si>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</si>
  <si>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</si>
  <si>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</si>
  <si>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</si>
  <si>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</si>
  <si>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ポビドンヨードガーグル７％「ケンエー」　　　　　　　　　　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</si>
  <si>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</si>
  <si>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</si>
  <si>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</si>
  <si>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</si>
  <si>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</si>
  <si>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</si>
  <si>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</si>
  <si>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</si>
  <si>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</si>
  <si>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ボルタレン錠25ｍｇ</t>
  </si>
  <si>
    <t>マーズレンＳ配合顆粒</t>
  </si>
  <si>
    <t>1000ｇ</t>
  </si>
  <si>
    <t>400ｇ（0.67ｆｘ600）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</si>
  <si>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</si>
  <si>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</si>
  <si>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</si>
  <si>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</si>
  <si>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</si>
  <si>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</si>
  <si>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</si>
  <si>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</si>
  <si>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</si>
  <si>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</si>
  <si>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</si>
  <si>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</si>
  <si>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</si>
  <si>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</si>
  <si>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</si>
  <si>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</si>
  <si>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</si>
  <si>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</si>
  <si>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</si>
  <si>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</si>
  <si>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</si>
  <si>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</si>
  <si>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</si>
  <si>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</si>
  <si>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</si>
  <si>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</si>
  <si>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</si>
  <si>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</si>
  <si>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</si>
  <si>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</si>
  <si>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</si>
  <si>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</si>
  <si>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</si>
  <si>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</si>
  <si>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</si>
  <si>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</si>
  <si>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</si>
  <si>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</si>
  <si>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</si>
  <si>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</si>
  <si>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</si>
  <si>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</si>
  <si>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</si>
  <si>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</si>
  <si>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</si>
  <si>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</si>
  <si>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</si>
  <si>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</si>
  <si>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</si>
  <si>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</si>
  <si>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</si>
  <si>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</si>
  <si>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</si>
  <si>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</si>
  <si>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</si>
  <si>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</si>
  <si>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ラコールNF配合経腸用半固形剤販売中止</t>
  </si>
  <si>
    <t>300ｇｘ18袋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</si>
  <si>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</si>
  <si>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</si>
  <si>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</si>
  <si>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</si>
  <si>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</si>
  <si>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</si>
  <si>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</si>
  <si>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ラタノプロスト点眼液0.005％「ニットー」　採用中止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</si>
  <si>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</si>
  <si>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</si>
  <si>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</si>
  <si>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</si>
  <si>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</si>
  <si>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</si>
  <si>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</si>
  <si>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</si>
  <si>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</si>
  <si>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</si>
  <si>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</si>
  <si>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</si>
  <si>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</si>
  <si>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</si>
  <si>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</si>
  <si>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</si>
  <si>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</si>
  <si>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</si>
  <si>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</si>
  <si>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リスパダールコンスタ筋注用37.5ｍｇ</t>
  </si>
  <si>
    <t>リスパダールコンスタ筋注用50ｍｇ（1）</t>
  </si>
  <si>
    <t>1　キット</t>
  </si>
  <si>
    <t>リスパダールコンスタ筋注用50ｍｇ（2）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</si>
  <si>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</si>
  <si>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</si>
  <si>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</si>
  <si>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</si>
  <si>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リスパダール内用液　1mg/ml
　　　(30ml瓶）
　　　　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</si>
  <si>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</si>
  <si>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</si>
  <si>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</si>
  <si>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</si>
  <si>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</si>
  <si>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</si>
  <si>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</si>
  <si>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</si>
  <si>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</si>
  <si>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</si>
  <si>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</si>
  <si>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</si>
  <si>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リスペリドン錠1ｍｇ「アメル」　　</t>
  </si>
  <si>
    <t>リスペリドン錠2ｍｇ「アメル」</t>
  </si>
  <si>
    <t>リスペリドン錠3ｍｇ「アメル」</t>
  </si>
  <si>
    <t>リスペリドン内用液1ｍｇ/ｍｌ「アメル」100ｍｌ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</si>
  <si>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</si>
  <si>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</si>
  <si>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</si>
  <si>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</si>
  <si>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</si>
  <si>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リバーロキサバンＯＤ錠10ｍｇ「トーワ」　採用中止</t>
  </si>
  <si>
    <t>リバーロキサバンOD錠10ｍｇ「バイエル」</t>
  </si>
  <si>
    <t>リバスチグミンテープ13.5ｍｇ「トーワ」　</t>
  </si>
  <si>
    <t>14枚</t>
  </si>
  <si>
    <t>リバスチグミンテープ13.5ｍｇ「ニプロ」　採用中止</t>
  </si>
  <si>
    <t>２８枚</t>
  </si>
  <si>
    <t>リバスチグミンテープ18ｍｇ「トーワ」　</t>
  </si>
  <si>
    <t>リバスチグミンテープ18ｍｇ「ニプロ」　採用中止</t>
  </si>
  <si>
    <t>リバスチグミンテープ4.5ｍｇ「トーワ」</t>
  </si>
  <si>
    <t>リバスチグミンテープ4.5ｍｇ「ニプロ」　採用中止</t>
  </si>
  <si>
    <t>リバスチグミンテープ9ｍｇ「トーワ」　</t>
  </si>
  <si>
    <t>リバスチグミンテープ9ｍｇ「ニプロ」　採用中止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</si>
  <si>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</si>
  <si>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</si>
  <si>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</si>
  <si>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</si>
  <si>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</si>
  <si>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</si>
  <si>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</si>
  <si>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</si>
  <si>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</si>
  <si>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</si>
  <si>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</si>
  <si>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</si>
  <si>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</si>
  <si>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</si>
  <si>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</si>
  <si>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</si>
  <si>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</si>
  <si>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</si>
  <si>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</si>
  <si>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</si>
  <si>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ルプラック錠4ｍｇ　販売中止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</si>
  <si>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</si>
  <si>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</si>
  <si>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</si>
  <si>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</si>
  <si>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</si>
  <si>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</si>
  <si>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</si>
  <si>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</si>
  <si>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</si>
  <si>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</si>
  <si>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</si>
  <si>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</si>
  <si>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</si>
  <si>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</si>
  <si>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</si>
  <si>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</si>
  <si>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</si>
  <si>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</si>
  <si>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</si>
  <si>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レボトミン顆粒１０％</t>
  </si>
  <si>
    <t>1００ｇ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</si>
  <si>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</si>
  <si>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</si>
  <si>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</si>
  <si>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</si>
  <si>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</si>
  <si>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</si>
  <si>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</si>
  <si>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</si>
  <si>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</si>
  <si>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</si>
  <si>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</si>
  <si>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</si>
  <si>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</si>
  <si>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ロキソプロフェンNaテープ100ｍｇ「科研」　採用中止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</si>
  <si>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</si>
  <si>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</si>
  <si>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</si>
  <si>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</si>
  <si>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</si>
  <si>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</si>
  <si>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</si>
  <si>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</si>
  <si>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</si>
  <si>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</si>
  <si>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</si>
  <si>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</si>
  <si>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</si>
  <si>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</si>
  <si>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</si>
  <si>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</si>
  <si>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</si>
  <si>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</si>
  <si>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</si>
  <si>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</si>
  <si>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</si>
  <si>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</si>
  <si>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</si>
  <si>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</si>
  <si>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</si>
  <si>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</si>
  <si>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亜鉛華軟膏「ニッコー」　　　　　　　　　　　　　　　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</si>
  <si>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</si>
  <si>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</si>
  <si>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</si>
  <si>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</si>
  <si>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</si>
  <si>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献血ﾍﾞﾆﾛﾝ-I　静注用　2500ｍｇ</t>
  </si>
  <si>
    <t>1V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</si>
  <si>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</si>
  <si>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</si>
  <si>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</si>
  <si>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</si>
  <si>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</si>
  <si>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</si>
  <si>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</si>
  <si>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</si>
  <si>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</si>
  <si>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</si>
  <si>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</si>
  <si>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</si>
  <si>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</si>
  <si>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</si>
  <si>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生理食塩液「VTRS」20ｍｌ　　　　　　　　　　　　　</t>
  </si>
  <si>
    <t>20ｍｌ×100A</t>
  </si>
  <si>
    <t>精製水「ケンエー」</t>
  </si>
  <si>
    <t>7.1.3</t>
  </si>
  <si>
    <t>静注用キシロカイン２％</t>
  </si>
  <si>
    <t>5ｘ10A</t>
  </si>
  <si>
    <t>大塚生食注　　プラ細口　　　　　　　　　　　　　</t>
  </si>
  <si>
    <t>500ml×20Ｂ　</t>
  </si>
  <si>
    <t>大塚生食注　ソフトバッグ　　　　　　　　　　　　　　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</si>
  <si>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</si>
  <si>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</si>
  <si>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</si>
  <si>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</si>
  <si>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</si>
  <si>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</si>
  <si>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</si>
  <si>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</si>
  <si>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</si>
  <si>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注射用水ＰＬ「フソー」100ｍｌ（スタンタフル）　　　　　　</t>
  </si>
  <si>
    <t>100ml×10P　</t>
  </si>
  <si>
    <t>注射用水ＰＬ「フソー」20ｍｌ（スノープル）　　　　　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</si>
  <si>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</si>
  <si>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</si>
  <si>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</si>
  <si>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</si>
  <si>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</si>
  <si>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</si>
  <si>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</si>
  <si>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在庫棚</t>
    <rPh sb="0" eb="2">
      <t>ザイコ</t>
    </rPh>
    <rPh sb="2" eb="3">
      <t>タナ</t>
    </rPh>
    <phoneticPr fontId="4"/>
  </si>
  <si>
    <t>商品名</t>
  </si>
  <si>
    <t>分類</t>
    <rPh sb="0" eb="2">
      <t>ブンルイ</t>
    </rPh>
    <phoneticPr fontId="4"/>
  </si>
  <si>
    <t>納入単価</t>
    <rPh sb="2" eb="3">
      <t>タン</t>
    </rPh>
    <phoneticPr fontId="4"/>
  </si>
  <si>
    <t>数量(錠）</t>
    <rPh sb="0" eb="2">
      <t>スウリョウ</t>
    </rPh>
    <rPh sb="3" eb="4">
      <t>ジョウ</t>
    </rPh>
    <phoneticPr fontId="2"/>
  </si>
  <si>
    <t>単位</t>
    <rPh sb="0" eb="2">
      <t>タンイ</t>
    </rPh>
    <phoneticPr fontId="2"/>
  </si>
  <si>
    <t>在庫金額</t>
    <rPh sb="0" eb="2">
      <t>ザイコ</t>
    </rPh>
    <rPh sb="2" eb="4">
      <t>キンガク</t>
    </rPh>
    <phoneticPr fontId="2"/>
  </si>
  <si>
    <t>2025年度　北山病院薬剤部　棚卸し</t>
    <rPh sb="4" eb="6">
      <t>ネンド</t>
    </rPh>
    <rPh sb="7" eb="9">
      <t>キタヤマ</t>
    </rPh>
    <rPh sb="9" eb="11">
      <t>ビョウイン</t>
    </rPh>
    <rPh sb="11" eb="13">
      <t>ヤクザイ</t>
    </rPh>
    <rPh sb="13" eb="14">
      <t>ブ</t>
    </rPh>
    <rPh sb="15" eb="17">
      <t>タナオロ</t>
    </rPh>
    <phoneticPr fontId="2"/>
  </si>
  <si>
    <t>在庫総量</t>
    <rPh sb="0" eb="2">
      <t>ザイコ</t>
    </rPh>
    <rPh sb="2" eb="4">
      <t>ソウリョウ</t>
    </rPh>
    <phoneticPr fontId="2"/>
  </si>
  <si>
    <t>ヒート棚</t>
    <rPh sb="3" eb="4">
      <t>タナ</t>
    </rPh>
    <phoneticPr fontId="2"/>
  </si>
  <si>
    <t>ﾋｰﾄ数</t>
    <rPh sb="3" eb="4">
      <t>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</si>
</sst>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;\-&quot;¥&quot;#,##0"/>
    <numFmt numFmtId="177" formatCode="#,##0.0;[Red]\-#,##0.0"/>
  </numFmts>
  <fonts count="10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38" fontId="3" fillId="0" borderId="0" applyFont="0" applyFill="0" applyBorder="0" applyAlignment="0" applyProtection="0">
      <alignment vertical="center"/>
    </xf>
    <xf numFmtId="0" fontId="7" fillId="0" borderId="0"/>
  </cellStyleXfs>
  <cellXfs count="59">
    <xf numFmtId="0" fontId="0" fillId="0" borderId="0" xfId="0">
      <alignment vertical="center"/>
    </xf>
    <xf numFmtId="0" fontId="1" fillId="2" borderId="1" xfId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2" xfId="1" applyBorder="1"/>
    <xf numFmtId="176" fontId="1" fillId="0" borderId="2" xfId="1" applyNumberFormat="1" applyBorder="1" applyAlignment="1">
      <alignment horizontal="right"/>
    </xf>
    <xf numFmtId="0" fontId="1" fillId="0" borderId="2" xfId="1" applyBorder="1" applyAlignment="1">
      <alignment horizontal="center"/>
    </xf>
    <xf numFmtId="0" fontId="1" fillId="0" borderId="0" xfId="1"/>
    <xf numFmtId="176" fontId="1" fillId="0" borderId="0" xfId="1" applyNumberFormat="1" applyAlignment="1">
      <alignment horizontal="right"/>
    </xf>
    <xf numFmtId="0" fontId="0" fillId="0" borderId="0" xfId="0" applyAlignment="1"/>
    <xf numFmtId="0" fontId="0" fillId="0" borderId="0" xfId="0" applyAlignment="1">
      <alignment horizontal="center"/>
    </xf>
    <xf numFmtId="177" fontId="0" fillId="0" borderId="0" xfId="2" applyNumberFormat="1" applyFont="1" applyFill="1" applyAlignment="1"/>
    <xf numFmtId="38" fontId="0" fillId="0" borderId="3" xfId="2" applyFont="1" applyFill="1" applyBorder="1" applyAlignment="1">
      <alignment horizontal="center" vertical="center"/>
    </xf>
    <xf numFmtId="38" fontId="0" fillId="0" borderId="0" xfId="2" applyFont="1">
      <alignment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5" fillId="0" borderId="4" xfId="2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8" fontId="0" fillId="0" borderId="5" xfId="2" applyFont="1" applyFill="1" applyBorder="1" applyAlignment="1">
      <alignment horizontal="center" vertical="center"/>
    </xf>
    <xf numFmtId="38" fontId="0" fillId="0" borderId="4" xfId="2" applyFont="1" applyBorder="1">
      <alignment vertical="center"/>
    </xf>
    <xf numFmtId="0" fontId="0" fillId="0" borderId="4" xfId="0" applyBorder="1" applyAlignment="1"/>
    <xf numFmtId="40" fontId="0" fillId="0" borderId="4" xfId="2" applyNumberFormat="1" applyFont="1" applyBorder="1" applyAlignment="1"/>
    <xf numFmtId="38" fontId="0" fillId="0" borderId="4" xfId="2" applyFont="1" applyBorder="1" applyAlignment="1"/>
    <xf numFmtId="0" fontId="5" fillId="0" borderId="4" xfId="0" applyFont="1" applyBorder="1" applyAlignment="1"/>
    <xf numFmtId="40" fontId="5" fillId="0" borderId="4" xfId="2" applyNumberFormat="1" applyFont="1" applyFill="1" applyBorder="1" applyAlignment="1"/>
    <xf numFmtId="38" fontId="0" fillId="0" borderId="0" xfId="0" applyNumberFormat="1">
      <alignment vertical="center"/>
    </xf>
    <xf numFmtId="0" fontId="0" fillId="3" borderId="4" xfId="0" applyFill="1" applyBorder="1" applyAlignment="1"/>
    <xf numFmtId="40" fontId="6" fillId="0" borderId="4" xfId="2" applyNumberFormat="1" applyFont="1" applyBorder="1" applyAlignment="1"/>
    <xf numFmtId="40" fontId="0" fillId="0" borderId="0" xfId="2" applyNumberFormat="1" applyFont="1" applyAlignment="1"/>
    <xf numFmtId="38" fontId="0" fillId="0" borderId="0" xfId="2" applyFont="1" applyAlignment="1"/>
    <xf numFmtId="0" fontId="5" fillId="0" borderId="4" xfId="0" applyFont="1" applyBorder="1" applyAlignment="1">
      <alignment horizontal="center"/>
    </xf>
    <xf numFmtId="0" fontId="5" fillId="3" borderId="4" xfId="0" applyFont="1" applyFill="1" applyBorder="1" applyAlignment="1"/>
    <xf numFmtId="0" fontId="5" fillId="3" borderId="4" xfId="0" applyFont="1" applyFill="1" applyBorder="1" applyAlignment="1">
      <alignment horizontal="center"/>
    </xf>
    <xf numFmtId="40" fontId="5" fillId="3" borderId="4" xfId="2" applyNumberFormat="1" applyFont="1" applyFill="1" applyBorder="1" applyAlignment="1"/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40" fontId="0" fillId="3" borderId="4" xfId="2" applyNumberFormat="1" applyFont="1" applyFill="1" applyBorder="1" applyAlignment="1"/>
    <xf numFmtId="177" fontId="0" fillId="0" borderId="4" xfId="2" applyNumberFormat="1" applyFont="1" applyBorder="1">
      <alignment vertical="center"/>
    </xf>
    <xf numFmtId="40" fontId="7" fillId="0" borderId="4" xfId="2" applyNumberFormat="1" applyFont="1" applyBorder="1" applyAlignment="1"/>
    <xf numFmtId="40" fontId="7" fillId="0" borderId="4" xfId="0" applyNumberFormat="1" applyFont="1" applyBorder="1" applyAlignment="1"/>
    <xf numFmtId="49" fontId="7" fillId="0" borderId="4" xfId="0" applyNumberFormat="1" applyFont="1" applyBorder="1" applyAlignment="1"/>
    <xf numFmtId="0" fontId="8" fillId="3" borderId="4" xfId="0" applyFont="1" applyFill="1" applyBorder="1" applyAlignment="1"/>
    <xf numFmtId="0" fontId="9" fillId="0" borderId="4" xfId="0" applyFont="1" applyBorder="1" applyAlignment="1">
      <alignment horizontal="center"/>
    </xf>
    <xf numFmtId="0" fontId="1" fillId="0" borderId="6" xfId="1" applyBorder="1"/>
    <xf numFmtId="0" fontId="0" fillId="0" borderId="7" xfId="0" applyBorder="1" applyAlignment="1"/>
    <xf numFmtId="0" fontId="5" fillId="3" borderId="7" xfId="0" applyFont="1" applyFill="1" applyBorder="1" applyAlignment="1"/>
    <xf numFmtId="0" fontId="0" fillId="3" borderId="7" xfId="0" applyFill="1" applyBorder="1" applyAlignment="1"/>
    <xf numFmtId="0" fontId="0" fillId="0" borderId="4" xfId="0" applyBorder="1">
      <alignment vertical="center"/>
    </xf>
    <xf numFmtId="0" fontId="5" fillId="3" borderId="4" xfId="0" applyFont="1" applyFill="1" applyBorder="1" applyAlignment="1">
      <alignment horizontal="center" vertical="center"/>
    </xf>
    <xf numFmtId="177" fontId="5" fillId="3" borderId="4" xfId="2" applyNumberFormat="1" applyFont="1" applyFill="1" applyBorder="1" applyAlignment="1">
      <alignment horizontal="center" vertical="center"/>
    </xf>
    <xf numFmtId="38" fontId="0" fillId="3" borderId="5" xfId="2" applyFont="1" applyFill="1" applyBorder="1" applyAlignment="1">
      <alignment horizontal="center" vertical="center"/>
    </xf>
    <xf numFmtId="38" fontId="0" fillId="3" borderId="4" xfId="2" applyFont="1" applyFill="1" applyBorder="1">
      <alignment vertical="center"/>
    </xf>
    <xf numFmtId="0" fontId="7" fillId="3" borderId="4" xfId="3" applyFill="1" applyBorder="1" applyAlignment="1">
      <alignment horizontal="center"/>
    </xf>
    <xf numFmtId="40" fontId="7" fillId="3" borderId="4" xfId="2" applyNumberFormat="1" applyFont="1" applyFill="1" applyBorder="1" applyAlignment="1"/>
    <xf numFmtId="40" fontId="7" fillId="3" borderId="4" xfId="0" applyNumberFormat="1" applyFont="1" applyFill="1" applyBorder="1" applyAlignment="1"/>
    <xf numFmtId="49" fontId="7" fillId="3" borderId="4" xfId="0" applyNumberFormat="1" applyFont="1" applyFill="1" applyBorder="1" applyAlignment="1"/>
    <xf numFmtId="0" fontId="0" fillId="3" borderId="4" xfId="0" applyFill="1" applyBorder="1">
      <alignment vertical="center"/>
    </xf>
    <xf numFmtId="40" fontId="6" fillId="3" borderId="4" xfId="2" applyNumberFormat="1" applyFont="1" applyFill="1" applyBorder="1" applyAlignment="1"/>
    <xf numFmtId="0" fontId="0" fillId="3" borderId="8" xfId="0" applyFill="1" applyBorder="1">
      <alignment vertical="center"/>
    </xf>
    <xf numFmtId="0" fontId="0" fillId="3" borderId="7" xfId="0" applyFill="1" applyBorder="1">
      <alignment vertical="center"/>
    </xf>
  </cellXfs>
  <cellStyles count="4">
    <cellStyle name="桁区切り" xfId="2" builtinId="6"/>
    <cellStyle name="標準" xfId="0" builtinId="0"/>
    <cellStyle name="標準_Sheet1" xfId="1" xr:uid="{00000000-0005-0000-0000-000001000000}"/>
    <cellStyle name="標準_販売実績_改" xfId="3" xr:uid="{16F75C76-475F-4AD8-82F2-E1E0B87AA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6"/>
  <sheetViews>
    <sheetView workbookViewId="0">
      <selection activeCell="J892" sqref="J892"/>
    </sheetView>
  </sheetViews>
  <sheetFormatPr defaultRowHeight="19.95" customHeight="1" x14ac:dyDescent="0.2"/>
  <cols>
    <col min="1" max="1" width="56.6640625" bestFit="1" customWidth="1"/>
    <col min="2" max="2" width="12.21875" bestFit="1" customWidth="1"/>
    <col min="3" max="3" width="16.21875" bestFit="1" customWidth="1"/>
    <col min="4" max="4" width="19.6640625" bestFit="1" customWidth="1"/>
    <col min="5" max="5" width="13.88671875" bestFit="1" customWidth="1"/>
    <col min="6" max="6" width="9.5546875" style="2" bestFit="1" customWidth="1"/>
    <col min="7" max="7" width="16.109375" bestFit="1" customWidth="1"/>
    <col min="8" max="8" width="9.5546875" bestFit="1" customWidth="1"/>
    <col min="9" max="9" width="6.88671875" bestFit="1" customWidth="1"/>
    <col min="10" max="10" width="56.6640625" bestFit="1" customWidth="1"/>
  </cols>
  <sheetData>
    <row r="1" spans="1:9" ht="19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.95" customHeight="1" x14ac:dyDescent="0.2">
      <c r="A2" s="3" t="s">
        <v>9</v>
      </c>
      <c r="B2" s="3" t="s">
        <v>10</v>
      </c>
      <c r="C2" s="3" t="s">
        <v>12</v>
      </c>
      <c r="D2" s="3" t="s">
        <v>13</v>
      </c>
      <c r="E2" s="4">
        <v>4630.5</v>
      </c>
      <c r="F2" s="5" t="s">
        <v>14</v>
      </c>
      <c r="G2" s="4">
        <v>4093</v>
      </c>
      <c r="H2" s="3" t="s">
        <v>15</v>
      </c>
      <c r="I2" s="3" t="s">
        <v>16</v>
      </c>
    </row>
    <row r="3" spans="1:9" ht="19.95" customHeight="1" x14ac:dyDescent="0.2">
      <c r="A3" s="3" t="s">
        <v>9</v>
      </c>
      <c r="B3" s="3" t="s">
        <v>11</v>
      </c>
      <c r="C3" s="3" t="s">
        <v>17</v>
      </c>
      <c r="D3" s="3" t="s">
        <v>13</v>
      </c>
      <c r="E3" s="4">
        <v>1029</v>
      </c>
      <c r="F3" s="5" t="s">
        <v>14</v>
      </c>
      <c r="G3" s="6"/>
      <c r="H3" s="3" t="s">
        <v>15</v>
      </c>
      <c r="I3" s="3" t="s">
        <v>16</v>
      </c>
    </row>
    <row r="4" spans="1:9" ht="19.95" customHeight="1" x14ac:dyDescent="0.2">
      <c r="A4" s="3" t="s">
        <v>18</v>
      </c>
      <c r="B4" s="3" t="s">
        <v>10</v>
      </c>
      <c r="C4" s="3" t="s">
        <v>12</v>
      </c>
      <c r="D4" s="3" t="s">
        <v>13</v>
      </c>
      <c r="E4" s="4">
        <v>9591.75</v>
      </c>
      <c r="F4" s="5" t="s">
        <v>19</v>
      </c>
      <c r="G4" s="4">
        <v>8544</v>
      </c>
      <c r="H4" s="3" t="s">
        <v>15</v>
      </c>
      <c r="I4" s="3" t="s">
        <v>16</v>
      </c>
    </row>
    <row r="5" spans="1:9" ht="19.95" customHeight="1" x14ac:dyDescent="0.2">
      <c r="A5" s="3" t="s">
        <v>20</v>
      </c>
      <c r="B5" s="3" t="s">
        <v>10</v>
      </c>
      <c r="C5" s="3" t="s">
        <v>12</v>
      </c>
      <c r="D5" s="3" t="s">
        <v>13</v>
      </c>
      <c r="E5" s="4">
        <v>6898.5</v>
      </c>
      <c r="F5" s="5" t="s">
        <v>14</v>
      </c>
      <c r="G5" s="4">
        <v>6211</v>
      </c>
      <c r="H5" s="3" t="s">
        <v>15</v>
      </c>
      <c r="I5" s="3" t="s">
        <v>16</v>
      </c>
    </row>
    <row r="6" spans="1:9" ht="19.95" customHeight="1" x14ac:dyDescent="0.2">
      <c r="A6" s="3" t="s">
        <v>21</v>
      </c>
      <c r="B6" s="3" t="s">
        <v>10</v>
      </c>
      <c r="C6" s="3" t="s">
        <v>12</v>
      </c>
      <c r="D6" s="3" t="s">
        <v>13</v>
      </c>
      <c r="E6" s="4">
        <v>6426</v>
      </c>
      <c r="F6" s="5" t="s">
        <v>19</v>
      </c>
      <c r="G6" s="4">
        <v>5728</v>
      </c>
      <c r="H6" s="3" t="s">
        <v>15</v>
      </c>
      <c r="I6" s="3" t="s">
        <v>16</v>
      </c>
    </row>
    <row r="7" spans="1:9" ht="19.95" customHeight="1" x14ac:dyDescent="0.2">
      <c r="A7" s="3" t="s">
        <v>22</v>
      </c>
      <c r="B7" s="3" t="s">
        <v>10</v>
      </c>
      <c r="C7" s="3" t="s">
        <v>23</v>
      </c>
      <c r="D7" s="3" t="s">
        <v>13</v>
      </c>
      <c r="E7" s="4">
        <v>1612.8</v>
      </c>
      <c r="F7" s="5" t="s">
        <v>19</v>
      </c>
      <c r="G7" s="4">
        <v>1465</v>
      </c>
      <c r="H7" s="3" t="s">
        <v>15</v>
      </c>
      <c r="I7" s="3" t="s">
        <v>16</v>
      </c>
    </row>
    <row r="8" spans="1:9" ht="19.95" customHeight="1" x14ac:dyDescent="0.2">
      <c r="A8" s="3" t="s">
        <v>24</v>
      </c>
      <c r="B8" s="3" t="s">
        <v>10</v>
      </c>
      <c r="C8" s="3" t="s">
        <v>12</v>
      </c>
      <c r="D8" s="3" t="s">
        <v>13</v>
      </c>
      <c r="E8" s="4">
        <v>8505</v>
      </c>
      <c r="F8" s="5" t="s">
        <v>19</v>
      </c>
      <c r="G8" s="4">
        <v>7576</v>
      </c>
      <c r="H8" s="3" t="s">
        <v>15</v>
      </c>
      <c r="I8" s="3" t="s">
        <v>16</v>
      </c>
    </row>
    <row r="9" spans="1:9" ht="19.95" customHeight="1" x14ac:dyDescent="0.2">
      <c r="A9" s="3" t="s">
        <v>25</v>
      </c>
      <c r="B9" s="3" t="s">
        <v>11</v>
      </c>
      <c r="C9" s="3" t="s">
        <v>26</v>
      </c>
      <c r="D9" s="3" t="s">
        <v>13</v>
      </c>
      <c r="E9" s="4">
        <v>8694</v>
      </c>
      <c r="F9" s="5" t="s">
        <v>19</v>
      </c>
      <c r="G9" s="6"/>
      <c r="H9" s="3" t="s">
        <v>15</v>
      </c>
      <c r="I9" s="3" t="s">
        <v>16</v>
      </c>
    </row>
    <row r="10" spans="1:9" ht="19.95" customHeight="1" x14ac:dyDescent="0.2">
      <c r="A10" s="3" t="s">
        <v>27</v>
      </c>
      <c r="B10" s="3" t="s">
        <v>10</v>
      </c>
      <c r="C10" s="3" t="s">
        <v>28</v>
      </c>
      <c r="D10" s="3" t="s">
        <v>13</v>
      </c>
      <c r="E10" s="4">
        <v>7607.25</v>
      </c>
      <c r="F10" s="5" t="s">
        <v>19</v>
      </c>
      <c r="G10" s="4">
        <v>6849</v>
      </c>
      <c r="H10" s="3" t="s">
        <v>15</v>
      </c>
      <c r="I10" s="3" t="s">
        <v>16</v>
      </c>
    </row>
    <row r="11" spans="1:9" ht="19.95" customHeight="1" x14ac:dyDescent="0.2">
      <c r="A11" s="3" t="s">
        <v>29</v>
      </c>
      <c r="B11" s="3" t="s">
        <v>10</v>
      </c>
      <c r="C11" s="3" t="s">
        <v>12</v>
      </c>
      <c r="D11" s="3" t="s">
        <v>13</v>
      </c>
      <c r="E11" s="4">
        <v>6520.5</v>
      </c>
      <c r="F11" s="5" t="s">
        <v>19</v>
      </c>
      <c r="G11" s="4">
        <v>5871</v>
      </c>
      <c r="H11" s="3" t="s">
        <v>15</v>
      </c>
      <c r="I11" s="3" t="s">
        <v>16</v>
      </c>
    </row>
    <row r="12" spans="1:9" ht="19.95" customHeight="1" x14ac:dyDescent="0.2">
      <c r="A12" s="3" t="s">
        <v>30</v>
      </c>
      <c r="B12" s="3" t="s">
        <v>10</v>
      </c>
      <c r="C12" s="3" t="s">
        <v>17</v>
      </c>
      <c r="D12" s="3" t="s">
        <v>13</v>
      </c>
      <c r="E12" s="4">
        <v>1092</v>
      </c>
      <c r="F12" s="5" t="s">
        <v>19</v>
      </c>
      <c r="G12" s="4">
        <v>992</v>
      </c>
      <c r="H12" s="3" t="s">
        <v>15</v>
      </c>
      <c r="I12" s="3" t="s">
        <v>16</v>
      </c>
    </row>
    <row r="13" spans="1:9" ht="19.95" customHeight="1" x14ac:dyDescent="0.2">
      <c r="A13" s="3" t="s">
        <v>31</v>
      </c>
      <c r="B13" s="3" t="s">
        <v>10</v>
      </c>
      <c r="C13" s="3" t="s">
        <v>12</v>
      </c>
      <c r="D13" s="3" t="s">
        <v>13</v>
      </c>
      <c r="E13" s="4">
        <v>6804</v>
      </c>
      <c r="F13" s="5" t="s">
        <v>19</v>
      </c>
      <c r="G13" s="4">
        <v>6065</v>
      </c>
      <c r="H13" s="3" t="s">
        <v>15</v>
      </c>
      <c r="I13" s="3" t="s">
        <v>16</v>
      </c>
    </row>
    <row r="14" spans="1:9" ht="19.95" customHeight="1" x14ac:dyDescent="0.2">
      <c r="A14" s="3" t="s">
        <v>32</v>
      </c>
      <c r="B14" s="3" t="s">
        <v>10</v>
      </c>
      <c r="C14" s="3" t="s">
        <v>28</v>
      </c>
      <c r="D14" s="3" t="s">
        <v>13</v>
      </c>
      <c r="E14" s="4">
        <v>6473.25</v>
      </c>
      <c r="F14" s="5" t="s">
        <v>19</v>
      </c>
      <c r="G14" s="4">
        <v>5828</v>
      </c>
      <c r="H14" s="3" t="s">
        <v>15</v>
      </c>
      <c r="I14" s="3" t="s">
        <v>16</v>
      </c>
    </row>
    <row r="15" spans="1:9" ht="19.95" customHeight="1" x14ac:dyDescent="0.2">
      <c r="A15" s="3" t="s">
        <v>33</v>
      </c>
      <c r="B15" s="3" t="s">
        <v>10</v>
      </c>
      <c r="C15" s="3" t="s">
        <v>34</v>
      </c>
      <c r="D15" s="3" t="s">
        <v>13</v>
      </c>
      <c r="E15" s="4">
        <v>2532.6</v>
      </c>
      <c r="F15" s="5" t="s">
        <v>14</v>
      </c>
      <c r="G15" s="4">
        <v>2301</v>
      </c>
      <c r="H15" s="3" t="s">
        <v>15</v>
      </c>
      <c r="I15" s="3" t="s">
        <v>16</v>
      </c>
    </row>
    <row r="16" spans="1:9" ht="19.95" customHeight="1" x14ac:dyDescent="0.2">
      <c r="A16" s="3" t="s">
        <v>35</v>
      </c>
      <c r="B16" s="3" t="s">
        <v>11</v>
      </c>
      <c r="C16" s="3" t="s">
        <v>17</v>
      </c>
      <c r="D16" s="3" t="s">
        <v>13</v>
      </c>
      <c r="E16" s="4">
        <v>2404.5</v>
      </c>
      <c r="F16" s="5" t="s">
        <v>19</v>
      </c>
      <c r="G16" s="6"/>
      <c r="H16" s="3" t="s">
        <v>15</v>
      </c>
      <c r="I16" s="3" t="s">
        <v>16</v>
      </c>
    </row>
    <row r="17" spans="1:9" ht="19.95" customHeight="1" x14ac:dyDescent="0.2">
      <c r="A17" s="3" t="s">
        <v>36</v>
      </c>
      <c r="B17" s="3" t="s">
        <v>10</v>
      </c>
      <c r="C17" s="3" t="s">
        <v>37</v>
      </c>
      <c r="D17" s="3" t="s">
        <v>38</v>
      </c>
      <c r="E17" s="4">
        <v>610</v>
      </c>
      <c r="F17" s="5" t="s">
        <v>39</v>
      </c>
      <c r="G17" s="4">
        <v>544</v>
      </c>
      <c r="H17" s="3" t="s">
        <v>40</v>
      </c>
      <c r="I17" s="3" t="s">
        <v>41</v>
      </c>
    </row>
    <row r="18" spans="1:9" ht="19.95" customHeight="1" x14ac:dyDescent="0.2">
      <c r="A18" s="3" t="s">
        <v>42</v>
      </c>
      <c r="B18" s="3" t="s">
        <v>10</v>
      </c>
      <c r="C18" s="3" t="s">
        <v>43</v>
      </c>
      <c r="D18" s="3" t="s">
        <v>44</v>
      </c>
      <c r="E18" s="4">
        <v>7497</v>
      </c>
      <c r="F18" s="5" t="s">
        <v>19</v>
      </c>
      <c r="G18" s="4">
        <v>6679</v>
      </c>
      <c r="H18" s="3" t="s">
        <v>15</v>
      </c>
      <c r="I18" s="3" t="s">
        <v>16</v>
      </c>
    </row>
    <row r="19" spans="1:9" ht="19.95" customHeight="1" x14ac:dyDescent="0.2">
      <c r="A19" s="3" t="s">
        <v>46</v>
      </c>
      <c r="B19" s="3" t="s">
        <v>10</v>
      </c>
      <c r="C19" s="3" t="s">
        <v>47</v>
      </c>
      <c r="D19" s="3" t="s">
        <v>44</v>
      </c>
      <c r="E19" s="4">
        <v>37149.839999999997</v>
      </c>
      <c r="F19" s="5" t="s">
        <v>19</v>
      </c>
      <c r="G19" s="4">
        <v>33097</v>
      </c>
      <c r="H19" s="3" t="s">
        <v>15</v>
      </c>
      <c r="I19" s="3" t="s">
        <v>16</v>
      </c>
    </row>
    <row r="20" spans="1:9" ht="19.95" customHeight="1" x14ac:dyDescent="0.2">
      <c r="A20" s="3" t="s">
        <v>48</v>
      </c>
      <c r="B20" s="3" t="s">
        <v>10</v>
      </c>
      <c r="C20" s="3" t="s">
        <v>49</v>
      </c>
      <c r="D20" s="3" t="s">
        <v>44</v>
      </c>
      <c r="E20" s="4">
        <v>1117.2</v>
      </c>
      <c r="F20" s="5" t="s">
        <v>19</v>
      </c>
      <c r="G20" s="4">
        <v>1015</v>
      </c>
      <c r="H20" s="3" t="s">
        <v>15</v>
      </c>
      <c r="I20" s="3" t="s">
        <v>16</v>
      </c>
    </row>
    <row r="21" spans="1:9" ht="19.95" customHeight="1" x14ac:dyDescent="0.2">
      <c r="A21" s="3" t="s">
        <v>50</v>
      </c>
      <c r="B21" s="3" t="s">
        <v>45</v>
      </c>
      <c r="C21" s="3" t="s">
        <v>49</v>
      </c>
      <c r="D21" s="3" t="s">
        <v>44</v>
      </c>
      <c r="E21" s="4">
        <v>2024.4</v>
      </c>
      <c r="F21" s="5" t="s">
        <v>19</v>
      </c>
      <c r="G21" s="4">
        <v>1840</v>
      </c>
      <c r="H21" s="3" t="s">
        <v>15</v>
      </c>
      <c r="I21" s="3" t="s">
        <v>16</v>
      </c>
    </row>
    <row r="22" spans="1:9" ht="19.95" customHeight="1" x14ac:dyDescent="0.2">
      <c r="A22" s="3" t="s">
        <v>51</v>
      </c>
      <c r="B22" s="3" t="s">
        <v>10</v>
      </c>
      <c r="C22" s="3" t="s">
        <v>49</v>
      </c>
      <c r="D22" s="3" t="s">
        <v>44</v>
      </c>
      <c r="E22" s="4">
        <v>1537.2</v>
      </c>
      <c r="F22" s="5" t="s">
        <v>19</v>
      </c>
      <c r="G22" s="4">
        <v>1397</v>
      </c>
      <c r="H22" s="3" t="s">
        <v>15</v>
      </c>
      <c r="I22" s="3" t="s">
        <v>16</v>
      </c>
    </row>
    <row r="23" spans="1:9" ht="19.95" customHeight="1" x14ac:dyDescent="0.2">
      <c r="A23" s="3" t="s">
        <v>52</v>
      </c>
      <c r="B23" s="3" t="s">
        <v>10</v>
      </c>
      <c r="C23" s="3" t="s">
        <v>49</v>
      </c>
      <c r="D23" s="3" t="s">
        <v>44</v>
      </c>
      <c r="E23" s="4">
        <v>1243.2</v>
      </c>
      <c r="F23" s="5" t="s">
        <v>19</v>
      </c>
      <c r="G23" s="4">
        <v>1130</v>
      </c>
      <c r="H23" s="3" t="s">
        <v>15</v>
      </c>
      <c r="I23" s="3" t="s">
        <v>16</v>
      </c>
    </row>
    <row r="24" spans="1:9" ht="19.95" customHeight="1" x14ac:dyDescent="0.2">
      <c r="A24" s="3" t="s">
        <v>53</v>
      </c>
      <c r="B24" s="3" t="s">
        <v>10</v>
      </c>
      <c r="C24" s="3" t="s">
        <v>54</v>
      </c>
      <c r="D24" s="3" t="s">
        <v>44</v>
      </c>
      <c r="E24" s="4">
        <v>14994</v>
      </c>
      <c r="F24" s="5" t="s">
        <v>19</v>
      </c>
      <c r="G24" s="4">
        <v>13358</v>
      </c>
      <c r="H24" s="3" t="s">
        <v>15</v>
      </c>
      <c r="I24" s="3" t="s">
        <v>16</v>
      </c>
    </row>
    <row r="25" spans="1:9" ht="19.95" customHeight="1" x14ac:dyDescent="0.2">
      <c r="A25" s="3" t="s">
        <v>55</v>
      </c>
      <c r="B25" s="3" t="s">
        <v>45</v>
      </c>
      <c r="C25" s="3" t="s">
        <v>56</v>
      </c>
      <c r="D25" s="3" t="s">
        <v>57</v>
      </c>
      <c r="E25" s="4">
        <v>2440</v>
      </c>
      <c r="F25" s="5" t="s">
        <v>58</v>
      </c>
      <c r="G25" s="4">
        <v>2218</v>
      </c>
      <c r="H25" s="3" t="s">
        <v>40</v>
      </c>
      <c r="I25" s="3" t="s">
        <v>59</v>
      </c>
    </row>
    <row r="26" spans="1:9" ht="19.95" customHeight="1" x14ac:dyDescent="0.2">
      <c r="A26" s="3" t="s">
        <v>60</v>
      </c>
      <c r="B26" s="3" t="s">
        <v>10</v>
      </c>
      <c r="C26" s="3" t="s">
        <v>61</v>
      </c>
      <c r="D26" s="3" t="s">
        <v>62</v>
      </c>
      <c r="E26" s="4">
        <v>7080</v>
      </c>
      <c r="F26" s="5" t="s">
        <v>39</v>
      </c>
      <c r="G26" s="4">
        <v>6435</v>
      </c>
      <c r="H26" s="3" t="s">
        <v>63</v>
      </c>
      <c r="I26" s="3" t="s">
        <v>64</v>
      </c>
    </row>
    <row r="27" spans="1:9" ht="19.95" customHeight="1" x14ac:dyDescent="0.2">
      <c r="A27" s="3" t="s">
        <v>65</v>
      </c>
      <c r="B27" s="3" t="s">
        <v>10</v>
      </c>
      <c r="C27" s="3" t="s">
        <v>66</v>
      </c>
      <c r="D27" s="3" t="s">
        <v>67</v>
      </c>
      <c r="E27" s="4">
        <v>8190</v>
      </c>
      <c r="F27" s="5" t="s">
        <v>39</v>
      </c>
      <c r="G27" s="4">
        <v>7445</v>
      </c>
      <c r="H27" s="3" t="s">
        <v>40</v>
      </c>
      <c r="I27" s="3" t="s">
        <v>16</v>
      </c>
    </row>
    <row r="28" spans="1:9" ht="19.95" customHeight="1" x14ac:dyDescent="0.2">
      <c r="A28" s="3" t="s">
        <v>68</v>
      </c>
      <c r="B28" s="3" t="s">
        <v>10</v>
      </c>
      <c r="C28" s="3" t="s">
        <v>69</v>
      </c>
      <c r="D28" s="3" t="s">
        <v>70</v>
      </c>
      <c r="E28" s="4">
        <v>1040</v>
      </c>
      <c r="F28" s="5" t="s">
        <v>39</v>
      </c>
      <c r="G28" s="4">
        <v>926</v>
      </c>
      <c r="H28" s="3" t="s">
        <v>40</v>
      </c>
      <c r="I28" s="3" t="s">
        <v>72</v>
      </c>
    </row>
    <row r="29" spans="1:9" ht="19.95" customHeight="1" x14ac:dyDescent="0.2">
      <c r="A29" s="3" t="s">
        <v>73</v>
      </c>
      <c r="B29" s="3" t="s">
        <v>11</v>
      </c>
      <c r="C29" s="3" t="s">
        <v>74</v>
      </c>
      <c r="D29" s="3" t="s">
        <v>38</v>
      </c>
      <c r="E29" s="4">
        <v>6722.5</v>
      </c>
      <c r="F29" s="5" t="s">
        <v>75</v>
      </c>
      <c r="G29" s="6"/>
      <c r="H29" s="3" t="s">
        <v>63</v>
      </c>
      <c r="I29" s="3" t="s">
        <v>76</v>
      </c>
    </row>
    <row r="30" spans="1:9" ht="19.95" customHeight="1" x14ac:dyDescent="0.2">
      <c r="A30" s="3" t="s">
        <v>77</v>
      </c>
      <c r="B30" s="3" t="s">
        <v>45</v>
      </c>
      <c r="C30" s="3" t="s">
        <v>78</v>
      </c>
      <c r="D30" s="3" t="s">
        <v>79</v>
      </c>
      <c r="E30" s="4">
        <v>4162</v>
      </c>
      <c r="F30" s="5" t="s">
        <v>80</v>
      </c>
      <c r="G30" s="4">
        <v>3689</v>
      </c>
      <c r="H30" s="3" t="s">
        <v>81</v>
      </c>
      <c r="I30" s="3" t="s">
        <v>82</v>
      </c>
    </row>
    <row r="31" spans="1:9" ht="19.95" customHeight="1" x14ac:dyDescent="0.2">
      <c r="A31" s="3" t="s">
        <v>83</v>
      </c>
      <c r="B31" s="3" t="s">
        <v>11</v>
      </c>
      <c r="C31" s="3" t="s">
        <v>84</v>
      </c>
      <c r="D31" s="3" t="s">
        <v>85</v>
      </c>
      <c r="E31" s="4">
        <v>2140</v>
      </c>
      <c r="F31" s="5" t="s">
        <v>14</v>
      </c>
      <c r="G31" s="6"/>
      <c r="H31" s="3" t="s">
        <v>40</v>
      </c>
      <c r="I31" s="3" t="s">
        <v>86</v>
      </c>
    </row>
    <row r="32" spans="1:9" ht="19.95" customHeight="1" x14ac:dyDescent="0.2">
      <c r="A32" s="3" t="s">
        <v>87</v>
      </c>
      <c r="B32" s="3" t="s">
        <v>11</v>
      </c>
      <c r="C32" s="3" t="s">
        <v>88</v>
      </c>
      <c r="D32" s="3" t="s">
        <v>85</v>
      </c>
      <c r="E32" s="4">
        <v>3050</v>
      </c>
      <c r="F32" s="5" t="s">
        <v>89</v>
      </c>
      <c r="G32" s="6"/>
      <c r="H32" s="3" t="s">
        <v>81</v>
      </c>
      <c r="I32" s="3" t="s">
        <v>86</v>
      </c>
    </row>
    <row r="33" spans="1:9" ht="19.95" customHeight="1" x14ac:dyDescent="0.2">
      <c r="A33" s="3" t="s">
        <v>90</v>
      </c>
      <c r="B33" s="3" t="s">
        <v>91</v>
      </c>
      <c r="C33" s="3" t="s">
        <v>92</v>
      </c>
      <c r="D33" s="3" t="s">
        <v>93</v>
      </c>
      <c r="E33" s="4">
        <v>2070</v>
      </c>
      <c r="F33" s="5" t="s">
        <v>14</v>
      </c>
      <c r="G33" s="4">
        <v>1841</v>
      </c>
      <c r="H33" s="3" t="s">
        <v>63</v>
      </c>
      <c r="I33" s="3" t="s">
        <v>94</v>
      </c>
    </row>
    <row r="34" spans="1:9" ht="19.95" customHeight="1" x14ac:dyDescent="0.2">
      <c r="A34" s="3" t="s">
        <v>95</v>
      </c>
      <c r="B34" s="3" t="s">
        <v>10</v>
      </c>
      <c r="C34" s="3" t="s">
        <v>96</v>
      </c>
      <c r="D34" s="3" t="s">
        <v>97</v>
      </c>
      <c r="E34" s="4">
        <v>6820</v>
      </c>
      <c r="F34" s="5" t="s">
        <v>98</v>
      </c>
      <c r="G34" s="4">
        <v>6075</v>
      </c>
      <c r="H34" s="3" t="s">
        <v>81</v>
      </c>
      <c r="I34" s="3" t="s">
        <v>99</v>
      </c>
    </row>
    <row r="35" spans="1:9" ht="19.95" customHeight="1" x14ac:dyDescent="0.2">
      <c r="A35" s="3" t="s">
        <v>100</v>
      </c>
      <c r="B35" s="3" t="s">
        <v>45</v>
      </c>
      <c r="C35" s="3" t="s">
        <v>101</v>
      </c>
      <c r="D35" s="3" t="s">
        <v>102</v>
      </c>
      <c r="E35" s="4">
        <v>1500</v>
      </c>
      <c r="F35" s="5" t="s">
        <v>19</v>
      </c>
      <c r="G35" s="4">
        <v>1251</v>
      </c>
      <c r="H35" s="3" t="s">
        <v>63</v>
      </c>
      <c r="I35" s="3" t="s">
        <v>103</v>
      </c>
    </row>
    <row r="36" spans="1:9" ht="19.95" customHeight="1" x14ac:dyDescent="0.2">
      <c r="A36" s="3" t="s">
        <v>104</v>
      </c>
      <c r="B36" s="3" t="s">
        <v>71</v>
      </c>
      <c r="C36" s="3" t="s">
        <v>37</v>
      </c>
      <c r="D36" s="3" t="s">
        <v>105</v>
      </c>
      <c r="E36" s="4">
        <v>2590</v>
      </c>
      <c r="F36" s="5" t="s">
        <v>39</v>
      </c>
      <c r="G36" s="4">
        <v>2308</v>
      </c>
      <c r="H36" s="3" t="s">
        <v>40</v>
      </c>
      <c r="I36" s="3" t="s">
        <v>106</v>
      </c>
    </row>
    <row r="37" spans="1:9" ht="19.95" customHeight="1" x14ac:dyDescent="0.2">
      <c r="A37" s="3" t="s">
        <v>107</v>
      </c>
      <c r="B37" s="3" t="s">
        <v>11</v>
      </c>
      <c r="C37" s="3" t="s">
        <v>108</v>
      </c>
      <c r="D37" s="3" t="s">
        <v>109</v>
      </c>
      <c r="E37" s="4">
        <v>3680</v>
      </c>
      <c r="F37" s="5" t="s">
        <v>111</v>
      </c>
      <c r="G37" s="6"/>
      <c r="H37" s="3" t="s">
        <v>81</v>
      </c>
      <c r="I37" s="3" t="s">
        <v>112</v>
      </c>
    </row>
    <row r="38" spans="1:9" ht="19.95" customHeight="1" x14ac:dyDescent="0.2">
      <c r="A38" s="3" t="s">
        <v>113</v>
      </c>
      <c r="B38" s="3" t="s">
        <v>11</v>
      </c>
      <c r="C38" s="3" t="s">
        <v>114</v>
      </c>
      <c r="D38" s="3" t="s">
        <v>115</v>
      </c>
      <c r="E38" s="4">
        <v>3642</v>
      </c>
      <c r="F38" s="5" t="s">
        <v>39</v>
      </c>
      <c r="G38" s="6"/>
      <c r="H38" s="3" t="s">
        <v>40</v>
      </c>
      <c r="I38" s="3" t="s">
        <v>116</v>
      </c>
    </row>
    <row r="39" spans="1:9" ht="19.95" customHeight="1" x14ac:dyDescent="0.2">
      <c r="A39" s="3" t="s">
        <v>117</v>
      </c>
      <c r="B39" s="3" t="s">
        <v>45</v>
      </c>
      <c r="C39" s="3" t="s">
        <v>118</v>
      </c>
      <c r="D39" s="3" t="s">
        <v>109</v>
      </c>
      <c r="E39" s="4">
        <v>5480</v>
      </c>
      <c r="F39" s="5" t="s">
        <v>39</v>
      </c>
      <c r="G39" s="4">
        <v>4165</v>
      </c>
      <c r="H39" s="3" t="s">
        <v>40</v>
      </c>
      <c r="I39" s="3" t="s">
        <v>72</v>
      </c>
    </row>
    <row r="40" spans="1:9" ht="19.95" customHeight="1" x14ac:dyDescent="0.2">
      <c r="A40" s="3" t="s">
        <v>117</v>
      </c>
      <c r="B40" s="3" t="s">
        <v>45</v>
      </c>
      <c r="C40" s="3" t="s">
        <v>69</v>
      </c>
      <c r="D40" s="3" t="s">
        <v>109</v>
      </c>
      <c r="E40" s="4">
        <v>2740</v>
      </c>
      <c r="F40" s="5" t="s">
        <v>39</v>
      </c>
      <c r="G40" s="4">
        <v>2082</v>
      </c>
      <c r="H40" s="3" t="s">
        <v>40</v>
      </c>
      <c r="I40" s="3" t="s">
        <v>72</v>
      </c>
    </row>
    <row r="41" spans="1:9" ht="19.95" customHeight="1" x14ac:dyDescent="0.2">
      <c r="A41" s="3" t="s">
        <v>119</v>
      </c>
      <c r="B41" s="3" t="s">
        <v>45</v>
      </c>
      <c r="C41" s="3" t="s">
        <v>120</v>
      </c>
      <c r="D41" s="3" t="s">
        <v>121</v>
      </c>
      <c r="E41" s="4">
        <v>5000</v>
      </c>
      <c r="F41" s="5" t="s">
        <v>89</v>
      </c>
      <c r="G41" s="4">
        <v>4545</v>
      </c>
      <c r="H41" s="3" t="s">
        <v>81</v>
      </c>
      <c r="I41" s="3" t="s">
        <v>122</v>
      </c>
    </row>
    <row r="42" spans="1:9" ht="19.95" customHeight="1" x14ac:dyDescent="0.2">
      <c r="A42" s="3" t="s">
        <v>123</v>
      </c>
      <c r="B42" s="3" t="s">
        <v>115</v>
      </c>
      <c r="C42" s="3" t="s">
        <v>124</v>
      </c>
      <c r="D42" s="3" t="s">
        <v>115</v>
      </c>
      <c r="E42" s="4">
        <v>10000</v>
      </c>
      <c r="F42" s="5" t="s">
        <v>89</v>
      </c>
      <c r="G42" s="4">
        <v>7220</v>
      </c>
      <c r="H42" s="3" t="s">
        <v>81</v>
      </c>
      <c r="I42" s="3" t="s">
        <v>122</v>
      </c>
    </row>
    <row r="43" spans="1:9" ht="19.95" customHeight="1" x14ac:dyDescent="0.2">
      <c r="A43" s="3" t="s">
        <v>125</v>
      </c>
      <c r="B43" s="3" t="s">
        <v>10</v>
      </c>
      <c r="C43" s="3" t="s">
        <v>126</v>
      </c>
      <c r="D43" s="3" t="s">
        <v>127</v>
      </c>
      <c r="E43" s="4">
        <v>1606</v>
      </c>
      <c r="F43" s="5" t="s">
        <v>128</v>
      </c>
      <c r="G43" s="4">
        <v>1431</v>
      </c>
      <c r="H43" s="3" t="s">
        <v>63</v>
      </c>
      <c r="I43" s="3" t="s">
        <v>129</v>
      </c>
    </row>
    <row r="44" spans="1:9" ht="19.95" customHeight="1" x14ac:dyDescent="0.2">
      <c r="A44" s="3" t="s">
        <v>130</v>
      </c>
      <c r="B44" s="3" t="s">
        <v>71</v>
      </c>
      <c r="C44" s="3" t="s">
        <v>69</v>
      </c>
      <c r="D44" s="3" t="s">
        <v>131</v>
      </c>
      <c r="E44" s="4">
        <v>590</v>
      </c>
      <c r="F44" s="5" t="s">
        <v>39</v>
      </c>
      <c r="G44" s="4">
        <v>525</v>
      </c>
      <c r="H44" s="3" t="s">
        <v>40</v>
      </c>
      <c r="I44" s="3" t="s">
        <v>132</v>
      </c>
    </row>
    <row r="45" spans="1:9" ht="19.95" customHeight="1" x14ac:dyDescent="0.2">
      <c r="A45" s="3" t="s">
        <v>130</v>
      </c>
      <c r="B45" s="3" t="s">
        <v>71</v>
      </c>
      <c r="C45" s="3" t="s">
        <v>133</v>
      </c>
      <c r="D45" s="3" t="s">
        <v>134</v>
      </c>
      <c r="E45" s="4">
        <v>2950</v>
      </c>
      <c r="F45" s="5" t="s">
        <v>39</v>
      </c>
      <c r="G45" s="4">
        <v>2629</v>
      </c>
      <c r="H45" s="3" t="s">
        <v>40</v>
      </c>
      <c r="I45" s="3" t="s">
        <v>132</v>
      </c>
    </row>
    <row r="46" spans="1:9" ht="19.95" customHeight="1" x14ac:dyDescent="0.2">
      <c r="A46" s="3" t="s">
        <v>135</v>
      </c>
      <c r="B46" s="3" t="s">
        <v>71</v>
      </c>
      <c r="C46" s="3" t="s">
        <v>136</v>
      </c>
      <c r="D46" s="3" t="s">
        <v>131</v>
      </c>
      <c r="E46" s="4">
        <v>3350</v>
      </c>
      <c r="F46" s="5" t="s">
        <v>14</v>
      </c>
      <c r="G46" s="4">
        <v>2985</v>
      </c>
      <c r="H46" s="3" t="s">
        <v>40</v>
      </c>
      <c r="I46" s="3" t="s">
        <v>137</v>
      </c>
    </row>
    <row r="47" spans="1:9" ht="19.95" customHeight="1" x14ac:dyDescent="0.2">
      <c r="A47" s="3" t="s">
        <v>138</v>
      </c>
      <c r="B47" s="3" t="s">
        <v>71</v>
      </c>
      <c r="C47" s="3" t="s">
        <v>69</v>
      </c>
      <c r="D47" s="3" t="s">
        <v>139</v>
      </c>
      <c r="E47" s="4">
        <v>610</v>
      </c>
      <c r="F47" s="5" t="s">
        <v>39</v>
      </c>
      <c r="G47" s="4">
        <v>544</v>
      </c>
      <c r="H47" s="3" t="s">
        <v>40</v>
      </c>
      <c r="I47" s="3" t="s">
        <v>137</v>
      </c>
    </row>
    <row r="48" spans="1:9" ht="19.95" customHeight="1" x14ac:dyDescent="0.2">
      <c r="A48" s="3" t="s">
        <v>138</v>
      </c>
      <c r="B48" s="3" t="s">
        <v>71</v>
      </c>
      <c r="C48" s="3" t="s">
        <v>140</v>
      </c>
      <c r="D48" s="3" t="s">
        <v>131</v>
      </c>
      <c r="E48" s="4">
        <v>6100</v>
      </c>
      <c r="F48" s="5" t="s">
        <v>39</v>
      </c>
      <c r="G48" s="4">
        <v>5435</v>
      </c>
      <c r="H48" s="3" t="s">
        <v>40</v>
      </c>
      <c r="I48" s="3" t="s">
        <v>137</v>
      </c>
    </row>
    <row r="49" spans="1:9" ht="19.95" customHeight="1" x14ac:dyDescent="0.2">
      <c r="A49" s="3" t="s">
        <v>141</v>
      </c>
      <c r="B49" s="3" t="s">
        <v>45</v>
      </c>
      <c r="C49" s="3" t="s">
        <v>142</v>
      </c>
      <c r="D49" s="3" t="s">
        <v>143</v>
      </c>
      <c r="E49" s="4">
        <v>1810</v>
      </c>
      <c r="F49" s="5" t="s">
        <v>144</v>
      </c>
      <c r="G49" s="4">
        <v>1637</v>
      </c>
      <c r="H49" s="3" t="s">
        <v>81</v>
      </c>
      <c r="I49" s="3" t="s">
        <v>137</v>
      </c>
    </row>
    <row r="50" spans="1:9" ht="19.95" customHeight="1" x14ac:dyDescent="0.2">
      <c r="A50" s="3" t="s">
        <v>145</v>
      </c>
      <c r="B50" s="3" t="s">
        <v>11</v>
      </c>
      <c r="C50" s="3" t="s">
        <v>146</v>
      </c>
      <c r="D50" s="3" t="s">
        <v>147</v>
      </c>
      <c r="E50" s="4">
        <v>916</v>
      </c>
      <c r="F50" s="5" t="s">
        <v>148</v>
      </c>
      <c r="G50" s="6"/>
      <c r="H50" s="3" t="s">
        <v>63</v>
      </c>
      <c r="I50" s="3" t="s">
        <v>76</v>
      </c>
    </row>
    <row r="51" spans="1:9" ht="19.95" customHeight="1" x14ac:dyDescent="0.2">
      <c r="A51" s="3" t="s">
        <v>149</v>
      </c>
      <c r="B51" s="3" t="s">
        <v>11</v>
      </c>
      <c r="C51" s="3" t="s">
        <v>150</v>
      </c>
      <c r="D51" s="3" t="s">
        <v>151</v>
      </c>
      <c r="E51" s="6"/>
      <c r="F51" s="5" t="s">
        <v>11</v>
      </c>
      <c r="G51" s="6"/>
      <c r="H51" s="3" t="s">
        <v>152</v>
      </c>
      <c r="I51" s="3" t="s">
        <v>153</v>
      </c>
    </row>
    <row r="52" spans="1:9" ht="19.95" customHeight="1" x14ac:dyDescent="0.2">
      <c r="A52" s="3" t="s">
        <v>154</v>
      </c>
      <c r="B52" s="3" t="s">
        <v>45</v>
      </c>
      <c r="C52" s="3" t="s">
        <v>155</v>
      </c>
      <c r="D52" s="3" t="s">
        <v>143</v>
      </c>
      <c r="E52" s="4">
        <v>5960</v>
      </c>
      <c r="F52" s="5" t="s">
        <v>98</v>
      </c>
      <c r="G52" s="4">
        <v>5360</v>
      </c>
      <c r="H52" s="3" t="s">
        <v>81</v>
      </c>
      <c r="I52" s="3" t="s">
        <v>156</v>
      </c>
    </row>
    <row r="53" spans="1:9" ht="19.95" customHeight="1" x14ac:dyDescent="0.2">
      <c r="A53" s="3" t="s">
        <v>157</v>
      </c>
      <c r="B53" s="3" t="s">
        <v>11</v>
      </c>
      <c r="C53" s="3" t="s">
        <v>158</v>
      </c>
      <c r="D53" s="3" t="s">
        <v>159</v>
      </c>
      <c r="E53" s="4">
        <v>16460</v>
      </c>
      <c r="F53" s="5" t="s">
        <v>148</v>
      </c>
      <c r="G53" s="6"/>
      <c r="H53" s="3" t="s">
        <v>81</v>
      </c>
      <c r="I53" s="3" t="s">
        <v>137</v>
      </c>
    </row>
    <row r="54" spans="1:9" ht="19.95" customHeight="1" x14ac:dyDescent="0.2">
      <c r="A54" s="3" t="s">
        <v>160</v>
      </c>
      <c r="B54" s="3" t="s">
        <v>10</v>
      </c>
      <c r="C54" s="3" t="s">
        <v>69</v>
      </c>
      <c r="D54" s="3" t="s">
        <v>70</v>
      </c>
      <c r="E54" s="4">
        <v>1040</v>
      </c>
      <c r="F54" s="5" t="s">
        <v>39</v>
      </c>
      <c r="G54" s="4">
        <v>926</v>
      </c>
      <c r="H54" s="3" t="s">
        <v>40</v>
      </c>
      <c r="I54" s="3" t="s">
        <v>161</v>
      </c>
    </row>
    <row r="55" spans="1:9" ht="19.95" customHeight="1" x14ac:dyDescent="0.2">
      <c r="A55" s="3" t="s">
        <v>162</v>
      </c>
      <c r="B55" s="3" t="s">
        <v>11</v>
      </c>
      <c r="C55" s="3" t="s">
        <v>69</v>
      </c>
      <c r="D55" s="3" t="s">
        <v>70</v>
      </c>
      <c r="E55" s="4">
        <v>1130</v>
      </c>
      <c r="F55" s="5" t="s">
        <v>39</v>
      </c>
      <c r="G55" s="6"/>
      <c r="H55" s="3" t="s">
        <v>40</v>
      </c>
      <c r="I55" s="3" t="s">
        <v>161</v>
      </c>
    </row>
    <row r="56" spans="1:9" ht="19.95" customHeight="1" x14ac:dyDescent="0.2">
      <c r="A56" s="3" t="s">
        <v>163</v>
      </c>
      <c r="B56" s="3" t="s">
        <v>10</v>
      </c>
      <c r="C56" s="3" t="s">
        <v>37</v>
      </c>
      <c r="D56" s="3" t="s">
        <v>164</v>
      </c>
      <c r="E56" s="4">
        <v>1320</v>
      </c>
      <c r="F56" s="5" t="s">
        <v>39</v>
      </c>
      <c r="G56" s="4">
        <v>1176</v>
      </c>
      <c r="H56" s="3" t="s">
        <v>40</v>
      </c>
      <c r="I56" s="3" t="s">
        <v>165</v>
      </c>
    </row>
    <row r="57" spans="1:9" ht="19.95" customHeight="1" x14ac:dyDescent="0.2">
      <c r="A57" s="3" t="s">
        <v>166</v>
      </c>
      <c r="B57" s="3" t="s">
        <v>71</v>
      </c>
      <c r="C57" s="3" t="s">
        <v>37</v>
      </c>
      <c r="D57" s="3" t="s">
        <v>105</v>
      </c>
      <c r="E57" s="4">
        <v>610</v>
      </c>
      <c r="F57" s="5" t="s">
        <v>39</v>
      </c>
      <c r="G57" s="4">
        <v>536</v>
      </c>
      <c r="H57" s="3" t="s">
        <v>40</v>
      </c>
      <c r="I57" s="3" t="s">
        <v>167</v>
      </c>
    </row>
    <row r="58" spans="1:9" ht="19.95" customHeight="1" x14ac:dyDescent="0.2">
      <c r="A58" s="3" t="s">
        <v>168</v>
      </c>
      <c r="B58" s="3" t="s">
        <v>110</v>
      </c>
      <c r="C58" s="3" t="s">
        <v>169</v>
      </c>
      <c r="D58" s="3" t="s">
        <v>170</v>
      </c>
      <c r="E58" s="4">
        <v>3952.1</v>
      </c>
      <c r="F58" s="5" t="s">
        <v>171</v>
      </c>
      <c r="G58" s="4">
        <v>3430</v>
      </c>
      <c r="H58" s="3" t="s">
        <v>63</v>
      </c>
      <c r="I58" s="3" t="s">
        <v>172</v>
      </c>
    </row>
    <row r="59" spans="1:9" ht="19.95" customHeight="1" x14ac:dyDescent="0.2">
      <c r="A59" s="3" t="s">
        <v>173</v>
      </c>
      <c r="B59" s="3" t="s">
        <v>45</v>
      </c>
      <c r="C59" s="3" t="s">
        <v>84</v>
      </c>
      <c r="D59" s="3" t="s">
        <v>131</v>
      </c>
      <c r="E59" s="4">
        <v>3250</v>
      </c>
      <c r="F59" s="5" t="s">
        <v>14</v>
      </c>
      <c r="G59" s="4">
        <v>2860</v>
      </c>
      <c r="H59" s="3" t="s">
        <v>40</v>
      </c>
      <c r="I59" s="3" t="s">
        <v>174</v>
      </c>
    </row>
    <row r="60" spans="1:9" ht="19.95" customHeight="1" x14ac:dyDescent="0.2">
      <c r="A60" s="3" t="s">
        <v>175</v>
      </c>
      <c r="B60" s="3" t="s">
        <v>45</v>
      </c>
      <c r="C60" s="3" t="s">
        <v>176</v>
      </c>
      <c r="D60" s="3" t="s">
        <v>131</v>
      </c>
      <c r="E60" s="4">
        <v>3850</v>
      </c>
      <c r="F60" s="5" t="s">
        <v>39</v>
      </c>
      <c r="G60" s="4">
        <v>3388</v>
      </c>
      <c r="H60" s="3" t="s">
        <v>40</v>
      </c>
      <c r="I60" s="3" t="s">
        <v>174</v>
      </c>
    </row>
    <row r="61" spans="1:9" ht="19.95" customHeight="1" x14ac:dyDescent="0.2">
      <c r="A61" s="3" t="s">
        <v>177</v>
      </c>
      <c r="B61" s="3" t="s">
        <v>11</v>
      </c>
      <c r="C61" s="3" t="s">
        <v>178</v>
      </c>
      <c r="D61" s="3" t="s">
        <v>139</v>
      </c>
      <c r="E61" s="4">
        <v>4450</v>
      </c>
      <c r="F61" s="5" t="s">
        <v>89</v>
      </c>
      <c r="G61" s="6"/>
      <c r="H61" s="3" t="s">
        <v>81</v>
      </c>
      <c r="I61" s="3" t="s">
        <v>174</v>
      </c>
    </row>
    <row r="62" spans="1:9" ht="19.95" customHeight="1" x14ac:dyDescent="0.2">
      <c r="A62" s="3" t="s">
        <v>177</v>
      </c>
      <c r="B62" s="3" t="s">
        <v>45</v>
      </c>
      <c r="C62" s="3" t="s">
        <v>179</v>
      </c>
      <c r="D62" s="3" t="s">
        <v>139</v>
      </c>
      <c r="E62" s="4">
        <v>890</v>
      </c>
      <c r="F62" s="5" t="s">
        <v>89</v>
      </c>
      <c r="G62" s="4">
        <v>792</v>
      </c>
      <c r="H62" s="3" t="s">
        <v>81</v>
      </c>
      <c r="I62" s="3" t="s">
        <v>174</v>
      </c>
    </row>
    <row r="63" spans="1:9" ht="19.95" customHeight="1" x14ac:dyDescent="0.2">
      <c r="A63" s="3" t="s">
        <v>180</v>
      </c>
      <c r="B63" s="3" t="s">
        <v>11</v>
      </c>
      <c r="C63" s="3" t="s">
        <v>181</v>
      </c>
      <c r="D63" s="3" t="s">
        <v>182</v>
      </c>
      <c r="E63" s="4">
        <v>6160</v>
      </c>
      <c r="F63" s="5" t="s">
        <v>183</v>
      </c>
      <c r="G63" s="6"/>
      <c r="H63" s="3" t="s">
        <v>63</v>
      </c>
      <c r="I63" s="3" t="s">
        <v>129</v>
      </c>
    </row>
    <row r="64" spans="1:9" ht="19.95" customHeight="1" x14ac:dyDescent="0.2">
      <c r="A64" s="3" t="s">
        <v>184</v>
      </c>
      <c r="B64" s="3" t="s">
        <v>10</v>
      </c>
      <c r="C64" s="3" t="s">
        <v>185</v>
      </c>
      <c r="D64" s="3" t="s">
        <v>186</v>
      </c>
      <c r="E64" s="4">
        <v>7042</v>
      </c>
      <c r="F64" s="5" t="s">
        <v>58</v>
      </c>
      <c r="G64" s="4">
        <v>6273</v>
      </c>
      <c r="H64" s="3" t="s">
        <v>40</v>
      </c>
      <c r="I64" s="3" t="s">
        <v>187</v>
      </c>
    </row>
    <row r="65" spans="1:9" ht="19.95" customHeight="1" x14ac:dyDescent="0.2">
      <c r="A65" s="3" t="s">
        <v>188</v>
      </c>
      <c r="B65" s="3" t="s">
        <v>45</v>
      </c>
      <c r="C65" s="3" t="s">
        <v>185</v>
      </c>
      <c r="D65" s="3" t="s">
        <v>109</v>
      </c>
      <c r="E65" s="4">
        <v>7042</v>
      </c>
      <c r="F65" s="5" t="s">
        <v>58</v>
      </c>
      <c r="G65" s="4">
        <v>5563</v>
      </c>
      <c r="H65" s="3" t="s">
        <v>40</v>
      </c>
      <c r="I65" s="3" t="s">
        <v>187</v>
      </c>
    </row>
    <row r="66" spans="1:9" ht="19.95" customHeight="1" x14ac:dyDescent="0.2">
      <c r="A66" s="3" t="s">
        <v>189</v>
      </c>
      <c r="B66" s="3" t="s">
        <v>10</v>
      </c>
      <c r="C66" s="3" t="s">
        <v>185</v>
      </c>
      <c r="D66" s="3" t="s">
        <v>186</v>
      </c>
      <c r="E66" s="4">
        <v>9058</v>
      </c>
      <c r="F66" s="5" t="s">
        <v>58</v>
      </c>
      <c r="G66" s="4">
        <v>8069</v>
      </c>
      <c r="H66" s="3" t="s">
        <v>40</v>
      </c>
      <c r="I66" s="3" t="s">
        <v>187</v>
      </c>
    </row>
    <row r="67" spans="1:9" ht="19.95" customHeight="1" x14ac:dyDescent="0.2">
      <c r="A67" s="3" t="s">
        <v>190</v>
      </c>
      <c r="B67" s="3" t="s">
        <v>45</v>
      </c>
      <c r="C67" s="3" t="s">
        <v>185</v>
      </c>
      <c r="D67" s="3" t="s">
        <v>109</v>
      </c>
      <c r="E67" s="4">
        <v>9058</v>
      </c>
      <c r="F67" s="5" t="s">
        <v>58</v>
      </c>
      <c r="G67" s="4">
        <v>7156</v>
      </c>
      <c r="H67" s="3" t="s">
        <v>40</v>
      </c>
      <c r="I67" s="3" t="s">
        <v>187</v>
      </c>
    </row>
    <row r="68" spans="1:9" ht="19.95" customHeight="1" x14ac:dyDescent="0.2">
      <c r="A68" s="3" t="s">
        <v>191</v>
      </c>
      <c r="B68" s="3" t="s">
        <v>115</v>
      </c>
      <c r="C68" s="3" t="s">
        <v>69</v>
      </c>
      <c r="D68" s="3" t="s">
        <v>115</v>
      </c>
      <c r="E68" s="4">
        <v>1390</v>
      </c>
      <c r="F68" s="5" t="s">
        <v>39</v>
      </c>
      <c r="G68" s="4">
        <v>1210</v>
      </c>
      <c r="H68" s="3" t="s">
        <v>40</v>
      </c>
      <c r="I68" s="3" t="s">
        <v>59</v>
      </c>
    </row>
    <row r="69" spans="1:9" ht="19.95" customHeight="1" x14ac:dyDescent="0.2">
      <c r="A69" s="3" t="s">
        <v>191</v>
      </c>
      <c r="B69" s="3" t="s">
        <v>115</v>
      </c>
      <c r="C69" s="3" t="s">
        <v>192</v>
      </c>
      <c r="D69" s="3" t="s">
        <v>115</v>
      </c>
      <c r="E69" s="4">
        <v>4170</v>
      </c>
      <c r="F69" s="5" t="s">
        <v>39</v>
      </c>
      <c r="G69" s="4">
        <v>3630</v>
      </c>
      <c r="H69" s="3" t="s">
        <v>40</v>
      </c>
      <c r="I69" s="3" t="s">
        <v>59</v>
      </c>
    </row>
    <row r="70" spans="1:9" ht="19.95" customHeight="1" x14ac:dyDescent="0.2">
      <c r="A70" s="3" t="s">
        <v>193</v>
      </c>
      <c r="B70" s="3" t="s">
        <v>11</v>
      </c>
      <c r="C70" s="3" t="s">
        <v>194</v>
      </c>
      <c r="D70" s="3" t="s">
        <v>139</v>
      </c>
      <c r="E70" s="4">
        <v>1000</v>
      </c>
      <c r="F70" s="5" t="s">
        <v>89</v>
      </c>
      <c r="G70" s="6"/>
      <c r="H70" s="3" t="s">
        <v>81</v>
      </c>
      <c r="I70" s="3" t="s">
        <v>195</v>
      </c>
    </row>
    <row r="71" spans="1:9" ht="19.95" customHeight="1" x14ac:dyDescent="0.2">
      <c r="A71" s="3" t="s">
        <v>196</v>
      </c>
      <c r="B71" s="3" t="s">
        <v>11</v>
      </c>
      <c r="C71" s="3" t="s">
        <v>197</v>
      </c>
      <c r="D71" s="3" t="s">
        <v>198</v>
      </c>
      <c r="E71" s="4">
        <v>1755</v>
      </c>
      <c r="F71" s="5" t="s">
        <v>39</v>
      </c>
      <c r="G71" s="6"/>
      <c r="H71" s="3" t="s">
        <v>40</v>
      </c>
      <c r="I71" s="3" t="s">
        <v>199</v>
      </c>
    </row>
    <row r="72" spans="1:9" ht="19.95" customHeight="1" x14ac:dyDescent="0.2">
      <c r="A72" s="3" t="s">
        <v>200</v>
      </c>
      <c r="B72" s="3" t="s">
        <v>10</v>
      </c>
      <c r="C72" s="3" t="s">
        <v>197</v>
      </c>
      <c r="D72" s="3" t="s">
        <v>109</v>
      </c>
      <c r="E72" s="4">
        <v>1755</v>
      </c>
      <c r="F72" s="5" t="s">
        <v>39</v>
      </c>
      <c r="G72" s="4">
        <v>1458</v>
      </c>
      <c r="H72" s="3" t="s">
        <v>40</v>
      </c>
      <c r="I72" s="3" t="s">
        <v>199</v>
      </c>
    </row>
    <row r="73" spans="1:9" ht="19.95" customHeight="1" x14ac:dyDescent="0.2">
      <c r="A73" s="3" t="s">
        <v>201</v>
      </c>
      <c r="B73" s="3" t="s">
        <v>11</v>
      </c>
      <c r="C73" s="3" t="s">
        <v>202</v>
      </c>
      <c r="D73" s="3" t="s">
        <v>57</v>
      </c>
      <c r="E73" s="4">
        <v>2970</v>
      </c>
      <c r="F73" s="5" t="s">
        <v>39</v>
      </c>
      <c r="G73" s="6"/>
      <c r="H73" s="3" t="s">
        <v>40</v>
      </c>
      <c r="I73" s="3" t="s">
        <v>187</v>
      </c>
    </row>
    <row r="74" spans="1:9" ht="19.95" customHeight="1" x14ac:dyDescent="0.2">
      <c r="A74" s="3" t="s">
        <v>203</v>
      </c>
      <c r="B74" s="3" t="s">
        <v>71</v>
      </c>
      <c r="C74" s="3" t="s">
        <v>204</v>
      </c>
      <c r="D74" s="3" t="s">
        <v>205</v>
      </c>
      <c r="E74" s="4">
        <v>10005</v>
      </c>
      <c r="F74" s="5" t="s">
        <v>89</v>
      </c>
      <c r="G74" s="4">
        <v>9005</v>
      </c>
      <c r="H74" s="3" t="s">
        <v>81</v>
      </c>
      <c r="I74" s="3" t="s">
        <v>206</v>
      </c>
    </row>
    <row r="75" spans="1:9" ht="19.95" customHeight="1" x14ac:dyDescent="0.2">
      <c r="A75" s="3" t="s">
        <v>207</v>
      </c>
      <c r="B75" s="3" t="s">
        <v>11</v>
      </c>
      <c r="C75" s="3" t="s">
        <v>208</v>
      </c>
      <c r="D75" s="3" t="s">
        <v>170</v>
      </c>
      <c r="E75" s="4">
        <v>5445.1</v>
      </c>
      <c r="F75" s="5" t="s">
        <v>209</v>
      </c>
      <c r="G75" s="6"/>
      <c r="H75" s="3" t="s">
        <v>63</v>
      </c>
      <c r="I75" s="3" t="s">
        <v>210</v>
      </c>
    </row>
    <row r="76" spans="1:9" ht="19.95" customHeight="1" x14ac:dyDescent="0.2">
      <c r="A76" s="3" t="s">
        <v>211</v>
      </c>
      <c r="B76" s="3" t="s">
        <v>11</v>
      </c>
      <c r="C76" s="3" t="s">
        <v>69</v>
      </c>
      <c r="D76" s="3" t="s">
        <v>212</v>
      </c>
      <c r="E76" s="4">
        <v>610</v>
      </c>
      <c r="F76" s="5" t="s">
        <v>39</v>
      </c>
      <c r="G76" s="4">
        <v>510</v>
      </c>
      <c r="H76" s="3" t="s">
        <v>40</v>
      </c>
      <c r="I76" s="3" t="s">
        <v>86</v>
      </c>
    </row>
    <row r="77" spans="1:9" ht="19.95" customHeight="1" x14ac:dyDescent="0.2">
      <c r="A77" s="3" t="s">
        <v>213</v>
      </c>
      <c r="B77" s="3" t="s">
        <v>11</v>
      </c>
      <c r="C77" s="3" t="s">
        <v>37</v>
      </c>
      <c r="D77" s="3" t="s">
        <v>205</v>
      </c>
      <c r="E77" s="4">
        <v>4410</v>
      </c>
      <c r="F77" s="5" t="s">
        <v>39</v>
      </c>
      <c r="G77" s="6"/>
      <c r="H77" s="3" t="s">
        <v>40</v>
      </c>
      <c r="I77" s="3" t="s">
        <v>206</v>
      </c>
    </row>
    <row r="78" spans="1:9" ht="19.95" customHeight="1" x14ac:dyDescent="0.2">
      <c r="A78" s="3" t="s">
        <v>214</v>
      </c>
      <c r="B78" s="3" t="s">
        <v>45</v>
      </c>
      <c r="C78" s="3" t="s">
        <v>215</v>
      </c>
      <c r="D78" s="3" t="s">
        <v>216</v>
      </c>
      <c r="E78" s="4">
        <v>48450</v>
      </c>
      <c r="F78" s="5" t="s">
        <v>58</v>
      </c>
      <c r="G78" s="4">
        <v>41183</v>
      </c>
      <c r="H78" s="3" t="s">
        <v>40</v>
      </c>
      <c r="I78" s="3" t="s">
        <v>217</v>
      </c>
    </row>
    <row r="79" spans="1:9" ht="19.95" customHeight="1" x14ac:dyDescent="0.2">
      <c r="A79" s="3" t="s">
        <v>218</v>
      </c>
      <c r="B79" s="3" t="s">
        <v>11</v>
      </c>
      <c r="C79" s="3" t="s">
        <v>219</v>
      </c>
      <c r="D79" s="3" t="s">
        <v>93</v>
      </c>
      <c r="E79" s="4">
        <v>9324</v>
      </c>
      <c r="F79" s="5" t="s">
        <v>128</v>
      </c>
      <c r="G79" s="6"/>
      <c r="H79" s="3" t="s">
        <v>40</v>
      </c>
      <c r="I79" s="3" t="s">
        <v>220</v>
      </c>
    </row>
    <row r="80" spans="1:9" ht="19.95" customHeight="1" x14ac:dyDescent="0.2">
      <c r="A80" s="3" t="s">
        <v>221</v>
      </c>
      <c r="B80" s="3" t="s">
        <v>11</v>
      </c>
      <c r="C80" s="3" t="s">
        <v>222</v>
      </c>
      <c r="D80" s="3" t="s">
        <v>93</v>
      </c>
      <c r="E80" s="4">
        <v>14300</v>
      </c>
      <c r="F80" s="5" t="s">
        <v>98</v>
      </c>
      <c r="G80" s="6"/>
      <c r="H80" s="3" t="s">
        <v>81</v>
      </c>
      <c r="I80" s="3" t="s">
        <v>220</v>
      </c>
    </row>
    <row r="81" spans="1:9" ht="19.95" customHeight="1" x14ac:dyDescent="0.2">
      <c r="A81" s="3" t="s">
        <v>223</v>
      </c>
      <c r="B81" s="3" t="s">
        <v>11</v>
      </c>
      <c r="C81" s="3" t="s">
        <v>176</v>
      </c>
      <c r="D81" s="3" t="s">
        <v>38</v>
      </c>
      <c r="E81" s="4">
        <v>5200</v>
      </c>
      <c r="F81" s="5" t="s">
        <v>39</v>
      </c>
      <c r="G81" s="6"/>
      <c r="H81" s="3" t="s">
        <v>40</v>
      </c>
      <c r="I81" s="3" t="s">
        <v>165</v>
      </c>
    </row>
    <row r="82" spans="1:9" ht="19.95" customHeight="1" x14ac:dyDescent="0.2">
      <c r="A82" s="3" t="s">
        <v>223</v>
      </c>
      <c r="B82" s="3" t="s">
        <v>11</v>
      </c>
      <c r="C82" s="3" t="s">
        <v>176</v>
      </c>
      <c r="D82" s="3" t="s">
        <v>38</v>
      </c>
      <c r="E82" s="4">
        <v>5200</v>
      </c>
      <c r="F82" s="5" t="s">
        <v>39</v>
      </c>
      <c r="G82" s="6"/>
      <c r="H82" s="3" t="s">
        <v>40</v>
      </c>
      <c r="I82" s="3" t="s">
        <v>165</v>
      </c>
    </row>
    <row r="83" spans="1:9" ht="19.95" customHeight="1" x14ac:dyDescent="0.2">
      <c r="A83" s="3" t="s">
        <v>224</v>
      </c>
      <c r="B83" s="3" t="s">
        <v>10</v>
      </c>
      <c r="C83" s="3" t="s">
        <v>176</v>
      </c>
      <c r="D83" s="3" t="s">
        <v>225</v>
      </c>
      <c r="E83" s="4">
        <v>5200</v>
      </c>
      <c r="F83" s="5" t="s">
        <v>39</v>
      </c>
      <c r="G83" s="4">
        <v>4180</v>
      </c>
      <c r="H83" s="3" t="s">
        <v>40</v>
      </c>
      <c r="I83" s="3" t="s">
        <v>165</v>
      </c>
    </row>
    <row r="84" spans="1:9" ht="19.95" customHeight="1" x14ac:dyDescent="0.2">
      <c r="A84" s="3" t="s">
        <v>224</v>
      </c>
      <c r="B84" s="3" t="s">
        <v>10</v>
      </c>
      <c r="C84" s="3" t="s">
        <v>176</v>
      </c>
      <c r="D84" s="3" t="s">
        <v>225</v>
      </c>
      <c r="E84" s="4">
        <v>5200</v>
      </c>
      <c r="F84" s="5" t="s">
        <v>39</v>
      </c>
      <c r="G84" s="4">
        <v>4180</v>
      </c>
      <c r="H84" s="3" t="s">
        <v>40</v>
      </c>
      <c r="I84" s="3" t="s">
        <v>165</v>
      </c>
    </row>
    <row r="85" spans="1:9" ht="19.95" customHeight="1" x14ac:dyDescent="0.2">
      <c r="A85" s="3" t="s">
        <v>226</v>
      </c>
      <c r="B85" s="3" t="s">
        <v>91</v>
      </c>
      <c r="C85" s="3" t="s">
        <v>227</v>
      </c>
      <c r="D85" s="3" t="s">
        <v>228</v>
      </c>
      <c r="E85" s="4">
        <v>8019.2</v>
      </c>
      <c r="F85" s="5" t="s">
        <v>183</v>
      </c>
      <c r="G85" s="4">
        <v>6943</v>
      </c>
      <c r="H85" s="3" t="s">
        <v>63</v>
      </c>
      <c r="I85" s="3" t="s">
        <v>229</v>
      </c>
    </row>
    <row r="86" spans="1:9" ht="19.95" customHeight="1" x14ac:dyDescent="0.2">
      <c r="A86" s="3" t="s">
        <v>230</v>
      </c>
      <c r="B86" s="3" t="s">
        <v>91</v>
      </c>
      <c r="C86" s="3" t="s">
        <v>227</v>
      </c>
      <c r="D86" s="3" t="s">
        <v>228</v>
      </c>
      <c r="E86" s="4">
        <v>12252.8</v>
      </c>
      <c r="F86" s="5" t="s">
        <v>183</v>
      </c>
      <c r="G86" s="4">
        <v>10608</v>
      </c>
      <c r="H86" s="3" t="s">
        <v>63</v>
      </c>
      <c r="I86" s="3" t="s">
        <v>229</v>
      </c>
    </row>
    <row r="87" spans="1:9" ht="19.95" customHeight="1" x14ac:dyDescent="0.2">
      <c r="A87" s="3" t="s">
        <v>231</v>
      </c>
      <c r="B87" s="3" t="s">
        <v>45</v>
      </c>
      <c r="C87" s="3" t="s">
        <v>37</v>
      </c>
      <c r="D87" s="3" t="s">
        <v>131</v>
      </c>
      <c r="E87" s="4">
        <v>2270</v>
      </c>
      <c r="F87" s="5" t="s">
        <v>39</v>
      </c>
      <c r="G87" s="4">
        <v>1975</v>
      </c>
      <c r="H87" s="3" t="s">
        <v>40</v>
      </c>
      <c r="I87" s="3" t="s">
        <v>232</v>
      </c>
    </row>
    <row r="88" spans="1:9" ht="19.95" customHeight="1" x14ac:dyDescent="0.2">
      <c r="A88" s="3" t="s">
        <v>231</v>
      </c>
      <c r="B88" s="3" t="s">
        <v>45</v>
      </c>
      <c r="C88" s="3" t="s">
        <v>133</v>
      </c>
      <c r="D88" s="3" t="s">
        <v>134</v>
      </c>
      <c r="E88" s="4">
        <v>11350</v>
      </c>
      <c r="F88" s="5" t="s">
        <v>39</v>
      </c>
      <c r="G88" s="4">
        <v>9875</v>
      </c>
      <c r="H88" s="3" t="s">
        <v>40</v>
      </c>
      <c r="I88" s="3" t="s">
        <v>232</v>
      </c>
    </row>
    <row r="89" spans="1:9" ht="19.95" customHeight="1" x14ac:dyDescent="0.2">
      <c r="A89" s="3" t="s">
        <v>233</v>
      </c>
      <c r="B89" s="3" t="s">
        <v>45</v>
      </c>
      <c r="C89" s="3" t="s">
        <v>37</v>
      </c>
      <c r="D89" s="3" t="s">
        <v>134</v>
      </c>
      <c r="E89" s="4">
        <v>640</v>
      </c>
      <c r="F89" s="5" t="s">
        <v>39</v>
      </c>
      <c r="G89" s="4">
        <v>557</v>
      </c>
      <c r="H89" s="3" t="s">
        <v>40</v>
      </c>
      <c r="I89" s="3" t="s">
        <v>232</v>
      </c>
    </row>
    <row r="90" spans="1:9" ht="19.95" customHeight="1" x14ac:dyDescent="0.2">
      <c r="A90" s="3" t="s">
        <v>233</v>
      </c>
      <c r="B90" s="3" t="s">
        <v>45</v>
      </c>
      <c r="C90" s="3" t="s">
        <v>37</v>
      </c>
      <c r="D90" s="3" t="s">
        <v>131</v>
      </c>
      <c r="E90" s="4">
        <v>640</v>
      </c>
      <c r="F90" s="5" t="s">
        <v>39</v>
      </c>
      <c r="G90" s="4">
        <v>557</v>
      </c>
      <c r="H90" s="3" t="s">
        <v>40</v>
      </c>
      <c r="I90" s="3" t="s">
        <v>232</v>
      </c>
    </row>
    <row r="91" spans="1:9" ht="19.95" customHeight="1" x14ac:dyDescent="0.2">
      <c r="A91" s="3" t="s">
        <v>234</v>
      </c>
      <c r="B91" s="3" t="s">
        <v>45</v>
      </c>
      <c r="C91" s="3" t="s">
        <v>37</v>
      </c>
      <c r="D91" s="3" t="s">
        <v>134</v>
      </c>
      <c r="E91" s="4">
        <v>1180</v>
      </c>
      <c r="F91" s="5" t="s">
        <v>39</v>
      </c>
      <c r="G91" s="4">
        <v>1027</v>
      </c>
      <c r="H91" s="3" t="s">
        <v>40</v>
      </c>
      <c r="I91" s="3" t="s">
        <v>232</v>
      </c>
    </row>
    <row r="92" spans="1:9" ht="19.95" customHeight="1" x14ac:dyDescent="0.2">
      <c r="A92" s="3" t="s">
        <v>234</v>
      </c>
      <c r="B92" s="3" t="s">
        <v>45</v>
      </c>
      <c r="C92" s="3" t="s">
        <v>37</v>
      </c>
      <c r="D92" s="3" t="s">
        <v>134</v>
      </c>
      <c r="E92" s="4">
        <v>1180</v>
      </c>
      <c r="F92" s="5" t="s">
        <v>39</v>
      </c>
      <c r="G92" s="4">
        <v>1027</v>
      </c>
      <c r="H92" s="3" t="s">
        <v>40</v>
      </c>
      <c r="I92" s="3" t="s">
        <v>232</v>
      </c>
    </row>
    <row r="93" spans="1:9" ht="19.95" customHeight="1" x14ac:dyDescent="0.2">
      <c r="A93" s="3" t="s">
        <v>235</v>
      </c>
      <c r="B93" s="3" t="s">
        <v>10</v>
      </c>
      <c r="C93" s="3" t="s">
        <v>84</v>
      </c>
      <c r="D93" s="3" t="s">
        <v>131</v>
      </c>
      <c r="E93" s="4">
        <v>1860</v>
      </c>
      <c r="F93" s="5" t="s">
        <v>14</v>
      </c>
      <c r="G93" s="4">
        <v>1657</v>
      </c>
      <c r="H93" s="3" t="s">
        <v>40</v>
      </c>
      <c r="I93" s="3" t="s">
        <v>232</v>
      </c>
    </row>
    <row r="94" spans="1:9" ht="19.95" customHeight="1" x14ac:dyDescent="0.2">
      <c r="A94" s="3" t="s">
        <v>236</v>
      </c>
      <c r="B94" s="3" t="s">
        <v>10</v>
      </c>
      <c r="C94" s="3" t="s">
        <v>69</v>
      </c>
      <c r="D94" s="3" t="s">
        <v>109</v>
      </c>
      <c r="E94" s="4">
        <v>610</v>
      </c>
      <c r="F94" s="5" t="s">
        <v>39</v>
      </c>
      <c r="G94" s="4">
        <v>545</v>
      </c>
      <c r="H94" s="3" t="s">
        <v>40</v>
      </c>
      <c r="I94" s="3" t="s">
        <v>232</v>
      </c>
    </row>
    <row r="95" spans="1:9" ht="19.95" customHeight="1" x14ac:dyDescent="0.2">
      <c r="A95" s="3" t="s">
        <v>237</v>
      </c>
      <c r="B95" s="3" t="s">
        <v>45</v>
      </c>
      <c r="C95" s="3" t="s">
        <v>37</v>
      </c>
      <c r="D95" s="3" t="s">
        <v>105</v>
      </c>
      <c r="E95" s="4">
        <v>1310</v>
      </c>
      <c r="F95" s="5" t="s">
        <v>39</v>
      </c>
      <c r="G95" s="4">
        <v>1137</v>
      </c>
      <c r="H95" s="3" t="s">
        <v>40</v>
      </c>
      <c r="I95" s="3" t="s">
        <v>161</v>
      </c>
    </row>
    <row r="96" spans="1:9" ht="19.95" customHeight="1" x14ac:dyDescent="0.2">
      <c r="A96" s="3" t="s">
        <v>238</v>
      </c>
      <c r="B96" s="3" t="s">
        <v>45</v>
      </c>
      <c r="C96" s="3" t="s">
        <v>215</v>
      </c>
      <c r="D96" s="3" t="s">
        <v>109</v>
      </c>
      <c r="E96" s="4">
        <v>3050</v>
      </c>
      <c r="F96" s="5" t="s">
        <v>58</v>
      </c>
      <c r="G96" s="4">
        <v>2684</v>
      </c>
      <c r="H96" s="3" t="s">
        <v>40</v>
      </c>
      <c r="I96" s="3" t="s">
        <v>239</v>
      </c>
    </row>
    <row r="97" spans="1:9" ht="19.95" customHeight="1" x14ac:dyDescent="0.2">
      <c r="A97" s="3" t="s">
        <v>240</v>
      </c>
      <c r="B97" s="3" t="s">
        <v>45</v>
      </c>
      <c r="C97" s="3" t="s">
        <v>241</v>
      </c>
      <c r="D97" s="3" t="s">
        <v>242</v>
      </c>
      <c r="E97" s="4">
        <v>4436</v>
      </c>
      <c r="F97" s="5" t="s">
        <v>111</v>
      </c>
      <c r="G97" s="4">
        <v>3960</v>
      </c>
      <c r="H97" s="3" t="s">
        <v>81</v>
      </c>
      <c r="I97" s="3" t="s">
        <v>243</v>
      </c>
    </row>
    <row r="98" spans="1:9" ht="19.95" customHeight="1" x14ac:dyDescent="0.2">
      <c r="A98" s="3" t="s">
        <v>244</v>
      </c>
      <c r="B98" s="3" t="s">
        <v>11</v>
      </c>
      <c r="C98" s="3" t="s">
        <v>245</v>
      </c>
      <c r="D98" s="3" t="s">
        <v>246</v>
      </c>
      <c r="E98" s="4">
        <v>1030</v>
      </c>
      <c r="F98" s="5" t="s">
        <v>14</v>
      </c>
      <c r="G98" s="6"/>
      <c r="H98" s="3" t="s">
        <v>63</v>
      </c>
      <c r="I98" s="3" t="s">
        <v>129</v>
      </c>
    </row>
    <row r="99" spans="1:9" ht="19.95" customHeight="1" x14ac:dyDescent="0.2">
      <c r="A99" s="3" t="s">
        <v>247</v>
      </c>
      <c r="B99" s="3" t="s">
        <v>11</v>
      </c>
      <c r="C99" s="3" t="s">
        <v>146</v>
      </c>
      <c r="D99" s="3" t="s">
        <v>248</v>
      </c>
      <c r="E99" s="4">
        <v>4218</v>
      </c>
      <c r="F99" s="5" t="s">
        <v>249</v>
      </c>
      <c r="G99" s="6"/>
      <c r="H99" s="3" t="s">
        <v>63</v>
      </c>
      <c r="I99" s="3" t="s">
        <v>76</v>
      </c>
    </row>
    <row r="100" spans="1:9" ht="19.95" customHeight="1" x14ac:dyDescent="0.2">
      <c r="A100" s="3" t="s">
        <v>250</v>
      </c>
      <c r="B100" s="3" t="s">
        <v>11</v>
      </c>
      <c r="C100" s="3" t="s">
        <v>136</v>
      </c>
      <c r="D100" s="3" t="s">
        <v>85</v>
      </c>
      <c r="E100" s="4">
        <v>6050</v>
      </c>
      <c r="F100" s="5" t="s">
        <v>14</v>
      </c>
      <c r="G100" s="6"/>
      <c r="H100" s="3" t="s">
        <v>40</v>
      </c>
      <c r="I100" s="3" t="s">
        <v>251</v>
      </c>
    </row>
    <row r="101" spans="1:9" ht="19.95" customHeight="1" x14ac:dyDescent="0.2">
      <c r="A101" s="3" t="s">
        <v>252</v>
      </c>
      <c r="B101" s="3" t="s">
        <v>11</v>
      </c>
      <c r="C101" s="3" t="s">
        <v>69</v>
      </c>
      <c r="D101" s="3" t="s">
        <v>85</v>
      </c>
      <c r="E101" s="4">
        <v>1290</v>
      </c>
      <c r="F101" s="5" t="s">
        <v>39</v>
      </c>
      <c r="G101" s="6"/>
      <c r="H101" s="3" t="s">
        <v>40</v>
      </c>
      <c r="I101" s="3" t="s">
        <v>251</v>
      </c>
    </row>
    <row r="102" spans="1:9" ht="19.95" customHeight="1" x14ac:dyDescent="0.2">
      <c r="A102" s="3" t="s">
        <v>253</v>
      </c>
      <c r="B102" s="3" t="s">
        <v>11</v>
      </c>
      <c r="C102" s="3" t="s">
        <v>254</v>
      </c>
      <c r="D102" s="3" t="s">
        <v>85</v>
      </c>
      <c r="E102" s="4">
        <v>1230</v>
      </c>
      <c r="F102" s="5" t="s">
        <v>89</v>
      </c>
      <c r="G102" s="6"/>
      <c r="H102" s="3" t="s">
        <v>81</v>
      </c>
      <c r="I102" s="3" t="s">
        <v>251</v>
      </c>
    </row>
    <row r="103" spans="1:9" ht="19.95" customHeight="1" x14ac:dyDescent="0.2">
      <c r="A103" s="3" t="s">
        <v>255</v>
      </c>
      <c r="B103" s="3" t="s">
        <v>11</v>
      </c>
      <c r="C103" s="3" t="s">
        <v>69</v>
      </c>
      <c r="D103" s="3" t="s">
        <v>109</v>
      </c>
      <c r="E103" s="4">
        <v>800</v>
      </c>
      <c r="F103" s="5" t="s">
        <v>39</v>
      </c>
      <c r="G103" s="6"/>
      <c r="H103" s="3" t="s">
        <v>40</v>
      </c>
      <c r="I103" s="3" t="s">
        <v>256</v>
      </c>
    </row>
    <row r="104" spans="1:9" ht="19.95" customHeight="1" x14ac:dyDescent="0.2">
      <c r="A104" s="3" t="s">
        <v>255</v>
      </c>
      <c r="B104" s="3" t="s">
        <v>45</v>
      </c>
      <c r="C104" s="3" t="s">
        <v>140</v>
      </c>
      <c r="D104" s="3" t="s">
        <v>109</v>
      </c>
      <c r="E104" s="4">
        <v>8000</v>
      </c>
      <c r="F104" s="5" t="s">
        <v>39</v>
      </c>
      <c r="G104" s="4">
        <v>7120</v>
      </c>
      <c r="H104" s="3" t="s">
        <v>40</v>
      </c>
      <c r="I104" s="3" t="s">
        <v>256</v>
      </c>
    </row>
    <row r="105" spans="1:9" ht="19.95" customHeight="1" x14ac:dyDescent="0.2">
      <c r="A105" s="3" t="s">
        <v>257</v>
      </c>
      <c r="B105" s="3" t="s">
        <v>11</v>
      </c>
      <c r="C105" s="3" t="s">
        <v>258</v>
      </c>
      <c r="D105" s="3" t="s">
        <v>259</v>
      </c>
      <c r="E105" s="4">
        <v>1890</v>
      </c>
      <c r="F105" s="5" t="s">
        <v>14</v>
      </c>
      <c r="G105" s="6"/>
      <c r="H105" s="3" t="s">
        <v>63</v>
      </c>
      <c r="I105" s="3" t="s">
        <v>129</v>
      </c>
    </row>
    <row r="106" spans="1:9" ht="19.95" customHeight="1" x14ac:dyDescent="0.2">
      <c r="A106" s="3" t="s">
        <v>260</v>
      </c>
      <c r="B106" s="3" t="s">
        <v>10</v>
      </c>
      <c r="C106" s="3" t="s">
        <v>261</v>
      </c>
      <c r="D106" s="3" t="s">
        <v>262</v>
      </c>
      <c r="E106" s="4">
        <v>12500</v>
      </c>
      <c r="F106" s="5" t="s">
        <v>58</v>
      </c>
      <c r="G106" s="4">
        <v>11200</v>
      </c>
      <c r="H106" s="3" t="s">
        <v>40</v>
      </c>
      <c r="I106" s="3" t="s">
        <v>263</v>
      </c>
    </row>
    <row r="107" spans="1:9" ht="19.95" customHeight="1" x14ac:dyDescent="0.2">
      <c r="A107" s="3" t="s">
        <v>264</v>
      </c>
      <c r="B107" s="3" t="s">
        <v>45</v>
      </c>
      <c r="C107" s="3" t="s">
        <v>265</v>
      </c>
      <c r="D107" s="3" t="s">
        <v>266</v>
      </c>
      <c r="E107" s="4">
        <v>340</v>
      </c>
      <c r="F107" s="5" t="s">
        <v>144</v>
      </c>
      <c r="G107" s="4">
        <v>302</v>
      </c>
      <c r="H107" s="3" t="s">
        <v>63</v>
      </c>
      <c r="I107" s="3" t="s">
        <v>267</v>
      </c>
    </row>
    <row r="108" spans="1:9" ht="19.95" customHeight="1" x14ac:dyDescent="0.2">
      <c r="A108" s="3" t="s">
        <v>268</v>
      </c>
      <c r="B108" s="3" t="s">
        <v>91</v>
      </c>
      <c r="C108" s="3" t="s">
        <v>269</v>
      </c>
      <c r="D108" s="3" t="s">
        <v>93</v>
      </c>
      <c r="E108" s="4">
        <v>7776</v>
      </c>
      <c r="F108" s="5" t="s">
        <v>128</v>
      </c>
      <c r="G108" s="4">
        <v>6894</v>
      </c>
      <c r="H108" s="3" t="s">
        <v>40</v>
      </c>
      <c r="I108" s="3" t="s">
        <v>220</v>
      </c>
    </row>
    <row r="109" spans="1:9" ht="19.95" customHeight="1" x14ac:dyDescent="0.2">
      <c r="A109" s="3" t="s">
        <v>270</v>
      </c>
      <c r="B109" s="3" t="s">
        <v>11</v>
      </c>
      <c r="C109" s="3" t="s">
        <v>271</v>
      </c>
      <c r="D109" s="3" t="s">
        <v>93</v>
      </c>
      <c r="E109" s="4">
        <v>7402.5</v>
      </c>
      <c r="F109" s="5" t="s">
        <v>144</v>
      </c>
      <c r="G109" s="4">
        <v>0</v>
      </c>
      <c r="H109" s="3" t="s">
        <v>40</v>
      </c>
      <c r="I109" s="3" t="s">
        <v>220</v>
      </c>
    </row>
    <row r="110" spans="1:9" ht="19.95" customHeight="1" x14ac:dyDescent="0.2">
      <c r="A110" s="3" t="s">
        <v>272</v>
      </c>
      <c r="B110" s="3" t="s">
        <v>115</v>
      </c>
      <c r="C110" s="3" t="s">
        <v>273</v>
      </c>
      <c r="D110" s="3" t="s">
        <v>115</v>
      </c>
      <c r="E110" s="4">
        <v>15880</v>
      </c>
      <c r="F110" s="5" t="s">
        <v>274</v>
      </c>
      <c r="G110" s="4">
        <v>12710</v>
      </c>
      <c r="H110" s="3" t="s">
        <v>81</v>
      </c>
      <c r="I110" s="3" t="s">
        <v>275</v>
      </c>
    </row>
    <row r="111" spans="1:9" ht="19.95" customHeight="1" x14ac:dyDescent="0.2">
      <c r="A111" s="3" t="s">
        <v>272</v>
      </c>
      <c r="B111" s="3" t="s">
        <v>11</v>
      </c>
      <c r="C111" s="3" t="s">
        <v>276</v>
      </c>
      <c r="D111" s="3" t="s">
        <v>115</v>
      </c>
      <c r="E111" s="4">
        <v>1588</v>
      </c>
      <c r="F111" s="5" t="s">
        <v>274</v>
      </c>
      <c r="G111" s="6"/>
      <c r="H111" s="3" t="s">
        <v>81</v>
      </c>
      <c r="I111" s="3" t="s">
        <v>275</v>
      </c>
    </row>
    <row r="112" spans="1:9" ht="19.95" customHeight="1" x14ac:dyDescent="0.2">
      <c r="A112" s="3" t="s">
        <v>277</v>
      </c>
      <c r="B112" s="3" t="s">
        <v>45</v>
      </c>
      <c r="C112" s="3" t="s">
        <v>37</v>
      </c>
      <c r="D112" s="3" t="s">
        <v>216</v>
      </c>
      <c r="E112" s="4">
        <v>10190</v>
      </c>
      <c r="F112" s="5" t="s">
        <v>39</v>
      </c>
      <c r="G112" s="4">
        <v>8763</v>
      </c>
      <c r="H112" s="3" t="s">
        <v>40</v>
      </c>
      <c r="I112" s="3" t="s">
        <v>187</v>
      </c>
    </row>
    <row r="113" spans="1:9" ht="19.95" customHeight="1" x14ac:dyDescent="0.2">
      <c r="A113" s="3" t="s">
        <v>278</v>
      </c>
      <c r="B113" s="3" t="s">
        <v>45</v>
      </c>
      <c r="C113" s="3" t="s">
        <v>69</v>
      </c>
      <c r="D113" s="3" t="s">
        <v>216</v>
      </c>
      <c r="E113" s="4">
        <v>16760</v>
      </c>
      <c r="F113" s="5" t="s">
        <v>39</v>
      </c>
      <c r="G113" s="4">
        <v>14414</v>
      </c>
      <c r="H113" s="3" t="s">
        <v>40</v>
      </c>
      <c r="I113" s="3" t="s">
        <v>187</v>
      </c>
    </row>
    <row r="114" spans="1:9" ht="19.95" customHeight="1" x14ac:dyDescent="0.2">
      <c r="A114" s="3" t="s">
        <v>279</v>
      </c>
      <c r="B114" s="3" t="s">
        <v>45</v>
      </c>
      <c r="C114" s="3" t="s">
        <v>280</v>
      </c>
      <c r="D114" s="3" t="s">
        <v>205</v>
      </c>
      <c r="E114" s="4">
        <v>50122</v>
      </c>
      <c r="F114" s="5" t="s">
        <v>249</v>
      </c>
      <c r="G114" s="4">
        <v>43706</v>
      </c>
      <c r="H114" s="3" t="s">
        <v>81</v>
      </c>
      <c r="I114" s="3" t="s">
        <v>275</v>
      </c>
    </row>
    <row r="115" spans="1:9" ht="19.95" customHeight="1" x14ac:dyDescent="0.2">
      <c r="A115" s="3" t="s">
        <v>281</v>
      </c>
      <c r="B115" s="3" t="s">
        <v>11</v>
      </c>
      <c r="C115" s="3" t="s">
        <v>69</v>
      </c>
      <c r="D115" s="3" t="s">
        <v>205</v>
      </c>
      <c r="E115" s="4">
        <v>6100</v>
      </c>
      <c r="F115" s="5" t="s">
        <v>39</v>
      </c>
      <c r="G115" s="6"/>
      <c r="H115" s="3" t="s">
        <v>40</v>
      </c>
      <c r="I115" s="3" t="s">
        <v>64</v>
      </c>
    </row>
    <row r="116" spans="1:9" ht="19.95" customHeight="1" x14ac:dyDescent="0.2">
      <c r="A116" s="3" t="s">
        <v>282</v>
      </c>
      <c r="B116" s="3" t="s">
        <v>91</v>
      </c>
      <c r="C116" s="3" t="s">
        <v>118</v>
      </c>
      <c r="D116" s="3" t="s">
        <v>109</v>
      </c>
      <c r="E116" s="4">
        <v>2080</v>
      </c>
      <c r="F116" s="5" t="s">
        <v>39</v>
      </c>
      <c r="G116" s="4">
        <v>1851</v>
      </c>
      <c r="H116" s="3" t="s">
        <v>40</v>
      </c>
      <c r="I116" s="3" t="s">
        <v>72</v>
      </c>
    </row>
    <row r="117" spans="1:9" ht="19.95" customHeight="1" x14ac:dyDescent="0.2">
      <c r="A117" s="3" t="s">
        <v>282</v>
      </c>
      <c r="B117" s="3" t="s">
        <v>91</v>
      </c>
      <c r="C117" s="3" t="s">
        <v>69</v>
      </c>
      <c r="D117" s="3" t="s">
        <v>109</v>
      </c>
      <c r="E117" s="4">
        <v>1040</v>
      </c>
      <c r="F117" s="5" t="s">
        <v>39</v>
      </c>
      <c r="G117" s="4">
        <v>926</v>
      </c>
      <c r="H117" s="3" t="s">
        <v>40</v>
      </c>
      <c r="I117" s="3" t="s">
        <v>72</v>
      </c>
    </row>
    <row r="118" spans="1:9" ht="19.95" customHeight="1" x14ac:dyDescent="0.2">
      <c r="A118" s="3" t="s">
        <v>283</v>
      </c>
      <c r="B118" s="3" t="s">
        <v>10</v>
      </c>
      <c r="C118" s="3" t="s">
        <v>37</v>
      </c>
      <c r="D118" s="3" t="s">
        <v>284</v>
      </c>
      <c r="E118" s="4">
        <v>22780</v>
      </c>
      <c r="F118" s="5" t="s">
        <v>39</v>
      </c>
      <c r="G118" s="4">
        <v>19130</v>
      </c>
      <c r="H118" s="3" t="s">
        <v>40</v>
      </c>
      <c r="I118" s="3" t="s">
        <v>232</v>
      </c>
    </row>
    <row r="119" spans="1:9" ht="19.95" customHeight="1" x14ac:dyDescent="0.2">
      <c r="A119" s="3" t="s">
        <v>285</v>
      </c>
      <c r="B119" s="3" t="s">
        <v>10</v>
      </c>
      <c r="C119" s="3" t="s">
        <v>69</v>
      </c>
      <c r="D119" s="3" t="s">
        <v>284</v>
      </c>
      <c r="E119" s="4">
        <v>41970</v>
      </c>
      <c r="F119" s="5" t="s">
        <v>39</v>
      </c>
      <c r="G119" s="4">
        <v>35200</v>
      </c>
      <c r="H119" s="3" t="s">
        <v>40</v>
      </c>
      <c r="I119" s="3" t="s">
        <v>232</v>
      </c>
    </row>
    <row r="120" spans="1:9" ht="19.95" customHeight="1" x14ac:dyDescent="0.2">
      <c r="A120" s="3" t="s">
        <v>286</v>
      </c>
      <c r="B120" s="3" t="s">
        <v>10</v>
      </c>
      <c r="C120" s="3" t="s">
        <v>69</v>
      </c>
      <c r="D120" s="3" t="s">
        <v>38</v>
      </c>
      <c r="E120" s="4">
        <v>39880</v>
      </c>
      <c r="F120" s="5" t="s">
        <v>39</v>
      </c>
      <c r="G120" s="4">
        <v>35500</v>
      </c>
      <c r="H120" s="3" t="s">
        <v>40</v>
      </c>
      <c r="I120" s="3" t="s">
        <v>187</v>
      </c>
    </row>
    <row r="121" spans="1:9" ht="19.95" customHeight="1" x14ac:dyDescent="0.2">
      <c r="A121" s="3" t="s">
        <v>287</v>
      </c>
      <c r="B121" s="3" t="s">
        <v>10</v>
      </c>
      <c r="C121" s="3" t="s">
        <v>288</v>
      </c>
      <c r="D121" s="3" t="s">
        <v>289</v>
      </c>
      <c r="E121" s="4">
        <v>825</v>
      </c>
      <c r="F121" s="5" t="s">
        <v>14</v>
      </c>
      <c r="G121" s="4">
        <v>735</v>
      </c>
      <c r="H121" s="3" t="s">
        <v>63</v>
      </c>
      <c r="I121" s="3" t="s">
        <v>129</v>
      </c>
    </row>
    <row r="122" spans="1:9" ht="19.95" customHeight="1" x14ac:dyDescent="0.2">
      <c r="A122" s="3" t="s">
        <v>290</v>
      </c>
      <c r="B122" s="3" t="s">
        <v>10</v>
      </c>
      <c r="C122" s="3" t="s">
        <v>291</v>
      </c>
      <c r="D122" s="3" t="s">
        <v>289</v>
      </c>
      <c r="E122" s="4">
        <v>1650</v>
      </c>
      <c r="F122" s="5" t="s">
        <v>75</v>
      </c>
      <c r="G122" s="4">
        <v>1470</v>
      </c>
      <c r="H122" s="3" t="s">
        <v>63</v>
      </c>
      <c r="I122" s="3" t="s">
        <v>129</v>
      </c>
    </row>
    <row r="123" spans="1:9" ht="19.95" customHeight="1" x14ac:dyDescent="0.2">
      <c r="A123" s="3" t="s">
        <v>292</v>
      </c>
      <c r="B123" s="3" t="s">
        <v>11</v>
      </c>
      <c r="C123" s="3" t="s">
        <v>293</v>
      </c>
      <c r="D123" s="3" t="s">
        <v>289</v>
      </c>
      <c r="E123" s="4">
        <v>825</v>
      </c>
      <c r="F123" s="5" t="s">
        <v>14</v>
      </c>
      <c r="G123" s="6"/>
      <c r="H123" s="3" t="s">
        <v>63</v>
      </c>
      <c r="I123" s="3" t="s">
        <v>129</v>
      </c>
    </row>
    <row r="124" spans="1:9" ht="19.95" customHeight="1" x14ac:dyDescent="0.2">
      <c r="A124" s="3" t="s">
        <v>294</v>
      </c>
      <c r="B124" s="3" t="s">
        <v>45</v>
      </c>
      <c r="C124" s="3" t="s">
        <v>176</v>
      </c>
      <c r="D124" s="3" t="s">
        <v>295</v>
      </c>
      <c r="E124" s="4">
        <v>5200</v>
      </c>
      <c r="F124" s="5" t="s">
        <v>39</v>
      </c>
      <c r="G124" s="4">
        <v>4576</v>
      </c>
      <c r="H124" s="3" t="s">
        <v>40</v>
      </c>
      <c r="I124" s="3" t="s">
        <v>296</v>
      </c>
    </row>
    <row r="125" spans="1:9" ht="19.95" customHeight="1" x14ac:dyDescent="0.2">
      <c r="A125" s="3" t="s">
        <v>297</v>
      </c>
      <c r="B125" s="3" t="s">
        <v>11</v>
      </c>
      <c r="C125" s="3" t="s">
        <v>298</v>
      </c>
      <c r="D125" s="3" t="s">
        <v>93</v>
      </c>
      <c r="E125" s="4">
        <v>11820</v>
      </c>
      <c r="F125" s="5" t="s">
        <v>299</v>
      </c>
      <c r="G125" s="6"/>
      <c r="H125" s="3" t="s">
        <v>81</v>
      </c>
      <c r="I125" s="3" t="s">
        <v>300</v>
      </c>
    </row>
    <row r="126" spans="1:9" ht="19.95" customHeight="1" x14ac:dyDescent="0.2">
      <c r="A126" s="3" t="s">
        <v>301</v>
      </c>
      <c r="B126" s="3" t="s">
        <v>10</v>
      </c>
      <c r="C126" s="3" t="s">
        <v>302</v>
      </c>
      <c r="D126" s="3" t="s">
        <v>205</v>
      </c>
      <c r="E126" s="6"/>
      <c r="F126" s="5" t="s">
        <v>111</v>
      </c>
      <c r="G126" s="4">
        <v>2600</v>
      </c>
      <c r="H126" s="3" t="s">
        <v>81</v>
      </c>
      <c r="I126" s="3" t="s">
        <v>303</v>
      </c>
    </row>
    <row r="127" spans="1:9" ht="19.95" customHeight="1" x14ac:dyDescent="0.2">
      <c r="A127" s="3" t="s">
        <v>304</v>
      </c>
      <c r="B127" s="3" t="s">
        <v>11</v>
      </c>
      <c r="C127" s="3" t="s">
        <v>305</v>
      </c>
      <c r="D127" s="3" t="s">
        <v>70</v>
      </c>
      <c r="E127" s="6"/>
      <c r="F127" s="5" t="s">
        <v>111</v>
      </c>
      <c r="G127" s="6"/>
      <c r="H127" s="3" t="s">
        <v>81</v>
      </c>
      <c r="I127" s="3" t="s">
        <v>303</v>
      </c>
    </row>
    <row r="128" spans="1:9" ht="19.95" customHeight="1" x14ac:dyDescent="0.2">
      <c r="A128" s="3" t="s">
        <v>306</v>
      </c>
      <c r="B128" s="3" t="s">
        <v>11</v>
      </c>
      <c r="C128" s="3" t="s">
        <v>136</v>
      </c>
      <c r="D128" s="3" t="s">
        <v>246</v>
      </c>
      <c r="E128" s="4">
        <v>4900</v>
      </c>
      <c r="F128" s="5" t="s">
        <v>14</v>
      </c>
      <c r="G128" s="6"/>
      <c r="H128" s="3" t="s">
        <v>40</v>
      </c>
      <c r="I128" s="3" t="s">
        <v>167</v>
      </c>
    </row>
    <row r="129" spans="1:9" ht="19.95" customHeight="1" x14ac:dyDescent="0.2">
      <c r="A129" s="3" t="s">
        <v>307</v>
      </c>
      <c r="B129" s="3" t="s">
        <v>110</v>
      </c>
      <c r="C129" s="3" t="s">
        <v>308</v>
      </c>
      <c r="D129" s="3" t="s">
        <v>109</v>
      </c>
      <c r="E129" s="4">
        <v>10400</v>
      </c>
      <c r="F129" s="5" t="s">
        <v>39</v>
      </c>
      <c r="G129" s="4">
        <v>9387</v>
      </c>
      <c r="H129" s="3" t="s">
        <v>40</v>
      </c>
      <c r="I129" s="3" t="s">
        <v>309</v>
      </c>
    </row>
    <row r="130" spans="1:9" ht="19.95" customHeight="1" x14ac:dyDescent="0.2">
      <c r="A130" s="3" t="s">
        <v>310</v>
      </c>
      <c r="B130" s="3" t="s">
        <v>45</v>
      </c>
      <c r="C130" s="3" t="s">
        <v>146</v>
      </c>
      <c r="D130" s="3" t="s">
        <v>311</v>
      </c>
      <c r="E130" s="4">
        <v>8515</v>
      </c>
      <c r="F130" s="5" t="s">
        <v>75</v>
      </c>
      <c r="G130" s="4">
        <v>6821</v>
      </c>
      <c r="H130" s="3" t="s">
        <v>63</v>
      </c>
      <c r="I130" s="3" t="s">
        <v>76</v>
      </c>
    </row>
    <row r="131" spans="1:9" ht="19.95" customHeight="1" x14ac:dyDescent="0.2">
      <c r="A131" s="3" t="s">
        <v>312</v>
      </c>
      <c r="B131" s="3" t="s">
        <v>115</v>
      </c>
      <c r="C131" s="3" t="s">
        <v>192</v>
      </c>
      <c r="D131" s="3" t="s">
        <v>115</v>
      </c>
      <c r="E131" s="4">
        <v>15570</v>
      </c>
      <c r="F131" s="5" t="s">
        <v>39</v>
      </c>
      <c r="G131" s="4">
        <v>12150</v>
      </c>
      <c r="H131" s="3" t="s">
        <v>40</v>
      </c>
      <c r="I131" s="3" t="s">
        <v>187</v>
      </c>
    </row>
    <row r="132" spans="1:9" ht="19.95" customHeight="1" x14ac:dyDescent="0.2">
      <c r="A132" s="3" t="s">
        <v>312</v>
      </c>
      <c r="B132" s="3" t="s">
        <v>115</v>
      </c>
      <c r="C132" s="3" t="s">
        <v>69</v>
      </c>
      <c r="D132" s="3" t="s">
        <v>115</v>
      </c>
      <c r="E132" s="4">
        <v>5190</v>
      </c>
      <c r="F132" s="5" t="s">
        <v>39</v>
      </c>
      <c r="G132" s="4">
        <v>4050</v>
      </c>
      <c r="H132" s="3" t="s">
        <v>40</v>
      </c>
      <c r="I132" s="3" t="s">
        <v>187</v>
      </c>
    </row>
    <row r="133" spans="1:9" ht="19.95" customHeight="1" x14ac:dyDescent="0.2">
      <c r="A133" s="3" t="s">
        <v>313</v>
      </c>
      <c r="B133" s="3" t="s">
        <v>115</v>
      </c>
      <c r="C133" s="3" t="s">
        <v>69</v>
      </c>
      <c r="D133" s="3" t="s">
        <v>115</v>
      </c>
      <c r="E133" s="4">
        <v>770</v>
      </c>
      <c r="F133" s="5" t="s">
        <v>39</v>
      </c>
      <c r="G133" s="4">
        <v>616</v>
      </c>
      <c r="H133" s="3" t="s">
        <v>40</v>
      </c>
      <c r="I133" s="3" t="s">
        <v>314</v>
      </c>
    </row>
    <row r="134" spans="1:9" ht="19.95" customHeight="1" x14ac:dyDescent="0.2">
      <c r="A134" s="3" t="s">
        <v>313</v>
      </c>
      <c r="B134" s="3" t="s">
        <v>115</v>
      </c>
      <c r="C134" s="3" t="s">
        <v>69</v>
      </c>
      <c r="D134" s="3" t="s">
        <v>115</v>
      </c>
      <c r="E134" s="4">
        <v>770</v>
      </c>
      <c r="F134" s="5" t="s">
        <v>39</v>
      </c>
      <c r="G134" s="4">
        <v>616</v>
      </c>
      <c r="H134" s="3" t="s">
        <v>40</v>
      </c>
      <c r="I134" s="3" t="s">
        <v>314</v>
      </c>
    </row>
    <row r="135" spans="1:9" ht="19.95" customHeight="1" x14ac:dyDescent="0.2">
      <c r="A135" s="3" t="s">
        <v>315</v>
      </c>
      <c r="B135" s="3" t="s">
        <v>115</v>
      </c>
      <c r="C135" s="3" t="s">
        <v>69</v>
      </c>
      <c r="D135" s="3" t="s">
        <v>115</v>
      </c>
      <c r="E135" s="4">
        <v>3070</v>
      </c>
      <c r="F135" s="5" t="s">
        <v>39</v>
      </c>
      <c r="G135" s="4">
        <v>2490</v>
      </c>
      <c r="H135" s="3" t="s">
        <v>40</v>
      </c>
      <c r="I135" s="3" t="s">
        <v>59</v>
      </c>
    </row>
    <row r="136" spans="1:9" ht="19.95" customHeight="1" x14ac:dyDescent="0.2">
      <c r="A136" s="3" t="s">
        <v>316</v>
      </c>
      <c r="B136" s="3" t="s">
        <v>91</v>
      </c>
      <c r="C136" s="3" t="s">
        <v>176</v>
      </c>
      <c r="D136" s="3" t="s">
        <v>139</v>
      </c>
      <c r="E136" s="4">
        <v>18900</v>
      </c>
      <c r="F136" s="5" t="s">
        <v>58</v>
      </c>
      <c r="G136" s="4">
        <v>16238</v>
      </c>
      <c r="H136" s="3" t="s">
        <v>40</v>
      </c>
      <c r="I136" s="3" t="s">
        <v>317</v>
      </c>
    </row>
    <row r="137" spans="1:9" ht="19.95" customHeight="1" x14ac:dyDescent="0.2">
      <c r="A137" s="3" t="s">
        <v>316</v>
      </c>
      <c r="B137" s="3" t="s">
        <v>11</v>
      </c>
      <c r="C137" s="3" t="s">
        <v>176</v>
      </c>
      <c r="D137" s="3" t="s">
        <v>139</v>
      </c>
      <c r="E137" s="4">
        <v>18900</v>
      </c>
      <c r="F137" s="5" t="s">
        <v>58</v>
      </c>
      <c r="G137" s="6"/>
      <c r="H137" s="3" t="s">
        <v>40</v>
      </c>
      <c r="I137" s="3" t="s">
        <v>317</v>
      </c>
    </row>
    <row r="138" spans="1:9" ht="19.95" customHeight="1" x14ac:dyDescent="0.2">
      <c r="A138" s="3" t="s">
        <v>318</v>
      </c>
      <c r="B138" s="3" t="s">
        <v>10</v>
      </c>
      <c r="C138" s="3" t="s">
        <v>140</v>
      </c>
      <c r="D138" s="3" t="s">
        <v>319</v>
      </c>
      <c r="E138" s="4">
        <v>6600</v>
      </c>
      <c r="F138" s="5" t="s">
        <v>39</v>
      </c>
      <c r="G138" s="4">
        <v>5610</v>
      </c>
      <c r="H138" s="3" t="s">
        <v>40</v>
      </c>
      <c r="I138" s="3" t="s">
        <v>314</v>
      </c>
    </row>
    <row r="139" spans="1:9" ht="19.95" customHeight="1" x14ac:dyDescent="0.2">
      <c r="A139" s="3" t="s">
        <v>318</v>
      </c>
      <c r="B139" s="3" t="s">
        <v>10</v>
      </c>
      <c r="C139" s="3" t="s">
        <v>140</v>
      </c>
      <c r="D139" s="3" t="s">
        <v>319</v>
      </c>
      <c r="E139" s="4">
        <v>6600</v>
      </c>
      <c r="F139" s="5" t="s">
        <v>39</v>
      </c>
      <c r="G139" s="4">
        <v>5610</v>
      </c>
      <c r="H139" s="3" t="s">
        <v>40</v>
      </c>
      <c r="I139" s="3" t="s">
        <v>314</v>
      </c>
    </row>
    <row r="140" spans="1:9" ht="19.95" customHeight="1" x14ac:dyDescent="0.2">
      <c r="A140" s="3" t="s">
        <v>320</v>
      </c>
      <c r="B140" s="3" t="s">
        <v>11</v>
      </c>
      <c r="C140" s="3" t="s">
        <v>140</v>
      </c>
      <c r="D140" s="3" t="s">
        <v>319</v>
      </c>
      <c r="E140" s="4">
        <v>10100</v>
      </c>
      <c r="F140" s="5" t="s">
        <v>39</v>
      </c>
      <c r="G140" s="6"/>
      <c r="H140" s="3" t="s">
        <v>40</v>
      </c>
      <c r="I140" s="3" t="s">
        <v>314</v>
      </c>
    </row>
    <row r="141" spans="1:9" ht="19.95" customHeight="1" x14ac:dyDescent="0.2">
      <c r="A141" s="3" t="s">
        <v>320</v>
      </c>
      <c r="B141" s="3" t="s">
        <v>10</v>
      </c>
      <c r="C141" s="3" t="s">
        <v>140</v>
      </c>
      <c r="D141" s="3" t="s">
        <v>319</v>
      </c>
      <c r="E141" s="4">
        <v>10100</v>
      </c>
      <c r="F141" s="5" t="s">
        <v>39</v>
      </c>
      <c r="G141" s="4">
        <v>8590</v>
      </c>
      <c r="H141" s="3" t="s">
        <v>40</v>
      </c>
      <c r="I141" s="3" t="s">
        <v>314</v>
      </c>
    </row>
    <row r="142" spans="1:9" ht="19.95" customHeight="1" x14ac:dyDescent="0.2">
      <c r="A142" s="3" t="s">
        <v>321</v>
      </c>
      <c r="B142" s="3" t="s">
        <v>10</v>
      </c>
      <c r="C142" s="3" t="s">
        <v>140</v>
      </c>
      <c r="D142" s="3" t="s">
        <v>109</v>
      </c>
      <c r="E142" s="4">
        <v>10400</v>
      </c>
      <c r="F142" s="5" t="s">
        <v>39</v>
      </c>
      <c r="G142" s="4">
        <v>9000</v>
      </c>
      <c r="H142" s="3" t="s">
        <v>40</v>
      </c>
      <c r="I142" s="3" t="s">
        <v>72</v>
      </c>
    </row>
    <row r="143" spans="1:9" ht="19.95" customHeight="1" x14ac:dyDescent="0.2">
      <c r="A143" s="3" t="s">
        <v>322</v>
      </c>
      <c r="B143" s="3" t="s">
        <v>11</v>
      </c>
      <c r="C143" s="3" t="s">
        <v>140</v>
      </c>
      <c r="D143" s="3" t="s">
        <v>323</v>
      </c>
      <c r="E143" s="4">
        <v>10400</v>
      </c>
      <c r="F143" s="5" t="s">
        <v>39</v>
      </c>
      <c r="G143" s="6"/>
      <c r="H143" s="3" t="s">
        <v>40</v>
      </c>
      <c r="I143" s="3" t="s">
        <v>72</v>
      </c>
    </row>
    <row r="144" spans="1:9" ht="19.95" customHeight="1" x14ac:dyDescent="0.2">
      <c r="A144" s="3" t="s">
        <v>324</v>
      </c>
      <c r="B144" s="3" t="s">
        <v>10</v>
      </c>
      <c r="C144" s="3" t="s">
        <v>69</v>
      </c>
      <c r="D144" s="3" t="s">
        <v>109</v>
      </c>
      <c r="E144" s="4">
        <v>1740</v>
      </c>
      <c r="F144" s="5" t="s">
        <v>39</v>
      </c>
      <c r="G144" s="4">
        <v>1550</v>
      </c>
      <c r="H144" s="3" t="s">
        <v>40</v>
      </c>
      <c r="I144" s="3" t="s">
        <v>325</v>
      </c>
    </row>
    <row r="145" spans="1:9" ht="19.95" customHeight="1" x14ac:dyDescent="0.2">
      <c r="A145" s="3" t="s">
        <v>326</v>
      </c>
      <c r="B145" s="3" t="s">
        <v>11</v>
      </c>
      <c r="C145" s="3" t="s">
        <v>69</v>
      </c>
      <c r="D145" s="3" t="s">
        <v>327</v>
      </c>
      <c r="E145" s="4">
        <v>1740</v>
      </c>
      <c r="F145" s="5" t="s">
        <v>39</v>
      </c>
      <c r="G145" s="6"/>
      <c r="H145" s="3" t="s">
        <v>40</v>
      </c>
      <c r="I145" s="3" t="s">
        <v>325</v>
      </c>
    </row>
    <row r="146" spans="1:9" ht="19.95" customHeight="1" x14ac:dyDescent="0.2">
      <c r="A146" s="3" t="s">
        <v>328</v>
      </c>
      <c r="B146" s="3" t="s">
        <v>45</v>
      </c>
      <c r="C146" s="3" t="s">
        <v>37</v>
      </c>
      <c r="D146" s="3" t="s">
        <v>329</v>
      </c>
      <c r="E146" s="4">
        <v>5140</v>
      </c>
      <c r="F146" s="5" t="s">
        <v>39</v>
      </c>
      <c r="G146" s="4">
        <v>4440</v>
      </c>
      <c r="H146" s="3" t="s">
        <v>40</v>
      </c>
      <c r="I146" s="3" t="s">
        <v>275</v>
      </c>
    </row>
    <row r="147" spans="1:9" ht="19.95" customHeight="1" x14ac:dyDescent="0.2">
      <c r="A147" s="3" t="s">
        <v>330</v>
      </c>
      <c r="B147" s="3" t="s">
        <v>115</v>
      </c>
      <c r="C147" s="3" t="s">
        <v>308</v>
      </c>
      <c r="D147" s="3" t="s">
        <v>115</v>
      </c>
      <c r="E147" s="4">
        <v>18200</v>
      </c>
      <c r="F147" s="5" t="s">
        <v>39</v>
      </c>
      <c r="G147" s="4">
        <v>15843</v>
      </c>
      <c r="H147" s="3" t="s">
        <v>40</v>
      </c>
      <c r="I147" s="3" t="s">
        <v>325</v>
      </c>
    </row>
    <row r="148" spans="1:9" ht="19.95" customHeight="1" x14ac:dyDescent="0.2">
      <c r="A148" s="3" t="s">
        <v>331</v>
      </c>
      <c r="B148" s="3" t="s">
        <v>11</v>
      </c>
      <c r="C148" s="3" t="s">
        <v>332</v>
      </c>
      <c r="D148" s="3" t="s">
        <v>333</v>
      </c>
      <c r="E148" s="4">
        <v>10203</v>
      </c>
      <c r="F148" s="5" t="s">
        <v>80</v>
      </c>
      <c r="G148" s="6"/>
      <c r="H148" s="3" t="s">
        <v>81</v>
      </c>
      <c r="I148" s="3" t="s">
        <v>334</v>
      </c>
    </row>
    <row r="149" spans="1:9" ht="19.95" customHeight="1" x14ac:dyDescent="0.2">
      <c r="A149" s="3" t="s">
        <v>335</v>
      </c>
      <c r="B149" s="3" t="s">
        <v>11</v>
      </c>
      <c r="C149" s="3" t="s">
        <v>336</v>
      </c>
      <c r="D149" s="3" t="s">
        <v>93</v>
      </c>
      <c r="E149" s="4">
        <v>34376</v>
      </c>
      <c r="F149" s="5" t="s">
        <v>80</v>
      </c>
      <c r="G149" s="6"/>
      <c r="H149" s="3" t="s">
        <v>81</v>
      </c>
      <c r="I149" s="3" t="s">
        <v>232</v>
      </c>
    </row>
    <row r="150" spans="1:9" ht="19.95" customHeight="1" x14ac:dyDescent="0.2">
      <c r="A150" s="3" t="s">
        <v>337</v>
      </c>
      <c r="B150" s="3" t="s">
        <v>10</v>
      </c>
      <c r="C150" s="3" t="s">
        <v>338</v>
      </c>
      <c r="D150" s="3" t="s">
        <v>93</v>
      </c>
      <c r="E150" s="4">
        <v>41300</v>
      </c>
      <c r="F150" s="5" t="s">
        <v>80</v>
      </c>
      <c r="G150" s="4">
        <v>35700</v>
      </c>
      <c r="H150" s="3" t="s">
        <v>81</v>
      </c>
      <c r="I150" s="3" t="s">
        <v>232</v>
      </c>
    </row>
    <row r="151" spans="1:9" ht="19.95" customHeight="1" x14ac:dyDescent="0.2">
      <c r="A151" s="3" t="s">
        <v>339</v>
      </c>
      <c r="B151" s="3" t="s">
        <v>45</v>
      </c>
      <c r="C151" s="3" t="s">
        <v>340</v>
      </c>
      <c r="D151" s="3" t="s">
        <v>93</v>
      </c>
      <c r="E151" s="4">
        <v>2772</v>
      </c>
      <c r="F151" s="5" t="s">
        <v>75</v>
      </c>
      <c r="G151" s="4">
        <v>2301</v>
      </c>
      <c r="H151" s="3" t="s">
        <v>40</v>
      </c>
      <c r="I151" s="3" t="s">
        <v>232</v>
      </c>
    </row>
    <row r="152" spans="1:9" ht="19.95" customHeight="1" x14ac:dyDescent="0.2">
      <c r="A152" s="3" t="s">
        <v>341</v>
      </c>
      <c r="B152" s="3" t="s">
        <v>45</v>
      </c>
      <c r="C152" s="3" t="s">
        <v>342</v>
      </c>
      <c r="D152" s="3" t="s">
        <v>93</v>
      </c>
      <c r="E152" s="4">
        <v>5544</v>
      </c>
      <c r="F152" s="5" t="s">
        <v>75</v>
      </c>
      <c r="G152" s="4">
        <v>4602</v>
      </c>
      <c r="H152" s="3" t="s">
        <v>40</v>
      </c>
      <c r="I152" s="3" t="s">
        <v>232</v>
      </c>
    </row>
    <row r="153" spans="1:9" ht="19.95" customHeight="1" x14ac:dyDescent="0.2">
      <c r="A153" s="3" t="s">
        <v>343</v>
      </c>
      <c r="B153" s="3" t="s">
        <v>11</v>
      </c>
      <c r="C153" s="3" t="s">
        <v>37</v>
      </c>
      <c r="D153" s="3" t="s">
        <v>70</v>
      </c>
      <c r="E153" s="4">
        <v>17800</v>
      </c>
      <c r="F153" s="5" t="s">
        <v>39</v>
      </c>
      <c r="G153" s="6"/>
      <c r="H153" s="3" t="s">
        <v>40</v>
      </c>
      <c r="I153" s="3" t="s">
        <v>263</v>
      </c>
    </row>
    <row r="154" spans="1:9" ht="19.95" customHeight="1" x14ac:dyDescent="0.2">
      <c r="A154" s="3" t="s">
        <v>344</v>
      </c>
      <c r="B154" s="3" t="s">
        <v>45</v>
      </c>
      <c r="C154" s="3" t="s">
        <v>345</v>
      </c>
      <c r="D154" s="3" t="s">
        <v>109</v>
      </c>
      <c r="E154" s="4">
        <v>12038.14</v>
      </c>
      <c r="F154" s="5" t="s">
        <v>14</v>
      </c>
      <c r="G154" s="4">
        <v>9510</v>
      </c>
      <c r="H154" s="3" t="s">
        <v>63</v>
      </c>
      <c r="I154" s="3" t="s">
        <v>346</v>
      </c>
    </row>
    <row r="155" spans="1:9" ht="19.95" customHeight="1" x14ac:dyDescent="0.2">
      <c r="A155" s="3" t="s">
        <v>347</v>
      </c>
      <c r="B155" s="3" t="s">
        <v>45</v>
      </c>
      <c r="C155" s="3" t="s">
        <v>348</v>
      </c>
      <c r="D155" s="3" t="s">
        <v>349</v>
      </c>
      <c r="E155" s="4">
        <v>7900</v>
      </c>
      <c r="F155" s="5" t="s">
        <v>58</v>
      </c>
      <c r="G155" s="4">
        <v>7035</v>
      </c>
      <c r="H155" s="3" t="s">
        <v>40</v>
      </c>
      <c r="I155" s="3" t="s">
        <v>72</v>
      </c>
    </row>
    <row r="156" spans="1:9" ht="19.95" customHeight="1" x14ac:dyDescent="0.2">
      <c r="A156" s="3" t="s">
        <v>350</v>
      </c>
      <c r="B156" s="3" t="s">
        <v>11</v>
      </c>
      <c r="C156" s="3" t="s">
        <v>69</v>
      </c>
      <c r="D156" s="3" t="s">
        <v>262</v>
      </c>
      <c r="E156" s="4">
        <v>610</v>
      </c>
      <c r="F156" s="5" t="s">
        <v>39</v>
      </c>
      <c r="G156" s="6"/>
      <c r="H156" s="3" t="s">
        <v>40</v>
      </c>
      <c r="I156" s="3" t="s">
        <v>195</v>
      </c>
    </row>
    <row r="157" spans="1:9" ht="19.95" customHeight="1" x14ac:dyDescent="0.2">
      <c r="A157" s="3" t="s">
        <v>351</v>
      </c>
      <c r="B157" s="3" t="s">
        <v>11</v>
      </c>
      <c r="C157" s="3" t="s">
        <v>352</v>
      </c>
      <c r="D157" s="3" t="s">
        <v>353</v>
      </c>
      <c r="E157" s="4">
        <v>835</v>
      </c>
      <c r="F157" s="5" t="s">
        <v>249</v>
      </c>
      <c r="G157" s="6"/>
      <c r="H157" s="3" t="s">
        <v>81</v>
      </c>
      <c r="I157" s="3" t="s">
        <v>275</v>
      </c>
    </row>
    <row r="158" spans="1:9" ht="19.95" customHeight="1" x14ac:dyDescent="0.2">
      <c r="A158" s="3" t="s">
        <v>354</v>
      </c>
      <c r="B158" s="3" t="s">
        <v>11</v>
      </c>
      <c r="C158" s="3" t="s">
        <v>194</v>
      </c>
      <c r="D158" s="3" t="s">
        <v>355</v>
      </c>
      <c r="E158" s="4">
        <v>610</v>
      </c>
      <c r="F158" s="5" t="s">
        <v>89</v>
      </c>
      <c r="G158" s="6"/>
      <c r="H158" s="3" t="s">
        <v>81</v>
      </c>
      <c r="I158" s="3" t="s">
        <v>356</v>
      </c>
    </row>
    <row r="159" spans="1:9" ht="19.95" customHeight="1" x14ac:dyDescent="0.2">
      <c r="A159" s="3" t="s">
        <v>357</v>
      </c>
      <c r="B159" s="3" t="s">
        <v>45</v>
      </c>
      <c r="C159" s="3" t="s">
        <v>69</v>
      </c>
      <c r="D159" s="3" t="s">
        <v>105</v>
      </c>
      <c r="E159" s="4">
        <v>11470</v>
      </c>
      <c r="F159" s="5" t="s">
        <v>39</v>
      </c>
      <c r="G159" s="4">
        <v>10151</v>
      </c>
      <c r="H159" s="3" t="s">
        <v>40</v>
      </c>
      <c r="I159" s="3" t="s">
        <v>358</v>
      </c>
    </row>
    <row r="160" spans="1:9" ht="19.95" customHeight="1" x14ac:dyDescent="0.2">
      <c r="A160" s="3" t="s">
        <v>359</v>
      </c>
      <c r="B160" s="3" t="s">
        <v>10</v>
      </c>
      <c r="C160" s="3" t="s">
        <v>69</v>
      </c>
      <c r="D160" s="3" t="s">
        <v>216</v>
      </c>
      <c r="E160" s="4">
        <v>870</v>
      </c>
      <c r="F160" s="5" t="s">
        <v>39</v>
      </c>
      <c r="G160" s="4">
        <v>775</v>
      </c>
      <c r="H160" s="3" t="s">
        <v>40</v>
      </c>
      <c r="I160" s="3" t="s">
        <v>116</v>
      </c>
    </row>
    <row r="161" spans="1:9" ht="19.95" customHeight="1" x14ac:dyDescent="0.2">
      <c r="A161" s="3" t="s">
        <v>360</v>
      </c>
      <c r="B161" s="3" t="s">
        <v>11</v>
      </c>
      <c r="C161" s="3" t="s">
        <v>37</v>
      </c>
      <c r="D161" s="3" t="s">
        <v>93</v>
      </c>
      <c r="E161" s="4">
        <v>16030</v>
      </c>
      <c r="F161" s="5" t="s">
        <v>39</v>
      </c>
      <c r="G161" s="6"/>
      <c r="H161" s="3" t="s">
        <v>40</v>
      </c>
      <c r="I161" s="3" t="s">
        <v>275</v>
      </c>
    </row>
    <row r="162" spans="1:9" ht="19.95" customHeight="1" x14ac:dyDescent="0.2">
      <c r="A162" s="3" t="s">
        <v>361</v>
      </c>
      <c r="B162" s="3" t="s">
        <v>11</v>
      </c>
      <c r="C162" s="3" t="s">
        <v>362</v>
      </c>
      <c r="D162" s="3" t="s">
        <v>109</v>
      </c>
      <c r="E162" s="4">
        <v>5005</v>
      </c>
      <c r="F162" s="5" t="s">
        <v>39</v>
      </c>
      <c r="G162" s="6"/>
      <c r="H162" s="3" t="s">
        <v>40</v>
      </c>
      <c r="I162" s="3" t="s">
        <v>112</v>
      </c>
    </row>
    <row r="163" spans="1:9" ht="19.95" customHeight="1" x14ac:dyDescent="0.2">
      <c r="A163" s="3" t="s">
        <v>363</v>
      </c>
      <c r="B163" s="3" t="s">
        <v>10</v>
      </c>
      <c r="C163" s="3" t="s">
        <v>37</v>
      </c>
      <c r="D163" s="3" t="s">
        <v>311</v>
      </c>
      <c r="E163" s="4">
        <v>10690</v>
      </c>
      <c r="F163" s="5" t="s">
        <v>39</v>
      </c>
      <c r="G163" s="4">
        <v>9439</v>
      </c>
      <c r="H163" s="3" t="s">
        <v>40</v>
      </c>
      <c r="I163" s="3" t="s">
        <v>364</v>
      </c>
    </row>
    <row r="164" spans="1:9" ht="19.95" customHeight="1" x14ac:dyDescent="0.2">
      <c r="A164" s="3" t="s">
        <v>365</v>
      </c>
      <c r="B164" s="3" t="s">
        <v>10</v>
      </c>
      <c r="C164" s="3" t="s">
        <v>366</v>
      </c>
      <c r="D164" s="3" t="s">
        <v>323</v>
      </c>
      <c r="E164" s="4">
        <v>581</v>
      </c>
      <c r="F164" s="5" t="s">
        <v>128</v>
      </c>
      <c r="G164" s="4">
        <v>708</v>
      </c>
      <c r="H164" s="3" t="s">
        <v>63</v>
      </c>
      <c r="I164" s="3" t="s">
        <v>129</v>
      </c>
    </row>
    <row r="165" spans="1:9" ht="19.95" customHeight="1" x14ac:dyDescent="0.2">
      <c r="A165" s="3" t="s">
        <v>367</v>
      </c>
      <c r="B165" s="3" t="s">
        <v>11</v>
      </c>
      <c r="C165" s="3" t="s">
        <v>197</v>
      </c>
      <c r="D165" s="3" t="s">
        <v>368</v>
      </c>
      <c r="E165" s="4">
        <v>1371</v>
      </c>
      <c r="F165" s="5" t="s">
        <v>39</v>
      </c>
      <c r="G165" s="6"/>
      <c r="H165" s="3" t="s">
        <v>40</v>
      </c>
      <c r="I165" s="3" t="s">
        <v>369</v>
      </c>
    </row>
    <row r="166" spans="1:9" ht="19.95" customHeight="1" x14ac:dyDescent="0.2">
      <c r="A166" s="3" t="s">
        <v>370</v>
      </c>
      <c r="B166" s="3" t="s">
        <v>45</v>
      </c>
      <c r="C166" s="3" t="s">
        <v>371</v>
      </c>
      <c r="D166" s="3" t="s">
        <v>102</v>
      </c>
      <c r="E166" s="4">
        <v>5020</v>
      </c>
      <c r="F166" s="5" t="s">
        <v>14</v>
      </c>
      <c r="G166" s="4">
        <v>4189</v>
      </c>
      <c r="H166" s="3" t="s">
        <v>63</v>
      </c>
      <c r="I166" s="3" t="s">
        <v>103</v>
      </c>
    </row>
    <row r="167" spans="1:9" ht="19.95" customHeight="1" x14ac:dyDescent="0.2">
      <c r="A167" s="3" t="s">
        <v>372</v>
      </c>
      <c r="B167" s="3" t="s">
        <v>11</v>
      </c>
      <c r="C167" s="3" t="s">
        <v>373</v>
      </c>
      <c r="D167" s="3" t="s">
        <v>109</v>
      </c>
      <c r="E167" s="4">
        <v>1116</v>
      </c>
      <c r="F167" s="5" t="s">
        <v>58</v>
      </c>
      <c r="G167" s="6"/>
      <c r="H167" s="3" t="s">
        <v>40</v>
      </c>
      <c r="I167" s="3" t="s">
        <v>112</v>
      </c>
    </row>
    <row r="168" spans="1:9" ht="19.95" customHeight="1" x14ac:dyDescent="0.2">
      <c r="A168" s="3" t="s">
        <v>374</v>
      </c>
      <c r="B168" s="3" t="s">
        <v>11</v>
      </c>
      <c r="C168" s="3" t="s">
        <v>375</v>
      </c>
      <c r="D168" s="3" t="s">
        <v>376</v>
      </c>
      <c r="E168" s="4">
        <v>55417.599999999999</v>
      </c>
      <c r="F168" s="5" t="s">
        <v>39</v>
      </c>
      <c r="G168" s="6"/>
      <c r="H168" s="3" t="s">
        <v>40</v>
      </c>
      <c r="I168" s="3" t="s">
        <v>275</v>
      </c>
    </row>
    <row r="169" spans="1:9" ht="19.95" customHeight="1" x14ac:dyDescent="0.2">
      <c r="A169" s="3" t="s">
        <v>377</v>
      </c>
      <c r="B169" s="3" t="s">
        <v>110</v>
      </c>
      <c r="C169" s="3" t="s">
        <v>146</v>
      </c>
      <c r="D169" s="3" t="s">
        <v>378</v>
      </c>
      <c r="E169" s="4">
        <v>5370</v>
      </c>
      <c r="F169" s="5" t="s">
        <v>75</v>
      </c>
      <c r="G169" s="4">
        <v>4881</v>
      </c>
      <c r="H169" s="3" t="s">
        <v>63</v>
      </c>
      <c r="I169" s="3" t="s">
        <v>76</v>
      </c>
    </row>
    <row r="170" spans="1:9" ht="19.95" customHeight="1" x14ac:dyDescent="0.2">
      <c r="A170" s="3" t="s">
        <v>379</v>
      </c>
      <c r="B170" s="3" t="s">
        <v>11</v>
      </c>
      <c r="C170" s="3" t="s">
        <v>133</v>
      </c>
      <c r="D170" s="3" t="s">
        <v>131</v>
      </c>
      <c r="E170" s="4">
        <v>15350</v>
      </c>
      <c r="F170" s="5" t="s">
        <v>39</v>
      </c>
      <c r="G170" s="6"/>
      <c r="H170" s="3" t="s">
        <v>40</v>
      </c>
      <c r="I170" s="3" t="s">
        <v>232</v>
      </c>
    </row>
    <row r="171" spans="1:9" ht="19.95" customHeight="1" x14ac:dyDescent="0.2">
      <c r="A171" s="3" t="s">
        <v>379</v>
      </c>
      <c r="B171" s="3" t="s">
        <v>11</v>
      </c>
      <c r="C171" s="3" t="s">
        <v>362</v>
      </c>
      <c r="D171" s="3" t="s">
        <v>131</v>
      </c>
      <c r="E171" s="4">
        <v>2149</v>
      </c>
      <c r="F171" s="5" t="s">
        <v>39</v>
      </c>
      <c r="G171" s="6"/>
      <c r="H171" s="3" t="s">
        <v>40</v>
      </c>
      <c r="I171" s="3" t="s">
        <v>232</v>
      </c>
    </row>
    <row r="172" spans="1:9" ht="19.95" customHeight="1" x14ac:dyDescent="0.2">
      <c r="A172" s="3" t="s">
        <v>380</v>
      </c>
      <c r="B172" s="3" t="s">
        <v>10</v>
      </c>
      <c r="C172" s="3" t="s">
        <v>37</v>
      </c>
      <c r="D172" s="3" t="s">
        <v>139</v>
      </c>
      <c r="E172" s="4">
        <v>3070</v>
      </c>
      <c r="F172" s="5" t="s">
        <v>39</v>
      </c>
      <c r="G172" s="4">
        <v>2600</v>
      </c>
      <c r="H172" s="3" t="s">
        <v>40</v>
      </c>
      <c r="I172" s="3" t="s">
        <v>232</v>
      </c>
    </row>
    <row r="173" spans="1:9" ht="19.95" customHeight="1" x14ac:dyDescent="0.2">
      <c r="A173" s="3" t="s">
        <v>380</v>
      </c>
      <c r="B173" s="3" t="s">
        <v>10</v>
      </c>
      <c r="C173" s="3" t="s">
        <v>37</v>
      </c>
      <c r="D173" s="3" t="s">
        <v>139</v>
      </c>
      <c r="E173" s="4">
        <v>3070</v>
      </c>
      <c r="F173" s="5" t="s">
        <v>39</v>
      </c>
      <c r="G173" s="4">
        <v>2600</v>
      </c>
      <c r="H173" s="3" t="s">
        <v>40</v>
      </c>
      <c r="I173" s="3" t="s">
        <v>232</v>
      </c>
    </row>
    <row r="174" spans="1:9" ht="19.95" customHeight="1" x14ac:dyDescent="0.2">
      <c r="A174" s="3" t="s">
        <v>381</v>
      </c>
      <c r="B174" s="3" t="s">
        <v>11</v>
      </c>
      <c r="C174" s="3" t="s">
        <v>133</v>
      </c>
      <c r="D174" s="3" t="s">
        <v>131</v>
      </c>
      <c r="E174" s="4">
        <v>8500</v>
      </c>
      <c r="F174" s="5" t="s">
        <v>39</v>
      </c>
      <c r="G174" s="6"/>
      <c r="H174" s="3" t="s">
        <v>40</v>
      </c>
      <c r="I174" s="3" t="s">
        <v>232</v>
      </c>
    </row>
    <row r="175" spans="1:9" ht="19.95" customHeight="1" x14ac:dyDescent="0.2">
      <c r="A175" s="3" t="s">
        <v>381</v>
      </c>
      <c r="B175" s="3" t="s">
        <v>11</v>
      </c>
      <c r="C175" s="3" t="s">
        <v>362</v>
      </c>
      <c r="D175" s="3" t="s">
        <v>131</v>
      </c>
      <c r="E175" s="4">
        <v>1190</v>
      </c>
      <c r="F175" s="5" t="s">
        <v>39</v>
      </c>
      <c r="G175" s="6"/>
      <c r="H175" s="3" t="s">
        <v>40</v>
      </c>
      <c r="I175" s="3" t="s">
        <v>232</v>
      </c>
    </row>
    <row r="176" spans="1:9" ht="19.95" customHeight="1" x14ac:dyDescent="0.2">
      <c r="A176" s="3" t="s">
        <v>382</v>
      </c>
      <c r="B176" s="3" t="s">
        <v>10</v>
      </c>
      <c r="C176" s="3" t="s">
        <v>37</v>
      </c>
      <c r="D176" s="3" t="s">
        <v>139</v>
      </c>
      <c r="E176" s="4">
        <v>1700</v>
      </c>
      <c r="F176" s="5" t="s">
        <v>39</v>
      </c>
      <c r="G176" s="4">
        <v>1440</v>
      </c>
      <c r="H176" s="3" t="s">
        <v>40</v>
      </c>
      <c r="I176" s="3" t="s">
        <v>232</v>
      </c>
    </row>
    <row r="177" spans="1:9" ht="19.95" customHeight="1" x14ac:dyDescent="0.2">
      <c r="A177" s="3" t="s">
        <v>382</v>
      </c>
      <c r="B177" s="3" t="s">
        <v>10</v>
      </c>
      <c r="C177" s="3" t="s">
        <v>37</v>
      </c>
      <c r="D177" s="3" t="s">
        <v>139</v>
      </c>
      <c r="E177" s="4">
        <v>1700</v>
      </c>
      <c r="F177" s="5" t="s">
        <v>39</v>
      </c>
      <c r="G177" s="4">
        <v>1440</v>
      </c>
      <c r="H177" s="3" t="s">
        <v>40</v>
      </c>
      <c r="I177" s="3" t="s">
        <v>232</v>
      </c>
    </row>
    <row r="178" spans="1:9" ht="19.95" customHeight="1" x14ac:dyDescent="0.2">
      <c r="A178" s="3" t="s">
        <v>383</v>
      </c>
      <c r="B178" s="3" t="s">
        <v>11</v>
      </c>
      <c r="C178" s="3" t="s">
        <v>84</v>
      </c>
      <c r="D178" s="3" t="s">
        <v>131</v>
      </c>
      <c r="E178" s="4">
        <v>6330</v>
      </c>
      <c r="F178" s="5" t="s">
        <v>14</v>
      </c>
      <c r="G178" s="6"/>
      <c r="H178" s="3" t="s">
        <v>40</v>
      </c>
      <c r="I178" s="3" t="s">
        <v>232</v>
      </c>
    </row>
    <row r="179" spans="1:9" ht="19.95" customHeight="1" x14ac:dyDescent="0.2">
      <c r="A179" s="3" t="s">
        <v>384</v>
      </c>
      <c r="B179" s="3" t="s">
        <v>10</v>
      </c>
      <c r="C179" s="3" t="s">
        <v>84</v>
      </c>
      <c r="D179" s="3" t="s">
        <v>139</v>
      </c>
      <c r="E179" s="4">
        <v>3860</v>
      </c>
      <c r="F179" s="5" t="s">
        <v>14</v>
      </c>
      <c r="G179" s="4">
        <v>3300</v>
      </c>
      <c r="H179" s="3" t="s">
        <v>40</v>
      </c>
      <c r="I179" s="3" t="s">
        <v>232</v>
      </c>
    </row>
    <row r="180" spans="1:9" ht="19.95" customHeight="1" x14ac:dyDescent="0.2">
      <c r="A180" s="3" t="s">
        <v>385</v>
      </c>
      <c r="B180" s="3" t="s">
        <v>11</v>
      </c>
      <c r="C180" s="3" t="s">
        <v>69</v>
      </c>
      <c r="D180" s="3" t="s">
        <v>131</v>
      </c>
      <c r="E180" s="4">
        <v>820</v>
      </c>
      <c r="F180" s="5" t="s">
        <v>39</v>
      </c>
      <c r="G180" s="6"/>
      <c r="H180" s="3" t="s">
        <v>40</v>
      </c>
      <c r="I180" s="3" t="s">
        <v>232</v>
      </c>
    </row>
    <row r="181" spans="1:9" ht="19.95" customHeight="1" x14ac:dyDescent="0.2">
      <c r="A181" s="3" t="s">
        <v>385</v>
      </c>
      <c r="B181" s="3" t="s">
        <v>11</v>
      </c>
      <c r="C181" s="3" t="s">
        <v>37</v>
      </c>
      <c r="D181" s="3" t="s">
        <v>134</v>
      </c>
      <c r="E181" s="4">
        <v>820</v>
      </c>
      <c r="F181" s="5" t="s">
        <v>39</v>
      </c>
      <c r="G181" s="6"/>
      <c r="H181" s="3" t="s">
        <v>40</v>
      </c>
      <c r="I181" s="3" t="s">
        <v>232</v>
      </c>
    </row>
    <row r="182" spans="1:9" ht="19.95" customHeight="1" x14ac:dyDescent="0.2">
      <c r="A182" s="3" t="s">
        <v>386</v>
      </c>
      <c r="B182" s="3" t="s">
        <v>10</v>
      </c>
      <c r="C182" s="3" t="s">
        <v>69</v>
      </c>
      <c r="D182" s="3" t="s">
        <v>139</v>
      </c>
      <c r="E182" s="4">
        <v>820</v>
      </c>
      <c r="F182" s="5" t="s">
        <v>39</v>
      </c>
      <c r="G182" s="4">
        <v>700</v>
      </c>
      <c r="H182" s="3" t="s">
        <v>40</v>
      </c>
      <c r="I182" s="3" t="s">
        <v>232</v>
      </c>
    </row>
    <row r="183" spans="1:9" ht="19.95" customHeight="1" x14ac:dyDescent="0.2">
      <c r="A183" s="3" t="s">
        <v>386</v>
      </c>
      <c r="B183" s="3" t="s">
        <v>10</v>
      </c>
      <c r="C183" s="3" t="s">
        <v>69</v>
      </c>
      <c r="D183" s="3" t="s">
        <v>139</v>
      </c>
      <c r="E183" s="4">
        <v>820</v>
      </c>
      <c r="F183" s="5" t="s">
        <v>39</v>
      </c>
      <c r="G183" s="4">
        <v>700</v>
      </c>
      <c r="H183" s="3" t="s">
        <v>40</v>
      </c>
      <c r="I183" s="3" t="s">
        <v>232</v>
      </c>
    </row>
    <row r="184" spans="1:9" ht="19.95" customHeight="1" x14ac:dyDescent="0.2">
      <c r="A184" s="3" t="s">
        <v>387</v>
      </c>
      <c r="B184" s="3" t="s">
        <v>11</v>
      </c>
      <c r="C184" s="3" t="s">
        <v>265</v>
      </c>
      <c r="D184" s="3" t="s">
        <v>388</v>
      </c>
      <c r="E184" s="4">
        <v>865</v>
      </c>
      <c r="F184" s="5" t="s">
        <v>144</v>
      </c>
      <c r="G184" s="6"/>
      <c r="H184" s="3" t="s">
        <v>63</v>
      </c>
      <c r="I184" s="3" t="s">
        <v>389</v>
      </c>
    </row>
    <row r="185" spans="1:9" ht="19.95" customHeight="1" x14ac:dyDescent="0.2">
      <c r="A185" s="3" t="s">
        <v>390</v>
      </c>
      <c r="B185" s="3" t="s">
        <v>45</v>
      </c>
      <c r="C185" s="3" t="s">
        <v>69</v>
      </c>
      <c r="D185" s="3" t="s">
        <v>70</v>
      </c>
      <c r="E185" s="4">
        <v>1750</v>
      </c>
      <c r="F185" s="5" t="s">
        <v>39</v>
      </c>
      <c r="G185" s="4">
        <v>1505</v>
      </c>
      <c r="H185" s="3" t="s">
        <v>40</v>
      </c>
      <c r="I185" s="3" t="s">
        <v>72</v>
      </c>
    </row>
    <row r="186" spans="1:9" ht="19.95" customHeight="1" x14ac:dyDescent="0.2">
      <c r="A186" s="3" t="s">
        <v>391</v>
      </c>
      <c r="B186" s="3" t="s">
        <v>115</v>
      </c>
      <c r="C186" s="3" t="s">
        <v>37</v>
      </c>
      <c r="D186" s="3" t="s">
        <v>115</v>
      </c>
      <c r="E186" s="4">
        <v>1040</v>
      </c>
      <c r="F186" s="5" t="s">
        <v>39</v>
      </c>
      <c r="G186" s="4">
        <v>905</v>
      </c>
      <c r="H186" s="3" t="s">
        <v>40</v>
      </c>
      <c r="I186" s="3" t="s">
        <v>325</v>
      </c>
    </row>
    <row r="187" spans="1:9" ht="19.95" customHeight="1" x14ac:dyDescent="0.2">
      <c r="A187" s="3" t="s">
        <v>391</v>
      </c>
      <c r="B187" s="3" t="s">
        <v>115</v>
      </c>
      <c r="C187" s="3" t="s">
        <v>37</v>
      </c>
      <c r="D187" s="3" t="s">
        <v>115</v>
      </c>
      <c r="E187" s="4">
        <v>1040</v>
      </c>
      <c r="F187" s="5" t="s">
        <v>39</v>
      </c>
      <c r="G187" s="4">
        <v>905</v>
      </c>
      <c r="H187" s="3" t="s">
        <v>40</v>
      </c>
      <c r="I187" s="3" t="s">
        <v>325</v>
      </c>
    </row>
    <row r="188" spans="1:9" ht="19.95" customHeight="1" x14ac:dyDescent="0.2">
      <c r="A188" s="3" t="s">
        <v>392</v>
      </c>
      <c r="B188" s="3" t="s">
        <v>110</v>
      </c>
      <c r="C188" s="3" t="s">
        <v>69</v>
      </c>
      <c r="D188" s="3" t="s">
        <v>109</v>
      </c>
      <c r="E188" s="4">
        <v>1000</v>
      </c>
      <c r="F188" s="5" t="s">
        <v>39</v>
      </c>
      <c r="G188" s="4">
        <v>903</v>
      </c>
      <c r="H188" s="3" t="s">
        <v>40</v>
      </c>
      <c r="I188" s="3" t="s">
        <v>275</v>
      </c>
    </row>
    <row r="189" spans="1:9" ht="19.95" customHeight="1" x14ac:dyDescent="0.2">
      <c r="A189" s="3" t="s">
        <v>393</v>
      </c>
      <c r="B189" s="3" t="s">
        <v>45</v>
      </c>
      <c r="C189" s="3" t="s">
        <v>375</v>
      </c>
      <c r="D189" s="3" t="s">
        <v>262</v>
      </c>
      <c r="E189" s="4">
        <v>1545.6</v>
      </c>
      <c r="F189" s="5" t="s">
        <v>39</v>
      </c>
      <c r="G189" s="4">
        <v>1318</v>
      </c>
      <c r="H189" s="3" t="s">
        <v>40</v>
      </c>
      <c r="I189" s="3" t="s">
        <v>229</v>
      </c>
    </row>
    <row r="190" spans="1:9" ht="19.95" customHeight="1" x14ac:dyDescent="0.2">
      <c r="A190" s="3" t="s">
        <v>394</v>
      </c>
      <c r="B190" s="3" t="s">
        <v>45</v>
      </c>
      <c r="C190" s="3" t="s">
        <v>395</v>
      </c>
      <c r="D190" s="3" t="s">
        <v>262</v>
      </c>
      <c r="E190" s="4">
        <v>2576</v>
      </c>
      <c r="F190" s="5" t="s">
        <v>39</v>
      </c>
      <c r="G190" s="4">
        <v>2197</v>
      </c>
      <c r="H190" s="3" t="s">
        <v>40</v>
      </c>
      <c r="I190" s="3" t="s">
        <v>229</v>
      </c>
    </row>
    <row r="191" spans="1:9" ht="19.95" customHeight="1" x14ac:dyDescent="0.2">
      <c r="A191" s="3" t="s">
        <v>396</v>
      </c>
      <c r="B191" s="3" t="s">
        <v>11</v>
      </c>
      <c r="C191" s="3" t="s">
        <v>397</v>
      </c>
      <c r="D191" s="3" t="s">
        <v>228</v>
      </c>
      <c r="E191" s="4">
        <v>6531.84</v>
      </c>
      <c r="F191" s="5" t="s">
        <v>14</v>
      </c>
      <c r="G191" s="6"/>
      <c r="H191" s="3" t="s">
        <v>40</v>
      </c>
      <c r="I191" s="3" t="s">
        <v>364</v>
      </c>
    </row>
    <row r="192" spans="1:9" ht="19.95" customHeight="1" x14ac:dyDescent="0.2">
      <c r="A192" s="3" t="s">
        <v>398</v>
      </c>
      <c r="B192" s="3" t="s">
        <v>11</v>
      </c>
      <c r="C192" s="3" t="s">
        <v>136</v>
      </c>
      <c r="D192" s="3" t="s">
        <v>319</v>
      </c>
      <c r="E192" s="4">
        <v>11100</v>
      </c>
      <c r="F192" s="5" t="s">
        <v>14</v>
      </c>
      <c r="G192" s="6"/>
      <c r="H192" s="3" t="s">
        <v>40</v>
      </c>
      <c r="I192" s="3" t="s">
        <v>251</v>
      </c>
    </row>
    <row r="193" spans="1:9" ht="19.95" customHeight="1" x14ac:dyDescent="0.2">
      <c r="A193" s="3" t="s">
        <v>399</v>
      </c>
      <c r="B193" s="3" t="s">
        <v>10</v>
      </c>
      <c r="C193" s="3" t="s">
        <v>133</v>
      </c>
      <c r="D193" s="3" t="s">
        <v>319</v>
      </c>
      <c r="E193" s="4">
        <v>2950</v>
      </c>
      <c r="F193" s="5" t="s">
        <v>39</v>
      </c>
      <c r="G193" s="4">
        <v>2680</v>
      </c>
      <c r="H193" s="3" t="s">
        <v>40</v>
      </c>
      <c r="I193" s="3" t="s">
        <v>251</v>
      </c>
    </row>
    <row r="194" spans="1:9" ht="19.95" customHeight="1" x14ac:dyDescent="0.2">
      <c r="A194" s="3" t="s">
        <v>400</v>
      </c>
      <c r="B194" s="3" t="s">
        <v>10</v>
      </c>
      <c r="C194" s="3" t="s">
        <v>133</v>
      </c>
      <c r="D194" s="3" t="s">
        <v>319</v>
      </c>
      <c r="E194" s="4">
        <v>5000</v>
      </c>
      <c r="F194" s="5" t="s">
        <v>39</v>
      </c>
      <c r="G194" s="4">
        <v>4454</v>
      </c>
      <c r="H194" s="3" t="s">
        <v>40</v>
      </c>
      <c r="I194" s="3" t="s">
        <v>251</v>
      </c>
    </row>
    <row r="195" spans="1:9" ht="19.95" customHeight="1" x14ac:dyDescent="0.2">
      <c r="A195" s="3" t="s">
        <v>400</v>
      </c>
      <c r="B195" s="3" t="s">
        <v>11</v>
      </c>
      <c r="C195" s="3" t="s">
        <v>37</v>
      </c>
      <c r="D195" s="3" t="s">
        <v>319</v>
      </c>
      <c r="E195" s="4">
        <v>1000</v>
      </c>
      <c r="F195" s="5" t="s">
        <v>39</v>
      </c>
      <c r="G195" s="6"/>
      <c r="H195" s="3" t="s">
        <v>40</v>
      </c>
      <c r="I195" s="3" t="s">
        <v>251</v>
      </c>
    </row>
    <row r="196" spans="1:9" ht="19.95" customHeight="1" x14ac:dyDescent="0.2">
      <c r="A196" s="3" t="s">
        <v>401</v>
      </c>
      <c r="B196" s="3" t="s">
        <v>10</v>
      </c>
      <c r="C196" s="3" t="s">
        <v>37</v>
      </c>
      <c r="D196" s="3" t="s">
        <v>402</v>
      </c>
      <c r="E196" s="4">
        <v>1040</v>
      </c>
      <c r="F196" s="5" t="s">
        <v>39</v>
      </c>
      <c r="G196" s="4">
        <v>926</v>
      </c>
      <c r="H196" s="3" t="s">
        <v>40</v>
      </c>
      <c r="I196" s="3" t="s">
        <v>72</v>
      </c>
    </row>
    <row r="197" spans="1:9" ht="19.95" customHeight="1" x14ac:dyDescent="0.2">
      <c r="A197" s="3" t="s">
        <v>403</v>
      </c>
      <c r="B197" s="3" t="s">
        <v>115</v>
      </c>
      <c r="C197" s="3" t="s">
        <v>140</v>
      </c>
      <c r="D197" s="3" t="s">
        <v>115</v>
      </c>
      <c r="E197" s="4">
        <v>10400</v>
      </c>
      <c r="F197" s="5" t="s">
        <v>39</v>
      </c>
      <c r="G197" s="4">
        <v>9270</v>
      </c>
      <c r="H197" s="3" t="s">
        <v>40</v>
      </c>
      <c r="I197" s="3" t="s">
        <v>404</v>
      </c>
    </row>
    <row r="198" spans="1:9" ht="19.95" customHeight="1" x14ac:dyDescent="0.2">
      <c r="A198" s="3" t="s">
        <v>405</v>
      </c>
      <c r="B198" s="3" t="s">
        <v>91</v>
      </c>
      <c r="C198" s="3" t="s">
        <v>406</v>
      </c>
      <c r="D198" s="3" t="s">
        <v>407</v>
      </c>
      <c r="E198" s="4">
        <v>1570</v>
      </c>
      <c r="F198" s="5" t="s">
        <v>171</v>
      </c>
      <c r="G198" s="4">
        <v>1384</v>
      </c>
      <c r="H198" s="3" t="s">
        <v>63</v>
      </c>
      <c r="I198" s="3" t="s">
        <v>156</v>
      </c>
    </row>
    <row r="199" spans="1:9" ht="19.95" customHeight="1" x14ac:dyDescent="0.2">
      <c r="A199" s="3" t="s">
        <v>408</v>
      </c>
      <c r="B199" s="3" t="s">
        <v>91</v>
      </c>
      <c r="C199" s="3" t="s">
        <v>140</v>
      </c>
      <c r="D199" s="3" t="s">
        <v>407</v>
      </c>
      <c r="E199" s="4">
        <v>6700</v>
      </c>
      <c r="F199" s="5" t="s">
        <v>39</v>
      </c>
      <c r="G199" s="4">
        <v>5906</v>
      </c>
      <c r="H199" s="3" t="s">
        <v>40</v>
      </c>
      <c r="I199" s="3" t="s">
        <v>156</v>
      </c>
    </row>
    <row r="200" spans="1:9" ht="19.95" customHeight="1" x14ac:dyDescent="0.2">
      <c r="A200" s="3" t="s">
        <v>408</v>
      </c>
      <c r="B200" s="3" t="s">
        <v>91</v>
      </c>
      <c r="C200" s="3" t="s">
        <v>176</v>
      </c>
      <c r="D200" s="3" t="s">
        <v>407</v>
      </c>
      <c r="E200" s="4">
        <v>3350</v>
      </c>
      <c r="F200" s="5" t="s">
        <v>39</v>
      </c>
      <c r="G200" s="4">
        <v>2953</v>
      </c>
      <c r="H200" s="3" t="s">
        <v>40</v>
      </c>
      <c r="I200" s="3" t="s">
        <v>156</v>
      </c>
    </row>
    <row r="201" spans="1:9" ht="19.95" customHeight="1" x14ac:dyDescent="0.2">
      <c r="A201" s="3" t="s">
        <v>409</v>
      </c>
      <c r="B201" s="3" t="s">
        <v>11</v>
      </c>
      <c r="C201" s="3" t="s">
        <v>410</v>
      </c>
      <c r="D201" s="3" t="s">
        <v>411</v>
      </c>
      <c r="E201" s="4">
        <v>2216</v>
      </c>
      <c r="F201" s="5" t="s">
        <v>14</v>
      </c>
      <c r="G201" s="6"/>
      <c r="H201" s="3" t="s">
        <v>63</v>
      </c>
      <c r="I201" s="3" t="s">
        <v>412</v>
      </c>
    </row>
    <row r="202" spans="1:9" ht="19.95" customHeight="1" x14ac:dyDescent="0.2">
      <c r="A202" s="3" t="s">
        <v>413</v>
      </c>
      <c r="B202" s="3" t="s">
        <v>11</v>
      </c>
      <c r="C202" s="3" t="s">
        <v>142</v>
      </c>
      <c r="D202" s="3" t="s">
        <v>411</v>
      </c>
      <c r="E202" s="4">
        <v>2100</v>
      </c>
      <c r="F202" s="5" t="s">
        <v>144</v>
      </c>
      <c r="G202" s="6"/>
      <c r="H202" s="3" t="s">
        <v>81</v>
      </c>
      <c r="I202" s="3" t="s">
        <v>412</v>
      </c>
    </row>
    <row r="203" spans="1:9" ht="19.95" customHeight="1" x14ac:dyDescent="0.2">
      <c r="A203" s="3" t="s">
        <v>414</v>
      </c>
      <c r="B203" s="3" t="s">
        <v>11</v>
      </c>
      <c r="C203" s="3" t="s">
        <v>415</v>
      </c>
      <c r="D203" s="3" t="s">
        <v>411</v>
      </c>
      <c r="E203" s="4">
        <v>305</v>
      </c>
      <c r="F203" s="5" t="s">
        <v>89</v>
      </c>
      <c r="G203" s="6"/>
      <c r="H203" s="3" t="s">
        <v>81</v>
      </c>
      <c r="I203" s="3" t="s">
        <v>412</v>
      </c>
    </row>
    <row r="204" spans="1:9" ht="19.95" customHeight="1" x14ac:dyDescent="0.2">
      <c r="A204" s="3" t="s">
        <v>416</v>
      </c>
      <c r="B204" s="3" t="s">
        <v>45</v>
      </c>
      <c r="C204" s="3" t="s">
        <v>417</v>
      </c>
      <c r="D204" s="3" t="s">
        <v>85</v>
      </c>
      <c r="E204" s="4">
        <v>1732.2</v>
      </c>
      <c r="F204" s="5" t="s">
        <v>249</v>
      </c>
      <c r="G204" s="4">
        <v>1543</v>
      </c>
      <c r="H204" s="3" t="s">
        <v>63</v>
      </c>
      <c r="I204" s="3" t="s">
        <v>172</v>
      </c>
    </row>
    <row r="205" spans="1:9" ht="19.95" customHeight="1" x14ac:dyDescent="0.2">
      <c r="A205" s="3" t="s">
        <v>418</v>
      </c>
      <c r="B205" s="3" t="s">
        <v>11</v>
      </c>
      <c r="C205" s="3" t="s">
        <v>133</v>
      </c>
      <c r="D205" s="3" t="s">
        <v>319</v>
      </c>
      <c r="E205" s="4">
        <v>10850</v>
      </c>
      <c r="F205" s="5" t="s">
        <v>39</v>
      </c>
      <c r="G205" s="6"/>
      <c r="H205" s="3" t="s">
        <v>40</v>
      </c>
      <c r="I205" s="3" t="s">
        <v>314</v>
      </c>
    </row>
    <row r="206" spans="1:9" ht="19.95" customHeight="1" x14ac:dyDescent="0.2">
      <c r="A206" s="3" t="s">
        <v>418</v>
      </c>
      <c r="B206" s="3" t="s">
        <v>10</v>
      </c>
      <c r="C206" s="3" t="s">
        <v>37</v>
      </c>
      <c r="D206" s="3" t="s">
        <v>319</v>
      </c>
      <c r="E206" s="4">
        <v>2170</v>
      </c>
      <c r="F206" s="5" t="s">
        <v>39</v>
      </c>
      <c r="G206" s="4">
        <v>1900</v>
      </c>
      <c r="H206" s="3" t="s">
        <v>40</v>
      </c>
      <c r="I206" s="3" t="s">
        <v>314</v>
      </c>
    </row>
    <row r="207" spans="1:9" ht="19.95" customHeight="1" x14ac:dyDescent="0.2">
      <c r="A207" s="3" t="s">
        <v>419</v>
      </c>
      <c r="B207" s="3" t="s">
        <v>11</v>
      </c>
      <c r="C207" s="3" t="s">
        <v>420</v>
      </c>
      <c r="D207" s="3" t="s">
        <v>93</v>
      </c>
      <c r="E207" s="6"/>
      <c r="F207" s="5" t="s">
        <v>11</v>
      </c>
      <c r="G207" s="6"/>
      <c r="H207" s="3" t="s">
        <v>152</v>
      </c>
      <c r="I207" s="3" t="s">
        <v>153</v>
      </c>
    </row>
    <row r="208" spans="1:9" ht="19.95" customHeight="1" x14ac:dyDescent="0.2">
      <c r="A208" s="3" t="s">
        <v>421</v>
      </c>
      <c r="B208" s="3" t="s">
        <v>91</v>
      </c>
      <c r="C208" s="3" t="s">
        <v>69</v>
      </c>
      <c r="D208" s="3" t="s">
        <v>246</v>
      </c>
      <c r="E208" s="4">
        <v>5730</v>
      </c>
      <c r="F208" s="5" t="s">
        <v>39</v>
      </c>
      <c r="G208" s="4">
        <v>5048</v>
      </c>
      <c r="H208" s="3" t="s">
        <v>40</v>
      </c>
      <c r="I208" s="3" t="s">
        <v>229</v>
      </c>
    </row>
    <row r="209" spans="1:9" ht="19.95" customHeight="1" x14ac:dyDescent="0.2">
      <c r="A209" s="3" t="s">
        <v>422</v>
      </c>
      <c r="B209" s="3" t="s">
        <v>11</v>
      </c>
      <c r="C209" s="3" t="s">
        <v>69</v>
      </c>
      <c r="D209" s="3" t="s">
        <v>246</v>
      </c>
      <c r="E209" s="4">
        <v>9080</v>
      </c>
      <c r="F209" s="5" t="s">
        <v>39</v>
      </c>
      <c r="G209" s="4">
        <v>7999</v>
      </c>
      <c r="H209" s="3" t="s">
        <v>40</v>
      </c>
      <c r="I209" s="3" t="s">
        <v>229</v>
      </c>
    </row>
    <row r="210" spans="1:9" ht="19.95" customHeight="1" x14ac:dyDescent="0.2">
      <c r="A210" s="3" t="s">
        <v>423</v>
      </c>
      <c r="B210" s="3" t="s">
        <v>91</v>
      </c>
      <c r="C210" s="3" t="s">
        <v>176</v>
      </c>
      <c r="D210" s="3" t="s">
        <v>424</v>
      </c>
      <c r="E210" s="4">
        <v>40100</v>
      </c>
      <c r="F210" s="5" t="s">
        <v>39</v>
      </c>
      <c r="G210" s="4">
        <v>34309</v>
      </c>
      <c r="H210" s="3" t="s">
        <v>40</v>
      </c>
      <c r="I210" s="3" t="s">
        <v>217</v>
      </c>
    </row>
    <row r="211" spans="1:9" ht="19.95" customHeight="1" x14ac:dyDescent="0.2">
      <c r="A211" s="3" t="s">
        <v>425</v>
      </c>
      <c r="B211" s="3" t="s">
        <v>45</v>
      </c>
      <c r="C211" s="3" t="s">
        <v>84</v>
      </c>
      <c r="D211" s="3" t="s">
        <v>319</v>
      </c>
      <c r="E211" s="4">
        <v>13490</v>
      </c>
      <c r="F211" s="5" t="s">
        <v>14</v>
      </c>
      <c r="G211" s="4">
        <v>11467</v>
      </c>
      <c r="H211" s="3" t="s">
        <v>40</v>
      </c>
      <c r="I211" s="3" t="s">
        <v>232</v>
      </c>
    </row>
    <row r="212" spans="1:9" ht="19.95" customHeight="1" x14ac:dyDescent="0.2">
      <c r="A212" s="3" t="s">
        <v>426</v>
      </c>
      <c r="B212" s="3" t="s">
        <v>45</v>
      </c>
      <c r="C212" s="3" t="s">
        <v>140</v>
      </c>
      <c r="D212" s="3" t="s">
        <v>319</v>
      </c>
      <c r="E212" s="4">
        <v>16800</v>
      </c>
      <c r="F212" s="5" t="s">
        <v>39</v>
      </c>
      <c r="G212" s="4">
        <v>14448</v>
      </c>
      <c r="H212" s="3" t="s">
        <v>40</v>
      </c>
      <c r="I212" s="3" t="s">
        <v>232</v>
      </c>
    </row>
    <row r="213" spans="1:9" ht="19.95" customHeight="1" x14ac:dyDescent="0.2">
      <c r="A213" s="3" t="s">
        <v>426</v>
      </c>
      <c r="B213" s="3" t="s">
        <v>45</v>
      </c>
      <c r="C213" s="3" t="s">
        <v>69</v>
      </c>
      <c r="D213" s="3" t="s">
        <v>319</v>
      </c>
      <c r="E213" s="4">
        <v>1680</v>
      </c>
      <c r="F213" s="5" t="s">
        <v>39</v>
      </c>
      <c r="G213" s="4">
        <v>1445</v>
      </c>
      <c r="H213" s="3" t="s">
        <v>40</v>
      </c>
      <c r="I213" s="3" t="s">
        <v>232</v>
      </c>
    </row>
    <row r="214" spans="1:9" ht="19.95" customHeight="1" x14ac:dyDescent="0.2">
      <c r="A214" s="3" t="s">
        <v>427</v>
      </c>
      <c r="B214" s="3" t="s">
        <v>45</v>
      </c>
      <c r="C214" s="3" t="s">
        <v>69</v>
      </c>
      <c r="D214" s="3" t="s">
        <v>319</v>
      </c>
      <c r="E214" s="4">
        <v>1040</v>
      </c>
      <c r="F214" s="5" t="s">
        <v>39</v>
      </c>
      <c r="G214" s="4">
        <v>676</v>
      </c>
      <c r="H214" s="3" t="s">
        <v>40</v>
      </c>
      <c r="I214" s="3" t="s">
        <v>232</v>
      </c>
    </row>
    <row r="215" spans="1:9" ht="19.95" customHeight="1" x14ac:dyDescent="0.2">
      <c r="A215" s="3" t="s">
        <v>427</v>
      </c>
      <c r="B215" s="3" t="s">
        <v>45</v>
      </c>
      <c r="C215" s="3" t="s">
        <v>118</v>
      </c>
      <c r="D215" s="3" t="s">
        <v>319</v>
      </c>
      <c r="E215" s="4">
        <v>2080</v>
      </c>
      <c r="F215" s="5" t="s">
        <v>39</v>
      </c>
      <c r="G215" s="4">
        <v>1352</v>
      </c>
      <c r="H215" s="3" t="s">
        <v>40</v>
      </c>
      <c r="I215" s="3" t="s">
        <v>232</v>
      </c>
    </row>
    <row r="216" spans="1:9" ht="19.95" customHeight="1" x14ac:dyDescent="0.2">
      <c r="A216" s="3" t="s">
        <v>428</v>
      </c>
      <c r="B216" s="3" t="s">
        <v>45</v>
      </c>
      <c r="C216" s="3" t="s">
        <v>37</v>
      </c>
      <c r="D216" s="3" t="s">
        <v>319</v>
      </c>
      <c r="E216" s="4">
        <v>2930</v>
      </c>
      <c r="F216" s="5" t="s">
        <v>39</v>
      </c>
      <c r="G216" s="4">
        <v>2510</v>
      </c>
      <c r="H216" s="3" t="s">
        <v>40</v>
      </c>
      <c r="I216" s="3" t="s">
        <v>232</v>
      </c>
    </row>
    <row r="217" spans="1:9" ht="19.95" customHeight="1" x14ac:dyDescent="0.2">
      <c r="A217" s="3" t="s">
        <v>428</v>
      </c>
      <c r="B217" s="3" t="s">
        <v>45</v>
      </c>
      <c r="C217" s="3" t="s">
        <v>133</v>
      </c>
      <c r="D217" s="3" t="s">
        <v>319</v>
      </c>
      <c r="E217" s="4">
        <v>14650</v>
      </c>
      <c r="F217" s="5" t="s">
        <v>39</v>
      </c>
      <c r="G217" s="4">
        <v>12599</v>
      </c>
      <c r="H217" s="3" t="s">
        <v>40</v>
      </c>
      <c r="I217" s="3" t="s">
        <v>232</v>
      </c>
    </row>
    <row r="218" spans="1:9" ht="19.95" customHeight="1" x14ac:dyDescent="0.2">
      <c r="A218" s="3" t="s">
        <v>429</v>
      </c>
      <c r="B218" s="3" t="s">
        <v>45</v>
      </c>
      <c r="C218" s="3" t="s">
        <v>37</v>
      </c>
      <c r="D218" s="3" t="s">
        <v>319</v>
      </c>
      <c r="E218" s="4">
        <v>1040</v>
      </c>
      <c r="F218" s="5" t="s">
        <v>39</v>
      </c>
      <c r="G218" s="4">
        <v>772</v>
      </c>
      <c r="H218" s="3" t="s">
        <v>40</v>
      </c>
      <c r="I218" s="3" t="s">
        <v>232</v>
      </c>
    </row>
    <row r="219" spans="1:9" ht="19.95" customHeight="1" x14ac:dyDescent="0.2">
      <c r="A219" s="3" t="s">
        <v>429</v>
      </c>
      <c r="B219" s="3" t="s">
        <v>45</v>
      </c>
      <c r="C219" s="3" t="s">
        <v>140</v>
      </c>
      <c r="D219" s="3" t="s">
        <v>319</v>
      </c>
      <c r="E219" s="4">
        <v>10400</v>
      </c>
      <c r="F219" s="5" t="s">
        <v>39</v>
      </c>
      <c r="G219" s="4">
        <v>7725</v>
      </c>
      <c r="H219" s="3" t="s">
        <v>40</v>
      </c>
      <c r="I219" s="3" t="s">
        <v>232</v>
      </c>
    </row>
    <row r="220" spans="1:9" ht="19.95" customHeight="1" x14ac:dyDescent="0.2">
      <c r="A220" s="3" t="s">
        <v>430</v>
      </c>
      <c r="B220" s="3" t="s">
        <v>91</v>
      </c>
      <c r="C220" s="3" t="s">
        <v>74</v>
      </c>
      <c r="D220" s="3" t="s">
        <v>228</v>
      </c>
      <c r="E220" s="4">
        <v>12635</v>
      </c>
      <c r="F220" s="5" t="s">
        <v>75</v>
      </c>
      <c r="G220" s="4">
        <v>11245</v>
      </c>
      <c r="H220" s="3" t="s">
        <v>63</v>
      </c>
      <c r="I220" s="3" t="s">
        <v>76</v>
      </c>
    </row>
    <row r="221" spans="1:9" ht="19.95" customHeight="1" x14ac:dyDescent="0.2">
      <c r="A221" s="3" t="s">
        <v>431</v>
      </c>
      <c r="B221" s="3" t="s">
        <v>45</v>
      </c>
      <c r="C221" s="3" t="s">
        <v>37</v>
      </c>
      <c r="D221" s="3" t="s">
        <v>432</v>
      </c>
      <c r="E221" s="4">
        <v>8520</v>
      </c>
      <c r="F221" s="5" t="s">
        <v>39</v>
      </c>
      <c r="G221" s="4">
        <v>7285</v>
      </c>
      <c r="H221" s="3" t="s">
        <v>40</v>
      </c>
      <c r="I221" s="3" t="s">
        <v>433</v>
      </c>
    </row>
    <row r="222" spans="1:9" ht="19.95" customHeight="1" x14ac:dyDescent="0.2">
      <c r="A222" s="3" t="s">
        <v>434</v>
      </c>
      <c r="B222" s="3" t="s">
        <v>11</v>
      </c>
      <c r="C222" s="3" t="s">
        <v>74</v>
      </c>
      <c r="D222" s="3" t="s">
        <v>228</v>
      </c>
      <c r="E222" s="4">
        <v>11235</v>
      </c>
      <c r="F222" s="5" t="s">
        <v>75</v>
      </c>
      <c r="G222" s="6"/>
      <c r="H222" s="3" t="s">
        <v>63</v>
      </c>
      <c r="I222" s="3" t="s">
        <v>76</v>
      </c>
    </row>
    <row r="223" spans="1:9" ht="19.95" customHeight="1" x14ac:dyDescent="0.2">
      <c r="A223" s="3" t="s">
        <v>435</v>
      </c>
      <c r="B223" s="3" t="s">
        <v>10</v>
      </c>
      <c r="C223" s="3" t="s">
        <v>84</v>
      </c>
      <c r="D223" s="3" t="s">
        <v>262</v>
      </c>
      <c r="E223" s="4">
        <v>1980</v>
      </c>
      <c r="F223" s="5" t="s">
        <v>14</v>
      </c>
      <c r="G223" s="4">
        <v>1800</v>
      </c>
      <c r="H223" s="3" t="s">
        <v>40</v>
      </c>
      <c r="I223" s="3" t="s">
        <v>229</v>
      </c>
    </row>
    <row r="224" spans="1:9" ht="19.95" customHeight="1" x14ac:dyDescent="0.2">
      <c r="A224" s="3" t="s">
        <v>436</v>
      </c>
      <c r="B224" s="3" t="s">
        <v>45</v>
      </c>
      <c r="C224" s="3" t="s">
        <v>308</v>
      </c>
      <c r="D224" s="3" t="s">
        <v>262</v>
      </c>
      <c r="E224" s="4">
        <v>12500</v>
      </c>
      <c r="F224" s="5" t="s">
        <v>39</v>
      </c>
      <c r="G224" s="4">
        <v>10750</v>
      </c>
      <c r="H224" s="3" t="s">
        <v>40</v>
      </c>
      <c r="I224" s="3" t="s">
        <v>229</v>
      </c>
    </row>
    <row r="225" spans="1:9" ht="19.95" customHeight="1" x14ac:dyDescent="0.2">
      <c r="A225" s="3" t="s">
        <v>437</v>
      </c>
      <c r="B225" s="3" t="s">
        <v>45</v>
      </c>
      <c r="C225" s="3" t="s">
        <v>37</v>
      </c>
      <c r="D225" s="3" t="s">
        <v>262</v>
      </c>
      <c r="E225" s="4">
        <v>1610</v>
      </c>
      <c r="F225" s="5" t="s">
        <v>39</v>
      </c>
      <c r="G225" s="4">
        <v>1385</v>
      </c>
      <c r="H225" s="3" t="s">
        <v>40</v>
      </c>
      <c r="I225" s="3" t="s">
        <v>229</v>
      </c>
    </row>
    <row r="226" spans="1:9" ht="19.95" customHeight="1" x14ac:dyDescent="0.2">
      <c r="A226" s="3" t="s">
        <v>438</v>
      </c>
      <c r="B226" s="3" t="s">
        <v>10</v>
      </c>
      <c r="C226" s="3" t="s">
        <v>69</v>
      </c>
      <c r="D226" s="3" t="s">
        <v>439</v>
      </c>
      <c r="E226" s="4">
        <v>2490</v>
      </c>
      <c r="F226" s="5" t="s">
        <v>39</v>
      </c>
      <c r="G226" s="4">
        <v>2263</v>
      </c>
      <c r="H226" s="3" t="s">
        <v>40</v>
      </c>
      <c r="I226" s="3" t="s">
        <v>116</v>
      </c>
    </row>
    <row r="227" spans="1:9" ht="19.95" customHeight="1" x14ac:dyDescent="0.2">
      <c r="A227" s="3" t="s">
        <v>440</v>
      </c>
      <c r="B227" s="3" t="s">
        <v>45</v>
      </c>
      <c r="C227" s="3" t="s">
        <v>37</v>
      </c>
      <c r="D227" s="3" t="s">
        <v>164</v>
      </c>
      <c r="E227" s="4">
        <v>3170</v>
      </c>
      <c r="F227" s="5" t="s">
        <v>39</v>
      </c>
      <c r="G227" s="4">
        <v>2710</v>
      </c>
      <c r="H227" s="3" t="s">
        <v>40</v>
      </c>
      <c r="I227" s="3" t="s">
        <v>325</v>
      </c>
    </row>
    <row r="228" spans="1:9" ht="19.95" customHeight="1" x14ac:dyDescent="0.2">
      <c r="A228" s="3" t="s">
        <v>441</v>
      </c>
      <c r="B228" s="3" t="s">
        <v>45</v>
      </c>
      <c r="C228" s="3" t="s">
        <v>69</v>
      </c>
      <c r="D228" s="3" t="s">
        <v>424</v>
      </c>
      <c r="E228" s="4">
        <v>820</v>
      </c>
      <c r="F228" s="5" t="s">
        <v>39</v>
      </c>
      <c r="G228" s="4">
        <v>730</v>
      </c>
      <c r="H228" s="3" t="s">
        <v>40</v>
      </c>
      <c r="I228" s="3" t="s">
        <v>314</v>
      </c>
    </row>
    <row r="229" spans="1:9" ht="19.95" customHeight="1" x14ac:dyDescent="0.2">
      <c r="A229" s="3" t="s">
        <v>442</v>
      </c>
      <c r="B229" s="3" t="s">
        <v>11</v>
      </c>
      <c r="C229" s="3" t="s">
        <v>443</v>
      </c>
      <c r="D229" s="3" t="s">
        <v>295</v>
      </c>
      <c r="E229" s="4">
        <v>3020</v>
      </c>
      <c r="F229" s="5" t="s">
        <v>98</v>
      </c>
      <c r="G229" s="6"/>
      <c r="H229" s="3" t="s">
        <v>81</v>
      </c>
      <c r="I229" s="3" t="s">
        <v>275</v>
      </c>
    </row>
    <row r="230" spans="1:9" ht="19.95" customHeight="1" x14ac:dyDescent="0.2">
      <c r="A230" s="3" t="s">
        <v>444</v>
      </c>
      <c r="B230" s="3" t="s">
        <v>10</v>
      </c>
      <c r="C230" s="3" t="s">
        <v>445</v>
      </c>
      <c r="D230" s="3" t="s">
        <v>446</v>
      </c>
      <c r="E230" s="4">
        <v>1242</v>
      </c>
      <c r="F230" s="5" t="s">
        <v>249</v>
      </c>
      <c r="G230" s="4">
        <v>1096</v>
      </c>
      <c r="H230" s="3" t="s">
        <v>63</v>
      </c>
      <c r="I230" s="3" t="s">
        <v>217</v>
      </c>
    </row>
    <row r="231" spans="1:9" ht="19.95" customHeight="1" x14ac:dyDescent="0.2">
      <c r="A231" s="3" t="s">
        <v>447</v>
      </c>
      <c r="B231" s="3" t="s">
        <v>10</v>
      </c>
      <c r="C231" s="3" t="s">
        <v>140</v>
      </c>
      <c r="D231" s="3" t="s">
        <v>448</v>
      </c>
      <c r="E231" s="4">
        <v>5900</v>
      </c>
      <c r="F231" s="5" t="s">
        <v>39</v>
      </c>
      <c r="G231" s="4">
        <v>5363</v>
      </c>
      <c r="H231" s="3" t="s">
        <v>40</v>
      </c>
      <c r="I231" s="3" t="s">
        <v>449</v>
      </c>
    </row>
    <row r="232" spans="1:9" ht="19.95" customHeight="1" x14ac:dyDescent="0.2">
      <c r="A232" s="3" t="s">
        <v>450</v>
      </c>
      <c r="B232" s="3" t="s">
        <v>115</v>
      </c>
      <c r="C232" s="3" t="s">
        <v>451</v>
      </c>
      <c r="D232" s="3" t="s">
        <v>115</v>
      </c>
      <c r="E232" s="4">
        <v>3120</v>
      </c>
      <c r="F232" s="5" t="s">
        <v>39</v>
      </c>
      <c r="G232" s="4">
        <v>2715</v>
      </c>
      <c r="H232" s="3" t="s">
        <v>40</v>
      </c>
      <c r="I232" s="3" t="s">
        <v>433</v>
      </c>
    </row>
    <row r="233" spans="1:9" ht="19.95" customHeight="1" x14ac:dyDescent="0.2">
      <c r="A233" s="3" t="s">
        <v>452</v>
      </c>
      <c r="B233" s="3" t="s">
        <v>11</v>
      </c>
      <c r="C233" s="3" t="s">
        <v>453</v>
      </c>
      <c r="D233" s="3" t="s">
        <v>115</v>
      </c>
      <c r="E233" s="4">
        <v>3460</v>
      </c>
      <c r="F233" s="5" t="s">
        <v>89</v>
      </c>
      <c r="G233" s="6"/>
      <c r="H233" s="3" t="s">
        <v>81</v>
      </c>
      <c r="I233" s="3" t="s">
        <v>454</v>
      </c>
    </row>
    <row r="234" spans="1:9" ht="19.95" customHeight="1" x14ac:dyDescent="0.2">
      <c r="A234" s="3" t="s">
        <v>455</v>
      </c>
      <c r="B234" s="3" t="s">
        <v>45</v>
      </c>
      <c r="C234" s="3" t="s">
        <v>456</v>
      </c>
      <c r="D234" s="3" t="s">
        <v>182</v>
      </c>
      <c r="E234" s="4">
        <v>24863.040000000001</v>
      </c>
      <c r="F234" s="5" t="s">
        <v>14</v>
      </c>
      <c r="G234" s="4">
        <v>21879</v>
      </c>
      <c r="H234" s="3" t="s">
        <v>63</v>
      </c>
      <c r="I234" s="3" t="s">
        <v>346</v>
      </c>
    </row>
    <row r="235" spans="1:9" ht="19.95" customHeight="1" x14ac:dyDescent="0.2">
      <c r="A235" s="3" t="s">
        <v>457</v>
      </c>
      <c r="B235" s="3" t="s">
        <v>45</v>
      </c>
      <c r="C235" s="3" t="s">
        <v>458</v>
      </c>
      <c r="D235" s="3" t="s">
        <v>459</v>
      </c>
      <c r="E235" s="4">
        <v>8114.4</v>
      </c>
      <c r="F235" s="5" t="s">
        <v>14</v>
      </c>
      <c r="G235" s="4">
        <v>7229</v>
      </c>
      <c r="H235" s="3" t="s">
        <v>40</v>
      </c>
      <c r="I235" s="3" t="s">
        <v>460</v>
      </c>
    </row>
    <row r="236" spans="1:9" ht="19.95" customHeight="1" x14ac:dyDescent="0.2">
      <c r="A236" s="3" t="s">
        <v>461</v>
      </c>
      <c r="B236" s="3" t="s">
        <v>10</v>
      </c>
      <c r="C236" s="3" t="s">
        <v>37</v>
      </c>
      <c r="D236" s="3" t="s">
        <v>378</v>
      </c>
      <c r="E236" s="4">
        <v>1270</v>
      </c>
      <c r="F236" s="5" t="s">
        <v>39</v>
      </c>
      <c r="G236" s="4">
        <v>910</v>
      </c>
      <c r="H236" s="3" t="s">
        <v>40</v>
      </c>
      <c r="I236" s="3" t="s">
        <v>263</v>
      </c>
    </row>
    <row r="237" spans="1:9" ht="19.95" customHeight="1" x14ac:dyDescent="0.2">
      <c r="A237" s="3" t="s">
        <v>462</v>
      </c>
      <c r="B237" s="3" t="s">
        <v>11</v>
      </c>
      <c r="C237" s="3" t="s">
        <v>37</v>
      </c>
      <c r="D237" s="3" t="s">
        <v>115</v>
      </c>
      <c r="E237" s="4">
        <v>1270</v>
      </c>
      <c r="F237" s="5" t="s">
        <v>39</v>
      </c>
      <c r="G237" s="6"/>
      <c r="H237" s="3" t="s">
        <v>40</v>
      </c>
      <c r="I237" s="3" t="s">
        <v>263</v>
      </c>
    </row>
    <row r="238" spans="1:9" ht="19.95" customHeight="1" x14ac:dyDescent="0.2">
      <c r="A238" s="3" t="s">
        <v>463</v>
      </c>
      <c r="B238" s="3" t="s">
        <v>10</v>
      </c>
      <c r="C238" s="3" t="s">
        <v>37</v>
      </c>
      <c r="D238" s="3" t="s">
        <v>378</v>
      </c>
      <c r="E238" s="4">
        <v>3190</v>
      </c>
      <c r="F238" s="5" t="s">
        <v>39</v>
      </c>
      <c r="G238" s="4">
        <v>2280</v>
      </c>
      <c r="H238" s="3" t="s">
        <v>40</v>
      </c>
      <c r="I238" s="3" t="s">
        <v>263</v>
      </c>
    </row>
    <row r="239" spans="1:9" ht="19.95" customHeight="1" x14ac:dyDescent="0.2">
      <c r="A239" s="3" t="s">
        <v>463</v>
      </c>
      <c r="B239" s="3" t="s">
        <v>10</v>
      </c>
      <c r="C239" s="3" t="s">
        <v>133</v>
      </c>
      <c r="D239" s="3" t="s">
        <v>378</v>
      </c>
      <c r="E239" s="4">
        <v>15950</v>
      </c>
      <c r="F239" s="5" t="s">
        <v>39</v>
      </c>
      <c r="G239" s="4">
        <v>11400</v>
      </c>
      <c r="H239" s="3" t="s">
        <v>40</v>
      </c>
      <c r="I239" s="3" t="s">
        <v>263</v>
      </c>
    </row>
    <row r="240" spans="1:9" ht="19.95" customHeight="1" x14ac:dyDescent="0.2">
      <c r="A240" s="3" t="s">
        <v>464</v>
      </c>
      <c r="B240" s="3" t="s">
        <v>11</v>
      </c>
      <c r="C240" s="3" t="s">
        <v>451</v>
      </c>
      <c r="D240" s="3" t="s">
        <v>115</v>
      </c>
      <c r="E240" s="4">
        <v>9570</v>
      </c>
      <c r="F240" s="5" t="s">
        <v>39</v>
      </c>
      <c r="G240" s="6"/>
      <c r="H240" s="3" t="s">
        <v>40</v>
      </c>
      <c r="I240" s="3" t="s">
        <v>263</v>
      </c>
    </row>
    <row r="241" spans="1:9" ht="19.95" customHeight="1" x14ac:dyDescent="0.2">
      <c r="A241" s="3" t="s">
        <v>465</v>
      </c>
      <c r="B241" s="3" t="s">
        <v>11</v>
      </c>
      <c r="C241" s="3" t="s">
        <v>37</v>
      </c>
      <c r="D241" s="3" t="s">
        <v>115</v>
      </c>
      <c r="E241" s="4">
        <v>3190</v>
      </c>
      <c r="F241" s="5" t="s">
        <v>39</v>
      </c>
      <c r="G241" s="6"/>
      <c r="H241" s="3" t="s">
        <v>40</v>
      </c>
      <c r="I241" s="3" t="s">
        <v>263</v>
      </c>
    </row>
    <row r="242" spans="1:9" ht="19.95" customHeight="1" x14ac:dyDescent="0.2">
      <c r="A242" s="3" t="s">
        <v>466</v>
      </c>
      <c r="B242" s="3" t="s">
        <v>45</v>
      </c>
      <c r="C242" s="3" t="s">
        <v>69</v>
      </c>
      <c r="D242" s="3" t="s">
        <v>459</v>
      </c>
      <c r="E242" s="4">
        <v>1610</v>
      </c>
      <c r="F242" s="5" t="s">
        <v>39</v>
      </c>
      <c r="G242" s="4">
        <v>1434</v>
      </c>
      <c r="H242" s="3" t="s">
        <v>40</v>
      </c>
      <c r="I242" s="3" t="s">
        <v>167</v>
      </c>
    </row>
    <row r="243" spans="1:9" ht="19.95" customHeight="1" x14ac:dyDescent="0.2">
      <c r="A243" s="3" t="s">
        <v>467</v>
      </c>
      <c r="B243" s="3" t="s">
        <v>45</v>
      </c>
      <c r="C243" s="3" t="s">
        <v>245</v>
      </c>
      <c r="D243" s="3" t="s">
        <v>468</v>
      </c>
      <c r="E243" s="4">
        <v>585</v>
      </c>
      <c r="F243" s="5" t="s">
        <v>14</v>
      </c>
      <c r="G243" s="4">
        <v>521</v>
      </c>
      <c r="H243" s="3" t="s">
        <v>63</v>
      </c>
      <c r="I243" s="3" t="s">
        <v>129</v>
      </c>
    </row>
    <row r="244" spans="1:9" ht="19.95" customHeight="1" x14ac:dyDescent="0.2">
      <c r="A244" s="3" t="s">
        <v>469</v>
      </c>
      <c r="B244" s="3" t="s">
        <v>11</v>
      </c>
      <c r="C244" s="3" t="s">
        <v>37</v>
      </c>
      <c r="D244" s="3" t="s">
        <v>470</v>
      </c>
      <c r="E244" s="4">
        <v>7170</v>
      </c>
      <c r="F244" s="5" t="s">
        <v>39</v>
      </c>
      <c r="G244" s="6"/>
      <c r="H244" s="3" t="s">
        <v>63</v>
      </c>
      <c r="I244" s="3" t="s">
        <v>471</v>
      </c>
    </row>
    <row r="245" spans="1:9" ht="19.95" customHeight="1" x14ac:dyDescent="0.2">
      <c r="A245" s="3" t="s">
        <v>472</v>
      </c>
      <c r="B245" s="3" t="s">
        <v>45</v>
      </c>
      <c r="C245" s="3" t="s">
        <v>473</v>
      </c>
      <c r="D245" s="3" t="s">
        <v>147</v>
      </c>
      <c r="E245" s="4">
        <v>1878</v>
      </c>
      <c r="F245" s="5" t="s">
        <v>148</v>
      </c>
      <c r="G245" s="4">
        <v>1673</v>
      </c>
      <c r="H245" s="3" t="s">
        <v>63</v>
      </c>
      <c r="I245" s="3" t="s">
        <v>76</v>
      </c>
    </row>
    <row r="246" spans="1:9" ht="19.95" customHeight="1" x14ac:dyDescent="0.2">
      <c r="A246" s="3" t="s">
        <v>472</v>
      </c>
      <c r="B246" s="3" t="s">
        <v>11</v>
      </c>
      <c r="C246" s="3" t="s">
        <v>474</v>
      </c>
      <c r="D246" s="3" t="s">
        <v>147</v>
      </c>
      <c r="E246" s="4">
        <v>939</v>
      </c>
      <c r="F246" s="5" t="s">
        <v>148</v>
      </c>
      <c r="G246" s="6"/>
      <c r="H246" s="3" t="s">
        <v>63</v>
      </c>
      <c r="I246" s="3" t="s">
        <v>76</v>
      </c>
    </row>
    <row r="247" spans="1:9" ht="19.95" customHeight="1" x14ac:dyDescent="0.2">
      <c r="A247" s="3" t="s">
        <v>475</v>
      </c>
      <c r="B247" s="3" t="s">
        <v>11</v>
      </c>
      <c r="C247" s="3" t="s">
        <v>476</v>
      </c>
      <c r="D247" s="3" t="s">
        <v>477</v>
      </c>
      <c r="E247" s="4">
        <v>610</v>
      </c>
      <c r="F247" s="5" t="s">
        <v>89</v>
      </c>
      <c r="G247" s="6"/>
      <c r="H247" s="3" t="s">
        <v>81</v>
      </c>
      <c r="I247" s="3" t="s">
        <v>478</v>
      </c>
    </row>
    <row r="248" spans="1:9" ht="19.95" customHeight="1" x14ac:dyDescent="0.2">
      <c r="A248" s="3" t="s">
        <v>479</v>
      </c>
      <c r="B248" s="3" t="s">
        <v>10</v>
      </c>
      <c r="C248" s="3" t="s">
        <v>480</v>
      </c>
      <c r="D248" s="3" t="s">
        <v>459</v>
      </c>
      <c r="E248" s="4">
        <v>1280</v>
      </c>
      <c r="F248" s="5" t="s">
        <v>14</v>
      </c>
      <c r="G248" s="4">
        <v>1140</v>
      </c>
      <c r="H248" s="3" t="s">
        <v>63</v>
      </c>
      <c r="I248" s="3" t="s">
        <v>94</v>
      </c>
    </row>
    <row r="249" spans="1:9" ht="19.95" customHeight="1" x14ac:dyDescent="0.2">
      <c r="A249" s="3" t="s">
        <v>481</v>
      </c>
      <c r="B249" s="3" t="s">
        <v>11</v>
      </c>
      <c r="C249" s="3" t="s">
        <v>482</v>
      </c>
      <c r="D249" s="3" t="s">
        <v>109</v>
      </c>
      <c r="E249" s="4">
        <v>2310</v>
      </c>
      <c r="F249" s="5" t="s">
        <v>148</v>
      </c>
      <c r="G249" s="6"/>
      <c r="H249" s="3" t="s">
        <v>63</v>
      </c>
      <c r="I249" s="3" t="s">
        <v>483</v>
      </c>
    </row>
    <row r="250" spans="1:9" ht="19.95" customHeight="1" x14ac:dyDescent="0.2">
      <c r="A250" s="3" t="s">
        <v>484</v>
      </c>
      <c r="B250" s="3" t="s">
        <v>91</v>
      </c>
      <c r="C250" s="3" t="s">
        <v>485</v>
      </c>
      <c r="D250" s="3" t="s">
        <v>349</v>
      </c>
      <c r="E250" s="4">
        <v>8610</v>
      </c>
      <c r="F250" s="5" t="s">
        <v>183</v>
      </c>
      <c r="G250" s="4">
        <v>7766</v>
      </c>
      <c r="H250" s="3" t="s">
        <v>63</v>
      </c>
      <c r="I250" s="3" t="s">
        <v>129</v>
      </c>
    </row>
    <row r="251" spans="1:9" ht="19.95" customHeight="1" x14ac:dyDescent="0.2">
      <c r="A251" s="3" t="s">
        <v>486</v>
      </c>
      <c r="B251" s="3" t="s">
        <v>10</v>
      </c>
      <c r="C251" s="3" t="s">
        <v>487</v>
      </c>
      <c r="D251" s="3" t="s">
        <v>319</v>
      </c>
      <c r="E251" s="4">
        <v>5470</v>
      </c>
      <c r="F251" s="5" t="s">
        <v>58</v>
      </c>
      <c r="G251" s="4">
        <v>4972</v>
      </c>
      <c r="H251" s="3" t="s">
        <v>40</v>
      </c>
      <c r="I251" s="3" t="s">
        <v>369</v>
      </c>
    </row>
    <row r="252" spans="1:9" ht="19.95" customHeight="1" x14ac:dyDescent="0.2">
      <c r="A252" s="3" t="s">
        <v>488</v>
      </c>
      <c r="B252" s="3" t="s">
        <v>10</v>
      </c>
      <c r="C252" s="3" t="s">
        <v>69</v>
      </c>
      <c r="D252" s="3" t="s">
        <v>319</v>
      </c>
      <c r="E252" s="4">
        <v>3150</v>
      </c>
      <c r="F252" s="5" t="s">
        <v>58</v>
      </c>
      <c r="G252" s="4">
        <v>2863</v>
      </c>
      <c r="H252" s="3" t="s">
        <v>40</v>
      </c>
      <c r="I252" s="3" t="s">
        <v>369</v>
      </c>
    </row>
    <row r="253" spans="1:9" ht="19.95" customHeight="1" x14ac:dyDescent="0.2">
      <c r="A253" s="3" t="s">
        <v>489</v>
      </c>
      <c r="B253" s="3" t="s">
        <v>45</v>
      </c>
      <c r="C253" s="3" t="s">
        <v>37</v>
      </c>
      <c r="D253" s="3" t="s">
        <v>490</v>
      </c>
      <c r="E253" s="4">
        <v>4590</v>
      </c>
      <c r="F253" s="5" t="s">
        <v>39</v>
      </c>
      <c r="G253" s="4">
        <v>4049</v>
      </c>
      <c r="H253" s="3" t="s">
        <v>40</v>
      </c>
      <c r="I253" s="3" t="s">
        <v>72</v>
      </c>
    </row>
    <row r="254" spans="1:9" ht="19.95" customHeight="1" x14ac:dyDescent="0.2">
      <c r="A254" s="3" t="s">
        <v>491</v>
      </c>
      <c r="B254" s="3" t="s">
        <v>71</v>
      </c>
      <c r="C254" s="3" t="s">
        <v>92</v>
      </c>
      <c r="D254" s="3" t="s">
        <v>492</v>
      </c>
      <c r="E254" s="4">
        <v>870</v>
      </c>
      <c r="F254" s="5" t="s">
        <v>14</v>
      </c>
      <c r="G254" s="4">
        <v>775</v>
      </c>
      <c r="H254" s="3" t="s">
        <v>63</v>
      </c>
      <c r="I254" s="3" t="s">
        <v>103</v>
      </c>
    </row>
    <row r="255" spans="1:9" ht="19.95" customHeight="1" x14ac:dyDescent="0.2">
      <c r="A255" s="3" t="s">
        <v>493</v>
      </c>
      <c r="B255" s="3" t="s">
        <v>11</v>
      </c>
      <c r="C255" s="3" t="s">
        <v>69</v>
      </c>
      <c r="D255" s="3" t="s">
        <v>105</v>
      </c>
      <c r="E255" s="4">
        <v>740</v>
      </c>
      <c r="F255" s="5" t="s">
        <v>39</v>
      </c>
      <c r="G255" s="4">
        <v>0</v>
      </c>
      <c r="H255" s="3" t="s">
        <v>40</v>
      </c>
      <c r="I255" s="3" t="s">
        <v>334</v>
      </c>
    </row>
    <row r="256" spans="1:9" ht="19.95" customHeight="1" x14ac:dyDescent="0.2">
      <c r="A256" s="3" t="s">
        <v>494</v>
      </c>
      <c r="B256" s="3" t="s">
        <v>10</v>
      </c>
      <c r="C256" s="3" t="s">
        <v>495</v>
      </c>
      <c r="D256" s="3" t="s">
        <v>496</v>
      </c>
      <c r="E256" s="4">
        <v>1125</v>
      </c>
      <c r="F256" s="5" t="s">
        <v>75</v>
      </c>
      <c r="G256" s="4">
        <v>1023</v>
      </c>
      <c r="H256" s="3" t="s">
        <v>63</v>
      </c>
      <c r="I256" s="3" t="s">
        <v>483</v>
      </c>
    </row>
    <row r="257" spans="1:9" ht="19.95" customHeight="1" x14ac:dyDescent="0.2">
      <c r="A257" s="3" t="s">
        <v>497</v>
      </c>
      <c r="B257" s="3" t="s">
        <v>45</v>
      </c>
      <c r="C257" s="3" t="s">
        <v>146</v>
      </c>
      <c r="D257" s="3" t="s">
        <v>248</v>
      </c>
      <c r="E257" s="4">
        <v>16300</v>
      </c>
      <c r="F257" s="5" t="s">
        <v>75</v>
      </c>
      <c r="G257" s="4">
        <v>14263</v>
      </c>
      <c r="H257" s="3" t="s">
        <v>63</v>
      </c>
      <c r="I257" s="3" t="s">
        <v>76</v>
      </c>
    </row>
    <row r="258" spans="1:9" ht="19.95" customHeight="1" x14ac:dyDescent="0.2">
      <c r="A258" s="3" t="s">
        <v>498</v>
      </c>
      <c r="B258" s="3" t="s">
        <v>10</v>
      </c>
      <c r="C258" s="3" t="s">
        <v>136</v>
      </c>
      <c r="D258" s="3" t="s">
        <v>186</v>
      </c>
      <c r="E258" s="4">
        <v>4250</v>
      </c>
      <c r="F258" s="5" t="s">
        <v>14</v>
      </c>
      <c r="G258" s="6"/>
      <c r="H258" s="3" t="s">
        <v>40</v>
      </c>
      <c r="I258" s="3" t="s">
        <v>499</v>
      </c>
    </row>
    <row r="259" spans="1:9" ht="19.95" customHeight="1" x14ac:dyDescent="0.2">
      <c r="A259" s="3" t="s">
        <v>500</v>
      </c>
      <c r="B259" s="3" t="s">
        <v>45</v>
      </c>
      <c r="C259" s="3" t="s">
        <v>276</v>
      </c>
      <c r="D259" s="3" t="s">
        <v>105</v>
      </c>
      <c r="E259" s="6"/>
      <c r="F259" s="5" t="s">
        <v>501</v>
      </c>
      <c r="G259" s="4">
        <v>10450</v>
      </c>
      <c r="H259" s="3" t="s">
        <v>81</v>
      </c>
      <c r="I259" s="3" t="s">
        <v>303</v>
      </c>
    </row>
    <row r="260" spans="1:9" ht="19.95" customHeight="1" x14ac:dyDescent="0.2">
      <c r="A260" s="3" t="s">
        <v>502</v>
      </c>
      <c r="B260" s="3" t="s">
        <v>45</v>
      </c>
      <c r="C260" s="3" t="s">
        <v>69</v>
      </c>
      <c r="D260" s="3" t="s">
        <v>284</v>
      </c>
      <c r="E260" s="4">
        <v>23580</v>
      </c>
      <c r="F260" s="5" t="s">
        <v>39</v>
      </c>
      <c r="G260" s="4">
        <v>20562</v>
      </c>
      <c r="H260" s="3" t="s">
        <v>40</v>
      </c>
      <c r="I260" s="3" t="s">
        <v>187</v>
      </c>
    </row>
    <row r="261" spans="1:9" ht="19.95" customHeight="1" x14ac:dyDescent="0.2">
      <c r="A261" s="3" t="s">
        <v>503</v>
      </c>
      <c r="B261" s="3" t="s">
        <v>10</v>
      </c>
      <c r="C261" s="3" t="s">
        <v>37</v>
      </c>
      <c r="D261" s="3" t="s">
        <v>459</v>
      </c>
      <c r="E261" s="4">
        <v>970</v>
      </c>
      <c r="F261" s="5" t="s">
        <v>39</v>
      </c>
      <c r="G261" s="4">
        <v>816</v>
      </c>
      <c r="H261" s="3" t="s">
        <v>40</v>
      </c>
      <c r="I261" s="3" t="s">
        <v>167</v>
      </c>
    </row>
    <row r="262" spans="1:9" ht="19.95" customHeight="1" x14ac:dyDescent="0.2">
      <c r="A262" s="3" t="s">
        <v>504</v>
      </c>
      <c r="B262" s="3" t="s">
        <v>11</v>
      </c>
      <c r="C262" s="3" t="s">
        <v>308</v>
      </c>
      <c r="D262" s="3" t="s">
        <v>459</v>
      </c>
      <c r="E262" s="4">
        <v>9700</v>
      </c>
      <c r="F262" s="5" t="s">
        <v>39</v>
      </c>
      <c r="G262" s="6"/>
      <c r="H262" s="3" t="s">
        <v>40</v>
      </c>
      <c r="I262" s="3" t="s">
        <v>167</v>
      </c>
    </row>
    <row r="263" spans="1:9" ht="19.95" customHeight="1" x14ac:dyDescent="0.2">
      <c r="A263" s="3" t="s">
        <v>504</v>
      </c>
      <c r="B263" s="3" t="s">
        <v>11</v>
      </c>
      <c r="C263" s="3" t="s">
        <v>37</v>
      </c>
      <c r="D263" s="3" t="s">
        <v>459</v>
      </c>
      <c r="E263" s="4">
        <v>970</v>
      </c>
      <c r="F263" s="5" t="s">
        <v>39</v>
      </c>
      <c r="G263" s="6"/>
      <c r="H263" s="3" t="s">
        <v>40</v>
      </c>
      <c r="I263" s="3" t="s">
        <v>167</v>
      </c>
    </row>
    <row r="264" spans="1:9" ht="19.95" customHeight="1" x14ac:dyDescent="0.2">
      <c r="A264" s="3" t="s">
        <v>504</v>
      </c>
      <c r="B264" s="3" t="s">
        <v>10</v>
      </c>
      <c r="C264" s="3" t="s">
        <v>308</v>
      </c>
      <c r="D264" s="3" t="s">
        <v>459</v>
      </c>
      <c r="E264" s="4">
        <v>9700</v>
      </c>
      <c r="F264" s="5" t="s">
        <v>39</v>
      </c>
      <c r="G264" s="4">
        <v>8160</v>
      </c>
      <c r="H264" s="3" t="s">
        <v>40</v>
      </c>
      <c r="I264" s="3" t="s">
        <v>167</v>
      </c>
    </row>
    <row r="265" spans="1:9" ht="19.95" customHeight="1" x14ac:dyDescent="0.2">
      <c r="A265" s="3" t="s">
        <v>505</v>
      </c>
      <c r="B265" s="3" t="s">
        <v>10</v>
      </c>
      <c r="C265" s="3" t="s">
        <v>308</v>
      </c>
      <c r="D265" s="3" t="s">
        <v>459</v>
      </c>
      <c r="E265" s="4">
        <v>9700</v>
      </c>
      <c r="F265" s="5" t="s">
        <v>39</v>
      </c>
      <c r="G265" s="4">
        <v>8160</v>
      </c>
      <c r="H265" s="3" t="s">
        <v>40</v>
      </c>
      <c r="I265" s="3" t="s">
        <v>167</v>
      </c>
    </row>
    <row r="266" spans="1:9" ht="19.95" customHeight="1" x14ac:dyDescent="0.2">
      <c r="A266" s="3" t="s">
        <v>505</v>
      </c>
      <c r="B266" s="3" t="s">
        <v>11</v>
      </c>
      <c r="C266" s="3" t="s">
        <v>37</v>
      </c>
      <c r="D266" s="3" t="s">
        <v>459</v>
      </c>
      <c r="E266" s="4">
        <v>970</v>
      </c>
      <c r="F266" s="5" t="s">
        <v>39</v>
      </c>
      <c r="G266" s="6"/>
      <c r="H266" s="3" t="s">
        <v>40</v>
      </c>
      <c r="I266" s="3" t="s">
        <v>167</v>
      </c>
    </row>
    <row r="267" spans="1:9" ht="19.95" customHeight="1" x14ac:dyDescent="0.2">
      <c r="A267" s="3" t="s">
        <v>506</v>
      </c>
      <c r="B267" s="3" t="s">
        <v>11</v>
      </c>
      <c r="C267" s="3" t="s">
        <v>507</v>
      </c>
      <c r="D267" s="3" t="s">
        <v>508</v>
      </c>
      <c r="E267" s="4">
        <v>2214.6</v>
      </c>
      <c r="F267" s="5" t="s">
        <v>171</v>
      </c>
      <c r="G267" s="6"/>
      <c r="H267" s="3" t="s">
        <v>63</v>
      </c>
      <c r="I267" s="3" t="s">
        <v>64</v>
      </c>
    </row>
    <row r="268" spans="1:9" ht="19.95" customHeight="1" x14ac:dyDescent="0.2">
      <c r="A268" s="3" t="s">
        <v>509</v>
      </c>
      <c r="B268" s="3" t="s">
        <v>10</v>
      </c>
      <c r="C268" s="3" t="s">
        <v>37</v>
      </c>
      <c r="D268" s="3" t="s">
        <v>510</v>
      </c>
      <c r="E268" s="4">
        <v>1530</v>
      </c>
      <c r="F268" s="5" t="s">
        <v>39</v>
      </c>
      <c r="G268" s="4">
        <v>1363</v>
      </c>
      <c r="H268" s="3" t="s">
        <v>40</v>
      </c>
      <c r="I268" s="3" t="s">
        <v>454</v>
      </c>
    </row>
    <row r="269" spans="1:9" ht="19.95" customHeight="1" x14ac:dyDescent="0.2">
      <c r="A269" s="3" t="s">
        <v>511</v>
      </c>
      <c r="B269" s="3" t="s">
        <v>11</v>
      </c>
      <c r="C269" s="3" t="s">
        <v>512</v>
      </c>
      <c r="D269" s="3" t="s">
        <v>70</v>
      </c>
      <c r="E269" s="4">
        <v>2120</v>
      </c>
      <c r="F269" s="5" t="s">
        <v>58</v>
      </c>
      <c r="G269" s="6"/>
      <c r="H269" s="3" t="s">
        <v>40</v>
      </c>
      <c r="I269" s="3" t="s">
        <v>296</v>
      </c>
    </row>
    <row r="270" spans="1:9" ht="19.95" customHeight="1" x14ac:dyDescent="0.2">
      <c r="A270" s="3" t="s">
        <v>513</v>
      </c>
      <c r="B270" s="3" t="s">
        <v>10</v>
      </c>
      <c r="C270" s="3" t="s">
        <v>69</v>
      </c>
      <c r="D270" s="3" t="s">
        <v>319</v>
      </c>
      <c r="E270" s="4">
        <v>590</v>
      </c>
      <c r="F270" s="5" t="s">
        <v>39</v>
      </c>
      <c r="G270" s="4">
        <v>502</v>
      </c>
      <c r="H270" s="3" t="s">
        <v>40</v>
      </c>
      <c r="I270" s="3" t="s">
        <v>314</v>
      </c>
    </row>
    <row r="271" spans="1:9" ht="19.95" customHeight="1" x14ac:dyDescent="0.2">
      <c r="A271" s="3" t="s">
        <v>514</v>
      </c>
      <c r="B271" s="3" t="s">
        <v>10</v>
      </c>
      <c r="C271" s="3" t="s">
        <v>37</v>
      </c>
      <c r="D271" s="3" t="s">
        <v>319</v>
      </c>
      <c r="E271" s="4">
        <v>600</v>
      </c>
      <c r="F271" s="5" t="s">
        <v>39</v>
      </c>
      <c r="G271" s="4">
        <v>515</v>
      </c>
      <c r="H271" s="3" t="s">
        <v>40</v>
      </c>
      <c r="I271" s="3" t="s">
        <v>314</v>
      </c>
    </row>
    <row r="272" spans="1:9" ht="19.95" customHeight="1" x14ac:dyDescent="0.2">
      <c r="A272" s="3" t="s">
        <v>515</v>
      </c>
      <c r="B272" s="3" t="s">
        <v>11</v>
      </c>
      <c r="C272" s="3" t="s">
        <v>194</v>
      </c>
      <c r="D272" s="3" t="s">
        <v>38</v>
      </c>
      <c r="E272" s="4">
        <v>1200</v>
      </c>
      <c r="F272" s="5" t="s">
        <v>516</v>
      </c>
      <c r="G272" s="6"/>
      <c r="H272" s="3" t="s">
        <v>81</v>
      </c>
      <c r="I272" s="3" t="s">
        <v>314</v>
      </c>
    </row>
    <row r="273" spans="1:9" ht="19.95" customHeight="1" x14ac:dyDescent="0.2">
      <c r="A273" s="3" t="s">
        <v>517</v>
      </c>
      <c r="B273" s="3" t="s">
        <v>45</v>
      </c>
      <c r="C273" s="3" t="s">
        <v>299</v>
      </c>
      <c r="D273" s="3" t="s">
        <v>459</v>
      </c>
      <c r="E273" s="4">
        <v>510</v>
      </c>
      <c r="F273" s="5" t="s">
        <v>75</v>
      </c>
      <c r="G273" s="4">
        <v>454</v>
      </c>
      <c r="H273" s="3" t="s">
        <v>40</v>
      </c>
      <c r="I273" s="3" t="s">
        <v>518</v>
      </c>
    </row>
    <row r="274" spans="1:9" ht="19.95" customHeight="1" x14ac:dyDescent="0.2">
      <c r="A274" s="3" t="s">
        <v>519</v>
      </c>
      <c r="B274" s="3" t="s">
        <v>10</v>
      </c>
      <c r="C274" s="3" t="s">
        <v>520</v>
      </c>
      <c r="D274" s="3" t="s">
        <v>521</v>
      </c>
      <c r="E274" s="4">
        <v>892</v>
      </c>
      <c r="F274" s="5" t="s">
        <v>249</v>
      </c>
      <c r="G274" s="4">
        <v>795</v>
      </c>
      <c r="H274" s="3" t="s">
        <v>63</v>
      </c>
      <c r="I274" s="3" t="s">
        <v>76</v>
      </c>
    </row>
    <row r="275" spans="1:9" ht="19.95" customHeight="1" x14ac:dyDescent="0.2">
      <c r="A275" s="3" t="s">
        <v>522</v>
      </c>
      <c r="B275" s="3" t="s">
        <v>115</v>
      </c>
      <c r="C275" s="3" t="s">
        <v>523</v>
      </c>
      <c r="D275" s="3" t="s">
        <v>115</v>
      </c>
      <c r="E275" s="4">
        <v>6825</v>
      </c>
      <c r="F275" s="5" t="s">
        <v>14</v>
      </c>
      <c r="G275" s="4">
        <v>6090</v>
      </c>
      <c r="H275" s="3" t="s">
        <v>40</v>
      </c>
      <c r="I275" s="3" t="s">
        <v>524</v>
      </c>
    </row>
    <row r="276" spans="1:9" ht="19.95" customHeight="1" x14ac:dyDescent="0.2">
      <c r="A276" s="3" t="s">
        <v>525</v>
      </c>
      <c r="B276" s="3" t="s">
        <v>11</v>
      </c>
      <c r="C276" s="3" t="s">
        <v>69</v>
      </c>
      <c r="D276" s="3" t="s">
        <v>205</v>
      </c>
      <c r="E276" s="4">
        <v>13940</v>
      </c>
      <c r="F276" s="5" t="s">
        <v>39</v>
      </c>
      <c r="G276" s="6"/>
      <c r="H276" s="3" t="s">
        <v>40</v>
      </c>
      <c r="I276" s="3" t="s">
        <v>116</v>
      </c>
    </row>
    <row r="277" spans="1:9" ht="19.95" customHeight="1" x14ac:dyDescent="0.2">
      <c r="A277" s="3" t="s">
        <v>526</v>
      </c>
      <c r="B277" s="3" t="s">
        <v>11</v>
      </c>
      <c r="C277" s="3" t="s">
        <v>527</v>
      </c>
      <c r="D277" s="3" t="s">
        <v>528</v>
      </c>
      <c r="E277" s="4">
        <v>1390</v>
      </c>
      <c r="F277" s="5" t="s">
        <v>89</v>
      </c>
      <c r="G277" s="6"/>
      <c r="H277" s="3" t="s">
        <v>81</v>
      </c>
      <c r="I277" s="3" t="s">
        <v>356</v>
      </c>
    </row>
    <row r="278" spans="1:9" ht="19.95" customHeight="1" x14ac:dyDescent="0.2">
      <c r="A278" s="3" t="s">
        <v>529</v>
      </c>
      <c r="B278" s="3" t="s">
        <v>110</v>
      </c>
      <c r="C278" s="3" t="s">
        <v>146</v>
      </c>
      <c r="D278" s="3" t="s">
        <v>248</v>
      </c>
      <c r="E278" s="4">
        <v>3435</v>
      </c>
      <c r="F278" s="5" t="s">
        <v>249</v>
      </c>
      <c r="G278" s="4">
        <v>3050</v>
      </c>
      <c r="H278" s="3" t="s">
        <v>63</v>
      </c>
      <c r="I278" s="3" t="s">
        <v>76</v>
      </c>
    </row>
    <row r="279" spans="1:9" ht="19.95" customHeight="1" x14ac:dyDescent="0.2">
      <c r="A279" s="3" t="s">
        <v>530</v>
      </c>
      <c r="B279" s="3" t="s">
        <v>45</v>
      </c>
      <c r="C279" s="3" t="s">
        <v>69</v>
      </c>
      <c r="D279" s="3" t="s">
        <v>531</v>
      </c>
      <c r="E279" s="4">
        <v>30700</v>
      </c>
      <c r="F279" s="5" t="s">
        <v>39</v>
      </c>
      <c r="G279" s="4">
        <v>27016</v>
      </c>
      <c r="H279" s="3" t="s">
        <v>40</v>
      </c>
      <c r="I279" s="3" t="s">
        <v>232</v>
      </c>
    </row>
    <row r="280" spans="1:9" ht="19.95" customHeight="1" x14ac:dyDescent="0.2">
      <c r="A280" s="3" t="s">
        <v>532</v>
      </c>
      <c r="B280" s="3" t="s">
        <v>45</v>
      </c>
      <c r="C280" s="3" t="s">
        <v>69</v>
      </c>
      <c r="D280" s="3" t="s">
        <v>531</v>
      </c>
      <c r="E280" s="4">
        <v>19960</v>
      </c>
      <c r="F280" s="5" t="s">
        <v>39</v>
      </c>
      <c r="G280" s="4">
        <v>17565</v>
      </c>
      <c r="H280" s="3" t="s">
        <v>40</v>
      </c>
      <c r="I280" s="3" t="s">
        <v>232</v>
      </c>
    </row>
    <row r="281" spans="1:9" ht="19.95" customHeight="1" x14ac:dyDescent="0.2">
      <c r="A281" s="3" t="s">
        <v>533</v>
      </c>
      <c r="B281" s="3" t="s">
        <v>11</v>
      </c>
      <c r="C281" s="3" t="s">
        <v>534</v>
      </c>
      <c r="D281" s="3" t="s">
        <v>115</v>
      </c>
      <c r="E281" s="4">
        <v>7600</v>
      </c>
      <c r="F281" s="5" t="s">
        <v>58</v>
      </c>
      <c r="G281" s="6"/>
      <c r="H281" s="3" t="s">
        <v>40</v>
      </c>
      <c r="I281" s="3" t="s">
        <v>275</v>
      </c>
    </row>
    <row r="282" spans="1:9" ht="19.95" customHeight="1" x14ac:dyDescent="0.2">
      <c r="A282" s="3" t="s">
        <v>535</v>
      </c>
      <c r="B282" s="3" t="s">
        <v>45</v>
      </c>
      <c r="C282" s="3" t="s">
        <v>536</v>
      </c>
      <c r="D282" s="3" t="s">
        <v>378</v>
      </c>
      <c r="E282" s="4">
        <v>1045</v>
      </c>
      <c r="F282" s="5" t="s">
        <v>171</v>
      </c>
      <c r="G282" s="4">
        <v>950</v>
      </c>
      <c r="H282" s="3" t="s">
        <v>63</v>
      </c>
      <c r="I282" s="3" t="s">
        <v>156</v>
      </c>
    </row>
    <row r="283" spans="1:9" ht="19.95" customHeight="1" x14ac:dyDescent="0.2">
      <c r="A283" s="3" t="s">
        <v>537</v>
      </c>
      <c r="B283" s="3" t="s">
        <v>10</v>
      </c>
      <c r="C283" s="3" t="s">
        <v>37</v>
      </c>
      <c r="D283" s="3" t="s">
        <v>38</v>
      </c>
      <c r="E283" s="4">
        <v>1040</v>
      </c>
      <c r="F283" s="5" t="s">
        <v>39</v>
      </c>
      <c r="G283" s="4">
        <v>945</v>
      </c>
      <c r="H283" s="3" t="s">
        <v>40</v>
      </c>
      <c r="I283" s="3" t="s">
        <v>538</v>
      </c>
    </row>
    <row r="284" spans="1:9" ht="19.95" customHeight="1" x14ac:dyDescent="0.2">
      <c r="A284" s="3" t="s">
        <v>539</v>
      </c>
      <c r="B284" s="3" t="s">
        <v>11</v>
      </c>
      <c r="C284" s="3" t="s">
        <v>37</v>
      </c>
      <c r="D284" s="3" t="s">
        <v>284</v>
      </c>
      <c r="E284" s="4">
        <v>229790</v>
      </c>
      <c r="F284" s="5" t="s">
        <v>39</v>
      </c>
      <c r="G284" s="6"/>
      <c r="H284" s="3" t="s">
        <v>40</v>
      </c>
      <c r="I284" s="3" t="s">
        <v>229</v>
      </c>
    </row>
    <row r="285" spans="1:9" ht="19.95" customHeight="1" x14ac:dyDescent="0.2">
      <c r="A285" s="3" t="s">
        <v>540</v>
      </c>
      <c r="B285" s="3" t="s">
        <v>10</v>
      </c>
      <c r="C285" s="3" t="s">
        <v>140</v>
      </c>
      <c r="D285" s="3" t="s">
        <v>38</v>
      </c>
      <c r="E285" s="4">
        <v>5900</v>
      </c>
      <c r="F285" s="5" t="s">
        <v>39</v>
      </c>
      <c r="G285" s="4">
        <v>5070</v>
      </c>
      <c r="H285" s="3" t="s">
        <v>40</v>
      </c>
      <c r="I285" s="3" t="s">
        <v>541</v>
      </c>
    </row>
    <row r="286" spans="1:9" ht="19.95" customHeight="1" x14ac:dyDescent="0.2">
      <c r="A286" s="3" t="s">
        <v>542</v>
      </c>
      <c r="B286" s="3" t="s">
        <v>45</v>
      </c>
      <c r="C286" s="3" t="s">
        <v>543</v>
      </c>
      <c r="D286" s="3" t="s">
        <v>490</v>
      </c>
      <c r="E286" s="4">
        <v>62475</v>
      </c>
      <c r="F286" s="5" t="s">
        <v>39</v>
      </c>
      <c r="G286" s="4">
        <v>51479</v>
      </c>
      <c r="H286" s="3" t="s">
        <v>40</v>
      </c>
      <c r="I286" s="3" t="s">
        <v>232</v>
      </c>
    </row>
    <row r="287" spans="1:9" ht="19.95" customHeight="1" x14ac:dyDescent="0.2">
      <c r="A287" s="3" t="s">
        <v>544</v>
      </c>
      <c r="B287" s="3" t="s">
        <v>45</v>
      </c>
      <c r="C287" s="3" t="s">
        <v>545</v>
      </c>
      <c r="D287" s="3" t="s">
        <v>490</v>
      </c>
      <c r="E287" s="4">
        <v>3108</v>
      </c>
      <c r="F287" s="5" t="s">
        <v>39</v>
      </c>
      <c r="G287" s="4">
        <v>2561</v>
      </c>
      <c r="H287" s="3" t="s">
        <v>40</v>
      </c>
      <c r="I287" s="3" t="s">
        <v>232</v>
      </c>
    </row>
    <row r="288" spans="1:9" ht="19.95" customHeight="1" x14ac:dyDescent="0.2">
      <c r="A288" s="3" t="s">
        <v>546</v>
      </c>
      <c r="B288" s="3" t="s">
        <v>45</v>
      </c>
      <c r="C288" s="3" t="s">
        <v>543</v>
      </c>
      <c r="D288" s="3" t="s">
        <v>490</v>
      </c>
      <c r="E288" s="4">
        <v>31185</v>
      </c>
      <c r="F288" s="5" t="s">
        <v>39</v>
      </c>
      <c r="G288" s="4">
        <v>25695</v>
      </c>
      <c r="H288" s="3" t="s">
        <v>40</v>
      </c>
      <c r="I288" s="3" t="s">
        <v>232</v>
      </c>
    </row>
    <row r="289" spans="1:9" ht="19.95" customHeight="1" x14ac:dyDescent="0.2">
      <c r="A289" s="3" t="s">
        <v>547</v>
      </c>
      <c r="B289" s="3" t="s">
        <v>45</v>
      </c>
      <c r="C289" s="3" t="s">
        <v>69</v>
      </c>
      <c r="D289" s="3" t="s">
        <v>109</v>
      </c>
      <c r="E289" s="4">
        <v>1590</v>
      </c>
      <c r="F289" s="5" t="s">
        <v>39</v>
      </c>
      <c r="G289" s="4">
        <v>1383</v>
      </c>
      <c r="H289" s="3" t="s">
        <v>40</v>
      </c>
      <c r="I289" s="3" t="s">
        <v>296</v>
      </c>
    </row>
    <row r="290" spans="1:9" ht="19.95" customHeight="1" x14ac:dyDescent="0.2">
      <c r="A290" s="3" t="s">
        <v>548</v>
      </c>
      <c r="B290" s="3" t="s">
        <v>10</v>
      </c>
      <c r="C290" s="3" t="s">
        <v>140</v>
      </c>
      <c r="D290" s="3" t="s">
        <v>496</v>
      </c>
      <c r="E290" s="4">
        <v>5900</v>
      </c>
      <c r="F290" s="5" t="s">
        <v>39</v>
      </c>
      <c r="G290" s="4">
        <v>5049</v>
      </c>
      <c r="H290" s="3" t="s">
        <v>40</v>
      </c>
      <c r="I290" s="3" t="s">
        <v>549</v>
      </c>
    </row>
    <row r="291" spans="1:9" ht="19.95" customHeight="1" x14ac:dyDescent="0.2">
      <c r="A291" s="3" t="s">
        <v>548</v>
      </c>
      <c r="B291" s="3" t="s">
        <v>10</v>
      </c>
      <c r="C291" s="3" t="s">
        <v>69</v>
      </c>
      <c r="D291" s="3" t="s">
        <v>496</v>
      </c>
      <c r="E291" s="4">
        <v>590</v>
      </c>
      <c r="F291" s="5" t="s">
        <v>39</v>
      </c>
      <c r="G291" s="4">
        <v>506</v>
      </c>
      <c r="H291" s="3" t="s">
        <v>40</v>
      </c>
      <c r="I291" s="3" t="s">
        <v>549</v>
      </c>
    </row>
    <row r="292" spans="1:9" ht="19.95" customHeight="1" x14ac:dyDescent="0.2">
      <c r="A292" s="3" t="s">
        <v>550</v>
      </c>
      <c r="B292" s="3" t="s">
        <v>10</v>
      </c>
      <c r="C292" s="3" t="s">
        <v>69</v>
      </c>
      <c r="D292" s="3" t="s">
        <v>551</v>
      </c>
      <c r="E292" s="4">
        <v>2440</v>
      </c>
      <c r="F292" s="5" t="s">
        <v>39</v>
      </c>
      <c r="G292" s="4">
        <v>1800</v>
      </c>
      <c r="H292" s="3" t="s">
        <v>40</v>
      </c>
      <c r="I292" s="3" t="s">
        <v>263</v>
      </c>
    </row>
    <row r="293" spans="1:9" ht="19.95" customHeight="1" x14ac:dyDescent="0.2">
      <c r="A293" s="3" t="s">
        <v>552</v>
      </c>
      <c r="B293" s="3" t="s">
        <v>10</v>
      </c>
      <c r="C293" s="3" t="s">
        <v>176</v>
      </c>
      <c r="D293" s="3" t="s">
        <v>551</v>
      </c>
      <c r="E293" s="4">
        <v>12200</v>
      </c>
      <c r="F293" s="5" t="s">
        <v>39</v>
      </c>
      <c r="G293" s="4">
        <v>9000</v>
      </c>
      <c r="H293" s="3" t="s">
        <v>40</v>
      </c>
      <c r="I293" s="3" t="s">
        <v>263</v>
      </c>
    </row>
    <row r="294" spans="1:9" ht="19.95" customHeight="1" x14ac:dyDescent="0.2">
      <c r="A294" s="3" t="s">
        <v>553</v>
      </c>
      <c r="B294" s="3" t="s">
        <v>11</v>
      </c>
      <c r="C294" s="3" t="s">
        <v>192</v>
      </c>
      <c r="D294" s="3" t="s">
        <v>115</v>
      </c>
      <c r="E294" s="4">
        <v>3780</v>
      </c>
      <c r="F294" s="5" t="s">
        <v>39</v>
      </c>
      <c r="G294" s="6"/>
      <c r="H294" s="3" t="s">
        <v>40</v>
      </c>
      <c r="I294" s="3" t="s">
        <v>263</v>
      </c>
    </row>
    <row r="295" spans="1:9" ht="19.95" customHeight="1" x14ac:dyDescent="0.2">
      <c r="A295" s="3" t="s">
        <v>554</v>
      </c>
      <c r="B295" s="3" t="s">
        <v>11</v>
      </c>
      <c r="C295" s="3" t="s">
        <v>69</v>
      </c>
      <c r="D295" s="3" t="s">
        <v>115</v>
      </c>
      <c r="E295" s="4">
        <v>1260</v>
      </c>
      <c r="F295" s="5" t="s">
        <v>39</v>
      </c>
      <c r="G295" s="6"/>
      <c r="H295" s="3" t="s">
        <v>40</v>
      </c>
      <c r="I295" s="3" t="s">
        <v>263</v>
      </c>
    </row>
    <row r="296" spans="1:9" ht="19.95" customHeight="1" x14ac:dyDescent="0.2">
      <c r="A296" s="3" t="s">
        <v>555</v>
      </c>
      <c r="B296" s="3" t="s">
        <v>110</v>
      </c>
      <c r="C296" s="3" t="s">
        <v>69</v>
      </c>
      <c r="D296" s="3" t="s">
        <v>556</v>
      </c>
      <c r="E296" s="4">
        <v>1320</v>
      </c>
      <c r="F296" s="5" t="s">
        <v>39</v>
      </c>
      <c r="G296" s="4">
        <v>1198</v>
      </c>
      <c r="H296" s="3" t="s">
        <v>40</v>
      </c>
      <c r="I296" s="3" t="s">
        <v>557</v>
      </c>
    </row>
    <row r="297" spans="1:9" ht="19.95" customHeight="1" x14ac:dyDescent="0.2">
      <c r="A297" s="3" t="s">
        <v>558</v>
      </c>
      <c r="B297" s="3" t="s">
        <v>45</v>
      </c>
      <c r="C297" s="3" t="s">
        <v>69</v>
      </c>
      <c r="D297" s="3" t="s">
        <v>559</v>
      </c>
      <c r="E297" s="4">
        <v>6090</v>
      </c>
      <c r="F297" s="5" t="s">
        <v>39</v>
      </c>
      <c r="G297" s="4">
        <v>5237</v>
      </c>
      <c r="H297" s="3" t="s">
        <v>40</v>
      </c>
      <c r="I297" s="3" t="s">
        <v>325</v>
      </c>
    </row>
    <row r="298" spans="1:9" ht="19.95" customHeight="1" x14ac:dyDescent="0.2">
      <c r="A298" s="3" t="s">
        <v>560</v>
      </c>
      <c r="B298" s="3" t="s">
        <v>45</v>
      </c>
      <c r="C298" s="3" t="s">
        <v>84</v>
      </c>
      <c r="D298" s="3" t="s">
        <v>446</v>
      </c>
      <c r="E298" s="4">
        <v>970</v>
      </c>
      <c r="F298" s="5" t="s">
        <v>14</v>
      </c>
      <c r="G298" s="4">
        <v>864</v>
      </c>
      <c r="H298" s="3" t="s">
        <v>63</v>
      </c>
      <c r="I298" s="3" t="s">
        <v>103</v>
      </c>
    </row>
    <row r="299" spans="1:9" ht="19.95" customHeight="1" x14ac:dyDescent="0.2">
      <c r="A299" s="3" t="s">
        <v>561</v>
      </c>
      <c r="B299" s="3" t="s">
        <v>45</v>
      </c>
      <c r="C299" s="3" t="s">
        <v>562</v>
      </c>
      <c r="D299" s="3" t="s">
        <v>102</v>
      </c>
      <c r="E299" s="4">
        <v>5748</v>
      </c>
      <c r="F299" s="5" t="s">
        <v>39</v>
      </c>
      <c r="G299" s="4">
        <v>5058</v>
      </c>
      <c r="H299" s="3" t="s">
        <v>40</v>
      </c>
      <c r="I299" s="3" t="s">
        <v>563</v>
      </c>
    </row>
    <row r="300" spans="1:9" ht="19.95" customHeight="1" x14ac:dyDescent="0.2">
      <c r="A300" s="3" t="s">
        <v>564</v>
      </c>
      <c r="B300" s="3" t="s">
        <v>45</v>
      </c>
      <c r="C300" s="3" t="s">
        <v>565</v>
      </c>
      <c r="D300" s="3" t="s">
        <v>566</v>
      </c>
      <c r="E300" s="4">
        <v>423.6</v>
      </c>
      <c r="F300" s="5" t="s">
        <v>183</v>
      </c>
      <c r="G300" s="4">
        <v>388</v>
      </c>
      <c r="H300" s="3" t="s">
        <v>63</v>
      </c>
      <c r="I300" s="3" t="s">
        <v>567</v>
      </c>
    </row>
    <row r="301" spans="1:9" ht="19.95" customHeight="1" x14ac:dyDescent="0.2">
      <c r="A301" s="3" t="s">
        <v>568</v>
      </c>
      <c r="B301" s="3" t="s">
        <v>11</v>
      </c>
      <c r="C301" s="3" t="s">
        <v>569</v>
      </c>
      <c r="D301" s="3" t="s">
        <v>570</v>
      </c>
      <c r="E301" s="4">
        <v>3100.9</v>
      </c>
      <c r="F301" s="5" t="s">
        <v>171</v>
      </c>
      <c r="G301" s="6"/>
      <c r="H301" s="3" t="s">
        <v>63</v>
      </c>
      <c r="I301" s="3" t="s">
        <v>210</v>
      </c>
    </row>
    <row r="302" spans="1:9" ht="19.95" customHeight="1" x14ac:dyDescent="0.2">
      <c r="A302" s="3" t="s">
        <v>571</v>
      </c>
      <c r="B302" s="3" t="s">
        <v>45</v>
      </c>
      <c r="C302" s="3" t="s">
        <v>37</v>
      </c>
      <c r="D302" s="3" t="s">
        <v>508</v>
      </c>
      <c r="E302" s="4">
        <v>730</v>
      </c>
      <c r="F302" s="5" t="s">
        <v>39</v>
      </c>
      <c r="G302" s="4">
        <v>644</v>
      </c>
      <c r="H302" s="3" t="s">
        <v>40</v>
      </c>
      <c r="I302" s="3" t="s">
        <v>210</v>
      </c>
    </row>
    <row r="303" spans="1:9" ht="19.95" customHeight="1" x14ac:dyDescent="0.2">
      <c r="A303" s="3" t="s">
        <v>572</v>
      </c>
      <c r="B303" s="3" t="s">
        <v>10</v>
      </c>
      <c r="C303" s="3" t="s">
        <v>573</v>
      </c>
      <c r="D303" s="3" t="s">
        <v>44</v>
      </c>
      <c r="E303" s="4">
        <v>4236</v>
      </c>
      <c r="F303" s="5" t="s">
        <v>14</v>
      </c>
      <c r="G303" s="4">
        <v>3850</v>
      </c>
      <c r="H303" s="3" t="s">
        <v>63</v>
      </c>
      <c r="I303" s="3" t="s">
        <v>563</v>
      </c>
    </row>
    <row r="304" spans="1:9" ht="19.95" customHeight="1" x14ac:dyDescent="0.2">
      <c r="A304" s="3" t="s">
        <v>574</v>
      </c>
      <c r="B304" s="3" t="s">
        <v>71</v>
      </c>
      <c r="C304" s="3" t="s">
        <v>575</v>
      </c>
      <c r="D304" s="3" t="s">
        <v>62</v>
      </c>
      <c r="E304" s="4">
        <v>5970</v>
      </c>
      <c r="F304" s="5" t="s">
        <v>111</v>
      </c>
      <c r="G304" s="4">
        <v>5383</v>
      </c>
      <c r="H304" s="3" t="s">
        <v>81</v>
      </c>
      <c r="I304" s="3" t="s">
        <v>369</v>
      </c>
    </row>
    <row r="305" spans="1:9" ht="19.95" customHeight="1" x14ac:dyDescent="0.2">
      <c r="A305" s="3" t="s">
        <v>576</v>
      </c>
      <c r="B305" s="3" t="s">
        <v>10</v>
      </c>
      <c r="C305" s="3" t="s">
        <v>69</v>
      </c>
      <c r="D305" s="3" t="s">
        <v>319</v>
      </c>
      <c r="E305" s="4">
        <v>660</v>
      </c>
      <c r="F305" s="5" t="s">
        <v>39</v>
      </c>
      <c r="G305" s="4">
        <v>561</v>
      </c>
      <c r="H305" s="3" t="s">
        <v>40</v>
      </c>
      <c r="I305" s="3" t="s">
        <v>167</v>
      </c>
    </row>
    <row r="306" spans="1:9" ht="19.95" customHeight="1" x14ac:dyDescent="0.2">
      <c r="A306" s="3" t="s">
        <v>577</v>
      </c>
      <c r="B306" s="3" t="s">
        <v>10</v>
      </c>
      <c r="C306" s="3" t="s">
        <v>37</v>
      </c>
      <c r="D306" s="3" t="s">
        <v>319</v>
      </c>
      <c r="E306" s="4">
        <v>830</v>
      </c>
      <c r="F306" s="5" t="s">
        <v>39</v>
      </c>
      <c r="G306" s="4">
        <v>706</v>
      </c>
      <c r="H306" s="3" t="s">
        <v>40</v>
      </c>
      <c r="I306" s="3" t="s">
        <v>167</v>
      </c>
    </row>
    <row r="307" spans="1:9" ht="19.95" customHeight="1" x14ac:dyDescent="0.2">
      <c r="A307" s="3" t="s">
        <v>578</v>
      </c>
      <c r="B307" s="3" t="s">
        <v>10</v>
      </c>
      <c r="C307" s="3" t="s">
        <v>308</v>
      </c>
      <c r="D307" s="3" t="s">
        <v>319</v>
      </c>
      <c r="E307" s="4">
        <v>6600</v>
      </c>
      <c r="F307" s="5" t="s">
        <v>39</v>
      </c>
      <c r="G307" s="4">
        <v>5610</v>
      </c>
      <c r="H307" s="3" t="s">
        <v>40</v>
      </c>
      <c r="I307" s="3" t="s">
        <v>167</v>
      </c>
    </row>
    <row r="308" spans="1:9" ht="19.95" customHeight="1" x14ac:dyDescent="0.2">
      <c r="A308" s="3" t="s">
        <v>578</v>
      </c>
      <c r="B308" s="3" t="s">
        <v>10</v>
      </c>
      <c r="C308" s="3" t="s">
        <v>37</v>
      </c>
      <c r="D308" s="3" t="s">
        <v>319</v>
      </c>
      <c r="E308" s="4">
        <v>660</v>
      </c>
      <c r="F308" s="5" t="s">
        <v>39</v>
      </c>
      <c r="G308" s="4">
        <v>561</v>
      </c>
      <c r="H308" s="3" t="s">
        <v>40</v>
      </c>
      <c r="I308" s="3" t="s">
        <v>167</v>
      </c>
    </row>
    <row r="309" spans="1:9" ht="19.95" customHeight="1" x14ac:dyDescent="0.2">
      <c r="A309" s="3" t="s">
        <v>579</v>
      </c>
      <c r="B309" s="3" t="s">
        <v>91</v>
      </c>
      <c r="C309" s="3" t="s">
        <v>580</v>
      </c>
      <c r="D309" s="3" t="s">
        <v>581</v>
      </c>
      <c r="E309" s="6"/>
      <c r="F309" s="5" t="s">
        <v>11</v>
      </c>
      <c r="G309" s="4">
        <v>2930</v>
      </c>
      <c r="H309" s="3" t="s">
        <v>582</v>
      </c>
      <c r="I309" s="3" t="s">
        <v>153</v>
      </c>
    </row>
    <row r="310" spans="1:9" ht="19.95" customHeight="1" x14ac:dyDescent="0.2">
      <c r="A310" s="3" t="s">
        <v>583</v>
      </c>
      <c r="B310" s="3" t="s">
        <v>91</v>
      </c>
      <c r="C310" s="3" t="s">
        <v>584</v>
      </c>
      <c r="D310" s="3" t="s">
        <v>91</v>
      </c>
      <c r="E310" s="6"/>
      <c r="F310" s="5" t="s">
        <v>585</v>
      </c>
      <c r="G310" s="4">
        <v>2930</v>
      </c>
      <c r="H310" s="3" t="s">
        <v>582</v>
      </c>
      <c r="I310" s="3" t="s">
        <v>153</v>
      </c>
    </row>
    <row r="311" spans="1:9" ht="19.95" customHeight="1" x14ac:dyDescent="0.2">
      <c r="A311" s="3" t="s">
        <v>586</v>
      </c>
      <c r="B311" s="3" t="s">
        <v>10</v>
      </c>
      <c r="C311" s="3" t="s">
        <v>69</v>
      </c>
      <c r="D311" s="3" t="s">
        <v>85</v>
      </c>
      <c r="E311" s="4">
        <v>1550</v>
      </c>
      <c r="F311" s="5" t="s">
        <v>39</v>
      </c>
      <c r="G311" s="4">
        <v>1345</v>
      </c>
      <c r="H311" s="3" t="s">
        <v>40</v>
      </c>
      <c r="I311" s="3" t="s">
        <v>314</v>
      </c>
    </row>
    <row r="312" spans="1:9" ht="19.95" customHeight="1" x14ac:dyDescent="0.2">
      <c r="A312" s="3" t="s">
        <v>586</v>
      </c>
      <c r="B312" s="3" t="s">
        <v>10</v>
      </c>
      <c r="C312" s="3" t="s">
        <v>587</v>
      </c>
      <c r="D312" s="3" t="s">
        <v>85</v>
      </c>
      <c r="E312" s="4">
        <v>7750</v>
      </c>
      <c r="F312" s="5" t="s">
        <v>39</v>
      </c>
      <c r="G312" s="4">
        <v>6725</v>
      </c>
      <c r="H312" s="3" t="s">
        <v>40</v>
      </c>
      <c r="I312" s="3" t="s">
        <v>314</v>
      </c>
    </row>
    <row r="313" spans="1:9" ht="19.95" customHeight="1" x14ac:dyDescent="0.2">
      <c r="A313" s="3" t="s">
        <v>588</v>
      </c>
      <c r="B313" s="3" t="s">
        <v>45</v>
      </c>
      <c r="C313" s="3" t="s">
        <v>308</v>
      </c>
      <c r="D313" s="3" t="s">
        <v>70</v>
      </c>
      <c r="E313" s="4">
        <v>5900</v>
      </c>
      <c r="F313" s="5" t="s">
        <v>39</v>
      </c>
      <c r="G313" s="4">
        <v>5363</v>
      </c>
      <c r="H313" s="3" t="s">
        <v>40</v>
      </c>
      <c r="I313" s="3" t="s">
        <v>314</v>
      </c>
    </row>
    <row r="314" spans="1:9" ht="19.95" customHeight="1" x14ac:dyDescent="0.2">
      <c r="A314" s="3" t="s">
        <v>588</v>
      </c>
      <c r="B314" s="3" t="s">
        <v>11</v>
      </c>
      <c r="C314" s="3" t="s">
        <v>37</v>
      </c>
      <c r="D314" s="3" t="s">
        <v>70</v>
      </c>
      <c r="E314" s="4">
        <v>590</v>
      </c>
      <c r="F314" s="5" t="s">
        <v>39</v>
      </c>
      <c r="G314" s="6"/>
      <c r="H314" s="3" t="s">
        <v>40</v>
      </c>
      <c r="I314" s="3" t="s">
        <v>314</v>
      </c>
    </row>
    <row r="315" spans="1:9" ht="19.95" customHeight="1" x14ac:dyDescent="0.2">
      <c r="A315" s="3" t="s">
        <v>589</v>
      </c>
      <c r="B315" s="3" t="s">
        <v>45</v>
      </c>
      <c r="C315" s="3" t="s">
        <v>37</v>
      </c>
      <c r="D315" s="3" t="s">
        <v>70</v>
      </c>
      <c r="E315" s="4">
        <v>600</v>
      </c>
      <c r="F315" s="5" t="s">
        <v>39</v>
      </c>
      <c r="G315" s="4">
        <v>545</v>
      </c>
      <c r="H315" s="3" t="s">
        <v>40</v>
      </c>
      <c r="I315" s="3" t="s">
        <v>314</v>
      </c>
    </row>
    <row r="316" spans="1:9" ht="19.95" customHeight="1" x14ac:dyDescent="0.2">
      <c r="A316" s="3" t="s">
        <v>590</v>
      </c>
      <c r="B316" s="3" t="s">
        <v>45</v>
      </c>
      <c r="C316" s="3" t="s">
        <v>591</v>
      </c>
      <c r="D316" s="3" t="s">
        <v>378</v>
      </c>
      <c r="E316" s="4">
        <v>4020</v>
      </c>
      <c r="F316" s="5" t="s">
        <v>14</v>
      </c>
      <c r="G316" s="4">
        <v>3654</v>
      </c>
      <c r="H316" s="3" t="s">
        <v>40</v>
      </c>
      <c r="I316" s="3" t="s">
        <v>165</v>
      </c>
    </row>
    <row r="317" spans="1:9" ht="19.95" customHeight="1" x14ac:dyDescent="0.2">
      <c r="A317" s="3" t="s">
        <v>592</v>
      </c>
      <c r="B317" s="3" t="s">
        <v>11</v>
      </c>
      <c r="C317" s="3" t="s">
        <v>108</v>
      </c>
      <c r="D317" s="3" t="s">
        <v>411</v>
      </c>
      <c r="E317" s="4">
        <v>5220</v>
      </c>
      <c r="F317" s="5" t="s">
        <v>148</v>
      </c>
      <c r="G317" s="6"/>
      <c r="H317" s="3" t="s">
        <v>81</v>
      </c>
      <c r="I317" s="3" t="s">
        <v>369</v>
      </c>
    </row>
    <row r="318" spans="1:9" ht="19.95" customHeight="1" x14ac:dyDescent="0.2">
      <c r="A318" s="3" t="s">
        <v>593</v>
      </c>
      <c r="B318" s="3" t="s">
        <v>10</v>
      </c>
      <c r="C318" s="3" t="s">
        <v>108</v>
      </c>
      <c r="D318" s="3" t="s">
        <v>216</v>
      </c>
      <c r="E318" s="4">
        <v>6860</v>
      </c>
      <c r="F318" s="5" t="s">
        <v>111</v>
      </c>
      <c r="G318" s="4">
        <v>6111</v>
      </c>
      <c r="H318" s="3" t="s">
        <v>81</v>
      </c>
      <c r="I318" s="3" t="s">
        <v>369</v>
      </c>
    </row>
    <row r="319" spans="1:9" ht="19.95" customHeight="1" x14ac:dyDescent="0.2">
      <c r="A319" s="3" t="s">
        <v>594</v>
      </c>
      <c r="B319" s="3" t="s">
        <v>10</v>
      </c>
      <c r="C319" s="3" t="s">
        <v>595</v>
      </c>
      <c r="D319" s="3" t="s">
        <v>262</v>
      </c>
      <c r="E319" s="4">
        <v>4220</v>
      </c>
      <c r="F319" s="5" t="s">
        <v>111</v>
      </c>
      <c r="G319" s="4">
        <v>3835</v>
      </c>
      <c r="H319" s="3" t="s">
        <v>81</v>
      </c>
      <c r="I319" s="3" t="s">
        <v>454</v>
      </c>
    </row>
    <row r="320" spans="1:9" ht="19.95" customHeight="1" x14ac:dyDescent="0.2">
      <c r="A320" s="3" t="s">
        <v>596</v>
      </c>
      <c r="B320" s="3" t="s">
        <v>45</v>
      </c>
      <c r="C320" s="3" t="s">
        <v>597</v>
      </c>
      <c r="D320" s="3" t="s">
        <v>284</v>
      </c>
      <c r="E320" s="4">
        <v>44680</v>
      </c>
      <c r="F320" s="5" t="s">
        <v>274</v>
      </c>
      <c r="G320" s="4">
        <v>38961</v>
      </c>
      <c r="H320" s="3" t="s">
        <v>81</v>
      </c>
      <c r="I320" s="3" t="s">
        <v>232</v>
      </c>
    </row>
    <row r="321" spans="1:9" ht="19.95" customHeight="1" x14ac:dyDescent="0.2">
      <c r="A321" s="3" t="s">
        <v>598</v>
      </c>
      <c r="B321" s="3" t="s">
        <v>45</v>
      </c>
      <c r="C321" s="3" t="s">
        <v>597</v>
      </c>
      <c r="D321" s="3" t="s">
        <v>284</v>
      </c>
      <c r="E321" s="4">
        <v>57335</v>
      </c>
      <c r="F321" s="5" t="s">
        <v>274</v>
      </c>
      <c r="G321" s="4">
        <v>49996</v>
      </c>
      <c r="H321" s="3" t="s">
        <v>81</v>
      </c>
      <c r="I321" s="3" t="s">
        <v>232</v>
      </c>
    </row>
    <row r="322" spans="1:9" ht="19.95" customHeight="1" x14ac:dyDescent="0.2">
      <c r="A322" s="3" t="s">
        <v>599</v>
      </c>
      <c r="B322" s="3" t="s">
        <v>11</v>
      </c>
      <c r="C322" s="3" t="s">
        <v>600</v>
      </c>
      <c r="D322" s="3" t="s">
        <v>284</v>
      </c>
      <c r="E322" s="4">
        <v>27994</v>
      </c>
      <c r="F322" s="5" t="s">
        <v>80</v>
      </c>
      <c r="G322" s="6"/>
      <c r="H322" s="3" t="s">
        <v>81</v>
      </c>
      <c r="I322" s="3" t="s">
        <v>232</v>
      </c>
    </row>
    <row r="323" spans="1:9" ht="19.95" customHeight="1" x14ac:dyDescent="0.2">
      <c r="A323" s="3" t="s">
        <v>601</v>
      </c>
      <c r="B323" s="3" t="s">
        <v>45</v>
      </c>
      <c r="C323" s="3" t="s">
        <v>602</v>
      </c>
      <c r="D323" s="3" t="s">
        <v>284</v>
      </c>
      <c r="E323" s="4">
        <v>36826</v>
      </c>
      <c r="F323" s="5" t="s">
        <v>80</v>
      </c>
      <c r="G323" s="4">
        <v>32112</v>
      </c>
      <c r="H323" s="3" t="s">
        <v>81</v>
      </c>
      <c r="I323" s="3" t="s">
        <v>232</v>
      </c>
    </row>
    <row r="324" spans="1:9" ht="19.95" customHeight="1" x14ac:dyDescent="0.2">
      <c r="A324" s="3" t="s">
        <v>603</v>
      </c>
      <c r="B324" s="3" t="s">
        <v>45</v>
      </c>
      <c r="C324" s="3" t="s">
        <v>69</v>
      </c>
      <c r="D324" s="3" t="s">
        <v>216</v>
      </c>
      <c r="E324" s="4">
        <v>4020</v>
      </c>
      <c r="F324" s="5" t="s">
        <v>39</v>
      </c>
      <c r="G324" s="4">
        <v>3581</v>
      </c>
      <c r="H324" s="3" t="s">
        <v>40</v>
      </c>
      <c r="I324" s="3" t="s">
        <v>72</v>
      </c>
    </row>
    <row r="325" spans="1:9" ht="19.95" customHeight="1" x14ac:dyDescent="0.2">
      <c r="A325" s="3" t="s">
        <v>604</v>
      </c>
      <c r="B325" s="3" t="s">
        <v>10</v>
      </c>
      <c r="C325" s="3" t="s">
        <v>176</v>
      </c>
      <c r="D325" s="3" t="s">
        <v>62</v>
      </c>
      <c r="E325" s="4">
        <v>7200</v>
      </c>
      <c r="F325" s="5" t="s">
        <v>39</v>
      </c>
      <c r="G325" s="4">
        <v>6250</v>
      </c>
      <c r="H325" s="3" t="s">
        <v>40</v>
      </c>
      <c r="I325" s="3" t="s">
        <v>187</v>
      </c>
    </row>
    <row r="326" spans="1:9" ht="19.95" customHeight="1" x14ac:dyDescent="0.2">
      <c r="A326" s="3" t="s">
        <v>604</v>
      </c>
      <c r="B326" s="3" t="s">
        <v>10</v>
      </c>
      <c r="C326" s="3" t="s">
        <v>69</v>
      </c>
      <c r="D326" s="3" t="s">
        <v>62</v>
      </c>
      <c r="E326" s="4">
        <v>1440</v>
      </c>
      <c r="F326" s="5" t="s">
        <v>39</v>
      </c>
      <c r="G326" s="4">
        <v>1250</v>
      </c>
      <c r="H326" s="3" t="s">
        <v>40</v>
      </c>
      <c r="I326" s="3" t="s">
        <v>187</v>
      </c>
    </row>
    <row r="327" spans="1:9" ht="19.95" customHeight="1" x14ac:dyDescent="0.2">
      <c r="A327" s="3" t="s">
        <v>605</v>
      </c>
      <c r="B327" s="3" t="s">
        <v>10</v>
      </c>
      <c r="C327" s="3" t="s">
        <v>176</v>
      </c>
      <c r="D327" s="3" t="s">
        <v>70</v>
      </c>
      <c r="E327" s="4">
        <v>3050</v>
      </c>
      <c r="F327" s="5" t="s">
        <v>39</v>
      </c>
      <c r="G327" s="4">
        <v>2714</v>
      </c>
      <c r="H327" s="3" t="s">
        <v>40</v>
      </c>
      <c r="I327" s="3" t="s">
        <v>156</v>
      </c>
    </row>
    <row r="328" spans="1:9" ht="19.95" customHeight="1" x14ac:dyDescent="0.2">
      <c r="A328" s="3" t="s">
        <v>605</v>
      </c>
      <c r="B328" s="3" t="s">
        <v>10</v>
      </c>
      <c r="C328" s="3" t="s">
        <v>69</v>
      </c>
      <c r="D328" s="3" t="s">
        <v>70</v>
      </c>
      <c r="E328" s="4">
        <v>610</v>
      </c>
      <c r="F328" s="5" t="s">
        <v>39</v>
      </c>
      <c r="G328" s="4">
        <v>543</v>
      </c>
      <c r="H328" s="3" t="s">
        <v>40</v>
      </c>
      <c r="I328" s="3" t="s">
        <v>156</v>
      </c>
    </row>
    <row r="329" spans="1:9" ht="19.95" customHeight="1" x14ac:dyDescent="0.2">
      <c r="A329" s="3" t="s">
        <v>606</v>
      </c>
      <c r="B329" s="3" t="s">
        <v>11</v>
      </c>
      <c r="C329" s="3" t="s">
        <v>37</v>
      </c>
      <c r="D329" s="3" t="s">
        <v>607</v>
      </c>
      <c r="E329" s="4">
        <v>800</v>
      </c>
      <c r="F329" s="5" t="s">
        <v>39</v>
      </c>
      <c r="G329" s="6"/>
      <c r="H329" s="3" t="s">
        <v>40</v>
      </c>
      <c r="I329" s="3" t="s">
        <v>334</v>
      </c>
    </row>
    <row r="330" spans="1:9" ht="19.95" customHeight="1" x14ac:dyDescent="0.2">
      <c r="A330" s="3" t="s">
        <v>608</v>
      </c>
      <c r="B330" s="3" t="s">
        <v>45</v>
      </c>
      <c r="C330" s="3" t="s">
        <v>136</v>
      </c>
      <c r="D330" s="3" t="s">
        <v>228</v>
      </c>
      <c r="E330" s="4">
        <v>18350</v>
      </c>
      <c r="F330" s="5" t="s">
        <v>14</v>
      </c>
      <c r="G330" s="4">
        <v>16348</v>
      </c>
      <c r="H330" s="3" t="s">
        <v>40</v>
      </c>
      <c r="I330" s="3" t="s">
        <v>251</v>
      </c>
    </row>
    <row r="331" spans="1:9" ht="19.95" customHeight="1" x14ac:dyDescent="0.2">
      <c r="A331" s="3" t="s">
        <v>609</v>
      </c>
      <c r="B331" s="3" t="s">
        <v>10</v>
      </c>
      <c r="C331" s="3" t="s">
        <v>610</v>
      </c>
      <c r="D331" s="3" t="s">
        <v>85</v>
      </c>
      <c r="E331" s="4">
        <v>5000</v>
      </c>
      <c r="F331" s="5" t="s">
        <v>89</v>
      </c>
      <c r="G331" s="4">
        <v>4454</v>
      </c>
      <c r="H331" s="3" t="s">
        <v>81</v>
      </c>
      <c r="I331" s="3" t="s">
        <v>167</v>
      </c>
    </row>
    <row r="332" spans="1:9" ht="19.95" customHeight="1" x14ac:dyDescent="0.2">
      <c r="A332" s="3" t="s">
        <v>611</v>
      </c>
      <c r="B332" s="3" t="s">
        <v>91</v>
      </c>
      <c r="C332" s="3" t="s">
        <v>612</v>
      </c>
      <c r="D332" s="3" t="s">
        <v>85</v>
      </c>
      <c r="E332" s="4">
        <v>7550</v>
      </c>
      <c r="F332" s="5" t="s">
        <v>75</v>
      </c>
      <c r="G332" s="4">
        <v>6569</v>
      </c>
      <c r="H332" s="3" t="s">
        <v>40</v>
      </c>
      <c r="I332" s="3" t="s">
        <v>167</v>
      </c>
    </row>
    <row r="333" spans="1:9" ht="19.95" customHeight="1" x14ac:dyDescent="0.2">
      <c r="A333" s="3" t="s">
        <v>613</v>
      </c>
      <c r="B333" s="3" t="s">
        <v>10</v>
      </c>
      <c r="C333" s="3" t="s">
        <v>140</v>
      </c>
      <c r="D333" s="3" t="s">
        <v>614</v>
      </c>
      <c r="E333" s="4">
        <v>5300</v>
      </c>
      <c r="F333" s="5" t="s">
        <v>39</v>
      </c>
      <c r="G333" s="4">
        <v>2494</v>
      </c>
      <c r="H333" s="3" t="s">
        <v>40</v>
      </c>
      <c r="I333" s="3" t="s">
        <v>217</v>
      </c>
    </row>
    <row r="334" spans="1:9" ht="19.95" customHeight="1" x14ac:dyDescent="0.2">
      <c r="A334" s="3" t="s">
        <v>613</v>
      </c>
      <c r="B334" s="3" t="s">
        <v>10</v>
      </c>
      <c r="C334" s="3" t="s">
        <v>140</v>
      </c>
      <c r="D334" s="3" t="s">
        <v>614</v>
      </c>
      <c r="E334" s="4">
        <v>5300</v>
      </c>
      <c r="F334" s="5" t="s">
        <v>39</v>
      </c>
      <c r="G334" s="4">
        <v>2494</v>
      </c>
      <c r="H334" s="3" t="s">
        <v>40</v>
      </c>
      <c r="I334" s="3" t="s">
        <v>217</v>
      </c>
    </row>
    <row r="335" spans="1:9" ht="19.95" customHeight="1" x14ac:dyDescent="0.2">
      <c r="A335" s="3" t="s">
        <v>615</v>
      </c>
      <c r="B335" s="3" t="s">
        <v>11</v>
      </c>
      <c r="C335" s="3" t="s">
        <v>140</v>
      </c>
      <c r="D335" s="3" t="s">
        <v>115</v>
      </c>
      <c r="E335" s="4">
        <v>5300</v>
      </c>
      <c r="F335" s="5" t="s">
        <v>39</v>
      </c>
      <c r="G335" s="6"/>
      <c r="H335" s="3" t="s">
        <v>40</v>
      </c>
      <c r="I335" s="3" t="s">
        <v>217</v>
      </c>
    </row>
    <row r="336" spans="1:9" ht="19.95" customHeight="1" x14ac:dyDescent="0.2">
      <c r="A336" s="3" t="s">
        <v>615</v>
      </c>
      <c r="B336" s="3" t="s">
        <v>11</v>
      </c>
      <c r="C336" s="3" t="s">
        <v>140</v>
      </c>
      <c r="D336" s="3" t="s">
        <v>115</v>
      </c>
      <c r="E336" s="4">
        <v>5300</v>
      </c>
      <c r="F336" s="5" t="s">
        <v>39</v>
      </c>
      <c r="G336" s="6"/>
      <c r="H336" s="3" t="s">
        <v>40</v>
      </c>
      <c r="I336" s="3" t="s">
        <v>217</v>
      </c>
    </row>
    <row r="337" spans="1:9" ht="19.95" customHeight="1" x14ac:dyDescent="0.2">
      <c r="A337" s="3" t="s">
        <v>616</v>
      </c>
      <c r="B337" s="3" t="s">
        <v>11</v>
      </c>
      <c r="C337" s="3" t="s">
        <v>136</v>
      </c>
      <c r="D337" s="3" t="s">
        <v>266</v>
      </c>
      <c r="E337" s="4">
        <v>3850</v>
      </c>
      <c r="F337" s="5" t="s">
        <v>14</v>
      </c>
      <c r="G337" s="6"/>
      <c r="H337" s="3" t="s">
        <v>40</v>
      </c>
      <c r="I337" s="3" t="s">
        <v>617</v>
      </c>
    </row>
    <row r="338" spans="1:9" ht="19.95" customHeight="1" x14ac:dyDescent="0.2">
      <c r="A338" s="3" t="s">
        <v>618</v>
      </c>
      <c r="B338" s="3" t="s">
        <v>10</v>
      </c>
      <c r="C338" s="3" t="s">
        <v>619</v>
      </c>
      <c r="D338" s="3" t="s">
        <v>620</v>
      </c>
      <c r="E338" s="4">
        <v>11440</v>
      </c>
      <c r="F338" s="5" t="s">
        <v>111</v>
      </c>
      <c r="G338" s="4">
        <v>10191</v>
      </c>
      <c r="H338" s="3" t="s">
        <v>81</v>
      </c>
      <c r="I338" s="3" t="s">
        <v>369</v>
      </c>
    </row>
    <row r="339" spans="1:9" ht="19.95" customHeight="1" x14ac:dyDescent="0.2">
      <c r="A339" s="3" t="s">
        <v>621</v>
      </c>
      <c r="B339" s="3" t="s">
        <v>11</v>
      </c>
      <c r="C339" s="3" t="s">
        <v>622</v>
      </c>
      <c r="D339" s="3" t="s">
        <v>623</v>
      </c>
      <c r="E339" s="4">
        <v>8442</v>
      </c>
      <c r="F339" s="5" t="s">
        <v>39</v>
      </c>
      <c r="G339" s="6"/>
      <c r="H339" s="3" t="s">
        <v>40</v>
      </c>
      <c r="I339" s="3" t="s">
        <v>296</v>
      </c>
    </row>
    <row r="340" spans="1:9" ht="19.95" customHeight="1" x14ac:dyDescent="0.2">
      <c r="A340" s="3" t="s">
        <v>624</v>
      </c>
      <c r="B340" s="3" t="s">
        <v>10</v>
      </c>
      <c r="C340" s="3" t="s">
        <v>69</v>
      </c>
      <c r="D340" s="3" t="s">
        <v>70</v>
      </c>
      <c r="E340" s="4">
        <v>27500</v>
      </c>
      <c r="F340" s="5" t="s">
        <v>39</v>
      </c>
      <c r="G340" s="4">
        <v>22013</v>
      </c>
      <c r="H340" s="3" t="s">
        <v>40</v>
      </c>
      <c r="I340" s="3" t="s">
        <v>86</v>
      </c>
    </row>
    <row r="341" spans="1:9" ht="19.95" customHeight="1" x14ac:dyDescent="0.2">
      <c r="A341" s="3" t="s">
        <v>625</v>
      </c>
      <c r="B341" s="3" t="s">
        <v>11</v>
      </c>
      <c r="C341" s="3" t="s">
        <v>140</v>
      </c>
      <c r="D341" s="3" t="s">
        <v>319</v>
      </c>
      <c r="E341" s="4">
        <v>11700</v>
      </c>
      <c r="F341" s="5" t="s">
        <v>39</v>
      </c>
      <c r="G341" s="6"/>
      <c r="H341" s="3" t="s">
        <v>40</v>
      </c>
      <c r="I341" s="3" t="s">
        <v>251</v>
      </c>
    </row>
    <row r="342" spans="1:9" ht="19.95" customHeight="1" x14ac:dyDescent="0.2">
      <c r="A342" s="3" t="s">
        <v>626</v>
      </c>
      <c r="B342" s="3" t="s">
        <v>115</v>
      </c>
      <c r="C342" s="3" t="s">
        <v>140</v>
      </c>
      <c r="D342" s="3" t="s">
        <v>115</v>
      </c>
      <c r="E342" s="4">
        <v>6700</v>
      </c>
      <c r="F342" s="5" t="s">
        <v>39</v>
      </c>
      <c r="G342" s="4">
        <v>5970</v>
      </c>
      <c r="H342" s="3" t="s">
        <v>40</v>
      </c>
      <c r="I342" s="3" t="s">
        <v>314</v>
      </c>
    </row>
    <row r="343" spans="1:9" ht="19.95" customHeight="1" x14ac:dyDescent="0.2">
      <c r="A343" s="3" t="s">
        <v>626</v>
      </c>
      <c r="B343" s="3" t="s">
        <v>115</v>
      </c>
      <c r="C343" s="3" t="s">
        <v>69</v>
      </c>
      <c r="D343" s="3" t="s">
        <v>115</v>
      </c>
      <c r="E343" s="4">
        <v>670</v>
      </c>
      <c r="F343" s="5" t="s">
        <v>39</v>
      </c>
      <c r="G343" s="4">
        <v>597</v>
      </c>
      <c r="H343" s="3" t="s">
        <v>40</v>
      </c>
      <c r="I343" s="3" t="s">
        <v>314</v>
      </c>
    </row>
    <row r="344" spans="1:9" ht="19.95" customHeight="1" x14ac:dyDescent="0.2">
      <c r="A344" s="3" t="s">
        <v>627</v>
      </c>
      <c r="B344" s="3" t="s">
        <v>11</v>
      </c>
      <c r="C344" s="3" t="s">
        <v>562</v>
      </c>
      <c r="D344" s="3" t="s">
        <v>246</v>
      </c>
      <c r="E344" s="4">
        <v>24388</v>
      </c>
      <c r="F344" s="5" t="s">
        <v>39</v>
      </c>
      <c r="G344" s="6"/>
      <c r="H344" s="3" t="s">
        <v>40</v>
      </c>
      <c r="I344" s="3" t="s">
        <v>112</v>
      </c>
    </row>
    <row r="345" spans="1:9" ht="19.95" customHeight="1" x14ac:dyDescent="0.2">
      <c r="A345" s="3" t="s">
        <v>628</v>
      </c>
      <c r="B345" s="3" t="s">
        <v>45</v>
      </c>
      <c r="C345" s="3" t="s">
        <v>133</v>
      </c>
      <c r="D345" s="3" t="s">
        <v>216</v>
      </c>
      <c r="E345" s="4">
        <v>3050</v>
      </c>
      <c r="F345" s="5" t="s">
        <v>39</v>
      </c>
      <c r="G345" s="4">
        <v>2715</v>
      </c>
      <c r="H345" s="3" t="s">
        <v>40</v>
      </c>
      <c r="I345" s="3" t="s">
        <v>314</v>
      </c>
    </row>
    <row r="346" spans="1:9" ht="19.95" customHeight="1" x14ac:dyDescent="0.2">
      <c r="A346" s="3" t="s">
        <v>628</v>
      </c>
      <c r="B346" s="3" t="s">
        <v>45</v>
      </c>
      <c r="C346" s="3" t="s">
        <v>308</v>
      </c>
      <c r="D346" s="3" t="s">
        <v>216</v>
      </c>
      <c r="E346" s="4">
        <v>6100</v>
      </c>
      <c r="F346" s="5" t="s">
        <v>39</v>
      </c>
      <c r="G346" s="4">
        <v>5429</v>
      </c>
      <c r="H346" s="3" t="s">
        <v>40</v>
      </c>
      <c r="I346" s="3" t="s">
        <v>314</v>
      </c>
    </row>
    <row r="347" spans="1:9" ht="19.95" customHeight="1" x14ac:dyDescent="0.2">
      <c r="A347" s="3" t="s">
        <v>629</v>
      </c>
      <c r="B347" s="3" t="s">
        <v>45</v>
      </c>
      <c r="C347" s="3" t="s">
        <v>133</v>
      </c>
      <c r="D347" s="3" t="s">
        <v>216</v>
      </c>
      <c r="E347" s="4">
        <v>3800</v>
      </c>
      <c r="F347" s="5" t="s">
        <v>39</v>
      </c>
      <c r="G347" s="4">
        <v>3385</v>
      </c>
      <c r="H347" s="3" t="s">
        <v>40</v>
      </c>
      <c r="I347" s="3" t="s">
        <v>314</v>
      </c>
    </row>
    <row r="348" spans="1:9" ht="19.95" customHeight="1" x14ac:dyDescent="0.2">
      <c r="A348" s="3" t="s">
        <v>629</v>
      </c>
      <c r="B348" s="3" t="s">
        <v>45</v>
      </c>
      <c r="C348" s="3" t="s">
        <v>133</v>
      </c>
      <c r="D348" s="3" t="s">
        <v>216</v>
      </c>
      <c r="E348" s="4">
        <v>3800</v>
      </c>
      <c r="F348" s="5" t="s">
        <v>39</v>
      </c>
      <c r="G348" s="4">
        <v>3382</v>
      </c>
      <c r="H348" s="3" t="s">
        <v>40</v>
      </c>
      <c r="I348" s="3" t="s">
        <v>314</v>
      </c>
    </row>
    <row r="349" spans="1:9" ht="19.95" customHeight="1" x14ac:dyDescent="0.2">
      <c r="A349" s="3" t="s">
        <v>630</v>
      </c>
      <c r="B349" s="3" t="s">
        <v>115</v>
      </c>
      <c r="C349" s="3" t="s">
        <v>69</v>
      </c>
      <c r="D349" s="3" t="s">
        <v>115</v>
      </c>
      <c r="E349" s="4">
        <v>3300</v>
      </c>
      <c r="F349" s="5" t="s">
        <v>39</v>
      </c>
      <c r="G349" s="4">
        <v>2540</v>
      </c>
      <c r="H349" s="3" t="s">
        <v>40</v>
      </c>
      <c r="I349" s="3" t="s">
        <v>557</v>
      </c>
    </row>
    <row r="350" spans="1:9" ht="19.95" customHeight="1" x14ac:dyDescent="0.2">
      <c r="A350" s="3" t="s">
        <v>630</v>
      </c>
      <c r="B350" s="3" t="s">
        <v>115</v>
      </c>
      <c r="C350" s="3" t="s">
        <v>69</v>
      </c>
      <c r="D350" s="3" t="s">
        <v>115</v>
      </c>
      <c r="E350" s="4">
        <v>3300</v>
      </c>
      <c r="F350" s="5" t="s">
        <v>39</v>
      </c>
      <c r="G350" s="4">
        <v>2540</v>
      </c>
      <c r="H350" s="3" t="s">
        <v>40</v>
      </c>
      <c r="I350" s="3" t="s">
        <v>557</v>
      </c>
    </row>
    <row r="351" spans="1:9" ht="19.95" customHeight="1" x14ac:dyDescent="0.2">
      <c r="A351" s="3" t="s">
        <v>631</v>
      </c>
      <c r="B351" s="3" t="s">
        <v>11</v>
      </c>
      <c r="C351" s="3" t="s">
        <v>632</v>
      </c>
      <c r="D351" s="3" t="s">
        <v>105</v>
      </c>
      <c r="E351" s="4">
        <v>2160</v>
      </c>
      <c r="F351" s="5" t="s">
        <v>516</v>
      </c>
      <c r="G351" s="6"/>
      <c r="H351" s="3" t="s">
        <v>81</v>
      </c>
      <c r="I351" s="3" t="s">
        <v>161</v>
      </c>
    </row>
    <row r="352" spans="1:9" ht="19.95" customHeight="1" x14ac:dyDescent="0.2">
      <c r="A352" s="3" t="s">
        <v>633</v>
      </c>
      <c r="B352" s="3" t="s">
        <v>10</v>
      </c>
      <c r="C352" s="3" t="s">
        <v>634</v>
      </c>
      <c r="D352" s="3" t="s">
        <v>143</v>
      </c>
      <c r="E352" s="4">
        <v>4350</v>
      </c>
      <c r="F352" s="5" t="s">
        <v>98</v>
      </c>
      <c r="G352" s="4">
        <v>3876</v>
      </c>
      <c r="H352" s="3" t="s">
        <v>81</v>
      </c>
      <c r="I352" s="3" t="s">
        <v>99</v>
      </c>
    </row>
    <row r="353" spans="1:9" ht="19.95" customHeight="1" x14ac:dyDescent="0.2">
      <c r="A353" s="3" t="s">
        <v>635</v>
      </c>
      <c r="B353" s="3" t="s">
        <v>10</v>
      </c>
      <c r="C353" s="3" t="s">
        <v>636</v>
      </c>
      <c r="D353" s="3" t="s">
        <v>143</v>
      </c>
      <c r="E353" s="4">
        <v>3680</v>
      </c>
      <c r="F353" s="5" t="s">
        <v>98</v>
      </c>
      <c r="G353" s="4">
        <v>3280</v>
      </c>
      <c r="H353" s="3" t="s">
        <v>81</v>
      </c>
      <c r="I353" s="3" t="s">
        <v>99</v>
      </c>
    </row>
    <row r="354" spans="1:9" ht="19.95" customHeight="1" x14ac:dyDescent="0.2">
      <c r="A354" s="3" t="s">
        <v>637</v>
      </c>
      <c r="B354" s="3" t="s">
        <v>91</v>
      </c>
      <c r="C354" s="3" t="s">
        <v>69</v>
      </c>
      <c r="D354" s="3" t="s">
        <v>638</v>
      </c>
      <c r="E354" s="4">
        <v>15740</v>
      </c>
      <c r="F354" s="5" t="s">
        <v>39</v>
      </c>
      <c r="G354" s="4">
        <v>13617</v>
      </c>
      <c r="H354" s="3" t="s">
        <v>40</v>
      </c>
      <c r="I354" s="3" t="s">
        <v>275</v>
      </c>
    </row>
    <row r="355" spans="1:9" ht="19.95" customHeight="1" x14ac:dyDescent="0.2">
      <c r="A355" s="3" t="s">
        <v>639</v>
      </c>
      <c r="B355" s="3" t="s">
        <v>10</v>
      </c>
      <c r="C355" s="3" t="s">
        <v>640</v>
      </c>
      <c r="D355" s="3" t="s">
        <v>551</v>
      </c>
      <c r="E355" s="4">
        <v>2535</v>
      </c>
      <c r="F355" s="5" t="s">
        <v>171</v>
      </c>
      <c r="G355" s="4">
        <v>2304</v>
      </c>
      <c r="H355" s="3" t="s">
        <v>63</v>
      </c>
      <c r="I355" s="3" t="s">
        <v>251</v>
      </c>
    </row>
    <row r="356" spans="1:9" ht="19.95" customHeight="1" x14ac:dyDescent="0.2">
      <c r="A356" s="3" t="s">
        <v>641</v>
      </c>
      <c r="B356" s="3" t="s">
        <v>45</v>
      </c>
      <c r="C356" s="3" t="s">
        <v>642</v>
      </c>
      <c r="D356" s="3" t="s">
        <v>643</v>
      </c>
      <c r="E356" s="4">
        <v>3050</v>
      </c>
      <c r="F356" s="5" t="s">
        <v>516</v>
      </c>
      <c r="G356" s="4">
        <v>2772</v>
      </c>
      <c r="H356" s="3" t="s">
        <v>81</v>
      </c>
      <c r="I356" s="3" t="s">
        <v>524</v>
      </c>
    </row>
    <row r="357" spans="1:9" ht="19.95" customHeight="1" x14ac:dyDescent="0.2">
      <c r="A357" s="3" t="s">
        <v>644</v>
      </c>
      <c r="B357" s="3" t="s">
        <v>11</v>
      </c>
      <c r="C357" s="3" t="s">
        <v>69</v>
      </c>
      <c r="D357" s="3" t="s">
        <v>645</v>
      </c>
      <c r="E357" s="4">
        <v>1510</v>
      </c>
      <c r="F357" s="5" t="s">
        <v>39</v>
      </c>
      <c r="G357" s="6"/>
      <c r="H357" s="3" t="s">
        <v>40</v>
      </c>
      <c r="I357" s="3" t="s">
        <v>346</v>
      </c>
    </row>
    <row r="358" spans="1:9" ht="19.95" customHeight="1" x14ac:dyDescent="0.2">
      <c r="A358" s="3" t="s">
        <v>646</v>
      </c>
      <c r="B358" s="3" t="s">
        <v>11</v>
      </c>
      <c r="C358" s="3" t="s">
        <v>534</v>
      </c>
      <c r="D358" s="3" t="s">
        <v>139</v>
      </c>
      <c r="E358" s="4">
        <v>15350</v>
      </c>
      <c r="F358" s="5" t="s">
        <v>58</v>
      </c>
      <c r="G358" s="6"/>
      <c r="H358" s="3" t="s">
        <v>40</v>
      </c>
      <c r="I358" s="3" t="s">
        <v>275</v>
      </c>
    </row>
    <row r="359" spans="1:9" ht="19.95" customHeight="1" x14ac:dyDescent="0.2">
      <c r="A359" s="3" t="s">
        <v>647</v>
      </c>
      <c r="B359" s="3" t="s">
        <v>10</v>
      </c>
      <c r="C359" s="3" t="s">
        <v>648</v>
      </c>
      <c r="D359" s="3" t="s">
        <v>38</v>
      </c>
      <c r="E359" s="4">
        <v>18860</v>
      </c>
      <c r="F359" s="5" t="s">
        <v>39</v>
      </c>
      <c r="G359" s="4">
        <v>16710</v>
      </c>
      <c r="H359" s="3" t="s">
        <v>40</v>
      </c>
      <c r="I359" s="3" t="s">
        <v>317</v>
      </c>
    </row>
    <row r="360" spans="1:9" ht="19.95" customHeight="1" x14ac:dyDescent="0.2">
      <c r="A360" s="3" t="s">
        <v>647</v>
      </c>
      <c r="B360" s="3" t="s">
        <v>10</v>
      </c>
      <c r="C360" s="3" t="s">
        <v>37</v>
      </c>
      <c r="D360" s="3" t="s">
        <v>38</v>
      </c>
      <c r="E360" s="4">
        <v>9430</v>
      </c>
      <c r="F360" s="5" t="s">
        <v>39</v>
      </c>
      <c r="G360" s="4">
        <v>8355</v>
      </c>
      <c r="H360" s="3" t="s">
        <v>40</v>
      </c>
      <c r="I360" s="3" t="s">
        <v>317</v>
      </c>
    </row>
    <row r="361" spans="1:9" ht="19.95" customHeight="1" x14ac:dyDescent="0.2">
      <c r="A361" s="3" t="s">
        <v>649</v>
      </c>
      <c r="B361" s="3" t="s">
        <v>10</v>
      </c>
      <c r="C361" s="3" t="s">
        <v>37</v>
      </c>
      <c r="D361" s="3" t="s">
        <v>38</v>
      </c>
      <c r="E361" s="4">
        <v>14100</v>
      </c>
      <c r="F361" s="5" t="s">
        <v>39</v>
      </c>
      <c r="G361" s="4">
        <v>12490</v>
      </c>
      <c r="H361" s="3" t="s">
        <v>40</v>
      </c>
      <c r="I361" s="3" t="s">
        <v>317</v>
      </c>
    </row>
    <row r="362" spans="1:9" ht="19.95" customHeight="1" x14ac:dyDescent="0.2">
      <c r="A362" s="3" t="s">
        <v>650</v>
      </c>
      <c r="B362" s="3" t="s">
        <v>10</v>
      </c>
      <c r="C362" s="3" t="s">
        <v>651</v>
      </c>
      <c r="D362" s="3" t="s">
        <v>38</v>
      </c>
      <c r="E362" s="4">
        <v>4520</v>
      </c>
      <c r="F362" s="5" t="s">
        <v>111</v>
      </c>
      <c r="G362" s="4">
        <v>4026</v>
      </c>
      <c r="H362" s="3" t="s">
        <v>81</v>
      </c>
      <c r="I362" s="3" t="s">
        <v>317</v>
      </c>
    </row>
    <row r="363" spans="1:9" ht="19.95" customHeight="1" x14ac:dyDescent="0.2">
      <c r="A363" s="3" t="s">
        <v>652</v>
      </c>
      <c r="B363" s="3" t="s">
        <v>10</v>
      </c>
      <c r="C363" s="3" t="s">
        <v>653</v>
      </c>
      <c r="D363" s="3" t="s">
        <v>378</v>
      </c>
      <c r="E363" s="4">
        <v>864</v>
      </c>
      <c r="F363" s="5" t="s">
        <v>39</v>
      </c>
      <c r="G363" s="4">
        <v>785</v>
      </c>
      <c r="H363" s="3" t="s">
        <v>40</v>
      </c>
      <c r="I363" s="3" t="s">
        <v>460</v>
      </c>
    </row>
    <row r="364" spans="1:9" ht="19.95" customHeight="1" x14ac:dyDescent="0.2">
      <c r="A364" s="3" t="s">
        <v>654</v>
      </c>
      <c r="B364" s="3" t="s">
        <v>11</v>
      </c>
      <c r="C364" s="3" t="s">
        <v>108</v>
      </c>
      <c r="D364" s="3" t="s">
        <v>109</v>
      </c>
      <c r="E364" s="4">
        <v>44460</v>
      </c>
      <c r="F364" s="5" t="s">
        <v>111</v>
      </c>
      <c r="G364" s="4">
        <v>0</v>
      </c>
      <c r="H364" s="3" t="s">
        <v>81</v>
      </c>
      <c r="I364" s="3" t="s">
        <v>454</v>
      </c>
    </row>
    <row r="365" spans="1:9" ht="19.95" customHeight="1" x14ac:dyDescent="0.2">
      <c r="A365" s="3" t="s">
        <v>655</v>
      </c>
      <c r="B365" s="3" t="s">
        <v>11</v>
      </c>
      <c r="C365" s="3" t="s">
        <v>622</v>
      </c>
      <c r="D365" s="3" t="s">
        <v>109</v>
      </c>
      <c r="E365" s="4">
        <v>2590</v>
      </c>
      <c r="F365" s="5" t="s">
        <v>39</v>
      </c>
      <c r="G365" s="6"/>
      <c r="H365" s="3" t="s">
        <v>40</v>
      </c>
      <c r="I365" s="3" t="s">
        <v>557</v>
      </c>
    </row>
    <row r="366" spans="1:9" ht="19.95" customHeight="1" x14ac:dyDescent="0.2">
      <c r="A366" s="3" t="s">
        <v>655</v>
      </c>
      <c r="B366" s="3" t="s">
        <v>45</v>
      </c>
      <c r="C366" s="3" t="s">
        <v>192</v>
      </c>
      <c r="D366" s="3" t="s">
        <v>109</v>
      </c>
      <c r="E366" s="4">
        <v>5550</v>
      </c>
      <c r="F366" s="5" t="s">
        <v>39</v>
      </c>
      <c r="G366" s="4">
        <v>4412</v>
      </c>
      <c r="H366" s="3" t="s">
        <v>40</v>
      </c>
      <c r="I366" s="3" t="s">
        <v>557</v>
      </c>
    </row>
    <row r="367" spans="1:9" ht="19.95" customHeight="1" x14ac:dyDescent="0.2">
      <c r="A367" s="3" t="s">
        <v>656</v>
      </c>
      <c r="B367" s="3" t="s">
        <v>11</v>
      </c>
      <c r="C367" s="3" t="s">
        <v>69</v>
      </c>
      <c r="D367" s="3" t="s">
        <v>105</v>
      </c>
      <c r="E367" s="4">
        <v>2380</v>
      </c>
      <c r="F367" s="5" t="s">
        <v>58</v>
      </c>
      <c r="G367" s="4">
        <v>0</v>
      </c>
      <c r="H367" s="3" t="s">
        <v>40</v>
      </c>
      <c r="I367" s="3" t="s">
        <v>454</v>
      </c>
    </row>
    <row r="368" spans="1:9" ht="19.95" customHeight="1" x14ac:dyDescent="0.2">
      <c r="A368" s="3" t="s">
        <v>657</v>
      </c>
      <c r="B368" s="3" t="s">
        <v>10</v>
      </c>
      <c r="C368" s="3" t="s">
        <v>69</v>
      </c>
      <c r="D368" s="3" t="s">
        <v>70</v>
      </c>
      <c r="E368" s="4">
        <v>9250</v>
      </c>
      <c r="F368" s="5" t="s">
        <v>39</v>
      </c>
      <c r="G368" s="4">
        <v>8000</v>
      </c>
      <c r="H368" s="3" t="s">
        <v>40</v>
      </c>
      <c r="I368" s="3" t="s">
        <v>229</v>
      </c>
    </row>
    <row r="369" spans="1:9" ht="19.95" customHeight="1" x14ac:dyDescent="0.2">
      <c r="A369" s="3" t="s">
        <v>658</v>
      </c>
      <c r="B369" s="3" t="s">
        <v>45</v>
      </c>
      <c r="C369" s="3" t="s">
        <v>659</v>
      </c>
      <c r="D369" s="3" t="s">
        <v>248</v>
      </c>
      <c r="E369" s="4">
        <v>3972.5</v>
      </c>
      <c r="F369" s="5" t="s">
        <v>14</v>
      </c>
      <c r="G369" s="4">
        <v>3541</v>
      </c>
      <c r="H369" s="3" t="s">
        <v>63</v>
      </c>
      <c r="I369" s="3" t="s">
        <v>76</v>
      </c>
    </row>
    <row r="370" spans="1:9" ht="19.95" customHeight="1" x14ac:dyDescent="0.2">
      <c r="A370" s="3" t="s">
        <v>660</v>
      </c>
      <c r="B370" s="3" t="s">
        <v>11</v>
      </c>
      <c r="C370" s="3" t="s">
        <v>661</v>
      </c>
      <c r="D370" s="3" t="s">
        <v>70</v>
      </c>
      <c r="E370" s="4">
        <v>2780</v>
      </c>
      <c r="F370" s="5" t="s">
        <v>75</v>
      </c>
      <c r="G370" s="6"/>
      <c r="H370" s="3" t="s">
        <v>63</v>
      </c>
      <c r="I370" s="3" t="s">
        <v>483</v>
      </c>
    </row>
    <row r="371" spans="1:9" ht="19.95" customHeight="1" x14ac:dyDescent="0.2">
      <c r="A371" s="3" t="s">
        <v>662</v>
      </c>
      <c r="B371" s="3" t="s">
        <v>91</v>
      </c>
      <c r="C371" s="3" t="s">
        <v>276</v>
      </c>
      <c r="D371" s="3" t="s">
        <v>349</v>
      </c>
      <c r="E371" s="4">
        <v>6155</v>
      </c>
      <c r="F371" s="5" t="s">
        <v>501</v>
      </c>
      <c r="G371" s="4">
        <v>5430</v>
      </c>
      <c r="H371" s="3" t="s">
        <v>81</v>
      </c>
      <c r="I371" s="3" t="s">
        <v>275</v>
      </c>
    </row>
    <row r="372" spans="1:9" ht="19.95" customHeight="1" x14ac:dyDescent="0.2">
      <c r="A372" s="3" t="s">
        <v>663</v>
      </c>
      <c r="B372" s="3" t="s">
        <v>91</v>
      </c>
      <c r="C372" s="3" t="s">
        <v>276</v>
      </c>
      <c r="D372" s="3" t="s">
        <v>349</v>
      </c>
      <c r="E372" s="4">
        <v>1976</v>
      </c>
      <c r="F372" s="5" t="s">
        <v>501</v>
      </c>
      <c r="G372" s="4">
        <v>1621</v>
      </c>
      <c r="H372" s="3" t="s">
        <v>81</v>
      </c>
      <c r="I372" s="3" t="s">
        <v>275</v>
      </c>
    </row>
    <row r="373" spans="1:9" ht="19.95" customHeight="1" x14ac:dyDescent="0.2">
      <c r="A373" s="3" t="s">
        <v>664</v>
      </c>
      <c r="B373" s="3" t="s">
        <v>91</v>
      </c>
      <c r="C373" s="3" t="s">
        <v>276</v>
      </c>
      <c r="D373" s="3" t="s">
        <v>349</v>
      </c>
      <c r="E373" s="4">
        <v>3424</v>
      </c>
      <c r="F373" s="5" t="s">
        <v>501</v>
      </c>
      <c r="G373" s="4">
        <v>2809</v>
      </c>
      <c r="H373" s="3" t="s">
        <v>81</v>
      </c>
      <c r="I373" s="3" t="s">
        <v>275</v>
      </c>
    </row>
    <row r="374" spans="1:9" ht="19.95" customHeight="1" x14ac:dyDescent="0.2">
      <c r="A374" s="3" t="s">
        <v>665</v>
      </c>
      <c r="B374" s="3" t="s">
        <v>11</v>
      </c>
      <c r="C374" s="3" t="s">
        <v>512</v>
      </c>
      <c r="D374" s="3" t="s">
        <v>205</v>
      </c>
      <c r="E374" s="4">
        <v>1760</v>
      </c>
      <c r="F374" s="5" t="s">
        <v>58</v>
      </c>
      <c r="G374" s="6"/>
      <c r="H374" s="3" t="s">
        <v>40</v>
      </c>
      <c r="I374" s="3" t="s">
        <v>666</v>
      </c>
    </row>
    <row r="375" spans="1:9" ht="19.95" customHeight="1" x14ac:dyDescent="0.2">
      <c r="A375" s="3" t="s">
        <v>667</v>
      </c>
      <c r="B375" s="3" t="s">
        <v>11</v>
      </c>
      <c r="C375" s="3" t="s">
        <v>668</v>
      </c>
      <c r="D375" s="3" t="s">
        <v>205</v>
      </c>
      <c r="E375" s="4">
        <v>45195</v>
      </c>
      <c r="F375" s="5" t="s">
        <v>111</v>
      </c>
      <c r="G375" s="6"/>
      <c r="H375" s="3" t="s">
        <v>81</v>
      </c>
      <c r="I375" s="3" t="s">
        <v>666</v>
      </c>
    </row>
    <row r="376" spans="1:9" ht="19.95" customHeight="1" x14ac:dyDescent="0.2">
      <c r="A376" s="3" t="s">
        <v>669</v>
      </c>
      <c r="B376" s="3" t="s">
        <v>10</v>
      </c>
      <c r="C376" s="3" t="s">
        <v>136</v>
      </c>
      <c r="D376" s="3" t="s">
        <v>216</v>
      </c>
      <c r="E376" s="4">
        <v>3600</v>
      </c>
      <c r="F376" s="5" t="s">
        <v>14</v>
      </c>
      <c r="G376" s="4">
        <v>3207</v>
      </c>
      <c r="H376" s="3" t="s">
        <v>40</v>
      </c>
      <c r="I376" s="3" t="s">
        <v>549</v>
      </c>
    </row>
    <row r="377" spans="1:9" ht="19.95" customHeight="1" x14ac:dyDescent="0.2">
      <c r="A377" s="3" t="s">
        <v>670</v>
      </c>
      <c r="B377" s="3" t="s">
        <v>91</v>
      </c>
      <c r="C377" s="3" t="s">
        <v>69</v>
      </c>
      <c r="D377" s="3" t="s">
        <v>477</v>
      </c>
      <c r="E377" s="4">
        <v>4050</v>
      </c>
      <c r="F377" s="5" t="s">
        <v>39</v>
      </c>
      <c r="G377" s="4">
        <v>3550</v>
      </c>
      <c r="H377" s="3" t="s">
        <v>40</v>
      </c>
      <c r="I377" s="3" t="s">
        <v>296</v>
      </c>
    </row>
    <row r="378" spans="1:9" ht="19.95" customHeight="1" x14ac:dyDescent="0.2">
      <c r="A378" s="3" t="s">
        <v>671</v>
      </c>
      <c r="B378" s="3" t="s">
        <v>11</v>
      </c>
      <c r="C378" s="3" t="s">
        <v>575</v>
      </c>
      <c r="D378" s="3" t="s">
        <v>672</v>
      </c>
      <c r="E378" s="4">
        <v>9600</v>
      </c>
      <c r="F378" s="5" t="s">
        <v>148</v>
      </c>
      <c r="G378" s="6"/>
      <c r="H378" s="3" t="s">
        <v>81</v>
      </c>
      <c r="I378" s="3" t="s">
        <v>369</v>
      </c>
    </row>
    <row r="379" spans="1:9" ht="19.95" customHeight="1" x14ac:dyDescent="0.2">
      <c r="A379" s="3" t="s">
        <v>673</v>
      </c>
      <c r="B379" s="3" t="s">
        <v>115</v>
      </c>
      <c r="C379" s="3" t="s">
        <v>37</v>
      </c>
      <c r="D379" s="3" t="s">
        <v>115</v>
      </c>
      <c r="E379" s="4">
        <v>610</v>
      </c>
      <c r="F379" s="5" t="s">
        <v>39</v>
      </c>
      <c r="G379" s="4">
        <v>544</v>
      </c>
      <c r="H379" s="3" t="s">
        <v>40</v>
      </c>
      <c r="I379" s="3" t="s">
        <v>195</v>
      </c>
    </row>
    <row r="380" spans="1:9" ht="19.95" customHeight="1" x14ac:dyDescent="0.2">
      <c r="A380" s="3" t="s">
        <v>673</v>
      </c>
      <c r="B380" s="3" t="s">
        <v>11</v>
      </c>
      <c r="C380" s="3" t="s">
        <v>308</v>
      </c>
      <c r="D380" s="3" t="s">
        <v>115</v>
      </c>
      <c r="E380" s="4">
        <v>6100</v>
      </c>
      <c r="F380" s="5" t="s">
        <v>39</v>
      </c>
      <c r="G380" s="6"/>
      <c r="H380" s="3" t="s">
        <v>40</v>
      </c>
      <c r="I380" s="3" t="s">
        <v>195</v>
      </c>
    </row>
    <row r="381" spans="1:9" ht="19.95" customHeight="1" x14ac:dyDescent="0.2">
      <c r="A381" s="3" t="s">
        <v>674</v>
      </c>
      <c r="B381" s="3" t="s">
        <v>11</v>
      </c>
      <c r="C381" s="3" t="s">
        <v>675</v>
      </c>
      <c r="D381" s="3" t="s">
        <v>521</v>
      </c>
      <c r="E381" s="4">
        <v>2615</v>
      </c>
      <c r="F381" s="5" t="s">
        <v>75</v>
      </c>
      <c r="G381" s="6"/>
      <c r="H381" s="3" t="s">
        <v>63</v>
      </c>
      <c r="I381" s="3" t="s">
        <v>76</v>
      </c>
    </row>
    <row r="382" spans="1:9" ht="19.95" customHeight="1" x14ac:dyDescent="0.2">
      <c r="A382" s="3" t="s">
        <v>676</v>
      </c>
      <c r="B382" s="3" t="s">
        <v>45</v>
      </c>
      <c r="C382" s="3" t="s">
        <v>176</v>
      </c>
      <c r="D382" s="3" t="s">
        <v>38</v>
      </c>
      <c r="E382" s="4">
        <v>5200</v>
      </c>
      <c r="F382" s="5" t="s">
        <v>39</v>
      </c>
      <c r="G382" s="4">
        <v>4632</v>
      </c>
      <c r="H382" s="3" t="s">
        <v>40</v>
      </c>
      <c r="I382" s="3" t="s">
        <v>677</v>
      </c>
    </row>
    <row r="383" spans="1:9" ht="19.95" customHeight="1" x14ac:dyDescent="0.2">
      <c r="A383" s="3" t="s">
        <v>678</v>
      </c>
      <c r="B383" s="3" t="s">
        <v>45</v>
      </c>
      <c r="C383" s="3" t="s">
        <v>176</v>
      </c>
      <c r="D383" s="3" t="s">
        <v>38</v>
      </c>
      <c r="E383" s="4">
        <v>5200</v>
      </c>
      <c r="F383" s="5" t="s">
        <v>39</v>
      </c>
      <c r="G383" s="4">
        <v>4632</v>
      </c>
      <c r="H383" s="3" t="s">
        <v>40</v>
      </c>
      <c r="I383" s="3" t="s">
        <v>677</v>
      </c>
    </row>
    <row r="384" spans="1:9" ht="19.95" customHeight="1" x14ac:dyDescent="0.2">
      <c r="A384" s="3" t="s">
        <v>679</v>
      </c>
      <c r="B384" s="3" t="s">
        <v>11</v>
      </c>
      <c r="C384" s="3" t="s">
        <v>680</v>
      </c>
      <c r="D384" s="3" t="s">
        <v>38</v>
      </c>
      <c r="E384" s="4">
        <v>40384</v>
      </c>
      <c r="F384" s="5" t="s">
        <v>89</v>
      </c>
      <c r="G384" s="6"/>
      <c r="H384" s="3" t="s">
        <v>81</v>
      </c>
      <c r="I384" s="3" t="s">
        <v>677</v>
      </c>
    </row>
    <row r="385" spans="1:9" ht="19.95" customHeight="1" x14ac:dyDescent="0.2">
      <c r="A385" s="3" t="s">
        <v>681</v>
      </c>
      <c r="B385" s="3" t="s">
        <v>91</v>
      </c>
      <c r="C385" s="3" t="s">
        <v>37</v>
      </c>
      <c r="D385" s="3" t="s">
        <v>85</v>
      </c>
      <c r="E385" s="4">
        <v>3410</v>
      </c>
      <c r="F385" s="5" t="s">
        <v>11</v>
      </c>
      <c r="G385" s="4">
        <v>3007</v>
      </c>
      <c r="H385" s="3" t="s">
        <v>40</v>
      </c>
      <c r="I385" s="3" t="s">
        <v>433</v>
      </c>
    </row>
    <row r="386" spans="1:9" ht="19.95" customHeight="1" x14ac:dyDescent="0.2">
      <c r="A386" s="3" t="s">
        <v>682</v>
      </c>
      <c r="B386" s="3" t="s">
        <v>110</v>
      </c>
      <c r="C386" s="3" t="s">
        <v>683</v>
      </c>
      <c r="D386" s="3" t="s">
        <v>109</v>
      </c>
      <c r="E386" s="4">
        <v>1596</v>
      </c>
      <c r="F386" s="5" t="s">
        <v>183</v>
      </c>
      <c r="G386" s="4">
        <v>1440</v>
      </c>
      <c r="H386" s="3" t="s">
        <v>63</v>
      </c>
      <c r="I386" s="3" t="s">
        <v>210</v>
      </c>
    </row>
    <row r="387" spans="1:9" ht="19.95" customHeight="1" x14ac:dyDescent="0.2">
      <c r="A387" s="3" t="s">
        <v>684</v>
      </c>
      <c r="B387" s="3" t="s">
        <v>10</v>
      </c>
      <c r="C387" s="3" t="s">
        <v>69</v>
      </c>
      <c r="D387" s="3" t="s">
        <v>477</v>
      </c>
      <c r="E387" s="4">
        <v>4490</v>
      </c>
      <c r="F387" s="5" t="s">
        <v>39</v>
      </c>
      <c r="G387" s="4">
        <v>3860</v>
      </c>
      <c r="H387" s="3" t="s">
        <v>40</v>
      </c>
      <c r="I387" s="3" t="s">
        <v>229</v>
      </c>
    </row>
    <row r="388" spans="1:9" ht="19.95" customHeight="1" x14ac:dyDescent="0.2">
      <c r="A388" s="3" t="s">
        <v>684</v>
      </c>
      <c r="B388" s="3" t="s">
        <v>10</v>
      </c>
      <c r="C388" s="3" t="s">
        <v>69</v>
      </c>
      <c r="D388" s="3" t="s">
        <v>477</v>
      </c>
      <c r="E388" s="4">
        <v>4490</v>
      </c>
      <c r="F388" s="5" t="s">
        <v>39</v>
      </c>
      <c r="G388" s="4">
        <v>3860</v>
      </c>
      <c r="H388" s="3" t="s">
        <v>40</v>
      </c>
      <c r="I388" s="3" t="s">
        <v>229</v>
      </c>
    </row>
    <row r="389" spans="1:9" ht="19.95" customHeight="1" x14ac:dyDescent="0.2">
      <c r="A389" s="3" t="s">
        <v>685</v>
      </c>
      <c r="B389" s="3" t="s">
        <v>10</v>
      </c>
      <c r="C389" s="3" t="s">
        <v>69</v>
      </c>
      <c r="D389" s="3" t="s">
        <v>477</v>
      </c>
      <c r="E389" s="4">
        <v>7130</v>
      </c>
      <c r="F389" s="5" t="s">
        <v>39</v>
      </c>
      <c r="G389" s="4">
        <v>6130</v>
      </c>
      <c r="H389" s="3" t="s">
        <v>40</v>
      </c>
      <c r="I389" s="3" t="s">
        <v>229</v>
      </c>
    </row>
    <row r="390" spans="1:9" ht="19.95" customHeight="1" x14ac:dyDescent="0.2">
      <c r="A390" s="3" t="s">
        <v>685</v>
      </c>
      <c r="B390" s="3" t="s">
        <v>10</v>
      </c>
      <c r="C390" s="3" t="s">
        <v>176</v>
      </c>
      <c r="D390" s="3" t="s">
        <v>477</v>
      </c>
      <c r="E390" s="4">
        <v>35650</v>
      </c>
      <c r="F390" s="5" t="s">
        <v>39</v>
      </c>
      <c r="G390" s="4">
        <v>30650</v>
      </c>
      <c r="H390" s="3" t="s">
        <v>40</v>
      </c>
      <c r="I390" s="3" t="s">
        <v>229</v>
      </c>
    </row>
    <row r="391" spans="1:9" ht="19.95" customHeight="1" x14ac:dyDescent="0.2">
      <c r="A391" s="3" t="s">
        <v>686</v>
      </c>
      <c r="B391" s="3" t="s">
        <v>115</v>
      </c>
      <c r="C391" s="3" t="s">
        <v>37</v>
      </c>
      <c r="D391" s="3" t="s">
        <v>115</v>
      </c>
      <c r="E391" s="4">
        <v>610</v>
      </c>
      <c r="F391" s="5" t="s">
        <v>39</v>
      </c>
      <c r="G391" s="4">
        <v>544</v>
      </c>
      <c r="H391" s="3" t="s">
        <v>40</v>
      </c>
      <c r="I391" s="3" t="s">
        <v>210</v>
      </c>
    </row>
    <row r="392" spans="1:9" ht="19.95" customHeight="1" x14ac:dyDescent="0.2">
      <c r="A392" s="3" t="s">
        <v>687</v>
      </c>
      <c r="B392" s="3" t="s">
        <v>11</v>
      </c>
      <c r="C392" s="3" t="s">
        <v>69</v>
      </c>
      <c r="D392" s="3" t="s">
        <v>262</v>
      </c>
      <c r="E392" s="4">
        <v>610</v>
      </c>
      <c r="F392" s="5" t="s">
        <v>39</v>
      </c>
      <c r="G392" s="6"/>
      <c r="H392" s="3" t="s">
        <v>40</v>
      </c>
      <c r="I392" s="3" t="s">
        <v>334</v>
      </c>
    </row>
    <row r="393" spans="1:9" ht="19.95" customHeight="1" x14ac:dyDescent="0.2">
      <c r="A393" s="3" t="s">
        <v>688</v>
      </c>
      <c r="B393" s="3" t="s">
        <v>11</v>
      </c>
      <c r="C393" s="3" t="s">
        <v>194</v>
      </c>
      <c r="D393" s="3" t="s">
        <v>411</v>
      </c>
      <c r="E393" s="4">
        <v>1730</v>
      </c>
      <c r="F393" s="5" t="s">
        <v>516</v>
      </c>
      <c r="G393" s="6"/>
      <c r="H393" s="3" t="s">
        <v>81</v>
      </c>
      <c r="I393" s="3" t="s">
        <v>334</v>
      </c>
    </row>
    <row r="394" spans="1:9" ht="19.95" customHeight="1" x14ac:dyDescent="0.2">
      <c r="A394" s="3" t="s">
        <v>689</v>
      </c>
      <c r="B394" s="3" t="s">
        <v>11</v>
      </c>
      <c r="C394" s="3" t="s">
        <v>690</v>
      </c>
      <c r="D394" s="3" t="s">
        <v>691</v>
      </c>
      <c r="E394" s="4">
        <v>1940</v>
      </c>
      <c r="F394" s="5" t="s">
        <v>89</v>
      </c>
      <c r="G394" s="6"/>
      <c r="H394" s="3" t="s">
        <v>81</v>
      </c>
      <c r="I394" s="3" t="s">
        <v>334</v>
      </c>
    </row>
    <row r="395" spans="1:9" ht="19.95" customHeight="1" x14ac:dyDescent="0.2">
      <c r="A395" s="3" t="s">
        <v>692</v>
      </c>
      <c r="B395" s="3" t="s">
        <v>10</v>
      </c>
      <c r="C395" s="3" t="s">
        <v>693</v>
      </c>
      <c r="D395" s="3" t="s">
        <v>262</v>
      </c>
      <c r="E395" s="4">
        <v>1950</v>
      </c>
      <c r="F395" s="5" t="s">
        <v>14</v>
      </c>
      <c r="G395" s="4">
        <v>1772</v>
      </c>
      <c r="H395" s="3" t="s">
        <v>63</v>
      </c>
      <c r="I395" s="3" t="s">
        <v>64</v>
      </c>
    </row>
    <row r="396" spans="1:9" ht="19.95" customHeight="1" x14ac:dyDescent="0.2">
      <c r="A396" s="3" t="s">
        <v>694</v>
      </c>
      <c r="B396" s="3" t="s">
        <v>115</v>
      </c>
      <c r="C396" s="3" t="s">
        <v>308</v>
      </c>
      <c r="D396" s="3" t="s">
        <v>115</v>
      </c>
      <c r="E396" s="4">
        <v>5900</v>
      </c>
      <c r="F396" s="5" t="s">
        <v>39</v>
      </c>
      <c r="G396" s="4">
        <v>5260</v>
      </c>
      <c r="H396" s="3" t="s">
        <v>40</v>
      </c>
      <c r="I396" s="3" t="s">
        <v>695</v>
      </c>
    </row>
    <row r="397" spans="1:9" ht="19.95" customHeight="1" x14ac:dyDescent="0.2">
      <c r="A397" s="3" t="s">
        <v>696</v>
      </c>
      <c r="B397" s="3" t="s">
        <v>45</v>
      </c>
      <c r="C397" s="3" t="s">
        <v>258</v>
      </c>
      <c r="D397" s="3" t="s">
        <v>697</v>
      </c>
      <c r="E397" s="4">
        <v>1920</v>
      </c>
      <c r="F397" s="5" t="s">
        <v>14</v>
      </c>
      <c r="G397" s="4">
        <v>1728</v>
      </c>
      <c r="H397" s="3" t="s">
        <v>63</v>
      </c>
      <c r="I397" s="3" t="s">
        <v>129</v>
      </c>
    </row>
    <row r="398" spans="1:9" ht="19.95" customHeight="1" x14ac:dyDescent="0.2">
      <c r="A398" s="3" t="s">
        <v>698</v>
      </c>
      <c r="B398" s="3" t="s">
        <v>11</v>
      </c>
      <c r="C398" s="3" t="s">
        <v>146</v>
      </c>
      <c r="D398" s="3" t="s">
        <v>248</v>
      </c>
      <c r="E398" s="4">
        <v>8630</v>
      </c>
      <c r="F398" s="5" t="s">
        <v>75</v>
      </c>
      <c r="G398" s="6"/>
      <c r="H398" s="3" t="s">
        <v>63</v>
      </c>
      <c r="I398" s="3" t="s">
        <v>76</v>
      </c>
    </row>
    <row r="399" spans="1:9" ht="19.95" customHeight="1" x14ac:dyDescent="0.2">
      <c r="A399" s="3" t="s">
        <v>699</v>
      </c>
      <c r="B399" s="3" t="s">
        <v>45</v>
      </c>
      <c r="C399" s="3" t="s">
        <v>700</v>
      </c>
      <c r="D399" s="3" t="s">
        <v>559</v>
      </c>
      <c r="E399" s="4">
        <v>955.5</v>
      </c>
      <c r="F399" s="5" t="s">
        <v>39</v>
      </c>
      <c r="G399" s="4">
        <v>836</v>
      </c>
      <c r="H399" s="3" t="s">
        <v>40</v>
      </c>
      <c r="I399" s="3" t="s">
        <v>187</v>
      </c>
    </row>
    <row r="400" spans="1:9" ht="19.95" customHeight="1" x14ac:dyDescent="0.2">
      <c r="A400" s="3" t="s">
        <v>701</v>
      </c>
      <c r="B400" s="3" t="s">
        <v>45</v>
      </c>
      <c r="C400" s="3" t="s">
        <v>69</v>
      </c>
      <c r="D400" s="3" t="s">
        <v>559</v>
      </c>
      <c r="E400" s="4">
        <v>2500</v>
      </c>
      <c r="F400" s="5" t="s">
        <v>39</v>
      </c>
      <c r="G400" s="4">
        <v>2188</v>
      </c>
      <c r="H400" s="3" t="s">
        <v>40</v>
      </c>
      <c r="I400" s="3" t="s">
        <v>187</v>
      </c>
    </row>
    <row r="401" spans="1:9" ht="19.95" customHeight="1" x14ac:dyDescent="0.2">
      <c r="A401" s="3" t="s">
        <v>702</v>
      </c>
      <c r="B401" s="3" t="s">
        <v>91</v>
      </c>
      <c r="C401" s="3" t="s">
        <v>703</v>
      </c>
      <c r="D401" s="3" t="s">
        <v>70</v>
      </c>
      <c r="E401" s="4">
        <v>678</v>
      </c>
      <c r="F401" s="5" t="s">
        <v>39</v>
      </c>
      <c r="G401" s="4">
        <v>610</v>
      </c>
      <c r="H401" s="3" t="s">
        <v>40</v>
      </c>
      <c r="I401" s="3" t="s">
        <v>132</v>
      </c>
    </row>
    <row r="402" spans="1:9" ht="19.95" customHeight="1" x14ac:dyDescent="0.2">
      <c r="A402" s="3" t="s">
        <v>704</v>
      </c>
      <c r="B402" s="3" t="s">
        <v>45</v>
      </c>
      <c r="C402" s="3" t="s">
        <v>37</v>
      </c>
      <c r="D402" s="3" t="s">
        <v>638</v>
      </c>
      <c r="E402" s="4">
        <v>1130</v>
      </c>
      <c r="F402" s="5" t="s">
        <v>39</v>
      </c>
      <c r="G402" s="4">
        <v>961</v>
      </c>
      <c r="H402" s="3" t="s">
        <v>40</v>
      </c>
      <c r="I402" s="3" t="s">
        <v>251</v>
      </c>
    </row>
    <row r="403" spans="1:9" ht="19.95" customHeight="1" x14ac:dyDescent="0.2">
      <c r="A403" s="3" t="s">
        <v>705</v>
      </c>
      <c r="B403" s="3" t="s">
        <v>45</v>
      </c>
      <c r="C403" s="3" t="s">
        <v>308</v>
      </c>
      <c r="D403" s="3" t="s">
        <v>262</v>
      </c>
      <c r="E403" s="4">
        <v>11300</v>
      </c>
      <c r="F403" s="5" t="s">
        <v>39</v>
      </c>
      <c r="G403" s="4">
        <v>9605</v>
      </c>
      <c r="H403" s="3" t="s">
        <v>40</v>
      </c>
      <c r="I403" s="3" t="s">
        <v>251</v>
      </c>
    </row>
    <row r="404" spans="1:9" ht="19.95" customHeight="1" x14ac:dyDescent="0.2">
      <c r="A404" s="3" t="s">
        <v>706</v>
      </c>
      <c r="B404" s="3" t="s">
        <v>11</v>
      </c>
      <c r="C404" s="3" t="s">
        <v>84</v>
      </c>
      <c r="D404" s="3" t="s">
        <v>459</v>
      </c>
      <c r="E404" s="4">
        <v>3400</v>
      </c>
      <c r="F404" s="5" t="s">
        <v>14</v>
      </c>
      <c r="G404" s="6"/>
      <c r="H404" s="3" t="s">
        <v>40</v>
      </c>
      <c r="I404" s="3" t="s">
        <v>314</v>
      </c>
    </row>
    <row r="405" spans="1:9" ht="19.95" customHeight="1" x14ac:dyDescent="0.2">
      <c r="A405" s="3" t="s">
        <v>707</v>
      </c>
      <c r="B405" s="3" t="s">
        <v>10</v>
      </c>
      <c r="C405" s="3" t="s">
        <v>308</v>
      </c>
      <c r="D405" s="3" t="s">
        <v>496</v>
      </c>
      <c r="E405" s="4">
        <v>6500</v>
      </c>
      <c r="F405" s="5" t="s">
        <v>39</v>
      </c>
      <c r="G405" s="4">
        <v>5909</v>
      </c>
      <c r="H405" s="3" t="s">
        <v>40</v>
      </c>
      <c r="I405" s="3" t="s">
        <v>317</v>
      </c>
    </row>
    <row r="406" spans="1:9" ht="19.95" customHeight="1" x14ac:dyDescent="0.2">
      <c r="A406" s="3" t="s">
        <v>708</v>
      </c>
      <c r="B406" s="3" t="s">
        <v>10</v>
      </c>
      <c r="C406" s="3" t="s">
        <v>84</v>
      </c>
      <c r="D406" s="3" t="s">
        <v>496</v>
      </c>
      <c r="E406" s="4">
        <v>940</v>
      </c>
      <c r="F406" s="5" t="s">
        <v>14</v>
      </c>
      <c r="G406" s="4">
        <v>854</v>
      </c>
      <c r="H406" s="3" t="s">
        <v>40</v>
      </c>
      <c r="I406" s="3" t="s">
        <v>317</v>
      </c>
    </row>
    <row r="407" spans="1:9" ht="19.95" customHeight="1" x14ac:dyDescent="0.2">
      <c r="A407" s="3" t="s">
        <v>709</v>
      </c>
      <c r="B407" s="3" t="s">
        <v>45</v>
      </c>
      <c r="C407" s="3" t="s">
        <v>140</v>
      </c>
      <c r="D407" s="3" t="s">
        <v>62</v>
      </c>
      <c r="E407" s="4">
        <v>18300</v>
      </c>
      <c r="F407" s="5" t="s">
        <v>39</v>
      </c>
      <c r="G407" s="4">
        <v>16287</v>
      </c>
      <c r="H407" s="3" t="s">
        <v>40</v>
      </c>
      <c r="I407" s="3" t="s">
        <v>187</v>
      </c>
    </row>
    <row r="408" spans="1:9" ht="19.95" customHeight="1" x14ac:dyDescent="0.2">
      <c r="A408" s="3" t="s">
        <v>709</v>
      </c>
      <c r="B408" s="3" t="s">
        <v>45</v>
      </c>
      <c r="C408" s="3" t="s">
        <v>176</v>
      </c>
      <c r="D408" s="3" t="s">
        <v>62</v>
      </c>
      <c r="E408" s="4">
        <v>9150</v>
      </c>
      <c r="F408" s="5" t="s">
        <v>39</v>
      </c>
      <c r="G408" s="4">
        <v>8144</v>
      </c>
      <c r="H408" s="3" t="s">
        <v>40</v>
      </c>
      <c r="I408" s="3" t="s">
        <v>187</v>
      </c>
    </row>
    <row r="409" spans="1:9" ht="19.95" customHeight="1" x14ac:dyDescent="0.2">
      <c r="A409" s="3" t="s">
        <v>710</v>
      </c>
      <c r="B409" s="3" t="s">
        <v>10</v>
      </c>
      <c r="C409" s="3" t="s">
        <v>711</v>
      </c>
      <c r="D409" s="3" t="s">
        <v>109</v>
      </c>
      <c r="E409" s="4">
        <v>804</v>
      </c>
      <c r="F409" s="5" t="s">
        <v>58</v>
      </c>
      <c r="G409" s="4">
        <v>710</v>
      </c>
      <c r="H409" s="3" t="s">
        <v>40</v>
      </c>
      <c r="I409" s="3" t="s">
        <v>82</v>
      </c>
    </row>
    <row r="410" spans="1:9" ht="19.95" customHeight="1" x14ac:dyDescent="0.2">
      <c r="A410" s="3" t="s">
        <v>712</v>
      </c>
      <c r="B410" s="3" t="s">
        <v>45</v>
      </c>
      <c r="C410" s="3" t="s">
        <v>215</v>
      </c>
      <c r="D410" s="3" t="s">
        <v>402</v>
      </c>
      <c r="E410" s="4">
        <v>12850</v>
      </c>
      <c r="F410" s="5" t="s">
        <v>58</v>
      </c>
      <c r="G410" s="4">
        <v>10280</v>
      </c>
      <c r="H410" s="3" t="s">
        <v>40</v>
      </c>
      <c r="I410" s="3" t="s">
        <v>187</v>
      </c>
    </row>
    <row r="411" spans="1:9" ht="19.95" customHeight="1" x14ac:dyDescent="0.2">
      <c r="A411" s="3" t="s">
        <v>712</v>
      </c>
      <c r="B411" s="3" t="s">
        <v>45</v>
      </c>
      <c r="C411" s="3" t="s">
        <v>512</v>
      </c>
      <c r="D411" s="3" t="s">
        <v>402</v>
      </c>
      <c r="E411" s="4">
        <v>2570</v>
      </c>
      <c r="F411" s="5" t="s">
        <v>58</v>
      </c>
      <c r="G411" s="4">
        <v>2056</v>
      </c>
      <c r="H411" s="3" t="s">
        <v>40</v>
      </c>
      <c r="I411" s="3" t="s">
        <v>187</v>
      </c>
    </row>
    <row r="412" spans="1:9" ht="19.95" customHeight="1" x14ac:dyDescent="0.2">
      <c r="A412" s="3" t="s">
        <v>713</v>
      </c>
      <c r="B412" s="3" t="s">
        <v>11</v>
      </c>
      <c r="C412" s="3" t="s">
        <v>714</v>
      </c>
      <c r="D412" s="3" t="s">
        <v>715</v>
      </c>
      <c r="E412" s="4">
        <v>10045</v>
      </c>
      <c r="F412" s="5" t="s">
        <v>148</v>
      </c>
      <c r="G412" s="6"/>
      <c r="H412" s="3" t="s">
        <v>81</v>
      </c>
      <c r="I412" s="3" t="s">
        <v>677</v>
      </c>
    </row>
    <row r="413" spans="1:9" ht="19.95" customHeight="1" x14ac:dyDescent="0.2">
      <c r="A413" s="3" t="s">
        <v>716</v>
      </c>
      <c r="B413" s="3" t="s">
        <v>11</v>
      </c>
      <c r="C413" s="3" t="s">
        <v>717</v>
      </c>
      <c r="D413" s="3" t="s">
        <v>492</v>
      </c>
      <c r="E413" s="4">
        <v>4750</v>
      </c>
      <c r="F413" s="5" t="s">
        <v>14</v>
      </c>
      <c r="G413" s="6"/>
      <c r="H413" s="3" t="s">
        <v>63</v>
      </c>
      <c r="I413" s="3" t="s">
        <v>718</v>
      </c>
    </row>
    <row r="414" spans="1:9" ht="19.95" customHeight="1" x14ac:dyDescent="0.2">
      <c r="A414" s="3" t="s">
        <v>719</v>
      </c>
      <c r="B414" s="3" t="s">
        <v>110</v>
      </c>
      <c r="C414" s="3" t="s">
        <v>92</v>
      </c>
      <c r="D414" s="3" t="s">
        <v>109</v>
      </c>
      <c r="E414" s="4">
        <v>950</v>
      </c>
      <c r="F414" s="5" t="s">
        <v>14</v>
      </c>
      <c r="G414" s="4">
        <v>857</v>
      </c>
      <c r="H414" s="3" t="s">
        <v>63</v>
      </c>
      <c r="I414" s="3" t="s">
        <v>718</v>
      </c>
    </row>
    <row r="415" spans="1:9" ht="19.95" customHeight="1" x14ac:dyDescent="0.2">
      <c r="A415" s="3" t="s">
        <v>720</v>
      </c>
      <c r="B415" s="3" t="s">
        <v>110</v>
      </c>
      <c r="C415" s="3" t="s">
        <v>92</v>
      </c>
      <c r="D415" s="3" t="s">
        <v>109</v>
      </c>
      <c r="E415" s="4">
        <v>950</v>
      </c>
      <c r="F415" s="5" t="s">
        <v>14</v>
      </c>
      <c r="G415" s="4">
        <v>857</v>
      </c>
      <c r="H415" s="3" t="s">
        <v>63</v>
      </c>
      <c r="I415" s="3" t="s">
        <v>718</v>
      </c>
    </row>
    <row r="416" spans="1:9" ht="19.95" customHeight="1" x14ac:dyDescent="0.2">
      <c r="A416" s="3" t="s">
        <v>721</v>
      </c>
      <c r="B416" s="3" t="s">
        <v>115</v>
      </c>
      <c r="C416" s="3" t="s">
        <v>451</v>
      </c>
      <c r="D416" s="3" t="s">
        <v>115</v>
      </c>
      <c r="E416" s="4">
        <v>3120</v>
      </c>
      <c r="F416" s="5" t="s">
        <v>39</v>
      </c>
      <c r="G416" s="4">
        <v>2715</v>
      </c>
      <c r="H416" s="3" t="s">
        <v>40</v>
      </c>
      <c r="I416" s="3" t="s">
        <v>72</v>
      </c>
    </row>
    <row r="417" spans="1:9" ht="19.95" customHeight="1" x14ac:dyDescent="0.2">
      <c r="A417" s="3" t="s">
        <v>721</v>
      </c>
      <c r="B417" s="3" t="s">
        <v>115</v>
      </c>
      <c r="C417" s="3" t="s">
        <v>37</v>
      </c>
      <c r="D417" s="3" t="s">
        <v>115</v>
      </c>
      <c r="E417" s="4">
        <v>1040</v>
      </c>
      <c r="F417" s="5" t="s">
        <v>39</v>
      </c>
      <c r="G417" s="4">
        <v>905</v>
      </c>
      <c r="H417" s="3" t="s">
        <v>40</v>
      </c>
      <c r="I417" s="3" t="s">
        <v>72</v>
      </c>
    </row>
    <row r="418" spans="1:9" ht="19.95" customHeight="1" x14ac:dyDescent="0.2">
      <c r="A418" s="3" t="s">
        <v>722</v>
      </c>
      <c r="B418" s="3" t="s">
        <v>10</v>
      </c>
      <c r="C418" s="3" t="s">
        <v>136</v>
      </c>
      <c r="D418" s="3" t="s">
        <v>492</v>
      </c>
      <c r="E418" s="4">
        <v>13850</v>
      </c>
      <c r="F418" s="5" t="s">
        <v>14</v>
      </c>
      <c r="G418" s="4">
        <v>12338</v>
      </c>
      <c r="H418" s="3" t="s">
        <v>63</v>
      </c>
      <c r="I418" s="3" t="s">
        <v>129</v>
      </c>
    </row>
    <row r="419" spans="1:9" ht="19.95" customHeight="1" x14ac:dyDescent="0.2">
      <c r="A419" s="3" t="s">
        <v>722</v>
      </c>
      <c r="B419" s="3" t="s">
        <v>10</v>
      </c>
      <c r="C419" s="3" t="s">
        <v>723</v>
      </c>
      <c r="D419" s="3" t="s">
        <v>492</v>
      </c>
      <c r="E419" s="4">
        <v>6925</v>
      </c>
      <c r="F419" s="5" t="s">
        <v>14</v>
      </c>
      <c r="G419" s="4">
        <v>6169</v>
      </c>
      <c r="H419" s="3" t="s">
        <v>63</v>
      </c>
      <c r="I419" s="3" t="s">
        <v>129</v>
      </c>
    </row>
    <row r="420" spans="1:9" ht="19.95" customHeight="1" x14ac:dyDescent="0.2">
      <c r="A420" s="3" t="s">
        <v>724</v>
      </c>
      <c r="B420" s="3" t="s">
        <v>11</v>
      </c>
      <c r="C420" s="3" t="s">
        <v>725</v>
      </c>
      <c r="D420" s="3" t="s">
        <v>170</v>
      </c>
      <c r="E420" s="4">
        <v>730</v>
      </c>
      <c r="F420" s="5" t="s">
        <v>14</v>
      </c>
      <c r="G420" s="6"/>
      <c r="H420" s="3" t="s">
        <v>63</v>
      </c>
      <c r="I420" s="3" t="s">
        <v>129</v>
      </c>
    </row>
    <row r="421" spans="1:9" ht="19.95" customHeight="1" x14ac:dyDescent="0.2">
      <c r="A421" s="3" t="s">
        <v>726</v>
      </c>
      <c r="B421" s="3" t="s">
        <v>10</v>
      </c>
      <c r="C421" s="3" t="s">
        <v>69</v>
      </c>
      <c r="D421" s="3" t="s">
        <v>727</v>
      </c>
      <c r="E421" s="4">
        <v>720</v>
      </c>
      <c r="F421" s="5" t="s">
        <v>39</v>
      </c>
      <c r="G421" s="4">
        <v>648</v>
      </c>
      <c r="H421" s="3" t="s">
        <v>40</v>
      </c>
      <c r="I421" s="3" t="s">
        <v>156</v>
      </c>
    </row>
    <row r="422" spans="1:9" ht="19.95" customHeight="1" x14ac:dyDescent="0.2">
      <c r="A422" s="3" t="s">
        <v>728</v>
      </c>
      <c r="B422" s="3" t="s">
        <v>115</v>
      </c>
      <c r="C422" s="3" t="s">
        <v>729</v>
      </c>
      <c r="D422" s="3" t="s">
        <v>115</v>
      </c>
      <c r="E422" s="4">
        <v>5200</v>
      </c>
      <c r="F422" s="5" t="s">
        <v>14</v>
      </c>
      <c r="G422" s="4">
        <v>4630</v>
      </c>
      <c r="H422" s="3" t="s">
        <v>40</v>
      </c>
      <c r="I422" s="3" t="s">
        <v>730</v>
      </c>
    </row>
    <row r="423" spans="1:9" ht="19.95" customHeight="1" x14ac:dyDescent="0.2">
      <c r="A423" s="3" t="s">
        <v>731</v>
      </c>
      <c r="B423" s="3" t="s">
        <v>11</v>
      </c>
      <c r="C423" s="3" t="s">
        <v>69</v>
      </c>
      <c r="D423" s="3" t="s">
        <v>216</v>
      </c>
      <c r="E423" s="4">
        <v>5040</v>
      </c>
      <c r="F423" s="5" t="s">
        <v>39</v>
      </c>
      <c r="G423" s="6"/>
      <c r="H423" s="3" t="s">
        <v>40</v>
      </c>
      <c r="I423" s="3" t="s">
        <v>732</v>
      </c>
    </row>
    <row r="424" spans="1:9" ht="19.95" customHeight="1" x14ac:dyDescent="0.2">
      <c r="A424" s="3" t="s">
        <v>733</v>
      </c>
      <c r="B424" s="3" t="s">
        <v>115</v>
      </c>
      <c r="C424" s="3" t="s">
        <v>622</v>
      </c>
      <c r="D424" s="3" t="s">
        <v>115</v>
      </c>
      <c r="E424" s="4">
        <v>10234</v>
      </c>
      <c r="F424" s="5" t="s">
        <v>39</v>
      </c>
      <c r="G424" s="4">
        <v>7770</v>
      </c>
      <c r="H424" s="3" t="s">
        <v>40</v>
      </c>
      <c r="I424" s="3" t="s">
        <v>229</v>
      </c>
    </row>
    <row r="425" spans="1:9" ht="19.95" customHeight="1" x14ac:dyDescent="0.2">
      <c r="A425" s="3" t="s">
        <v>733</v>
      </c>
      <c r="B425" s="3" t="s">
        <v>115</v>
      </c>
      <c r="C425" s="3" t="s">
        <v>69</v>
      </c>
      <c r="D425" s="3" t="s">
        <v>115</v>
      </c>
      <c r="E425" s="4">
        <v>7310</v>
      </c>
      <c r="F425" s="5" t="s">
        <v>39</v>
      </c>
      <c r="G425" s="4">
        <v>5550</v>
      </c>
      <c r="H425" s="3" t="s">
        <v>40</v>
      </c>
      <c r="I425" s="3" t="s">
        <v>229</v>
      </c>
    </row>
    <row r="426" spans="1:9" ht="19.95" customHeight="1" x14ac:dyDescent="0.2">
      <c r="A426" s="3" t="s">
        <v>734</v>
      </c>
      <c r="B426" s="3" t="s">
        <v>11</v>
      </c>
      <c r="C426" s="3" t="s">
        <v>375</v>
      </c>
      <c r="D426" s="3" t="s">
        <v>62</v>
      </c>
      <c r="E426" s="4">
        <v>4093.6</v>
      </c>
      <c r="F426" s="5" t="s">
        <v>39</v>
      </c>
      <c r="G426" s="6"/>
      <c r="H426" s="3" t="s">
        <v>40</v>
      </c>
      <c r="I426" s="3" t="s">
        <v>229</v>
      </c>
    </row>
    <row r="427" spans="1:9" ht="19.95" customHeight="1" x14ac:dyDescent="0.2">
      <c r="A427" s="3" t="s">
        <v>735</v>
      </c>
      <c r="B427" s="3" t="s">
        <v>115</v>
      </c>
      <c r="C427" s="3" t="s">
        <v>736</v>
      </c>
      <c r="D427" s="3" t="s">
        <v>115</v>
      </c>
      <c r="E427" s="4">
        <v>814.8</v>
      </c>
      <c r="F427" s="5" t="s">
        <v>39</v>
      </c>
      <c r="G427" s="4">
        <v>616</v>
      </c>
      <c r="H427" s="3" t="s">
        <v>40</v>
      </c>
      <c r="I427" s="3" t="s">
        <v>229</v>
      </c>
    </row>
    <row r="428" spans="1:9" ht="19.95" customHeight="1" x14ac:dyDescent="0.2">
      <c r="A428" s="3" t="s">
        <v>735</v>
      </c>
      <c r="B428" s="3" t="s">
        <v>115</v>
      </c>
      <c r="C428" s="3" t="s">
        <v>69</v>
      </c>
      <c r="D428" s="3" t="s">
        <v>115</v>
      </c>
      <c r="E428" s="4">
        <v>2910</v>
      </c>
      <c r="F428" s="5" t="s">
        <v>39</v>
      </c>
      <c r="G428" s="4">
        <v>2207</v>
      </c>
      <c r="H428" s="3" t="s">
        <v>40</v>
      </c>
      <c r="I428" s="3" t="s">
        <v>229</v>
      </c>
    </row>
    <row r="429" spans="1:9" ht="19.95" customHeight="1" x14ac:dyDescent="0.2">
      <c r="A429" s="3" t="s">
        <v>737</v>
      </c>
      <c r="B429" s="3" t="s">
        <v>11</v>
      </c>
      <c r="C429" s="3" t="s">
        <v>738</v>
      </c>
      <c r="D429" s="3" t="s">
        <v>62</v>
      </c>
      <c r="E429" s="4">
        <v>814.8</v>
      </c>
      <c r="F429" s="5" t="s">
        <v>39</v>
      </c>
      <c r="G429" s="6"/>
      <c r="H429" s="3" t="s">
        <v>40</v>
      </c>
      <c r="I429" s="3" t="s">
        <v>229</v>
      </c>
    </row>
    <row r="430" spans="1:9" ht="19.95" customHeight="1" x14ac:dyDescent="0.2">
      <c r="A430" s="3" t="s">
        <v>739</v>
      </c>
      <c r="B430" s="3" t="s">
        <v>11</v>
      </c>
      <c r="C430" s="3" t="s">
        <v>37</v>
      </c>
      <c r="D430" s="3" t="s">
        <v>62</v>
      </c>
      <c r="E430" s="4">
        <v>2910</v>
      </c>
      <c r="F430" s="5" t="s">
        <v>39</v>
      </c>
      <c r="G430" s="6"/>
      <c r="H430" s="3" t="s">
        <v>40</v>
      </c>
      <c r="I430" s="3" t="s">
        <v>229</v>
      </c>
    </row>
    <row r="431" spans="1:9" ht="19.95" customHeight="1" x14ac:dyDescent="0.2">
      <c r="A431" s="3" t="s">
        <v>740</v>
      </c>
      <c r="B431" s="3" t="s">
        <v>115</v>
      </c>
      <c r="C431" s="3" t="s">
        <v>69</v>
      </c>
      <c r="D431" s="3" t="s">
        <v>115</v>
      </c>
      <c r="E431" s="4">
        <v>4340</v>
      </c>
      <c r="F431" s="5" t="s">
        <v>39</v>
      </c>
      <c r="G431" s="4">
        <v>3275</v>
      </c>
      <c r="H431" s="3" t="s">
        <v>40</v>
      </c>
      <c r="I431" s="3" t="s">
        <v>229</v>
      </c>
    </row>
    <row r="432" spans="1:9" ht="19.95" customHeight="1" x14ac:dyDescent="0.2">
      <c r="A432" s="3" t="s">
        <v>740</v>
      </c>
      <c r="B432" s="3" t="s">
        <v>115</v>
      </c>
      <c r="C432" s="3" t="s">
        <v>622</v>
      </c>
      <c r="D432" s="3" t="s">
        <v>115</v>
      </c>
      <c r="E432" s="4">
        <v>6076</v>
      </c>
      <c r="F432" s="5" t="s">
        <v>39</v>
      </c>
      <c r="G432" s="4">
        <v>4585</v>
      </c>
      <c r="H432" s="3" t="s">
        <v>40</v>
      </c>
      <c r="I432" s="3" t="s">
        <v>229</v>
      </c>
    </row>
    <row r="433" spans="1:9" ht="19.95" customHeight="1" x14ac:dyDescent="0.2">
      <c r="A433" s="3" t="s">
        <v>741</v>
      </c>
      <c r="B433" s="3" t="s">
        <v>11</v>
      </c>
      <c r="C433" s="3" t="s">
        <v>37</v>
      </c>
      <c r="D433" s="3" t="s">
        <v>62</v>
      </c>
      <c r="E433" s="4">
        <v>4340</v>
      </c>
      <c r="F433" s="5" t="s">
        <v>39</v>
      </c>
      <c r="G433" s="6"/>
      <c r="H433" s="3" t="s">
        <v>40</v>
      </c>
      <c r="I433" s="3" t="s">
        <v>229</v>
      </c>
    </row>
    <row r="434" spans="1:9" ht="19.95" customHeight="1" x14ac:dyDescent="0.2">
      <c r="A434" s="3" t="s">
        <v>741</v>
      </c>
      <c r="B434" s="3" t="s">
        <v>11</v>
      </c>
      <c r="C434" s="3" t="s">
        <v>375</v>
      </c>
      <c r="D434" s="3" t="s">
        <v>62</v>
      </c>
      <c r="E434" s="4">
        <v>2430.4</v>
      </c>
      <c r="F434" s="5" t="s">
        <v>39</v>
      </c>
      <c r="G434" s="6"/>
      <c r="H434" s="3" t="s">
        <v>40</v>
      </c>
      <c r="I434" s="3" t="s">
        <v>229</v>
      </c>
    </row>
    <row r="435" spans="1:9" ht="19.95" customHeight="1" x14ac:dyDescent="0.2">
      <c r="A435" s="3" t="s">
        <v>742</v>
      </c>
      <c r="B435" s="3" t="s">
        <v>11</v>
      </c>
      <c r="C435" s="3" t="s">
        <v>743</v>
      </c>
      <c r="D435" s="3" t="s">
        <v>727</v>
      </c>
      <c r="E435" s="4">
        <v>3390</v>
      </c>
      <c r="F435" s="5" t="s">
        <v>89</v>
      </c>
      <c r="G435" s="6"/>
      <c r="H435" s="3" t="s">
        <v>81</v>
      </c>
      <c r="I435" s="3" t="s">
        <v>86</v>
      </c>
    </row>
    <row r="436" spans="1:9" ht="19.95" customHeight="1" x14ac:dyDescent="0.2">
      <c r="A436" s="3" t="s">
        <v>744</v>
      </c>
      <c r="B436" s="3" t="s">
        <v>11</v>
      </c>
      <c r="C436" s="3" t="s">
        <v>745</v>
      </c>
      <c r="D436" s="3" t="s">
        <v>139</v>
      </c>
      <c r="E436" s="4">
        <v>1460</v>
      </c>
      <c r="F436" s="5" t="s">
        <v>89</v>
      </c>
      <c r="G436" s="6"/>
      <c r="H436" s="3" t="s">
        <v>81</v>
      </c>
      <c r="I436" s="3" t="s">
        <v>356</v>
      </c>
    </row>
    <row r="437" spans="1:9" ht="19.95" customHeight="1" x14ac:dyDescent="0.2">
      <c r="A437" s="3" t="s">
        <v>746</v>
      </c>
      <c r="B437" s="3" t="s">
        <v>10</v>
      </c>
      <c r="C437" s="3" t="s">
        <v>37</v>
      </c>
      <c r="D437" s="3" t="s">
        <v>747</v>
      </c>
      <c r="E437" s="4">
        <v>2970</v>
      </c>
      <c r="F437" s="5" t="s">
        <v>39</v>
      </c>
      <c r="G437" s="4">
        <v>2600</v>
      </c>
      <c r="H437" s="3" t="s">
        <v>40</v>
      </c>
      <c r="I437" s="3" t="s">
        <v>256</v>
      </c>
    </row>
    <row r="438" spans="1:9" ht="19.95" customHeight="1" x14ac:dyDescent="0.2">
      <c r="A438" s="3" t="s">
        <v>748</v>
      </c>
      <c r="B438" s="3" t="s">
        <v>10</v>
      </c>
      <c r="C438" s="3" t="s">
        <v>69</v>
      </c>
      <c r="D438" s="3" t="s">
        <v>85</v>
      </c>
      <c r="E438" s="4">
        <v>3270</v>
      </c>
      <c r="F438" s="5" t="s">
        <v>39</v>
      </c>
      <c r="G438" s="4">
        <v>2913</v>
      </c>
      <c r="H438" s="3" t="s">
        <v>40</v>
      </c>
      <c r="I438" s="3" t="s">
        <v>86</v>
      </c>
    </row>
    <row r="439" spans="1:9" ht="19.95" customHeight="1" x14ac:dyDescent="0.2">
      <c r="A439" s="3" t="s">
        <v>749</v>
      </c>
      <c r="B439" s="3" t="s">
        <v>45</v>
      </c>
      <c r="C439" s="3" t="s">
        <v>192</v>
      </c>
      <c r="D439" s="3" t="s">
        <v>57</v>
      </c>
      <c r="E439" s="4">
        <v>3030</v>
      </c>
      <c r="F439" s="5" t="s">
        <v>39</v>
      </c>
      <c r="G439" s="4">
        <v>2636</v>
      </c>
      <c r="H439" s="3" t="s">
        <v>40</v>
      </c>
      <c r="I439" s="3" t="s">
        <v>187</v>
      </c>
    </row>
    <row r="440" spans="1:9" ht="19.95" customHeight="1" x14ac:dyDescent="0.2">
      <c r="A440" s="3" t="s">
        <v>750</v>
      </c>
      <c r="B440" s="3" t="s">
        <v>11</v>
      </c>
      <c r="C440" s="3" t="s">
        <v>37</v>
      </c>
      <c r="D440" s="3" t="s">
        <v>751</v>
      </c>
      <c r="E440" s="4">
        <v>610</v>
      </c>
      <c r="F440" s="5" t="s">
        <v>39</v>
      </c>
      <c r="G440" s="4">
        <v>0</v>
      </c>
      <c r="H440" s="3" t="s">
        <v>40</v>
      </c>
      <c r="I440" s="3" t="s">
        <v>161</v>
      </c>
    </row>
    <row r="441" spans="1:9" ht="19.95" customHeight="1" x14ac:dyDescent="0.2">
      <c r="A441" s="3" t="s">
        <v>752</v>
      </c>
      <c r="B441" s="3" t="s">
        <v>10</v>
      </c>
      <c r="C441" s="3" t="s">
        <v>37</v>
      </c>
      <c r="D441" s="3" t="s">
        <v>570</v>
      </c>
      <c r="E441" s="4">
        <v>11890</v>
      </c>
      <c r="F441" s="5" t="s">
        <v>39</v>
      </c>
      <c r="G441" s="4">
        <v>10255</v>
      </c>
      <c r="H441" s="3" t="s">
        <v>40</v>
      </c>
      <c r="I441" s="3" t="s">
        <v>433</v>
      </c>
    </row>
    <row r="442" spans="1:9" ht="19.95" customHeight="1" x14ac:dyDescent="0.2">
      <c r="A442" s="3" t="s">
        <v>753</v>
      </c>
      <c r="B442" s="3" t="s">
        <v>10</v>
      </c>
      <c r="C442" s="3" t="s">
        <v>308</v>
      </c>
      <c r="D442" s="3" t="s">
        <v>319</v>
      </c>
      <c r="E442" s="4">
        <v>6100</v>
      </c>
      <c r="F442" s="5" t="s">
        <v>39</v>
      </c>
      <c r="G442" s="4">
        <v>5425</v>
      </c>
      <c r="H442" s="3" t="s">
        <v>40</v>
      </c>
      <c r="I442" s="3" t="s">
        <v>187</v>
      </c>
    </row>
    <row r="443" spans="1:9" ht="19.95" customHeight="1" x14ac:dyDescent="0.2">
      <c r="A443" s="3" t="s">
        <v>753</v>
      </c>
      <c r="B443" s="3" t="s">
        <v>10</v>
      </c>
      <c r="C443" s="3" t="s">
        <v>37</v>
      </c>
      <c r="D443" s="3" t="s">
        <v>319</v>
      </c>
      <c r="E443" s="4">
        <v>610</v>
      </c>
      <c r="F443" s="5" t="s">
        <v>39</v>
      </c>
      <c r="G443" s="4">
        <v>543</v>
      </c>
      <c r="H443" s="3" t="s">
        <v>40</v>
      </c>
      <c r="I443" s="3" t="s">
        <v>187</v>
      </c>
    </row>
    <row r="444" spans="1:9" ht="19.95" customHeight="1" x14ac:dyDescent="0.2">
      <c r="A444" s="3" t="s">
        <v>754</v>
      </c>
      <c r="B444" s="3" t="s">
        <v>10</v>
      </c>
      <c r="C444" s="3" t="s">
        <v>69</v>
      </c>
      <c r="D444" s="3" t="s">
        <v>127</v>
      </c>
      <c r="E444" s="4">
        <v>1700</v>
      </c>
      <c r="F444" s="5" t="s">
        <v>39</v>
      </c>
      <c r="G444" s="4">
        <v>1386</v>
      </c>
      <c r="H444" s="3" t="s">
        <v>40</v>
      </c>
      <c r="I444" s="3" t="s">
        <v>156</v>
      </c>
    </row>
    <row r="445" spans="1:9" ht="19.95" customHeight="1" x14ac:dyDescent="0.2">
      <c r="A445" s="3" t="s">
        <v>755</v>
      </c>
      <c r="B445" s="3" t="s">
        <v>10</v>
      </c>
      <c r="C445" s="3" t="s">
        <v>756</v>
      </c>
      <c r="D445" s="3" t="s">
        <v>70</v>
      </c>
      <c r="E445" s="4">
        <v>1040</v>
      </c>
      <c r="F445" s="5" t="s">
        <v>58</v>
      </c>
      <c r="G445" s="4">
        <v>927</v>
      </c>
      <c r="H445" s="3" t="s">
        <v>40</v>
      </c>
      <c r="I445" s="3" t="s">
        <v>174</v>
      </c>
    </row>
    <row r="446" spans="1:9" ht="19.95" customHeight="1" x14ac:dyDescent="0.2">
      <c r="A446" s="3" t="s">
        <v>757</v>
      </c>
      <c r="B446" s="3" t="s">
        <v>10</v>
      </c>
      <c r="C446" s="3" t="s">
        <v>758</v>
      </c>
      <c r="D446" s="3" t="s">
        <v>70</v>
      </c>
      <c r="E446" s="4">
        <v>1000</v>
      </c>
      <c r="F446" s="5" t="s">
        <v>89</v>
      </c>
      <c r="G446" s="4">
        <v>891</v>
      </c>
      <c r="H446" s="3" t="s">
        <v>81</v>
      </c>
      <c r="I446" s="3" t="s">
        <v>174</v>
      </c>
    </row>
    <row r="447" spans="1:9" ht="19.95" customHeight="1" x14ac:dyDescent="0.2">
      <c r="A447" s="3" t="s">
        <v>759</v>
      </c>
      <c r="B447" s="3" t="s">
        <v>10</v>
      </c>
      <c r="C447" s="3" t="s">
        <v>69</v>
      </c>
      <c r="D447" s="3" t="s">
        <v>378</v>
      </c>
      <c r="E447" s="4">
        <v>590</v>
      </c>
      <c r="F447" s="5" t="s">
        <v>39</v>
      </c>
      <c r="G447" s="4">
        <v>536</v>
      </c>
      <c r="H447" s="3" t="s">
        <v>40</v>
      </c>
      <c r="I447" s="3" t="s">
        <v>314</v>
      </c>
    </row>
    <row r="448" spans="1:9" ht="19.95" customHeight="1" x14ac:dyDescent="0.2">
      <c r="A448" s="3" t="s">
        <v>760</v>
      </c>
      <c r="B448" s="3" t="s">
        <v>10</v>
      </c>
      <c r="C448" s="3" t="s">
        <v>69</v>
      </c>
      <c r="D448" s="3" t="s">
        <v>378</v>
      </c>
      <c r="E448" s="4">
        <v>610</v>
      </c>
      <c r="F448" s="5" t="s">
        <v>39</v>
      </c>
      <c r="G448" s="4">
        <v>554</v>
      </c>
      <c r="H448" s="3" t="s">
        <v>40</v>
      </c>
      <c r="I448" s="3" t="s">
        <v>314</v>
      </c>
    </row>
    <row r="449" spans="1:9" ht="19.95" customHeight="1" x14ac:dyDescent="0.2">
      <c r="A449" s="3" t="s">
        <v>761</v>
      </c>
      <c r="B449" s="3" t="s">
        <v>10</v>
      </c>
      <c r="C449" s="3" t="s">
        <v>69</v>
      </c>
      <c r="D449" s="3" t="s">
        <v>262</v>
      </c>
      <c r="E449" s="4">
        <v>610</v>
      </c>
      <c r="F449" s="5" t="s">
        <v>39</v>
      </c>
      <c r="G449" s="4">
        <v>543</v>
      </c>
      <c r="H449" s="3" t="s">
        <v>40</v>
      </c>
      <c r="I449" s="3" t="s">
        <v>314</v>
      </c>
    </row>
    <row r="450" spans="1:9" ht="19.95" customHeight="1" x14ac:dyDescent="0.2">
      <c r="A450" s="3" t="s">
        <v>762</v>
      </c>
      <c r="B450" s="3" t="s">
        <v>10</v>
      </c>
      <c r="C450" s="3" t="s">
        <v>37</v>
      </c>
      <c r="D450" s="3" t="s">
        <v>262</v>
      </c>
      <c r="E450" s="4">
        <v>1010</v>
      </c>
      <c r="F450" s="5" t="s">
        <v>39</v>
      </c>
      <c r="G450" s="4">
        <v>900</v>
      </c>
      <c r="H450" s="3" t="s">
        <v>40</v>
      </c>
      <c r="I450" s="3" t="s">
        <v>187</v>
      </c>
    </row>
    <row r="451" spans="1:9" ht="19.95" customHeight="1" x14ac:dyDescent="0.2">
      <c r="A451" s="3" t="s">
        <v>763</v>
      </c>
      <c r="B451" s="3" t="s">
        <v>91</v>
      </c>
      <c r="C451" s="3" t="s">
        <v>222</v>
      </c>
      <c r="D451" s="3" t="s">
        <v>93</v>
      </c>
      <c r="E451" s="4">
        <v>5120</v>
      </c>
      <c r="F451" s="5" t="s">
        <v>98</v>
      </c>
      <c r="G451" s="4">
        <v>4560</v>
      </c>
      <c r="H451" s="3" t="s">
        <v>81</v>
      </c>
      <c r="I451" s="3" t="s">
        <v>99</v>
      </c>
    </row>
    <row r="452" spans="1:9" ht="19.95" customHeight="1" x14ac:dyDescent="0.2">
      <c r="A452" s="3" t="s">
        <v>764</v>
      </c>
      <c r="B452" s="3" t="s">
        <v>91</v>
      </c>
      <c r="C452" s="3" t="s">
        <v>222</v>
      </c>
      <c r="D452" s="3" t="s">
        <v>93</v>
      </c>
      <c r="E452" s="4">
        <v>5120</v>
      </c>
      <c r="F452" s="5" t="s">
        <v>98</v>
      </c>
      <c r="G452" s="4">
        <v>4560</v>
      </c>
      <c r="H452" s="3" t="s">
        <v>81</v>
      </c>
      <c r="I452" s="3" t="s">
        <v>99</v>
      </c>
    </row>
    <row r="453" spans="1:9" ht="19.95" customHeight="1" x14ac:dyDescent="0.2">
      <c r="A453" s="3" t="s">
        <v>765</v>
      </c>
      <c r="B453" s="3" t="s">
        <v>11</v>
      </c>
      <c r="C453" s="3" t="s">
        <v>308</v>
      </c>
      <c r="D453" s="3" t="s">
        <v>551</v>
      </c>
      <c r="E453" s="4">
        <v>9000</v>
      </c>
      <c r="F453" s="5" t="s">
        <v>39</v>
      </c>
      <c r="G453" s="6"/>
      <c r="H453" s="3" t="s">
        <v>40</v>
      </c>
      <c r="I453" s="3" t="s">
        <v>86</v>
      </c>
    </row>
    <row r="454" spans="1:9" ht="19.95" customHeight="1" x14ac:dyDescent="0.2">
      <c r="A454" s="3" t="s">
        <v>766</v>
      </c>
      <c r="B454" s="3" t="s">
        <v>10</v>
      </c>
      <c r="C454" s="3" t="s">
        <v>37</v>
      </c>
      <c r="D454" s="3" t="s">
        <v>767</v>
      </c>
      <c r="E454" s="4">
        <v>900</v>
      </c>
      <c r="F454" s="5" t="s">
        <v>39</v>
      </c>
      <c r="G454" s="4">
        <v>802</v>
      </c>
      <c r="H454" s="3" t="s">
        <v>40</v>
      </c>
      <c r="I454" s="3" t="s">
        <v>86</v>
      </c>
    </row>
    <row r="455" spans="1:9" ht="19.95" customHeight="1" x14ac:dyDescent="0.2">
      <c r="A455" s="3" t="s">
        <v>766</v>
      </c>
      <c r="B455" s="3" t="s">
        <v>10</v>
      </c>
      <c r="C455" s="3" t="s">
        <v>768</v>
      </c>
      <c r="D455" s="3" t="s">
        <v>767</v>
      </c>
      <c r="E455" s="4">
        <v>10800</v>
      </c>
      <c r="F455" s="5" t="s">
        <v>39</v>
      </c>
      <c r="G455" s="4">
        <v>9621</v>
      </c>
      <c r="H455" s="3" t="s">
        <v>40</v>
      </c>
      <c r="I455" s="3" t="s">
        <v>86</v>
      </c>
    </row>
    <row r="456" spans="1:9" ht="19.95" customHeight="1" x14ac:dyDescent="0.2">
      <c r="A456" s="3" t="s">
        <v>769</v>
      </c>
      <c r="B456" s="3" t="s">
        <v>115</v>
      </c>
      <c r="C456" s="3" t="s">
        <v>308</v>
      </c>
      <c r="D456" s="3" t="s">
        <v>115</v>
      </c>
      <c r="E456" s="4">
        <v>6100</v>
      </c>
      <c r="F456" s="5" t="s">
        <v>39</v>
      </c>
      <c r="G456" s="4">
        <v>5440</v>
      </c>
      <c r="H456" s="3" t="s">
        <v>40</v>
      </c>
      <c r="I456" s="3" t="s">
        <v>64</v>
      </c>
    </row>
    <row r="457" spans="1:9" ht="19.95" customHeight="1" x14ac:dyDescent="0.2">
      <c r="A457" s="3" t="s">
        <v>770</v>
      </c>
      <c r="B457" s="3" t="s">
        <v>10</v>
      </c>
      <c r="C457" s="3" t="s">
        <v>37</v>
      </c>
      <c r="D457" s="3" t="s">
        <v>38</v>
      </c>
      <c r="E457" s="4">
        <v>16170</v>
      </c>
      <c r="F457" s="5" t="s">
        <v>39</v>
      </c>
      <c r="G457" s="4">
        <v>14387</v>
      </c>
      <c r="H457" s="3" t="s">
        <v>40</v>
      </c>
      <c r="I457" s="3" t="s">
        <v>187</v>
      </c>
    </row>
    <row r="458" spans="1:9" ht="19.95" customHeight="1" x14ac:dyDescent="0.2">
      <c r="A458" s="3" t="s">
        <v>771</v>
      </c>
      <c r="B458" s="3" t="s">
        <v>45</v>
      </c>
      <c r="C458" s="3" t="s">
        <v>772</v>
      </c>
      <c r="D458" s="3" t="s">
        <v>623</v>
      </c>
      <c r="E458" s="4">
        <v>6180</v>
      </c>
      <c r="F458" s="5" t="s">
        <v>39</v>
      </c>
      <c r="G458" s="4">
        <v>4388</v>
      </c>
      <c r="H458" s="3" t="s">
        <v>40</v>
      </c>
      <c r="I458" s="3" t="s">
        <v>161</v>
      </c>
    </row>
    <row r="459" spans="1:9" ht="19.95" customHeight="1" x14ac:dyDescent="0.2">
      <c r="A459" s="3" t="s">
        <v>773</v>
      </c>
      <c r="B459" s="3" t="s">
        <v>11</v>
      </c>
      <c r="C459" s="3" t="s">
        <v>158</v>
      </c>
      <c r="D459" s="3" t="s">
        <v>446</v>
      </c>
      <c r="E459" s="4">
        <v>1150</v>
      </c>
      <c r="F459" s="5" t="s">
        <v>89</v>
      </c>
      <c r="G459" s="6"/>
      <c r="H459" s="3" t="s">
        <v>81</v>
      </c>
      <c r="I459" s="3" t="s">
        <v>314</v>
      </c>
    </row>
    <row r="460" spans="1:9" ht="19.95" customHeight="1" x14ac:dyDescent="0.2">
      <c r="A460" s="3" t="s">
        <v>774</v>
      </c>
      <c r="B460" s="3" t="s">
        <v>10</v>
      </c>
      <c r="C460" s="3" t="s">
        <v>775</v>
      </c>
      <c r="D460" s="3" t="s">
        <v>329</v>
      </c>
      <c r="E460" s="4">
        <v>5498</v>
      </c>
      <c r="F460" s="5" t="s">
        <v>80</v>
      </c>
      <c r="G460" s="4">
        <v>4874</v>
      </c>
      <c r="H460" s="3" t="s">
        <v>81</v>
      </c>
      <c r="I460" s="3" t="s">
        <v>82</v>
      </c>
    </row>
    <row r="461" spans="1:9" ht="19.95" customHeight="1" x14ac:dyDescent="0.2">
      <c r="A461" s="3" t="s">
        <v>776</v>
      </c>
      <c r="B461" s="3" t="s">
        <v>45</v>
      </c>
      <c r="C461" s="3" t="s">
        <v>777</v>
      </c>
      <c r="D461" s="3" t="s">
        <v>79</v>
      </c>
      <c r="E461" s="4">
        <v>3682</v>
      </c>
      <c r="F461" s="5" t="s">
        <v>209</v>
      </c>
      <c r="G461" s="4">
        <v>3263</v>
      </c>
      <c r="H461" s="3" t="s">
        <v>81</v>
      </c>
      <c r="I461" s="3" t="s">
        <v>82</v>
      </c>
    </row>
    <row r="462" spans="1:9" ht="19.95" customHeight="1" x14ac:dyDescent="0.2">
      <c r="A462" s="3" t="s">
        <v>778</v>
      </c>
      <c r="B462" s="3" t="s">
        <v>45</v>
      </c>
      <c r="C462" s="3" t="s">
        <v>37</v>
      </c>
      <c r="D462" s="3" t="s">
        <v>715</v>
      </c>
      <c r="E462" s="4">
        <v>920</v>
      </c>
      <c r="F462" s="5" t="s">
        <v>39</v>
      </c>
      <c r="G462" s="4">
        <v>793</v>
      </c>
      <c r="H462" s="3" t="s">
        <v>40</v>
      </c>
      <c r="I462" s="3" t="s">
        <v>187</v>
      </c>
    </row>
    <row r="463" spans="1:9" ht="19.95" customHeight="1" x14ac:dyDescent="0.2">
      <c r="A463" s="3" t="s">
        <v>779</v>
      </c>
      <c r="B463" s="3" t="s">
        <v>45</v>
      </c>
      <c r="C463" s="3" t="s">
        <v>37</v>
      </c>
      <c r="D463" s="3" t="s">
        <v>715</v>
      </c>
      <c r="E463" s="4">
        <v>1280</v>
      </c>
      <c r="F463" s="5" t="s">
        <v>39</v>
      </c>
      <c r="G463" s="4">
        <v>1105</v>
      </c>
      <c r="H463" s="3" t="s">
        <v>40</v>
      </c>
      <c r="I463" s="3" t="s">
        <v>187</v>
      </c>
    </row>
    <row r="464" spans="1:9" ht="19.95" customHeight="1" x14ac:dyDescent="0.2">
      <c r="A464" s="3" t="s">
        <v>780</v>
      </c>
      <c r="B464" s="3" t="s">
        <v>11</v>
      </c>
      <c r="C464" s="3" t="s">
        <v>37</v>
      </c>
      <c r="D464" s="3" t="s">
        <v>319</v>
      </c>
      <c r="E464" s="4">
        <v>4970</v>
      </c>
      <c r="F464" s="5" t="s">
        <v>39</v>
      </c>
      <c r="G464" s="6"/>
      <c r="H464" s="3" t="s">
        <v>40</v>
      </c>
      <c r="I464" s="3" t="s">
        <v>86</v>
      </c>
    </row>
    <row r="465" spans="1:9" ht="19.95" customHeight="1" x14ac:dyDescent="0.2">
      <c r="A465" s="3" t="s">
        <v>781</v>
      </c>
      <c r="B465" s="3" t="s">
        <v>11</v>
      </c>
      <c r="C465" s="3" t="s">
        <v>84</v>
      </c>
      <c r="D465" s="3" t="s">
        <v>57</v>
      </c>
      <c r="E465" s="4">
        <v>7420</v>
      </c>
      <c r="F465" s="5" t="s">
        <v>14</v>
      </c>
      <c r="G465" s="6"/>
      <c r="H465" s="3" t="s">
        <v>40</v>
      </c>
      <c r="I465" s="3" t="s">
        <v>167</v>
      </c>
    </row>
    <row r="466" spans="1:9" ht="19.95" customHeight="1" x14ac:dyDescent="0.2">
      <c r="A466" s="3" t="s">
        <v>782</v>
      </c>
      <c r="B466" s="3" t="s">
        <v>11</v>
      </c>
      <c r="C466" s="3" t="s">
        <v>308</v>
      </c>
      <c r="D466" s="3" t="s">
        <v>57</v>
      </c>
      <c r="E466" s="4">
        <v>8900</v>
      </c>
      <c r="F466" s="5" t="s">
        <v>39</v>
      </c>
      <c r="G466" s="6"/>
      <c r="H466" s="3" t="s">
        <v>81</v>
      </c>
      <c r="I466" s="3" t="s">
        <v>167</v>
      </c>
    </row>
    <row r="467" spans="1:9" ht="19.95" customHeight="1" x14ac:dyDescent="0.2">
      <c r="A467" s="3" t="s">
        <v>783</v>
      </c>
      <c r="B467" s="3" t="s">
        <v>11</v>
      </c>
      <c r="C467" s="3" t="s">
        <v>37</v>
      </c>
      <c r="D467" s="3" t="s">
        <v>57</v>
      </c>
      <c r="E467" s="4">
        <v>2450</v>
      </c>
      <c r="F467" s="5" t="s">
        <v>39</v>
      </c>
      <c r="G467" s="6"/>
      <c r="H467" s="3" t="s">
        <v>81</v>
      </c>
      <c r="I467" s="3" t="s">
        <v>167</v>
      </c>
    </row>
    <row r="468" spans="1:9" ht="19.95" customHeight="1" x14ac:dyDescent="0.2">
      <c r="A468" s="3" t="s">
        <v>784</v>
      </c>
      <c r="B468" s="3" t="s">
        <v>11</v>
      </c>
      <c r="C468" s="3" t="s">
        <v>308</v>
      </c>
      <c r="D468" s="3" t="s">
        <v>57</v>
      </c>
      <c r="E468" s="4">
        <v>24500</v>
      </c>
      <c r="F468" s="5" t="s">
        <v>39</v>
      </c>
      <c r="G468" s="6"/>
      <c r="H468" s="3" t="s">
        <v>40</v>
      </c>
      <c r="I468" s="3" t="s">
        <v>167</v>
      </c>
    </row>
    <row r="469" spans="1:9" ht="19.95" customHeight="1" x14ac:dyDescent="0.2">
      <c r="A469" s="3" t="s">
        <v>785</v>
      </c>
      <c r="B469" s="3" t="s">
        <v>11</v>
      </c>
      <c r="C469" s="3" t="s">
        <v>786</v>
      </c>
      <c r="D469" s="3" t="s">
        <v>57</v>
      </c>
      <c r="E469" s="4">
        <v>1920</v>
      </c>
      <c r="F469" s="5" t="s">
        <v>89</v>
      </c>
      <c r="G469" s="6"/>
      <c r="H469" s="3" t="s">
        <v>81</v>
      </c>
      <c r="I469" s="3" t="s">
        <v>167</v>
      </c>
    </row>
    <row r="470" spans="1:9" ht="19.95" customHeight="1" x14ac:dyDescent="0.2">
      <c r="A470" s="3" t="s">
        <v>787</v>
      </c>
      <c r="B470" s="3" t="s">
        <v>10</v>
      </c>
      <c r="C470" s="3" t="s">
        <v>140</v>
      </c>
      <c r="D470" s="3" t="s">
        <v>378</v>
      </c>
      <c r="E470" s="4">
        <v>6100</v>
      </c>
      <c r="F470" s="5" t="s">
        <v>39</v>
      </c>
      <c r="G470" s="4">
        <v>5190</v>
      </c>
      <c r="H470" s="3" t="s">
        <v>40</v>
      </c>
      <c r="I470" s="3" t="s">
        <v>64</v>
      </c>
    </row>
    <row r="471" spans="1:9" ht="19.95" customHeight="1" x14ac:dyDescent="0.2">
      <c r="A471" s="3" t="s">
        <v>788</v>
      </c>
      <c r="B471" s="3" t="s">
        <v>11</v>
      </c>
      <c r="C471" s="3" t="s">
        <v>140</v>
      </c>
      <c r="D471" s="3" t="s">
        <v>115</v>
      </c>
      <c r="E471" s="4">
        <v>6100</v>
      </c>
      <c r="F471" s="5" t="s">
        <v>39</v>
      </c>
      <c r="G471" s="6"/>
      <c r="H471" s="3" t="s">
        <v>40</v>
      </c>
      <c r="I471" s="3" t="s">
        <v>64</v>
      </c>
    </row>
    <row r="472" spans="1:9" ht="19.95" customHeight="1" x14ac:dyDescent="0.2">
      <c r="A472" s="3" t="s">
        <v>789</v>
      </c>
      <c r="B472" s="3" t="s">
        <v>10</v>
      </c>
      <c r="C472" s="3" t="s">
        <v>790</v>
      </c>
      <c r="D472" s="3" t="s">
        <v>638</v>
      </c>
      <c r="E472" s="4">
        <v>1530</v>
      </c>
      <c r="F472" s="5" t="s">
        <v>171</v>
      </c>
      <c r="G472" s="4">
        <v>1363</v>
      </c>
      <c r="H472" s="3" t="s">
        <v>63</v>
      </c>
      <c r="I472" s="3" t="s">
        <v>64</v>
      </c>
    </row>
    <row r="473" spans="1:9" ht="19.95" customHeight="1" x14ac:dyDescent="0.2">
      <c r="A473" s="3" t="s">
        <v>791</v>
      </c>
      <c r="B473" s="3" t="s">
        <v>91</v>
      </c>
      <c r="C473" s="3" t="s">
        <v>37</v>
      </c>
      <c r="D473" s="3" t="s">
        <v>85</v>
      </c>
      <c r="E473" s="4">
        <v>1040</v>
      </c>
      <c r="F473" s="5" t="s">
        <v>39</v>
      </c>
      <c r="G473" s="4">
        <v>920</v>
      </c>
      <c r="H473" s="3" t="s">
        <v>40</v>
      </c>
      <c r="I473" s="3" t="s">
        <v>72</v>
      </c>
    </row>
    <row r="474" spans="1:9" ht="19.95" customHeight="1" x14ac:dyDescent="0.2">
      <c r="A474" s="3" t="s">
        <v>792</v>
      </c>
      <c r="B474" s="3" t="s">
        <v>11</v>
      </c>
      <c r="C474" s="3" t="s">
        <v>308</v>
      </c>
      <c r="D474" s="3" t="s">
        <v>115</v>
      </c>
      <c r="E474" s="4">
        <v>6100</v>
      </c>
      <c r="F474" s="5" t="s">
        <v>39</v>
      </c>
      <c r="G474" s="6"/>
      <c r="H474" s="3" t="s">
        <v>40</v>
      </c>
      <c r="I474" s="3" t="s">
        <v>165</v>
      </c>
    </row>
    <row r="475" spans="1:9" ht="19.95" customHeight="1" x14ac:dyDescent="0.2">
      <c r="A475" s="3" t="s">
        <v>793</v>
      </c>
      <c r="B475" s="3" t="s">
        <v>115</v>
      </c>
      <c r="C475" s="3" t="s">
        <v>308</v>
      </c>
      <c r="D475" s="3" t="s">
        <v>115</v>
      </c>
      <c r="E475" s="4">
        <v>10100</v>
      </c>
      <c r="F475" s="5" t="s">
        <v>39</v>
      </c>
      <c r="G475" s="4">
        <v>8790</v>
      </c>
      <c r="H475" s="3" t="s">
        <v>40</v>
      </c>
      <c r="I475" s="3" t="s">
        <v>364</v>
      </c>
    </row>
    <row r="476" spans="1:9" ht="19.95" customHeight="1" x14ac:dyDescent="0.2">
      <c r="A476" s="3" t="s">
        <v>794</v>
      </c>
      <c r="B476" s="3" t="s">
        <v>45</v>
      </c>
      <c r="C476" s="3" t="s">
        <v>795</v>
      </c>
      <c r="D476" s="3" t="s">
        <v>289</v>
      </c>
      <c r="E476" s="4">
        <v>3200</v>
      </c>
      <c r="F476" s="5" t="s">
        <v>14</v>
      </c>
      <c r="G476" s="4">
        <v>2905</v>
      </c>
      <c r="H476" s="3" t="s">
        <v>63</v>
      </c>
      <c r="I476" s="3" t="s">
        <v>718</v>
      </c>
    </row>
    <row r="477" spans="1:9" ht="19.95" customHeight="1" x14ac:dyDescent="0.2">
      <c r="A477" s="3" t="s">
        <v>796</v>
      </c>
      <c r="B477" s="3" t="s">
        <v>10</v>
      </c>
      <c r="C477" s="3" t="s">
        <v>797</v>
      </c>
      <c r="D477" s="3" t="s">
        <v>284</v>
      </c>
      <c r="E477" s="4">
        <v>2210</v>
      </c>
      <c r="F477" s="5" t="s">
        <v>14</v>
      </c>
      <c r="G477" s="4">
        <v>2009</v>
      </c>
      <c r="H477" s="3" t="s">
        <v>63</v>
      </c>
      <c r="I477" s="3" t="s">
        <v>718</v>
      </c>
    </row>
    <row r="478" spans="1:9" ht="19.95" customHeight="1" x14ac:dyDescent="0.2">
      <c r="A478" s="3" t="s">
        <v>798</v>
      </c>
      <c r="B478" s="3" t="s">
        <v>11</v>
      </c>
      <c r="C478" s="3" t="s">
        <v>37</v>
      </c>
      <c r="D478" s="3" t="s">
        <v>198</v>
      </c>
      <c r="E478" s="4">
        <v>1000</v>
      </c>
      <c r="F478" s="5" t="s">
        <v>39</v>
      </c>
      <c r="G478" s="6"/>
      <c r="H478" s="3" t="s">
        <v>40</v>
      </c>
      <c r="I478" s="3" t="s">
        <v>165</v>
      </c>
    </row>
    <row r="479" spans="1:9" ht="19.95" customHeight="1" x14ac:dyDescent="0.2">
      <c r="A479" s="3" t="s">
        <v>799</v>
      </c>
      <c r="B479" s="3" t="s">
        <v>11</v>
      </c>
      <c r="C479" s="3" t="s">
        <v>534</v>
      </c>
      <c r="D479" s="3" t="s">
        <v>109</v>
      </c>
      <c r="E479" s="4">
        <v>800</v>
      </c>
      <c r="F479" s="5" t="s">
        <v>58</v>
      </c>
      <c r="G479" s="6"/>
      <c r="H479" s="3" t="s">
        <v>40</v>
      </c>
      <c r="I479" s="3" t="s">
        <v>165</v>
      </c>
    </row>
    <row r="480" spans="1:9" ht="19.95" customHeight="1" x14ac:dyDescent="0.2">
      <c r="A480" s="3" t="s">
        <v>800</v>
      </c>
      <c r="B480" s="3" t="s">
        <v>10</v>
      </c>
      <c r="C480" s="3" t="s">
        <v>227</v>
      </c>
      <c r="D480" s="3" t="s">
        <v>93</v>
      </c>
      <c r="E480" s="4">
        <v>8290.7999999999993</v>
      </c>
      <c r="F480" s="5" t="s">
        <v>183</v>
      </c>
      <c r="G480" s="4">
        <v>7289</v>
      </c>
      <c r="H480" s="3" t="s">
        <v>63</v>
      </c>
      <c r="I480" s="3" t="s">
        <v>86</v>
      </c>
    </row>
    <row r="481" spans="1:9" ht="19.95" customHeight="1" x14ac:dyDescent="0.2">
      <c r="A481" s="3" t="s">
        <v>801</v>
      </c>
      <c r="B481" s="3" t="s">
        <v>11</v>
      </c>
      <c r="C481" s="3" t="s">
        <v>227</v>
      </c>
      <c r="D481" s="3" t="s">
        <v>93</v>
      </c>
      <c r="E481" s="4">
        <v>12731.6</v>
      </c>
      <c r="F481" s="5" t="s">
        <v>183</v>
      </c>
      <c r="G481" s="6"/>
      <c r="H481" s="3" t="s">
        <v>63</v>
      </c>
      <c r="I481" s="3" t="s">
        <v>86</v>
      </c>
    </row>
    <row r="482" spans="1:9" ht="19.95" customHeight="1" x14ac:dyDescent="0.2">
      <c r="A482" s="3" t="s">
        <v>802</v>
      </c>
      <c r="B482" s="3" t="s">
        <v>11</v>
      </c>
      <c r="C482" s="3" t="s">
        <v>803</v>
      </c>
      <c r="D482" s="3" t="s">
        <v>607</v>
      </c>
      <c r="E482" s="4">
        <v>4735</v>
      </c>
      <c r="F482" s="5" t="s">
        <v>80</v>
      </c>
      <c r="G482" s="6"/>
      <c r="H482" s="3" t="s">
        <v>81</v>
      </c>
      <c r="I482" s="3" t="s">
        <v>303</v>
      </c>
    </row>
    <row r="483" spans="1:9" ht="19.95" customHeight="1" x14ac:dyDescent="0.2">
      <c r="A483" s="3" t="s">
        <v>804</v>
      </c>
      <c r="B483" s="3" t="s">
        <v>10</v>
      </c>
      <c r="C483" s="3" t="s">
        <v>308</v>
      </c>
      <c r="D483" s="3" t="s">
        <v>551</v>
      </c>
      <c r="E483" s="4">
        <v>6700</v>
      </c>
      <c r="F483" s="5" t="s">
        <v>39</v>
      </c>
      <c r="G483" s="4">
        <v>6090</v>
      </c>
      <c r="H483" s="3" t="s">
        <v>40</v>
      </c>
      <c r="I483" s="3" t="s">
        <v>167</v>
      </c>
    </row>
    <row r="484" spans="1:9" ht="19.95" customHeight="1" x14ac:dyDescent="0.2">
      <c r="A484" s="3" t="s">
        <v>805</v>
      </c>
      <c r="B484" s="3" t="s">
        <v>11</v>
      </c>
      <c r="C484" s="3" t="s">
        <v>140</v>
      </c>
      <c r="D484" s="3" t="s">
        <v>551</v>
      </c>
      <c r="E484" s="4">
        <v>6100</v>
      </c>
      <c r="F484" s="5" t="s">
        <v>39</v>
      </c>
      <c r="G484" s="6"/>
      <c r="H484" s="3" t="s">
        <v>40</v>
      </c>
      <c r="I484" s="3" t="s">
        <v>167</v>
      </c>
    </row>
    <row r="485" spans="1:9" ht="19.95" customHeight="1" x14ac:dyDescent="0.2">
      <c r="A485" s="3" t="s">
        <v>806</v>
      </c>
      <c r="B485" s="3" t="s">
        <v>11</v>
      </c>
      <c r="C485" s="3" t="s">
        <v>176</v>
      </c>
      <c r="D485" s="3" t="s">
        <v>109</v>
      </c>
      <c r="E485" s="4">
        <v>5050</v>
      </c>
      <c r="F485" s="5" t="s">
        <v>39</v>
      </c>
      <c r="G485" s="6"/>
      <c r="H485" s="3" t="s">
        <v>40</v>
      </c>
      <c r="I485" s="3" t="s">
        <v>165</v>
      </c>
    </row>
    <row r="486" spans="1:9" ht="19.95" customHeight="1" x14ac:dyDescent="0.2">
      <c r="A486" s="3" t="s">
        <v>807</v>
      </c>
      <c r="B486" s="3" t="s">
        <v>110</v>
      </c>
      <c r="C486" s="3" t="s">
        <v>69</v>
      </c>
      <c r="D486" s="3" t="s">
        <v>109</v>
      </c>
      <c r="E486" s="4">
        <v>1040</v>
      </c>
      <c r="F486" s="5" t="s">
        <v>39</v>
      </c>
      <c r="G486" s="4">
        <v>936</v>
      </c>
      <c r="H486" s="3" t="s">
        <v>40</v>
      </c>
      <c r="I486" s="3" t="s">
        <v>165</v>
      </c>
    </row>
    <row r="487" spans="1:9" ht="19.95" customHeight="1" x14ac:dyDescent="0.2">
      <c r="A487" s="3" t="s">
        <v>808</v>
      </c>
      <c r="B487" s="3" t="s">
        <v>71</v>
      </c>
      <c r="C487" s="3" t="s">
        <v>809</v>
      </c>
      <c r="D487" s="3" t="s">
        <v>697</v>
      </c>
      <c r="E487" s="4">
        <v>68443.199999999997</v>
      </c>
      <c r="F487" s="5" t="s">
        <v>58</v>
      </c>
      <c r="G487" s="4">
        <v>60976</v>
      </c>
      <c r="H487" s="3" t="s">
        <v>40</v>
      </c>
      <c r="I487" s="3" t="s">
        <v>346</v>
      </c>
    </row>
    <row r="488" spans="1:9" ht="19.95" customHeight="1" x14ac:dyDescent="0.2">
      <c r="A488" s="3" t="s">
        <v>810</v>
      </c>
      <c r="B488" s="3" t="s">
        <v>45</v>
      </c>
      <c r="C488" s="3" t="s">
        <v>140</v>
      </c>
      <c r="D488" s="3" t="s">
        <v>727</v>
      </c>
      <c r="E488" s="4">
        <v>14700</v>
      </c>
      <c r="F488" s="5" t="s">
        <v>39</v>
      </c>
      <c r="G488" s="4">
        <v>12789</v>
      </c>
      <c r="H488" s="3" t="s">
        <v>40</v>
      </c>
      <c r="I488" s="3" t="s">
        <v>86</v>
      </c>
    </row>
    <row r="489" spans="1:9" ht="19.95" customHeight="1" x14ac:dyDescent="0.2">
      <c r="A489" s="3" t="s">
        <v>811</v>
      </c>
      <c r="B489" s="3" t="s">
        <v>10</v>
      </c>
      <c r="C489" s="3" t="s">
        <v>812</v>
      </c>
      <c r="D489" s="3" t="s">
        <v>93</v>
      </c>
      <c r="E489" s="4">
        <v>3050</v>
      </c>
      <c r="F489" s="5" t="s">
        <v>89</v>
      </c>
      <c r="G489" s="4">
        <v>2717</v>
      </c>
      <c r="H489" s="3" t="s">
        <v>81</v>
      </c>
      <c r="I489" s="3" t="s">
        <v>449</v>
      </c>
    </row>
    <row r="490" spans="1:9" ht="19.95" customHeight="1" x14ac:dyDescent="0.2">
      <c r="A490" s="3" t="s">
        <v>813</v>
      </c>
      <c r="B490" s="3" t="s">
        <v>11</v>
      </c>
      <c r="C490" s="3" t="s">
        <v>142</v>
      </c>
      <c r="D490" s="3" t="s">
        <v>477</v>
      </c>
      <c r="E490" s="4">
        <v>1000</v>
      </c>
      <c r="F490" s="5" t="s">
        <v>516</v>
      </c>
      <c r="G490" s="6"/>
      <c r="H490" s="3" t="s">
        <v>81</v>
      </c>
      <c r="I490" s="3" t="s">
        <v>356</v>
      </c>
    </row>
    <row r="491" spans="1:9" ht="19.95" customHeight="1" x14ac:dyDescent="0.2">
      <c r="A491" s="3" t="s">
        <v>814</v>
      </c>
      <c r="B491" s="3" t="s">
        <v>45</v>
      </c>
      <c r="C491" s="3" t="s">
        <v>815</v>
      </c>
      <c r="D491" s="3" t="s">
        <v>105</v>
      </c>
      <c r="E491" s="4">
        <v>1230</v>
      </c>
      <c r="F491" s="5" t="s">
        <v>14</v>
      </c>
      <c r="G491" s="4">
        <v>1066</v>
      </c>
      <c r="H491" s="3" t="s">
        <v>63</v>
      </c>
      <c r="I491" s="3" t="s">
        <v>76</v>
      </c>
    </row>
    <row r="492" spans="1:9" ht="19.95" customHeight="1" x14ac:dyDescent="0.2">
      <c r="A492" s="3" t="s">
        <v>816</v>
      </c>
      <c r="B492" s="3" t="s">
        <v>10</v>
      </c>
      <c r="C492" s="3" t="s">
        <v>140</v>
      </c>
      <c r="D492" s="3" t="s">
        <v>817</v>
      </c>
      <c r="E492" s="4">
        <v>28500</v>
      </c>
      <c r="F492" s="5" t="s">
        <v>39</v>
      </c>
      <c r="G492" s="4">
        <v>25390</v>
      </c>
      <c r="H492" s="3" t="s">
        <v>40</v>
      </c>
      <c r="I492" s="3" t="s">
        <v>156</v>
      </c>
    </row>
    <row r="493" spans="1:9" ht="19.95" customHeight="1" x14ac:dyDescent="0.2">
      <c r="A493" s="3" t="s">
        <v>818</v>
      </c>
      <c r="B493" s="3" t="s">
        <v>45</v>
      </c>
      <c r="C493" s="3" t="s">
        <v>140</v>
      </c>
      <c r="D493" s="3" t="s">
        <v>510</v>
      </c>
      <c r="E493" s="4">
        <v>6000</v>
      </c>
      <c r="F493" s="5" t="s">
        <v>39</v>
      </c>
      <c r="G493" s="4">
        <v>5250</v>
      </c>
      <c r="H493" s="3" t="s">
        <v>40</v>
      </c>
      <c r="I493" s="3" t="s">
        <v>524</v>
      </c>
    </row>
    <row r="494" spans="1:9" ht="19.95" customHeight="1" x14ac:dyDescent="0.2">
      <c r="A494" s="3" t="s">
        <v>818</v>
      </c>
      <c r="B494" s="3" t="s">
        <v>45</v>
      </c>
      <c r="C494" s="3" t="s">
        <v>176</v>
      </c>
      <c r="D494" s="3" t="s">
        <v>510</v>
      </c>
      <c r="E494" s="4">
        <v>3000</v>
      </c>
      <c r="F494" s="5" t="s">
        <v>39</v>
      </c>
      <c r="G494" s="4">
        <v>2625</v>
      </c>
      <c r="H494" s="3" t="s">
        <v>40</v>
      </c>
      <c r="I494" s="3" t="s">
        <v>524</v>
      </c>
    </row>
    <row r="495" spans="1:9" ht="19.95" customHeight="1" x14ac:dyDescent="0.2">
      <c r="A495" s="3" t="s">
        <v>819</v>
      </c>
      <c r="B495" s="3" t="s">
        <v>10</v>
      </c>
      <c r="C495" s="3" t="s">
        <v>69</v>
      </c>
      <c r="D495" s="3" t="s">
        <v>638</v>
      </c>
      <c r="E495" s="4">
        <v>77060</v>
      </c>
      <c r="F495" s="5" t="s">
        <v>39</v>
      </c>
      <c r="G495" s="4">
        <v>68652</v>
      </c>
      <c r="H495" s="3" t="s">
        <v>40</v>
      </c>
      <c r="I495" s="3" t="s">
        <v>86</v>
      </c>
    </row>
    <row r="496" spans="1:9" ht="19.95" customHeight="1" x14ac:dyDescent="0.2">
      <c r="A496" s="3" t="s">
        <v>820</v>
      </c>
      <c r="B496" s="3" t="s">
        <v>10</v>
      </c>
      <c r="C496" s="3" t="s">
        <v>69</v>
      </c>
      <c r="D496" s="3" t="s">
        <v>821</v>
      </c>
      <c r="E496" s="4">
        <v>20110</v>
      </c>
      <c r="F496" s="5" t="s">
        <v>39</v>
      </c>
      <c r="G496" s="4">
        <v>18279</v>
      </c>
      <c r="H496" s="3" t="s">
        <v>40</v>
      </c>
      <c r="I496" s="3" t="s">
        <v>460</v>
      </c>
    </row>
    <row r="497" spans="1:9" ht="19.95" customHeight="1" x14ac:dyDescent="0.2">
      <c r="A497" s="3" t="s">
        <v>822</v>
      </c>
      <c r="B497" s="3" t="s">
        <v>11</v>
      </c>
      <c r="C497" s="3" t="s">
        <v>823</v>
      </c>
      <c r="D497" s="3" t="s">
        <v>57</v>
      </c>
      <c r="E497" s="4">
        <v>1000</v>
      </c>
      <c r="F497" s="5" t="s">
        <v>89</v>
      </c>
      <c r="G497" s="6"/>
      <c r="H497" s="3" t="s">
        <v>81</v>
      </c>
      <c r="I497" s="3" t="s">
        <v>334</v>
      </c>
    </row>
    <row r="498" spans="1:9" ht="19.95" customHeight="1" x14ac:dyDescent="0.2">
      <c r="A498" s="3" t="s">
        <v>824</v>
      </c>
      <c r="B498" s="3" t="s">
        <v>11</v>
      </c>
      <c r="C498" s="3" t="s">
        <v>37</v>
      </c>
      <c r="D498" s="3" t="s">
        <v>623</v>
      </c>
      <c r="E498" s="4">
        <v>1010</v>
      </c>
      <c r="F498" s="5" t="s">
        <v>39</v>
      </c>
      <c r="G498" s="6"/>
      <c r="H498" s="3" t="s">
        <v>40</v>
      </c>
      <c r="I498" s="3" t="s">
        <v>356</v>
      </c>
    </row>
    <row r="499" spans="1:9" ht="19.95" customHeight="1" x14ac:dyDescent="0.2">
      <c r="A499" s="3" t="s">
        <v>825</v>
      </c>
      <c r="B499" s="3" t="s">
        <v>45</v>
      </c>
      <c r="C499" s="3" t="s">
        <v>69</v>
      </c>
      <c r="D499" s="3" t="s">
        <v>127</v>
      </c>
      <c r="E499" s="4">
        <v>1230</v>
      </c>
      <c r="F499" s="5" t="s">
        <v>39</v>
      </c>
      <c r="G499" s="4">
        <v>1041</v>
      </c>
      <c r="H499" s="3" t="s">
        <v>40</v>
      </c>
      <c r="I499" s="3" t="s">
        <v>156</v>
      </c>
    </row>
    <row r="500" spans="1:9" ht="19.95" customHeight="1" x14ac:dyDescent="0.2">
      <c r="A500" s="3" t="s">
        <v>826</v>
      </c>
      <c r="B500" s="3" t="s">
        <v>45</v>
      </c>
      <c r="C500" s="3" t="s">
        <v>395</v>
      </c>
      <c r="D500" s="3" t="s">
        <v>170</v>
      </c>
      <c r="E500" s="4">
        <v>4718</v>
      </c>
      <c r="F500" s="5" t="s">
        <v>39</v>
      </c>
      <c r="G500" s="4">
        <v>3774</v>
      </c>
      <c r="H500" s="3" t="s">
        <v>40</v>
      </c>
      <c r="I500" s="3" t="s">
        <v>187</v>
      </c>
    </row>
    <row r="501" spans="1:9" ht="19.95" customHeight="1" x14ac:dyDescent="0.2">
      <c r="A501" s="3" t="s">
        <v>826</v>
      </c>
      <c r="B501" s="3" t="s">
        <v>45</v>
      </c>
      <c r="C501" s="3" t="s">
        <v>133</v>
      </c>
      <c r="D501" s="3" t="s">
        <v>170</v>
      </c>
      <c r="E501" s="4">
        <v>16850</v>
      </c>
      <c r="F501" s="5" t="s">
        <v>39</v>
      </c>
      <c r="G501" s="4">
        <v>13480</v>
      </c>
      <c r="H501" s="3" t="s">
        <v>40</v>
      </c>
      <c r="I501" s="3" t="s">
        <v>187</v>
      </c>
    </row>
    <row r="502" spans="1:9" ht="19.95" customHeight="1" x14ac:dyDescent="0.2">
      <c r="A502" s="3" t="s">
        <v>827</v>
      </c>
      <c r="B502" s="3" t="s">
        <v>11</v>
      </c>
      <c r="C502" s="3" t="s">
        <v>828</v>
      </c>
      <c r="D502" s="3" t="s">
        <v>105</v>
      </c>
      <c r="E502" s="4">
        <v>62693</v>
      </c>
      <c r="F502" s="5" t="s">
        <v>829</v>
      </c>
      <c r="G502" s="6"/>
      <c r="H502" s="3" t="s">
        <v>40</v>
      </c>
      <c r="I502" s="3" t="s">
        <v>112</v>
      </c>
    </row>
    <row r="503" spans="1:9" ht="19.95" customHeight="1" x14ac:dyDescent="0.2">
      <c r="A503" s="3" t="s">
        <v>830</v>
      </c>
      <c r="B503" s="3" t="s">
        <v>11</v>
      </c>
      <c r="C503" s="3" t="s">
        <v>828</v>
      </c>
      <c r="D503" s="3" t="s">
        <v>105</v>
      </c>
      <c r="E503" s="4">
        <v>99027.5</v>
      </c>
      <c r="F503" s="5" t="s">
        <v>829</v>
      </c>
      <c r="G503" s="6"/>
      <c r="H503" s="3" t="s">
        <v>40</v>
      </c>
      <c r="I503" s="3" t="s">
        <v>112</v>
      </c>
    </row>
    <row r="504" spans="1:9" ht="19.95" customHeight="1" x14ac:dyDescent="0.2">
      <c r="A504" s="3" t="s">
        <v>831</v>
      </c>
      <c r="B504" s="3" t="s">
        <v>45</v>
      </c>
      <c r="C504" s="3" t="s">
        <v>140</v>
      </c>
      <c r="D504" s="3" t="s">
        <v>38</v>
      </c>
      <c r="E504" s="4">
        <v>5900</v>
      </c>
      <c r="F504" s="5" t="s">
        <v>39</v>
      </c>
      <c r="G504" s="4">
        <v>5251</v>
      </c>
      <c r="H504" s="3" t="s">
        <v>40</v>
      </c>
      <c r="I504" s="3" t="s">
        <v>263</v>
      </c>
    </row>
    <row r="505" spans="1:9" ht="19.95" customHeight="1" x14ac:dyDescent="0.2">
      <c r="A505" s="3" t="s">
        <v>832</v>
      </c>
      <c r="B505" s="3" t="s">
        <v>10</v>
      </c>
      <c r="C505" s="3" t="s">
        <v>37</v>
      </c>
      <c r="D505" s="3" t="s">
        <v>70</v>
      </c>
      <c r="E505" s="4">
        <v>4260</v>
      </c>
      <c r="F505" s="5" t="s">
        <v>39</v>
      </c>
      <c r="G505" s="4">
        <v>3795</v>
      </c>
      <c r="H505" s="3" t="s">
        <v>40</v>
      </c>
      <c r="I505" s="3" t="s">
        <v>369</v>
      </c>
    </row>
    <row r="506" spans="1:9" ht="19.95" customHeight="1" x14ac:dyDescent="0.2">
      <c r="A506" s="3" t="s">
        <v>833</v>
      </c>
      <c r="B506" s="3" t="s">
        <v>45</v>
      </c>
      <c r="C506" s="3" t="s">
        <v>834</v>
      </c>
      <c r="D506" s="3" t="s">
        <v>62</v>
      </c>
      <c r="E506" s="4">
        <v>46910</v>
      </c>
      <c r="F506" s="5" t="s">
        <v>835</v>
      </c>
      <c r="G506" s="4">
        <v>42420</v>
      </c>
      <c r="H506" s="3" t="s">
        <v>81</v>
      </c>
      <c r="I506" s="3" t="s">
        <v>454</v>
      </c>
    </row>
    <row r="507" spans="1:9" ht="19.95" customHeight="1" x14ac:dyDescent="0.2">
      <c r="A507" s="3" t="s">
        <v>836</v>
      </c>
      <c r="B507" s="3" t="s">
        <v>45</v>
      </c>
      <c r="C507" s="3" t="s">
        <v>837</v>
      </c>
      <c r="D507" s="3" t="s">
        <v>411</v>
      </c>
      <c r="E507" s="4">
        <v>2835</v>
      </c>
      <c r="F507" s="5" t="s">
        <v>39</v>
      </c>
      <c r="G507" s="4">
        <v>2552</v>
      </c>
      <c r="H507" s="3" t="s">
        <v>40</v>
      </c>
      <c r="I507" s="3" t="s">
        <v>112</v>
      </c>
    </row>
    <row r="508" spans="1:9" ht="19.95" customHeight="1" x14ac:dyDescent="0.2">
      <c r="A508" s="3" t="s">
        <v>838</v>
      </c>
      <c r="B508" s="3" t="s">
        <v>11</v>
      </c>
      <c r="C508" s="3" t="s">
        <v>136</v>
      </c>
      <c r="D508" s="3" t="s">
        <v>70</v>
      </c>
      <c r="E508" s="4">
        <v>13150</v>
      </c>
      <c r="F508" s="5" t="s">
        <v>14</v>
      </c>
      <c r="G508" s="6"/>
      <c r="H508" s="3" t="s">
        <v>40</v>
      </c>
      <c r="I508" s="3" t="s">
        <v>251</v>
      </c>
    </row>
    <row r="509" spans="1:9" ht="19.95" customHeight="1" x14ac:dyDescent="0.2">
      <c r="A509" s="3" t="s">
        <v>839</v>
      </c>
      <c r="B509" s="3" t="s">
        <v>11</v>
      </c>
      <c r="C509" s="3" t="s">
        <v>840</v>
      </c>
      <c r="D509" s="3" t="s">
        <v>85</v>
      </c>
      <c r="E509" s="4">
        <v>840</v>
      </c>
      <c r="F509" s="5" t="s">
        <v>75</v>
      </c>
      <c r="G509" s="6"/>
      <c r="H509" s="3" t="s">
        <v>40</v>
      </c>
      <c r="I509" s="3" t="s">
        <v>251</v>
      </c>
    </row>
    <row r="510" spans="1:9" ht="19.95" customHeight="1" x14ac:dyDescent="0.2">
      <c r="A510" s="3" t="s">
        <v>841</v>
      </c>
      <c r="B510" s="3" t="s">
        <v>45</v>
      </c>
      <c r="C510" s="3" t="s">
        <v>133</v>
      </c>
      <c r="D510" s="3" t="s">
        <v>85</v>
      </c>
      <c r="E510" s="4">
        <v>7150</v>
      </c>
      <c r="F510" s="5" t="s">
        <v>39</v>
      </c>
      <c r="G510" s="4">
        <v>6343</v>
      </c>
      <c r="H510" s="3" t="s">
        <v>40</v>
      </c>
      <c r="I510" s="3" t="s">
        <v>251</v>
      </c>
    </row>
    <row r="511" spans="1:9" ht="19.95" customHeight="1" x14ac:dyDescent="0.2">
      <c r="A511" s="3" t="s">
        <v>842</v>
      </c>
      <c r="B511" s="3" t="s">
        <v>10</v>
      </c>
      <c r="C511" s="3" t="s">
        <v>222</v>
      </c>
      <c r="D511" s="3" t="s">
        <v>496</v>
      </c>
      <c r="E511" s="4">
        <v>11080</v>
      </c>
      <c r="F511" s="5" t="s">
        <v>98</v>
      </c>
      <c r="G511" s="4">
        <v>9870</v>
      </c>
      <c r="H511" s="3" t="s">
        <v>81</v>
      </c>
      <c r="I511" s="3" t="s">
        <v>220</v>
      </c>
    </row>
    <row r="512" spans="1:9" ht="19.95" customHeight="1" x14ac:dyDescent="0.2">
      <c r="A512" s="3" t="s">
        <v>843</v>
      </c>
      <c r="B512" s="3" t="s">
        <v>115</v>
      </c>
      <c r="C512" s="3" t="s">
        <v>69</v>
      </c>
      <c r="D512" s="3" t="s">
        <v>115</v>
      </c>
      <c r="E512" s="4">
        <v>1460</v>
      </c>
      <c r="F512" s="5" t="s">
        <v>39</v>
      </c>
      <c r="G512" s="4">
        <v>1305</v>
      </c>
      <c r="H512" s="3" t="s">
        <v>40</v>
      </c>
      <c r="I512" s="3" t="s">
        <v>187</v>
      </c>
    </row>
    <row r="513" spans="1:9" ht="19.95" customHeight="1" x14ac:dyDescent="0.2">
      <c r="A513" s="3" t="s">
        <v>843</v>
      </c>
      <c r="B513" s="3" t="s">
        <v>115</v>
      </c>
      <c r="C513" s="3" t="s">
        <v>192</v>
      </c>
      <c r="D513" s="3" t="s">
        <v>115</v>
      </c>
      <c r="E513" s="4">
        <v>4380</v>
      </c>
      <c r="F513" s="5" t="s">
        <v>39</v>
      </c>
      <c r="G513" s="4">
        <v>3915</v>
      </c>
      <c r="H513" s="3" t="s">
        <v>40</v>
      </c>
      <c r="I513" s="3" t="s">
        <v>187</v>
      </c>
    </row>
    <row r="514" spans="1:9" ht="19.95" customHeight="1" x14ac:dyDescent="0.2">
      <c r="A514" s="3" t="s">
        <v>844</v>
      </c>
      <c r="B514" s="3" t="s">
        <v>10</v>
      </c>
      <c r="C514" s="3" t="s">
        <v>84</v>
      </c>
      <c r="D514" s="3" t="s">
        <v>459</v>
      </c>
      <c r="E514" s="4">
        <v>1010</v>
      </c>
      <c r="F514" s="5" t="s">
        <v>14</v>
      </c>
      <c r="G514" s="4">
        <v>899</v>
      </c>
      <c r="H514" s="3" t="s">
        <v>40</v>
      </c>
      <c r="I514" s="3" t="s">
        <v>167</v>
      </c>
    </row>
    <row r="515" spans="1:9" ht="19.95" customHeight="1" x14ac:dyDescent="0.2">
      <c r="A515" s="3" t="s">
        <v>845</v>
      </c>
      <c r="B515" s="3" t="s">
        <v>11</v>
      </c>
      <c r="C515" s="3" t="s">
        <v>140</v>
      </c>
      <c r="D515" s="3" t="s">
        <v>319</v>
      </c>
      <c r="E515" s="4">
        <v>6200</v>
      </c>
      <c r="F515" s="5" t="s">
        <v>39</v>
      </c>
      <c r="G515" s="6"/>
      <c r="H515" s="3" t="s">
        <v>40</v>
      </c>
      <c r="I515" s="3" t="s">
        <v>167</v>
      </c>
    </row>
    <row r="516" spans="1:9" ht="19.95" customHeight="1" x14ac:dyDescent="0.2">
      <c r="A516" s="3" t="s">
        <v>846</v>
      </c>
      <c r="B516" s="3" t="s">
        <v>11</v>
      </c>
      <c r="C516" s="3" t="s">
        <v>308</v>
      </c>
      <c r="D516" s="3" t="s">
        <v>319</v>
      </c>
      <c r="E516" s="4">
        <v>6300</v>
      </c>
      <c r="F516" s="5" t="s">
        <v>39</v>
      </c>
      <c r="G516" s="6"/>
      <c r="H516" s="3" t="s">
        <v>40</v>
      </c>
      <c r="I516" s="3" t="s">
        <v>167</v>
      </c>
    </row>
    <row r="517" spans="1:9" ht="19.95" customHeight="1" x14ac:dyDescent="0.2">
      <c r="A517" s="3" t="s">
        <v>847</v>
      </c>
      <c r="B517" s="3" t="s">
        <v>11</v>
      </c>
      <c r="C517" s="3" t="s">
        <v>37</v>
      </c>
      <c r="D517" s="3" t="s">
        <v>319</v>
      </c>
      <c r="E517" s="4">
        <v>630</v>
      </c>
      <c r="F517" s="5" t="s">
        <v>39</v>
      </c>
      <c r="G517" s="6"/>
      <c r="H517" s="3" t="s">
        <v>40</v>
      </c>
      <c r="I517" s="3" t="s">
        <v>167</v>
      </c>
    </row>
    <row r="518" spans="1:9" ht="19.95" customHeight="1" x14ac:dyDescent="0.2">
      <c r="A518" s="3" t="s">
        <v>848</v>
      </c>
      <c r="B518" s="3" t="s">
        <v>10</v>
      </c>
      <c r="C518" s="3" t="s">
        <v>140</v>
      </c>
      <c r="D518" s="3" t="s">
        <v>319</v>
      </c>
      <c r="E518" s="4">
        <v>6300</v>
      </c>
      <c r="F518" s="5" t="s">
        <v>39</v>
      </c>
      <c r="G518" s="4">
        <v>5360</v>
      </c>
      <c r="H518" s="3" t="s">
        <v>40</v>
      </c>
      <c r="I518" s="3" t="s">
        <v>167</v>
      </c>
    </row>
    <row r="519" spans="1:9" ht="19.95" customHeight="1" x14ac:dyDescent="0.2">
      <c r="A519" s="3" t="s">
        <v>849</v>
      </c>
      <c r="B519" s="3" t="s">
        <v>10</v>
      </c>
      <c r="C519" s="3" t="s">
        <v>308</v>
      </c>
      <c r="D519" s="3" t="s">
        <v>319</v>
      </c>
      <c r="E519" s="4">
        <v>6600</v>
      </c>
      <c r="F519" s="5" t="s">
        <v>39</v>
      </c>
      <c r="G519" s="4">
        <v>5610</v>
      </c>
      <c r="H519" s="3" t="s">
        <v>40</v>
      </c>
      <c r="I519" s="3" t="s">
        <v>167</v>
      </c>
    </row>
    <row r="520" spans="1:9" ht="19.95" customHeight="1" x14ac:dyDescent="0.2">
      <c r="A520" s="3" t="s">
        <v>850</v>
      </c>
      <c r="B520" s="3" t="s">
        <v>110</v>
      </c>
      <c r="C520" s="3" t="s">
        <v>851</v>
      </c>
      <c r="D520" s="3" t="s">
        <v>852</v>
      </c>
      <c r="E520" s="4">
        <v>22630</v>
      </c>
      <c r="F520" s="5" t="s">
        <v>89</v>
      </c>
      <c r="G520" s="4">
        <v>20387</v>
      </c>
      <c r="H520" s="3" t="s">
        <v>81</v>
      </c>
      <c r="I520" s="3" t="s">
        <v>167</v>
      </c>
    </row>
    <row r="521" spans="1:9" ht="19.95" customHeight="1" x14ac:dyDescent="0.2">
      <c r="A521" s="3" t="s">
        <v>853</v>
      </c>
      <c r="B521" s="3" t="s">
        <v>11</v>
      </c>
      <c r="C521" s="3" t="s">
        <v>851</v>
      </c>
      <c r="D521" s="3" t="s">
        <v>85</v>
      </c>
      <c r="E521" s="4">
        <v>14430</v>
      </c>
      <c r="F521" s="5" t="s">
        <v>89</v>
      </c>
      <c r="G521" s="6"/>
      <c r="H521" s="3" t="s">
        <v>81</v>
      </c>
      <c r="I521" s="3" t="s">
        <v>167</v>
      </c>
    </row>
    <row r="522" spans="1:9" ht="19.95" customHeight="1" x14ac:dyDescent="0.2">
      <c r="A522" s="3" t="s">
        <v>854</v>
      </c>
      <c r="B522" s="3" t="s">
        <v>11</v>
      </c>
      <c r="C522" s="3" t="s">
        <v>108</v>
      </c>
      <c r="D522" s="3" t="s">
        <v>216</v>
      </c>
      <c r="E522" s="4">
        <v>7540</v>
      </c>
      <c r="F522" s="5" t="s">
        <v>111</v>
      </c>
      <c r="G522" s="6"/>
      <c r="H522" s="3" t="s">
        <v>81</v>
      </c>
      <c r="I522" s="3" t="s">
        <v>454</v>
      </c>
    </row>
    <row r="523" spans="1:9" ht="19.95" customHeight="1" x14ac:dyDescent="0.2">
      <c r="A523" s="3" t="s">
        <v>855</v>
      </c>
      <c r="B523" s="3" t="s">
        <v>11</v>
      </c>
      <c r="C523" s="3" t="s">
        <v>856</v>
      </c>
      <c r="D523" s="3" t="s">
        <v>205</v>
      </c>
      <c r="E523" s="4">
        <v>3050</v>
      </c>
      <c r="F523" s="5" t="s">
        <v>89</v>
      </c>
      <c r="G523" s="6"/>
      <c r="H523" s="3" t="s">
        <v>81</v>
      </c>
      <c r="I523" s="3" t="s">
        <v>857</v>
      </c>
    </row>
    <row r="524" spans="1:9" ht="19.95" customHeight="1" x14ac:dyDescent="0.2">
      <c r="A524" s="3" t="s">
        <v>858</v>
      </c>
      <c r="B524" s="3" t="s">
        <v>45</v>
      </c>
      <c r="C524" s="3" t="s">
        <v>84</v>
      </c>
      <c r="D524" s="3" t="s">
        <v>470</v>
      </c>
      <c r="E524" s="4">
        <v>1110</v>
      </c>
      <c r="F524" s="5" t="s">
        <v>14</v>
      </c>
      <c r="G524" s="4">
        <v>999</v>
      </c>
      <c r="H524" s="3" t="s">
        <v>40</v>
      </c>
      <c r="I524" s="3" t="s">
        <v>857</v>
      </c>
    </row>
    <row r="525" spans="1:9" ht="19.95" customHeight="1" x14ac:dyDescent="0.2">
      <c r="A525" s="3" t="s">
        <v>859</v>
      </c>
      <c r="B525" s="3" t="s">
        <v>45</v>
      </c>
      <c r="C525" s="3" t="s">
        <v>69</v>
      </c>
      <c r="D525" s="3" t="s">
        <v>470</v>
      </c>
      <c r="E525" s="4">
        <v>1080</v>
      </c>
      <c r="F525" s="5" t="s">
        <v>39</v>
      </c>
      <c r="G525" s="4">
        <v>972</v>
      </c>
      <c r="H525" s="3" t="s">
        <v>40</v>
      </c>
      <c r="I525" s="3" t="s">
        <v>857</v>
      </c>
    </row>
    <row r="526" spans="1:9" ht="19.95" customHeight="1" x14ac:dyDescent="0.2">
      <c r="A526" s="3" t="s">
        <v>859</v>
      </c>
      <c r="B526" s="3" t="s">
        <v>45</v>
      </c>
      <c r="C526" s="3" t="s">
        <v>176</v>
      </c>
      <c r="D526" s="3" t="s">
        <v>57</v>
      </c>
      <c r="E526" s="4">
        <v>5400</v>
      </c>
      <c r="F526" s="5" t="s">
        <v>39</v>
      </c>
      <c r="G526" s="4">
        <v>4860</v>
      </c>
      <c r="H526" s="3" t="s">
        <v>40</v>
      </c>
      <c r="I526" s="3" t="s">
        <v>857</v>
      </c>
    </row>
    <row r="527" spans="1:9" ht="19.95" customHeight="1" x14ac:dyDescent="0.2">
      <c r="A527" s="3" t="s">
        <v>860</v>
      </c>
      <c r="B527" s="3" t="s">
        <v>10</v>
      </c>
      <c r="C527" s="3" t="s">
        <v>37</v>
      </c>
      <c r="D527" s="3" t="s">
        <v>570</v>
      </c>
      <c r="E527" s="4">
        <v>1660</v>
      </c>
      <c r="F527" s="5" t="s">
        <v>39</v>
      </c>
      <c r="G527" s="4">
        <v>1464</v>
      </c>
      <c r="H527" s="3" t="s">
        <v>40</v>
      </c>
      <c r="I527" s="3" t="s">
        <v>229</v>
      </c>
    </row>
    <row r="528" spans="1:9" ht="19.95" customHeight="1" x14ac:dyDescent="0.2">
      <c r="A528" s="3" t="s">
        <v>861</v>
      </c>
      <c r="B528" s="3" t="s">
        <v>45</v>
      </c>
      <c r="C528" s="3" t="s">
        <v>146</v>
      </c>
      <c r="D528" s="3" t="s">
        <v>147</v>
      </c>
      <c r="E528" s="4">
        <v>1441</v>
      </c>
      <c r="F528" s="5" t="s">
        <v>148</v>
      </c>
      <c r="G528" s="4">
        <v>1283</v>
      </c>
      <c r="H528" s="3" t="s">
        <v>63</v>
      </c>
      <c r="I528" s="3" t="s">
        <v>76</v>
      </c>
    </row>
    <row r="529" spans="1:9" ht="19.95" customHeight="1" x14ac:dyDescent="0.2">
      <c r="A529" s="3" t="s">
        <v>862</v>
      </c>
      <c r="B529" s="3" t="s">
        <v>10</v>
      </c>
      <c r="C529" s="3" t="s">
        <v>69</v>
      </c>
      <c r="D529" s="3" t="s">
        <v>459</v>
      </c>
      <c r="E529" s="4">
        <v>970</v>
      </c>
      <c r="F529" s="5" t="s">
        <v>39</v>
      </c>
      <c r="G529" s="4">
        <v>864</v>
      </c>
      <c r="H529" s="3" t="s">
        <v>40</v>
      </c>
      <c r="I529" s="3" t="s">
        <v>167</v>
      </c>
    </row>
    <row r="530" spans="1:9" ht="19.95" customHeight="1" x14ac:dyDescent="0.2">
      <c r="A530" s="3" t="s">
        <v>863</v>
      </c>
      <c r="B530" s="3" t="s">
        <v>11</v>
      </c>
      <c r="C530" s="3" t="s">
        <v>69</v>
      </c>
      <c r="D530" s="3" t="s">
        <v>115</v>
      </c>
      <c r="E530" s="4">
        <v>1170</v>
      </c>
      <c r="F530" s="5" t="s">
        <v>39</v>
      </c>
      <c r="G530" s="6"/>
      <c r="H530" s="3" t="s">
        <v>40</v>
      </c>
      <c r="I530" s="3" t="s">
        <v>433</v>
      </c>
    </row>
    <row r="531" spans="1:9" ht="19.95" customHeight="1" x14ac:dyDescent="0.2">
      <c r="A531" s="3" t="s">
        <v>864</v>
      </c>
      <c r="B531" s="3" t="s">
        <v>10</v>
      </c>
      <c r="C531" s="3" t="s">
        <v>865</v>
      </c>
      <c r="D531" s="3" t="s">
        <v>866</v>
      </c>
      <c r="E531" s="4">
        <v>3717</v>
      </c>
      <c r="F531" s="5" t="s">
        <v>39</v>
      </c>
      <c r="G531" s="4">
        <v>3140</v>
      </c>
      <c r="H531" s="3" t="s">
        <v>40</v>
      </c>
      <c r="I531" s="3" t="s">
        <v>549</v>
      </c>
    </row>
    <row r="532" spans="1:9" ht="19.95" customHeight="1" x14ac:dyDescent="0.2">
      <c r="A532" s="3" t="s">
        <v>864</v>
      </c>
      <c r="B532" s="3" t="s">
        <v>10</v>
      </c>
      <c r="C532" s="3" t="s">
        <v>140</v>
      </c>
      <c r="D532" s="3" t="s">
        <v>866</v>
      </c>
      <c r="E532" s="4">
        <v>5900</v>
      </c>
      <c r="F532" s="5" t="s">
        <v>39</v>
      </c>
      <c r="G532" s="4">
        <v>4980</v>
      </c>
      <c r="H532" s="3" t="s">
        <v>40</v>
      </c>
      <c r="I532" s="3" t="s">
        <v>549</v>
      </c>
    </row>
    <row r="533" spans="1:9" ht="19.95" customHeight="1" x14ac:dyDescent="0.2">
      <c r="A533" s="3" t="s">
        <v>867</v>
      </c>
      <c r="B533" s="3" t="s">
        <v>10</v>
      </c>
      <c r="C533" s="3" t="s">
        <v>868</v>
      </c>
      <c r="D533" s="3" t="s">
        <v>866</v>
      </c>
      <c r="E533" s="4">
        <v>6500</v>
      </c>
      <c r="F533" s="5" t="s">
        <v>14</v>
      </c>
      <c r="G533" s="4">
        <v>5490</v>
      </c>
      <c r="H533" s="3" t="s">
        <v>40</v>
      </c>
      <c r="I533" s="3" t="s">
        <v>549</v>
      </c>
    </row>
    <row r="534" spans="1:9" ht="19.95" customHeight="1" x14ac:dyDescent="0.2">
      <c r="A534" s="3" t="s">
        <v>867</v>
      </c>
      <c r="B534" s="3" t="s">
        <v>10</v>
      </c>
      <c r="C534" s="3" t="s">
        <v>869</v>
      </c>
      <c r="D534" s="3" t="s">
        <v>866</v>
      </c>
      <c r="E534" s="4">
        <v>3900</v>
      </c>
      <c r="F534" s="5" t="s">
        <v>14</v>
      </c>
      <c r="G534" s="4">
        <v>3294</v>
      </c>
      <c r="H534" s="3" t="s">
        <v>40</v>
      </c>
      <c r="I534" s="3" t="s">
        <v>549</v>
      </c>
    </row>
    <row r="535" spans="1:9" ht="19.95" customHeight="1" x14ac:dyDescent="0.2">
      <c r="A535" s="3" t="s">
        <v>867</v>
      </c>
      <c r="B535" s="3" t="s">
        <v>10</v>
      </c>
      <c r="C535" s="3" t="s">
        <v>870</v>
      </c>
      <c r="D535" s="3" t="s">
        <v>866</v>
      </c>
      <c r="E535" s="4">
        <v>780</v>
      </c>
      <c r="F535" s="5" t="s">
        <v>14</v>
      </c>
      <c r="G535" s="4">
        <v>658</v>
      </c>
      <c r="H535" s="3" t="s">
        <v>40</v>
      </c>
      <c r="I535" s="3" t="s">
        <v>549</v>
      </c>
    </row>
    <row r="536" spans="1:9" ht="19.95" customHeight="1" x14ac:dyDescent="0.2">
      <c r="A536" s="3" t="s">
        <v>871</v>
      </c>
      <c r="B536" s="3" t="s">
        <v>11</v>
      </c>
      <c r="C536" s="3" t="s">
        <v>872</v>
      </c>
      <c r="D536" s="3" t="s">
        <v>216</v>
      </c>
      <c r="E536" s="4">
        <v>3327</v>
      </c>
      <c r="F536" s="5" t="s">
        <v>39</v>
      </c>
      <c r="G536" s="6"/>
      <c r="H536" s="3" t="s">
        <v>40</v>
      </c>
      <c r="I536" s="3" t="s">
        <v>199</v>
      </c>
    </row>
    <row r="537" spans="1:9" ht="19.95" customHeight="1" x14ac:dyDescent="0.2">
      <c r="A537" s="3" t="s">
        <v>873</v>
      </c>
      <c r="B537" s="3" t="s">
        <v>10</v>
      </c>
      <c r="C537" s="3" t="s">
        <v>872</v>
      </c>
      <c r="D537" s="3" t="s">
        <v>727</v>
      </c>
      <c r="E537" s="4">
        <v>3327</v>
      </c>
      <c r="F537" s="5" t="s">
        <v>39</v>
      </c>
      <c r="G537" s="4">
        <v>2700</v>
      </c>
      <c r="H537" s="3" t="s">
        <v>40</v>
      </c>
      <c r="I537" s="3" t="s">
        <v>199</v>
      </c>
    </row>
    <row r="538" spans="1:9" ht="19.95" customHeight="1" x14ac:dyDescent="0.2">
      <c r="A538" s="3" t="s">
        <v>874</v>
      </c>
      <c r="B538" s="3" t="s">
        <v>10</v>
      </c>
      <c r="C538" s="3" t="s">
        <v>140</v>
      </c>
      <c r="D538" s="3" t="s">
        <v>492</v>
      </c>
      <c r="E538" s="4">
        <v>6100</v>
      </c>
      <c r="F538" s="5" t="s">
        <v>39</v>
      </c>
      <c r="G538" s="4">
        <v>5185</v>
      </c>
      <c r="H538" s="3" t="s">
        <v>40</v>
      </c>
      <c r="I538" s="3" t="s">
        <v>217</v>
      </c>
    </row>
    <row r="539" spans="1:9" ht="19.95" customHeight="1" x14ac:dyDescent="0.2">
      <c r="A539" s="3" t="s">
        <v>874</v>
      </c>
      <c r="B539" s="3" t="s">
        <v>10</v>
      </c>
      <c r="C539" s="3" t="s">
        <v>140</v>
      </c>
      <c r="D539" s="3" t="s">
        <v>492</v>
      </c>
      <c r="E539" s="4">
        <v>6100</v>
      </c>
      <c r="F539" s="5" t="s">
        <v>39</v>
      </c>
      <c r="G539" s="4">
        <v>5185</v>
      </c>
      <c r="H539" s="3" t="s">
        <v>40</v>
      </c>
      <c r="I539" s="3" t="s">
        <v>217</v>
      </c>
    </row>
    <row r="540" spans="1:9" ht="19.95" customHeight="1" x14ac:dyDescent="0.2">
      <c r="A540" s="3" t="s">
        <v>875</v>
      </c>
      <c r="B540" s="3" t="s">
        <v>10</v>
      </c>
      <c r="C540" s="3" t="s">
        <v>142</v>
      </c>
      <c r="D540" s="3" t="s">
        <v>492</v>
      </c>
      <c r="E540" s="4">
        <v>750</v>
      </c>
      <c r="F540" s="5" t="s">
        <v>75</v>
      </c>
      <c r="G540" s="4">
        <v>681</v>
      </c>
      <c r="H540" s="3" t="s">
        <v>40</v>
      </c>
      <c r="I540" s="3" t="s">
        <v>217</v>
      </c>
    </row>
    <row r="541" spans="1:9" ht="19.95" customHeight="1" x14ac:dyDescent="0.2">
      <c r="A541" s="3" t="s">
        <v>876</v>
      </c>
      <c r="B541" s="3" t="s">
        <v>45</v>
      </c>
      <c r="C541" s="3" t="s">
        <v>683</v>
      </c>
      <c r="D541" s="3" t="s">
        <v>205</v>
      </c>
      <c r="E541" s="4">
        <v>2905</v>
      </c>
      <c r="F541" s="5" t="s">
        <v>183</v>
      </c>
      <c r="G541" s="4">
        <v>2586</v>
      </c>
      <c r="H541" s="3" t="s">
        <v>63</v>
      </c>
      <c r="I541" s="3" t="s">
        <v>72</v>
      </c>
    </row>
    <row r="542" spans="1:9" ht="19.95" customHeight="1" x14ac:dyDescent="0.2">
      <c r="A542" s="3" t="s">
        <v>877</v>
      </c>
      <c r="B542" s="3" t="s">
        <v>45</v>
      </c>
      <c r="C542" s="3" t="s">
        <v>683</v>
      </c>
      <c r="D542" s="3" t="s">
        <v>205</v>
      </c>
      <c r="E542" s="4">
        <v>3990</v>
      </c>
      <c r="F542" s="5" t="s">
        <v>183</v>
      </c>
      <c r="G542" s="4">
        <v>3551</v>
      </c>
      <c r="H542" s="3" t="s">
        <v>63</v>
      </c>
      <c r="I542" s="3" t="s">
        <v>72</v>
      </c>
    </row>
    <row r="543" spans="1:9" ht="19.95" customHeight="1" x14ac:dyDescent="0.2">
      <c r="A543" s="3" t="s">
        <v>878</v>
      </c>
      <c r="B543" s="3" t="s">
        <v>115</v>
      </c>
      <c r="C543" s="3" t="s">
        <v>69</v>
      </c>
      <c r="D543" s="3" t="s">
        <v>115</v>
      </c>
      <c r="E543" s="4">
        <v>1040</v>
      </c>
      <c r="F543" s="5" t="s">
        <v>39</v>
      </c>
      <c r="G543" s="4">
        <v>905</v>
      </c>
      <c r="H543" s="3" t="s">
        <v>40</v>
      </c>
      <c r="I543" s="3" t="s">
        <v>296</v>
      </c>
    </row>
    <row r="544" spans="1:9" ht="19.95" customHeight="1" x14ac:dyDescent="0.2">
      <c r="A544" s="3" t="s">
        <v>879</v>
      </c>
      <c r="B544" s="3" t="s">
        <v>115</v>
      </c>
      <c r="C544" s="3" t="s">
        <v>69</v>
      </c>
      <c r="D544" s="3" t="s">
        <v>115</v>
      </c>
      <c r="E544" s="4">
        <v>1040</v>
      </c>
      <c r="F544" s="5" t="s">
        <v>39</v>
      </c>
      <c r="G544" s="4">
        <v>905</v>
      </c>
      <c r="H544" s="3" t="s">
        <v>40</v>
      </c>
      <c r="I544" s="3" t="s">
        <v>296</v>
      </c>
    </row>
    <row r="545" spans="1:9" ht="19.95" customHeight="1" x14ac:dyDescent="0.2">
      <c r="A545" s="3" t="s">
        <v>880</v>
      </c>
      <c r="B545" s="3" t="s">
        <v>110</v>
      </c>
      <c r="C545" s="3" t="s">
        <v>881</v>
      </c>
      <c r="D545" s="3" t="s">
        <v>109</v>
      </c>
      <c r="E545" s="4">
        <v>1852.5</v>
      </c>
      <c r="F545" s="5" t="s">
        <v>14</v>
      </c>
      <c r="G545" s="4">
        <v>1671</v>
      </c>
      <c r="H545" s="3" t="s">
        <v>63</v>
      </c>
      <c r="I545" s="3" t="s">
        <v>346</v>
      </c>
    </row>
    <row r="546" spans="1:9" ht="19.95" customHeight="1" x14ac:dyDescent="0.2">
      <c r="A546" s="3" t="s">
        <v>882</v>
      </c>
      <c r="B546" s="3" t="s">
        <v>10</v>
      </c>
      <c r="C546" s="3" t="s">
        <v>69</v>
      </c>
      <c r="D546" s="3" t="s">
        <v>105</v>
      </c>
      <c r="E546" s="4">
        <v>1250</v>
      </c>
      <c r="F546" s="5" t="s">
        <v>39</v>
      </c>
      <c r="G546" s="4">
        <v>1113</v>
      </c>
      <c r="H546" s="3" t="s">
        <v>40</v>
      </c>
      <c r="I546" s="3" t="s">
        <v>883</v>
      </c>
    </row>
    <row r="547" spans="1:9" ht="19.95" customHeight="1" x14ac:dyDescent="0.2">
      <c r="A547" s="3" t="s">
        <v>884</v>
      </c>
      <c r="B547" s="3" t="s">
        <v>45</v>
      </c>
      <c r="C547" s="3" t="s">
        <v>37</v>
      </c>
      <c r="D547" s="3" t="s">
        <v>319</v>
      </c>
      <c r="E547" s="4">
        <v>13130</v>
      </c>
      <c r="F547" s="5" t="s">
        <v>39</v>
      </c>
      <c r="G547" s="4">
        <v>11554</v>
      </c>
      <c r="H547" s="3" t="s">
        <v>40</v>
      </c>
      <c r="I547" s="3" t="s">
        <v>187</v>
      </c>
    </row>
    <row r="548" spans="1:9" ht="19.95" customHeight="1" x14ac:dyDescent="0.2">
      <c r="A548" s="3" t="s">
        <v>884</v>
      </c>
      <c r="B548" s="3" t="s">
        <v>11</v>
      </c>
      <c r="C548" s="3" t="s">
        <v>37</v>
      </c>
      <c r="D548" s="3" t="s">
        <v>319</v>
      </c>
      <c r="E548" s="4">
        <v>13130</v>
      </c>
      <c r="F548" s="5" t="s">
        <v>39</v>
      </c>
      <c r="G548" s="6"/>
      <c r="H548" s="3" t="s">
        <v>40</v>
      </c>
      <c r="I548" s="3" t="s">
        <v>187</v>
      </c>
    </row>
    <row r="549" spans="1:9" ht="19.95" customHeight="1" x14ac:dyDescent="0.2">
      <c r="A549" s="3" t="s">
        <v>885</v>
      </c>
      <c r="B549" s="3" t="s">
        <v>45</v>
      </c>
      <c r="C549" s="3" t="s">
        <v>37</v>
      </c>
      <c r="D549" s="3" t="s">
        <v>319</v>
      </c>
      <c r="E549" s="4">
        <v>4870</v>
      </c>
      <c r="F549" s="5" t="s">
        <v>39</v>
      </c>
      <c r="G549" s="4">
        <v>4286</v>
      </c>
      <c r="H549" s="3" t="s">
        <v>40</v>
      </c>
      <c r="I549" s="3" t="s">
        <v>187</v>
      </c>
    </row>
    <row r="550" spans="1:9" ht="19.95" customHeight="1" x14ac:dyDescent="0.2">
      <c r="A550" s="3" t="s">
        <v>885</v>
      </c>
      <c r="B550" s="3" t="s">
        <v>45</v>
      </c>
      <c r="C550" s="3" t="s">
        <v>37</v>
      </c>
      <c r="D550" s="3" t="s">
        <v>319</v>
      </c>
      <c r="E550" s="4">
        <v>4870</v>
      </c>
      <c r="F550" s="5" t="s">
        <v>39</v>
      </c>
      <c r="G550" s="4">
        <v>4286</v>
      </c>
      <c r="H550" s="3" t="s">
        <v>40</v>
      </c>
      <c r="I550" s="3" t="s">
        <v>187</v>
      </c>
    </row>
    <row r="551" spans="1:9" ht="19.95" customHeight="1" x14ac:dyDescent="0.2">
      <c r="A551" s="3" t="s">
        <v>886</v>
      </c>
      <c r="B551" s="3" t="s">
        <v>45</v>
      </c>
      <c r="C551" s="3" t="s">
        <v>308</v>
      </c>
      <c r="D551" s="3" t="s">
        <v>319</v>
      </c>
      <c r="E551" s="4">
        <v>5900</v>
      </c>
      <c r="F551" s="5" t="s">
        <v>39</v>
      </c>
      <c r="G551" s="4">
        <v>5015</v>
      </c>
      <c r="H551" s="3" t="s">
        <v>40</v>
      </c>
      <c r="I551" s="3" t="s">
        <v>86</v>
      </c>
    </row>
    <row r="552" spans="1:9" ht="19.95" customHeight="1" x14ac:dyDescent="0.2">
      <c r="A552" s="3" t="s">
        <v>886</v>
      </c>
      <c r="B552" s="3" t="s">
        <v>45</v>
      </c>
      <c r="C552" s="3" t="s">
        <v>308</v>
      </c>
      <c r="D552" s="3" t="s">
        <v>319</v>
      </c>
      <c r="E552" s="4">
        <v>5900</v>
      </c>
      <c r="F552" s="5" t="s">
        <v>39</v>
      </c>
      <c r="G552" s="4">
        <v>5015</v>
      </c>
      <c r="H552" s="3" t="s">
        <v>40</v>
      </c>
      <c r="I552" s="3" t="s">
        <v>86</v>
      </c>
    </row>
    <row r="553" spans="1:9" ht="19.95" customHeight="1" x14ac:dyDescent="0.2">
      <c r="A553" s="3" t="s">
        <v>887</v>
      </c>
      <c r="B553" s="3" t="s">
        <v>11</v>
      </c>
      <c r="C553" s="3" t="s">
        <v>888</v>
      </c>
      <c r="D553" s="3" t="s">
        <v>459</v>
      </c>
      <c r="E553" s="4">
        <v>3050</v>
      </c>
      <c r="F553" s="5" t="s">
        <v>516</v>
      </c>
      <c r="G553" s="6"/>
      <c r="H553" s="3" t="s">
        <v>81</v>
      </c>
      <c r="I553" s="3" t="s">
        <v>889</v>
      </c>
    </row>
    <row r="554" spans="1:9" ht="19.95" customHeight="1" x14ac:dyDescent="0.2">
      <c r="A554" s="3" t="s">
        <v>890</v>
      </c>
      <c r="B554" s="3" t="s">
        <v>45</v>
      </c>
      <c r="C554" s="3" t="s">
        <v>308</v>
      </c>
      <c r="D554" s="3" t="s">
        <v>459</v>
      </c>
      <c r="E554" s="4">
        <v>5900</v>
      </c>
      <c r="F554" s="5" t="s">
        <v>39</v>
      </c>
      <c r="G554" s="4">
        <v>5192</v>
      </c>
      <c r="H554" s="3" t="s">
        <v>40</v>
      </c>
      <c r="I554" s="3" t="s">
        <v>889</v>
      </c>
    </row>
    <row r="555" spans="1:9" ht="19.95" customHeight="1" x14ac:dyDescent="0.2">
      <c r="A555" s="3" t="s">
        <v>890</v>
      </c>
      <c r="B555" s="3" t="s">
        <v>11</v>
      </c>
      <c r="C555" s="3" t="s">
        <v>37</v>
      </c>
      <c r="D555" s="3" t="s">
        <v>459</v>
      </c>
      <c r="E555" s="4">
        <v>590</v>
      </c>
      <c r="F555" s="5" t="s">
        <v>39</v>
      </c>
      <c r="G555" s="6"/>
      <c r="H555" s="3" t="s">
        <v>40</v>
      </c>
      <c r="I555" s="3" t="s">
        <v>889</v>
      </c>
    </row>
    <row r="556" spans="1:9" ht="19.95" customHeight="1" x14ac:dyDescent="0.2">
      <c r="A556" s="3" t="s">
        <v>891</v>
      </c>
      <c r="B556" s="3" t="s">
        <v>11</v>
      </c>
      <c r="C556" s="3" t="s">
        <v>37</v>
      </c>
      <c r="D556" s="3" t="s">
        <v>70</v>
      </c>
      <c r="E556" s="4">
        <v>35550</v>
      </c>
      <c r="F556" s="5" t="s">
        <v>39</v>
      </c>
      <c r="G556" s="6"/>
      <c r="H556" s="3" t="s">
        <v>40</v>
      </c>
      <c r="I556" s="3" t="s">
        <v>251</v>
      </c>
    </row>
    <row r="557" spans="1:9" ht="19.95" customHeight="1" x14ac:dyDescent="0.2">
      <c r="A557" s="3" t="s">
        <v>892</v>
      </c>
      <c r="B557" s="3" t="s">
        <v>10</v>
      </c>
      <c r="C557" s="3" t="s">
        <v>37</v>
      </c>
      <c r="D557" s="3" t="s">
        <v>70</v>
      </c>
      <c r="E557" s="4">
        <v>21780</v>
      </c>
      <c r="F557" s="5" t="s">
        <v>39</v>
      </c>
      <c r="G557" s="4">
        <v>18927</v>
      </c>
      <c r="H557" s="3" t="s">
        <v>40</v>
      </c>
      <c r="I557" s="3" t="s">
        <v>251</v>
      </c>
    </row>
    <row r="558" spans="1:9" ht="19.95" customHeight="1" x14ac:dyDescent="0.2">
      <c r="A558" s="3" t="s">
        <v>893</v>
      </c>
      <c r="B558" s="3" t="s">
        <v>45</v>
      </c>
      <c r="C558" s="3" t="s">
        <v>69</v>
      </c>
      <c r="D558" s="3" t="s">
        <v>105</v>
      </c>
      <c r="E558" s="4">
        <v>3920</v>
      </c>
      <c r="F558" s="5" t="s">
        <v>894</v>
      </c>
      <c r="G558" s="4">
        <v>3293</v>
      </c>
      <c r="H558" s="3" t="s">
        <v>40</v>
      </c>
      <c r="I558" s="3" t="s">
        <v>296</v>
      </c>
    </row>
    <row r="559" spans="1:9" ht="19.95" customHeight="1" x14ac:dyDescent="0.2">
      <c r="A559" s="3" t="s">
        <v>895</v>
      </c>
      <c r="B559" s="3" t="s">
        <v>11</v>
      </c>
      <c r="C559" s="3" t="s">
        <v>69</v>
      </c>
      <c r="D559" s="3" t="s">
        <v>623</v>
      </c>
      <c r="E559" s="4">
        <v>3190</v>
      </c>
      <c r="F559" s="5" t="s">
        <v>39</v>
      </c>
      <c r="G559" s="6"/>
      <c r="H559" s="3" t="s">
        <v>40</v>
      </c>
      <c r="I559" s="3" t="s">
        <v>356</v>
      </c>
    </row>
    <row r="560" spans="1:9" ht="19.95" customHeight="1" x14ac:dyDescent="0.2">
      <c r="A560" s="3" t="s">
        <v>896</v>
      </c>
      <c r="B560" s="3" t="s">
        <v>10</v>
      </c>
      <c r="C560" s="3" t="s">
        <v>897</v>
      </c>
      <c r="D560" s="3" t="s">
        <v>329</v>
      </c>
      <c r="E560" s="4">
        <v>2320</v>
      </c>
      <c r="F560" s="5" t="s">
        <v>111</v>
      </c>
      <c r="G560" s="4">
        <v>2066</v>
      </c>
      <c r="H560" s="3" t="s">
        <v>81</v>
      </c>
      <c r="I560" s="3" t="s">
        <v>82</v>
      </c>
    </row>
    <row r="561" spans="1:9" ht="19.95" customHeight="1" x14ac:dyDescent="0.2">
      <c r="A561" s="3" t="s">
        <v>898</v>
      </c>
      <c r="B561" s="3" t="s">
        <v>11</v>
      </c>
      <c r="C561" s="3" t="s">
        <v>777</v>
      </c>
      <c r="D561" s="3" t="s">
        <v>329</v>
      </c>
      <c r="E561" s="4">
        <v>2348</v>
      </c>
      <c r="F561" s="5" t="s">
        <v>249</v>
      </c>
      <c r="G561" s="6"/>
      <c r="H561" s="3" t="s">
        <v>81</v>
      </c>
      <c r="I561" s="3" t="s">
        <v>82</v>
      </c>
    </row>
    <row r="562" spans="1:9" ht="19.95" customHeight="1" x14ac:dyDescent="0.2">
      <c r="A562" s="3" t="s">
        <v>899</v>
      </c>
      <c r="B562" s="3" t="s">
        <v>11</v>
      </c>
      <c r="C562" s="3" t="s">
        <v>777</v>
      </c>
      <c r="D562" s="3" t="s">
        <v>329</v>
      </c>
      <c r="E562" s="4">
        <v>2452</v>
      </c>
      <c r="F562" s="5" t="s">
        <v>249</v>
      </c>
      <c r="G562" s="6"/>
      <c r="H562" s="3" t="s">
        <v>81</v>
      </c>
      <c r="I562" s="3" t="s">
        <v>82</v>
      </c>
    </row>
    <row r="563" spans="1:9" ht="19.95" customHeight="1" x14ac:dyDescent="0.2">
      <c r="A563" s="3" t="s">
        <v>900</v>
      </c>
      <c r="B563" s="3" t="s">
        <v>11</v>
      </c>
      <c r="C563" s="3" t="s">
        <v>777</v>
      </c>
      <c r="D563" s="3" t="s">
        <v>329</v>
      </c>
      <c r="E563" s="4">
        <v>2380</v>
      </c>
      <c r="F563" s="5" t="s">
        <v>249</v>
      </c>
      <c r="G563" s="6"/>
      <c r="H563" s="3" t="s">
        <v>81</v>
      </c>
      <c r="I563" s="3" t="s">
        <v>82</v>
      </c>
    </row>
    <row r="564" spans="1:9" ht="19.95" customHeight="1" x14ac:dyDescent="0.2">
      <c r="A564" s="3" t="s">
        <v>901</v>
      </c>
      <c r="B564" s="3" t="s">
        <v>91</v>
      </c>
      <c r="C564" s="3" t="s">
        <v>902</v>
      </c>
      <c r="D564" s="3" t="s">
        <v>903</v>
      </c>
      <c r="E564" s="6"/>
      <c r="F564" s="5" t="s">
        <v>11</v>
      </c>
      <c r="G564" s="4">
        <v>394</v>
      </c>
      <c r="H564" s="3" t="s">
        <v>582</v>
      </c>
      <c r="I564" s="3" t="s">
        <v>153</v>
      </c>
    </row>
    <row r="565" spans="1:9" ht="19.95" customHeight="1" x14ac:dyDescent="0.2">
      <c r="A565" s="3" t="s">
        <v>904</v>
      </c>
      <c r="B565" s="3" t="s">
        <v>91</v>
      </c>
      <c r="C565" s="3" t="s">
        <v>69</v>
      </c>
      <c r="D565" s="3" t="s">
        <v>62</v>
      </c>
      <c r="E565" s="4">
        <v>4910</v>
      </c>
      <c r="F565" s="5" t="s">
        <v>39</v>
      </c>
      <c r="G565" s="4">
        <v>4152</v>
      </c>
      <c r="H565" s="3" t="s">
        <v>40</v>
      </c>
      <c r="I565" s="3" t="s">
        <v>325</v>
      </c>
    </row>
    <row r="566" spans="1:9" ht="19.95" customHeight="1" x14ac:dyDescent="0.2">
      <c r="A566" s="3" t="s">
        <v>904</v>
      </c>
      <c r="B566" s="3" t="s">
        <v>91</v>
      </c>
      <c r="C566" s="3" t="s">
        <v>176</v>
      </c>
      <c r="D566" s="3" t="s">
        <v>62</v>
      </c>
      <c r="E566" s="4">
        <v>24550</v>
      </c>
      <c r="F566" s="5" t="s">
        <v>39</v>
      </c>
      <c r="G566" s="4">
        <v>20760</v>
      </c>
      <c r="H566" s="3" t="s">
        <v>40</v>
      </c>
      <c r="I566" s="3" t="s">
        <v>325</v>
      </c>
    </row>
    <row r="567" spans="1:9" ht="19.95" customHeight="1" x14ac:dyDescent="0.2">
      <c r="A567" s="3" t="s">
        <v>905</v>
      </c>
      <c r="B567" s="3" t="s">
        <v>110</v>
      </c>
      <c r="C567" s="3" t="s">
        <v>906</v>
      </c>
      <c r="D567" s="3" t="s">
        <v>102</v>
      </c>
      <c r="E567" s="4">
        <v>4550</v>
      </c>
      <c r="F567" s="5" t="s">
        <v>14</v>
      </c>
      <c r="G567" s="4">
        <v>4053</v>
      </c>
      <c r="H567" s="3" t="s">
        <v>63</v>
      </c>
      <c r="I567" s="3" t="s">
        <v>567</v>
      </c>
    </row>
    <row r="568" spans="1:9" ht="19.95" customHeight="1" x14ac:dyDescent="0.2">
      <c r="A568" s="3" t="s">
        <v>907</v>
      </c>
      <c r="B568" s="3" t="s">
        <v>10</v>
      </c>
      <c r="C568" s="3" t="s">
        <v>136</v>
      </c>
      <c r="D568" s="3" t="s">
        <v>319</v>
      </c>
      <c r="E568" s="4">
        <v>7150</v>
      </c>
      <c r="F568" s="5" t="s">
        <v>14</v>
      </c>
      <c r="G568" s="4">
        <v>6370</v>
      </c>
      <c r="H568" s="3" t="s">
        <v>40</v>
      </c>
      <c r="I568" s="3" t="s">
        <v>167</v>
      </c>
    </row>
    <row r="569" spans="1:9" ht="19.95" customHeight="1" x14ac:dyDescent="0.2">
      <c r="A569" s="3" t="s">
        <v>908</v>
      </c>
      <c r="B569" s="3" t="s">
        <v>10</v>
      </c>
      <c r="C569" s="3" t="s">
        <v>69</v>
      </c>
      <c r="D569" s="3" t="s">
        <v>319</v>
      </c>
      <c r="E569" s="4">
        <v>590</v>
      </c>
      <c r="F569" s="5" t="s">
        <v>39</v>
      </c>
      <c r="G569" s="4">
        <v>526</v>
      </c>
      <c r="H569" s="3" t="s">
        <v>40</v>
      </c>
      <c r="I569" s="3" t="s">
        <v>167</v>
      </c>
    </row>
    <row r="570" spans="1:9" ht="19.95" customHeight="1" x14ac:dyDescent="0.2">
      <c r="A570" s="3" t="s">
        <v>908</v>
      </c>
      <c r="B570" s="3" t="s">
        <v>10</v>
      </c>
      <c r="C570" s="3" t="s">
        <v>140</v>
      </c>
      <c r="D570" s="3" t="s">
        <v>319</v>
      </c>
      <c r="E570" s="4">
        <v>5900</v>
      </c>
      <c r="F570" s="5" t="s">
        <v>39</v>
      </c>
      <c r="G570" s="4">
        <v>5256</v>
      </c>
      <c r="H570" s="3" t="s">
        <v>40</v>
      </c>
      <c r="I570" s="3" t="s">
        <v>167</v>
      </c>
    </row>
    <row r="571" spans="1:9" ht="19.95" customHeight="1" x14ac:dyDescent="0.2">
      <c r="A571" s="3" t="s">
        <v>909</v>
      </c>
      <c r="B571" s="3" t="s">
        <v>10</v>
      </c>
      <c r="C571" s="3" t="s">
        <v>140</v>
      </c>
      <c r="D571" s="3" t="s">
        <v>319</v>
      </c>
      <c r="E571" s="4">
        <v>8900</v>
      </c>
      <c r="F571" s="5" t="s">
        <v>39</v>
      </c>
      <c r="G571" s="4">
        <v>7929</v>
      </c>
      <c r="H571" s="3" t="s">
        <v>40</v>
      </c>
      <c r="I571" s="3" t="s">
        <v>167</v>
      </c>
    </row>
    <row r="572" spans="1:9" ht="19.95" customHeight="1" x14ac:dyDescent="0.2">
      <c r="A572" s="3" t="s">
        <v>910</v>
      </c>
      <c r="B572" s="3" t="s">
        <v>10</v>
      </c>
      <c r="C572" s="3" t="s">
        <v>140</v>
      </c>
      <c r="D572" s="3" t="s">
        <v>319</v>
      </c>
      <c r="E572" s="4">
        <v>5900</v>
      </c>
      <c r="F572" s="5" t="s">
        <v>39</v>
      </c>
      <c r="G572" s="4">
        <v>5256</v>
      </c>
      <c r="H572" s="3" t="s">
        <v>40</v>
      </c>
      <c r="I572" s="3" t="s">
        <v>167</v>
      </c>
    </row>
    <row r="573" spans="1:9" ht="19.95" customHeight="1" x14ac:dyDescent="0.2">
      <c r="A573" s="3" t="s">
        <v>910</v>
      </c>
      <c r="B573" s="3" t="s">
        <v>10</v>
      </c>
      <c r="C573" s="3" t="s">
        <v>140</v>
      </c>
      <c r="D573" s="3" t="s">
        <v>319</v>
      </c>
      <c r="E573" s="4">
        <v>5900</v>
      </c>
      <c r="F573" s="5" t="s">
        <v>39</v>
      </c>
      <c r="G573" s="4">
        <v>5256</v>
      </c>
      <c r="H573" s="3" t="s">
        <v>40</v>
      </c>
      <c r="I573" s="3" t="s">
        <v>167</v>
      </c>
    </row>
    <row r="574" spans="1:9" ht="19.95" customHeight="1" x14ac:dyDescent="0.2">
      <c r="A574" s="3" t="s">
        <v>911</v>
      </c>
      <c r="B574" s="3" t="s">
        <v>110</v>
      </c>
      <c r="C574" s="3" t="s">
        <v>146</v>
      </c>
      <c r="D574" s="3" t="s">
        <v>248</v>
      </c>
      <c r="E574" s="4">
        <v>670</v>
      </c>
      <c r="F574" s="5" t="s">
        <v>148</v>
      </c>
      <c r="G574" s="4">
        <v>609</v>
      </c>
      <c r="H574" s="3" t="s">
        <v>63</v>
      </c>
      <c r="I574" s="3" t="s">
        <v>76</v>
      </c>
    </row>
    <row r="575" spans="1:9" ht="19.95" customHeight="1" x14ac:dyDescent="0.2">
      <c r="A575" s="3" t="s">
        <v>912</v>
      </c>
      <c r="B575" s="3" t="s">
        <v>10</v>
      </c>
      <c r="C575" s="3" t="s">
        <v>133</v>
      </c>
      <c r="D575" s="3" t="s">
        <v>109</v>
      </c>
      <c r="E575" s="4">
        <v>5200</v>
      </c>
      <c r="F575" s="5" t="s">
        <v>39</v>
      </c>
      <c r="G575" s="4">
        <v>4600</v>
      </c>
      <c r="H575" s="3" t="s">
        <v>40</v>
      </c>
      <c r="I575" s="3" t="s">
        <v>317</v>
      </c>
    </row>
    <row r="576" spans="1:9" ht="19.95" customHeight="1" x14ac:dyDescent="0.2">
      <c r="A576" s="3" t="s">
        <v>912</v>
      </c>
      <c r="B576" s="3" t="s">
        <v>10</v>
      </c>
      <c r="C576" s="3" t="s">
        <v>37</v>
      </c>
      <c r="D576" s="3" t="s">
        <v>109</v>
      </c>
      <c r="E576" s="4">
        <v>1040</v>
      </c>
      <c r="F576" s="5" t="s">
        <v>39</v>
      </c>
      <c r="G576" s="4">
        <v>920</v>
      </c>
      <c r="H576" s="3" t="s">
        <v>40</v>
      </c>
      <c r="I576" s="3" t="s">
        <v>317</v>
      </c>
    </row>
    <row r="577" spans="1:9" ht="19.95" customHeight="1" x14ac:dyDescent="0.2">
      <c r="A577" s="3" t="s">
        <v>913</v>
      </c>
      <c r="B577" s="3" t="s">
        <v>11</v>
      </c>
      <c r="C577" s="3" t="s">
        <v>914</v>
      </c>
      <c r="D577" s="3" t="s">
        <v>109</v>
      </c>
      <c r="E577" s="4">
        <v>1000</v>
      </c>
      <c r="F577" s="5" t="s">
        <v>89</v>
      </c>
      <c r="G577" s="6"/>
      <c r="H577" s="3" t="s">
        <v>81</v>
      </c>
      <c r="I577" s="3" t="s">
        <v>317</v>
      </c>
    </row>
    <row r="578" spans="1:9" ht="19.95" customHeight="1" x14ac:dyDescent="0.2">
      <c r="A578" s="3" t="s">
        <v>915</v>
      </c>
      <c r="B578" s="3" t="s">
        <v>10</v>
      </c>
      <c r="C578" s="3" t="s">
        <v>69</v>
      </c>
      <c r="D578" s="3" t="s">
        <v>102</v>
      </c>
      <c r="E578" s="4">
        <v>15300</v>
      </c>
      <c r="F578" s="5" t="s">
        <v>39</v>
      </c>
      <c r="G578" s="4">
        <v>13630</v>
      </c>
      <c r="H578" s="3" t="s">
        <v>40</v>
      </c>
      <c r="I578" s="3" t="s">
        <v>369</v>
      </c>
    </row>
    <row r="579" spans="1:9" ht="19.95" customHeight="1" x14ac:dyDescent="0.2">
      <c r="A579" s="3" t="s">
        <v>916</v>
      </c>
      <c r="B579" s="3" t="s">
        <v>45</v>
      </c>
      <c r="C579" s="3" t="s">
        <v>917</v>
      </c>
      <c r="D579" s="3" t="s">
        <v>477</v>
      </c>
      <c r="E579" s="4">
        <v>10959.2</v>
      </c>
      <c r="F579" s="5" t="s">
        <v>39</v>
      </c>
      <c r="G579" s="4">
        <v>9480</v>
      </c>
      <c r="H579" s="3" t="s">
        <v>40</v>
      </c>
      <c r="I579" s="3" t="s">
        <v>251</v>
      </c>
    </row>
    <row r="580" spans="1:9" ht="19.95" customHeight="1" x14ac:dyDescent="0.2">
      <c r="A580" s="3" t="s">
        <v>918</v>
      </c>
      <c r="B580" s="3" t="s">
        <v>10</v>
      </c>
      <c r="C580" s="3" t="s">
        <v>919</v>
      </c>
      <c r="D580" s="3" t="s">
        <v>262</v>
      </c>
      <c r="E580" s="4">
        <v>1270</v>
      </c>
      <c r="F580" s="5" t="s">
        <v>835</v>
      </c>
      <c r="G580" s="4">
        <v>1154</v>
      </c>
      <c r="H580" s="3" t="s">
        <v>81</v>
      </c>
      <c r="I580" s="3" t="s">
        <v>137</v>
      </c>
    </row>
    <row r="581" spans="1:9" ht="19.95" customHeight="1" x14ac:dyDescent="0.2">
      <c r="A581" s="3" t="s">
        <v>920</v>
      </c>
      <c r="B581" s="3" t="s">
        <v>91</v>
      </c>
      <c r="C581" s="3" t="s">
        <v>69</v>
      </c>
      <c r="D581" s="3" t="s">
        <v>70</v>
      </c>
      <c r="E581" s="4">
        <v>1040</v>
      </c>
      <c r="F581" s="5" t="s">
        <v>39</v>
      </c>
      <c r="G581" s="4">
        <v>940</v>
      </c>
      <c r="H581" s="3" t="s">
        <v>40</v>
      </c>
      <c r="I581" s="3" t="s">
        <v>314</v>
      </c>
    </row>
    <row r="582" spans="1:9" ht="19.95" customHeight="1" x14ac:dyDescent="0.2">
      <c r="A582" s="3" t="s">
        <v>921</v>
      </c>
      <c r="B582" s="3" t="s">
        <v>11</v>
      </c>
      <c r="C582" s="3" t="s">
        <v>194</v>
      </c>
      <c r="D582" s="3" t="s">
        <v>70</v>
      </c>
      <c r="E582" s="4">
        <v>700</v>
      </c>
      <c r="F582" s="5" t="s">
        <v>89</v>
      </c>
      <c r="G582" s="6"/>
      <c r="H582" s="3" t="s">
        <v>81</v>
      </c>
      <c r="I582" s="3" t="s">
        <v>314</v>
      </c>
    </row>
    <row r="583" spans="1:9" ht="19.95" customHeight="1" x14ac:dyDescent="0.2">
      <c r="A583" s="3" t="s">
        <v>922</v>
      </c>
      <c r="B583" s="3" t="s">
        <v>91</v>
      </c>
      <c r="C583" s="3" t="s">
        <v>136</v>
      </c>
      <c r="D583" s="3" t="s">
        <v>216</v>
      </c>
      <c r="E583" s="4">
        <v>3750</v>
      </c>
      <c r="F583" s="5" t="s">
        <v>14</v>
      </c>
      <c r="G583" s="4">
        <v>3391</v>
      </c>
      <c r="H583" s="3" t="s">
        <v>40</v>
      </c>
      <c r="I583" s="3" t="s">
        <v>314</v>
      </c>
    </row>
    <row r="584" spans="1:9" ht="19.95" customHeight="1" x14ac:dyDescent="0.2">
      <c r="A584" s="3" t="s">
        <v>923</v>
      </c>
      <c r="B584" s="3" t="s">
        <v>11</v>
      </c>
      <c r="C584" s="3" t="s">
        <v>69</v>
      </c>
      <c r="D584" s="3" t="s">
        <v>57</v>
      </c>
      <c r="E584" s="4">
        <v>610</v>
      </c>
      <c r="F584" s="5" t="s">
        <v>39</v>
      </c>
      <c r="G584" s="6"/>
      <c r="H584" s="3" t="s">
        <v>40</v>
      </c>
      <c r="I584" s="3" t="s">
        <v>256</v>
      </c>
    </row>
    <row r="585" spans="1:9" ht="19.95" customHeight="1" x14ac:dyDescent="0.2">
      <c r="A585" s="3" t="s">
        <v>924</v>
      </c>
      <c r="B585" s="3" t="s">
        <v>10</v>
      </c>
      <c r="C585" s="3" t="s">
        <v>69</v>
      </c>
      <c r="D585" s="3" t="s">
        <v>109</v>
      </c>
      <c r="E585" s="4">
        <v>610</v>
      </c>
      <c r="F585" s="5" t="s">
        <v>39</v>
      </c>
      <c r="G585" s="4">
        <v>530</v>
      </c>
      <c r="H585" s="3" t="s">
        <v>40</v>
      </c>
      <c r="I585" s="3" t="s">
        <v>256</v>
      </c>
    </row>
    <row r="586" spans="1:9" ht="19.95" customHeight="1" x14ac:dyDescent="0.2">
      <c r="A586" s="3" t="s">
        <v>925</v>
      </c>
      <c r="B586" s="3" t="s">
        <v>45</v>
      </c>
      <c r="C586" s="3" t="s">
        <v>69</v>
      </c>
      <c r="D586" s="3" t="s">
        <v>38</v>
      </c>
      <c r="E586" s="4">
        <v>1130</v>
      </c>
      <c r="F586" s="5" t="s">
        <v>39</v>
      </c>
      <c r="G586" s="4">
        <v>1006</v>
      </c>
      <c r="H586" s="3" t="s">
        <v>40</v>
      </c>
      <c r="I586" s="3" t="s">
        <v>72</v>
      </c>
    </row>
    <row r="587" spans="1:9" ht="19.95" customHeight="1" x14ac:dyDescent="0.2">
      <c r="A587" s="3" t="s">
        <v>926</v>
      </c>
      <c r="B587" s="3" t="s">
        <v>45</v>
      </c>
      <c r="C587" s="3" t="s">
        <v>176</v>
      </c>
      <c r="D587" s="3" t="s">
        <v>477</v>
      </c>
      <c r="E587" s="4">
        <v>3050</v>
      </c>
      <c r="F587" s="5" t="s">
        <v>39</v>
      </c>
      <c r="G587" s="4">
        <v>2623</v>
      </c>
      <c r="H587" s="3" t="s">
        <v>40</v>
      </c>
      <c r="I587" s="3" t="s">
        <v>137</v>
      </c>
    </row>
    <row r="588" spans="1:9" ht="19.95" customHeight="1" x14ac:dyDescent="0.2">
      <c r="A588" s="3" t="s">
        <v>926</v>
      </c>
      <c r="B588" s="3" t="s">
        <v>45</v>
      </c>
      <c r="C588" s="3" t="s">
        <v>176</v>
      </c>
      <c r="D588" s="3" t="s">
        <v>477</v>
      </c>
      <c r="E588" s="4">
        <v>3050</v>
      </c>
      <c r="F588" s="5" t="s">
        <v>39</v>
      </c>
      <c r="G588" s="4">
        <v>2623</v>
      </c>
      <c r="H588" s="3" t="s">
        <v>40</v>
      </c>
      <c r="I588" s="3" t="s">
        <v>137</v>
      </c>
    </row>
    <row r="589" spans="1:9" ht="19.95" customHeight="1" x14ac:dyDescent="0.2">
      <c r="A589" s="3" t="s">
        <v>927</v>
      </c>
      <c r="B589" s="3" t="s">
        <v>11</v>
      </c>
      <c r="C589" s="3" t="s">
        <v>136</v>
      </c>
      <c r="D589" s="3" t="s">
        <v>477</v>
      </c>
      <c r="E589" s="4">
        <v>4700</v>
      </c>
      <c r="F589" s="5" t="s">
        <v>14</v>
      </c>
      <c r="G589" s="6"/>
      <c r="H589" s="3" t="s">
        <v>40</v>
      </c>
      <c r="I589" s="3" t="s">
        <v>137</v>
      </c>
    </row>
    <row r="590" spans="1:9" ht="19.95" customHeight="1" x14ac:dyDescent="0.2">
      <c r="A590" s="3" t="s">
        <v>928</v>
      </c>
      <c r="B590" s="3" t="s">
        <v>45</v>
      </c>
      <c r="C590" s="3" t="s">
        <v>69</v>
      </c>
      <c r="D590" s="3" t="s">
        <v>432</v>
      </c>
      <c r="E590" s="4">
        <v>14930</v>
      </c>
      <c r="F590" s="5" t="s">
        <v>39</v>
      </c>
      <c r="G590" s="4">
        <v>12765</v>
      </c>
      <c r="H590" s="3" t="s">
        <v>40</v>
      </c>
      <c r="I590" s="3" t="s">
        <v>433</v>
      </c>
    </row>
    <row r="591" spans="1:9" ht="19.95" customHeight="1" x14ac:dyDescent="0.2">
      <c r="A591" s="3" t="s">
        <v>929</v>
      </c>
      <c r="B591" s="3" t="s">
        <v>10</v>
      </c>
      <c r="C591" s="3" t="s">
        <v>37</v>
      </c>
      <c r="D591" s="3" t="s">
        <v>38</v>
      </c>
      <c r="E591" s="4">
        <v>1010</v>
      </c>
      <c r="F591" s="5" t="s">
        <v>39</v>
      </c>
      <c r="G591" s="4">
        <v>900</v>
      </c>
      <c r="H591" s="3" t="s">
        <v>40</v>
      </c>
      <c r="I591" s="3" t="s">
        <v>857</v>
      </c>
    </row>
    <row r="592" spans="1:9" ht="19.95" customHeight="1" x14ac:dyDescent="0.2">
      <c r="A592" s="3" t="s">
        <v>930</v>
      </c>
      <c r="B592" s="3" t="s">
        <v>11</v>
      </c>
      <c r="C592" s="3" t="s">
        <v>194</v>
      </c>
      <c r="D592" s="3" t="s">
        <v>355</v>
      </c>
      <c r="E592" s="4">
        <v>610</v>
      </c>
      <c r="F592" s="5" t="s">
        <v>11</v>
      </c>
      <c r="G592" s="4">
        <v>0</v>
      </c>
      <c r="H592" s="3" t="s">
        <v>81</v>
      </c>
      <c r="I592" s="3" t="s">
        <v>195</v>
      </c>
    </row>
    <row r="593" spans="1:9" ht="19.95" customHeight="1" x14ac:dyDescent="0.2">
      <c r="A593" s="3" t="s">
        <v>931</v>
      </c>
      <c r="B593" s="3" t="s">
        <v>10</v>
      </c>
      <c r="C593" s="3" t="s">
        <v>136</v>
      </c>
      <c r="D593" s="3" t="s">
        <v>97</v>
      </c>
      <c r="E593" s="4">
        <v>385</v>
      </c>
      <c r="F593" s="5" t="s">
        <v>128</v>
      </c>
      <c r="G593" s="4">
        <v>349</v>
      </c>
      <c r="H593" s="3" t="s">
        <v>40</v>
      </c>
      <c r="I593" s="3" t="s">
        <v>932</v>
      </c>
    </row>
    <row r="594" spans="1:9" ht="19.95" customHeight="1" x14ac:dyDescent="0.2">
      <c r="A594" s="3" t="s">
        <v>933</v>
      </c>
      <c r="B594" s="3" t="s">
        <v>10</v>
      </c>
      <c r="C594" s="3" t="s">
        <v>934</v>
      </c>
      <c r="D594" s="3" t="s">
        <v>97</v>
      </c>
      <c r="E594" s="4">
        <v>1000</v>
      </c>
      <c r="F594" s="5" t="s">
        <v>935</v>
      </c>
      <c r="G594" s="4">
        <v>890</v>
      </c>
      <c r="H594" s="3" t="s">
        <v>81</v>
      </c>
      <c r="I594" s="3" t="s">
        <v>932</v>
      </c>
    </row>
    <row r="595" spans="1:9" ht="19.95" customHeight="1" x14ac:dyDescent="0.2">
      <c r="A595" s="3" t="s">
        <v>936</v>
      </c>
      <c r="B595" s="3" t="s">
        <v>10</v>
      </c>
      <c r="C595" s="3" t="s">
        <v>937</v>
      </c>
      <c r="D595" s="3" t="s">
        <v>97</v>
      </c>
      <c r="E595" s="4">
        <v>1510</v>
      </c>
      <c r="F595" s="5" t="s">
        <v>148</v>
      </c>
      <c r="G595" s="4">
        <v>1345</v>
      </c>
      <c r="H595" s="3" t="s">
        <v>81</v>
      </c>
      <c r="I595" s="3" t="s">
        <v>932</v>
      </c>
    </row>
    <row r="596" spans="1:9" ht="19.95" customHeight="1" x14ac:dyDescent="0.2">
      <c r="A596" s="3" t="s">
        <v>938</v>
      </c>
      <c r="B596" s="3" t="s">
        <v>10</v>
      </c>
      <c r="C596" s="3" t="s">
        <v>939</v>
      </c>
      <c r="D596" s="3" t="s">
        <v>97</v>
      </c>
      <c r="E596" s="4">
        <v>1000</v>
      </c>
      <c r="F596" s="5" t="s">
        <v>935</v>
      </c>
      <c r="G596" s="4">
        <v>890</v>
      </c>
      <c r="H596" s="3" t="s">
        <v>81</v>
      </c>
      <c r="I596" s="3" t="s">
        <v>932</v>
      </c>
    </row>
    <row r="597" spans="1:9" ht="19.95" customHeight="1" x14ac:dyDescent="0.2">
      <c r="A597" s="3" t="s">
        <v>940</v>
      </c>
      <c r="B597" s="3" t="s">
        <v>91</v>
      </c>
      <c r="C597" s="3" t="s">
        <v>941</v>
      </c>
      <c r="D597" s="3" t="s">
        <v>246</v>
      </c>
      <c r="E597" s="4">
        <v>3620</v>
      </c>
      <c r="F597" s="5" t="s">
        <v>39</v>
      </c>
      <c r="G597" s="4">
        <v>3221</v>
      </c>
      <c r="H597" s="3" t="s">
        <v>40</v>
      </c>
      <c r="I597" s="3" t="s">
        <v>942</v>
      </c>
    </row>
    <row r="598" spans="1:9" ht="19.95" customHeight="1" x14ac:dyDescent="0.2">
      <c r="A598" s="3" t="s">
        <v>943</v>
      </c>
      <c r="B598" s="3" t="s">
        <v>71</v>
      </c>
      <c r="C598" s="3" t="s">
        <v>114</v>
      </c>
      <c r="D598" s="3" t="s">
        <v>944</v>
      </c>
      <c r="E598" s="4">
        <v>3258</v>
      </c>
      <c r="F598" s="5" t="s">
        <v>39</v>
      </c>
      <c r="G598" s="4">
        <v>2961</v>
      </c>
      <c r="H598" s="3" t="s">
        <v>63</v>
      </c>
      <c r="I598" s="3" t="s">
        <v>471</v>
      </c>
    </row>
    <row r="599" spans="1:9" ht="19.95" customHeight="1" x14ac:dyDescent="0.2">
      <c r="A599" s="3" t="s">
        <v>945</v>
      </c>
      <c r="B599" s="3" t="s">
        <v>10</v>
      </c>
      <c r="C599" s="3" t="s">
        <v>140</v>
      </c>
      <c r="D599" s="3" t="s">
        <v>109</v>
      </c>
      <c r="E599" s="4">
        <v>10400</v>
      </c>
      <c r="F599" s="5" t="s">
        <v>39</v>
      </c>
      <c r="G599" s="4">
        <v>9100</v>
      </c>
      <c r="H599" s="3" t="s">
        <v>40</v>
      </c>
      <c r="I599" s="3" t="s">
        <v>59</v>
      </c>
    </row>
    <row r="600" spans="1:9" ht="19.95" customHeight="1" x14ac:dyDescent="0.2">
      <c r="A600" s="3" t="s">
        <v>945</v>
      </c>
      <c r="B600" s="3" t="s">
        <v>10</v>
      </c>
      <c r="C600" s="3" t="s">
        <v>69</v>
      </c>
      <c r="D600" s="3" t="s">
        <v>109</v>
      </c>
      <c r="E600" s="4">
        <v>1040</v>
      </c>
      <c r="F600" s="5" t="s">
        <v>39</v>
      </c>
      <c r="G600" s="4">
        <v>910</v>
      </c>
      <c r="H600" s="3" t="s">
        <v>40</v>
      </c>
      <c r="I600" s="3" t="s">
        <v>59</v>
      </c>
    </row>
    <row r="601" spans="1:9" ht="19.95" customHeight="1" x14ac:dyDescent="0.2">
      <c r="A601" s="3" t="s">
        <v>946</v>
      </c>
      <c r="B601" s="3" t="s">
        <v>10</v>
      </c>
      <c r="C601" s="3" t="s">
        <v>947</v>
      </c>
      <c r="D601" s="3" t="s">
        <v>70</v>
      </c>
      <c r="E601" s="4">
        <v>24939</v>
      </c>
      <c r="F601" s="5" t="s">
        <v>274</v>
      </c>
      <c r="G601" s="4">
        <v>21600</v>
      </c>
      <c r="H601" s="3" t="s">
        <v>81</v>
      </c>
      <c r="I601" s="3" t="s">
        <v>275</v>
      </c>
    </row>
    <row r="602" spans="1:9" ht="19.95" customHeight="1" x14ac:dyDescent="0.2">
      <c r="A602" s="3" t="s">
        <v>948</v>
      </c>
      <c r="B602" s="3" t="s">
        <v>45</v>
      </c>
      <c r="C602" s="3" t="s">
        <v>949</v>
      </c>
      <c r="D602" s="3" t="s">
        <v>623</v>
      </c>
      <c r="E602" s="4">
        <v>2688</v>
      </c>
      <c r="F602" s="5" t="s">
        <v>183</v>
      </c>
      <c r="G602" s="4">
        <v>2394</v>
      </c>
      <c r="H602" s="3" t="s">
        <v>63</v>
      </c>
      <c r="I602" s="3" t="s">
        <v>165</v>
      </c>
    </row>
    <row r="603" spans="1:9" ht="19.95" customHeight="1" x14ac:dyDescent="0.2">
      <c r="A603" s="3" t="s">
        <v>950</v>
      </c>
      <c r="B603" s="3" t="s">
        <v>10</v>
      </c>
      <c r="C603" s="3" t="s">
        <v>158</v>
      </c>
      <c r="D603" s="3" t="s">
        <v>262</v>
      </c>
      <c r="E603" s="4">
        <v>610</v>
      </c>
      <c r="F603" s="5" t="s">
        <v>89</v>
      </c>
      <c r="G603" s="4">
        <v>544</v>
      </c>
      <c r="H603" s="3" t="s">
        <v>81</v>
      </c>
      <c r="I603" s="3" t="s">
        <v>64</v>
      </c>
    </row>
    <row r="604" spans="1:9" ht="19.95" customHeight="1" x14ac:dyDescent="0.2">
      <c r="A604" s="3" t="s">
        <v>951</v>
      </c>
      <c r="B604" s="3" t="s">
        <v>71</v>
      </c>
      <c r="C604" s="3" t="s">
        <v>69</v>
      </c>
      <c r="D604" s="3" t="s">
        <v>246</v>
      </c>
      <c r="E604" s="4">
        <v>1010</v>
      </c>
      <c r="F604" s="5" t="s">
        <v>39</v>
      </c>
      <c r="G604" s="4">
        <v>899</v>
      </c>
      <c r="H604" s="3" t="s">
        <v>40</v>
      </c>
      <c r="I604" s="3" t="s">
        <v>161</v>
      </c>
    </row>
    <row r="605" spans="1:9" ht="19.95" customHeight="1" x14ac:dyDescent="0.2">
      <c r="A605" s="3" t="s">
        <v>952</v>
      </c>
      <c r="B605" s="3" t="s">
        <v>11</v>
      </c>
      <c r="C605" s="3" t="s">
        <v>146</v>
      </c>
      <c r="D605" s="3" t="s">
        <v>147</v>
      </c>
      <c r="E605" s="4">
        <v>925</v>
      </c>
      <c r="F605" s="5" t="s">
        <v>75</v>
      </c>
      <c r="G605" s="6"/>
      <c r="H605" s="3" t="s">
        <v>63</v>
      </c>
      <c r="I605" s="3" t="s">
        <v>76</v>
      </c>
    </row>
    <row r="606" spans="1:9" ht="19.95" customHeight="1" x14ac:dyDescent="0.2">
      <c r="A606" s="3" t="s">
        <v>953</v>
      </c>
      <c r="B606" s="3" t="s">
        <v>11</v>
      </c>
      <c r="C606" s="3" t="s">
        <v>954</v>
      </c>
      <c r="D606" s="3" t="s">
        <v>459</v>
      </c>
      <c r="E606" s="4">
        <v>7080</v>
      </c>
      <c r="F606" s="5" t="s">
        <v>111</v>
      </c>
      <c r="G606" s="6"/>
      <c r="H606" s="3" t="s">
        <v>81</v>
      </c>
      <c r="I606" s="3" t="s">
        <v>167</v>
      </c>
    </row>
    <row r="607" spans="1:9" ht="19.95" customHeight="1" x14ac:dyDescent="0.2">
      <c r="A607" s="3" t="s">
        <v>955</v>
      </c>
      <c r="B607" s="3" t="s">
        <v>45</v>
      </c>
      <c r="C607" s="3" t="s">
        <v>308</v>
      </c>
      <c r="D607" s="3" t="s">
        <v>319</v>
      </c>
      <c r="E607" s="4">
        <v>5900</v>
      </c>
      <c r="F607" s="5" t="s">
        <v>39</v>
      </c>
      <c r="G607" s="4">
        <v>5180</v>
      </c>
      <c r="H607" s="3" t="s">
        <v>40</v>
      </c>
      <c r="I607" s="3" t="s">
        <v>314</v>
      </c>
    </row>
    <row r="608" spans="1:9" ht="19.95" customHeight="1" x14ac:dyDescent="0.2">
      <c r="A608" s="3" t="s">
        <v>955</v>
      </c>
      <c r="B608" s="3" t="s">
        <v>45</v>
      </c>
      <c r="C608" s="3" t="s">
        <v>308</v>
      </c>
      <c r="D608" s="3" t="s">
        <v>319</v>
      </c>
      <c r="E608" s="4">
        <v>5900</v>
      </c>
      <c r="F608" s="5" t="s">
        <v>39</v>
      </c>
      <c r="G608" s="4">
        <v>5180</v>
      </c>
      <c r="H608" s="3" t="s">
        <v>40</v>
      </c>
      <c r="I608" s="3" t="s">
        <v>314</v>
      </c>
    </row>
    <row r="609" spans="1:9" ht="19.95" customHeight="1" x14ac:dyDescent="0.2">
      <c r="A609" s="3" t="s">
        <v>956</v>
      </c>
      <c r="B609" s="3" t="s">
        <v>45</v>
      </c>
      <c r="C609" s="3" t="s">
        <v>308</v>
      </c>
      <c r="D609" s="3" t="s">
        <v>319</v>
      </c>
      <c r="E609" s="4">
        <v>6100</v>
      </c>
      <c r="F609" s="5" t="s">
        <v>39</v>
      </c>
      <c r="G609" s="4">
        <v>5356</v>
      </c>
      <c r="H609" s="3" t="s">
        <v>40</v>
      </c>
      <c r="I609" s="3" t="s">
        <v>314</v>
      </c>
    </row>
    <row r="610" spans="1:9" ht="19.95" customHeight="1" x14ac:dyDescent="0.2">
      <c r="A610" s="3" t="s">
        <v>956</v>
      </c>
      <c r="B610" s="3" t="s">
        <v>45</v>
      </c>
      <c r="C610" s="3" t="s">
        <v>308</v>
      </c>
      <c r="D610" s="3" t="s">
        <v>319</v>
      </c>
      <c r="E610" s="4">
        <v>6100</v>
      </c>
      <c r="F610" s="5" t="s">
        <v>39</v>
      </c>
      <c r="G610" s="4">
        <v>5356</v>
      </c>
      <c r="H610" s="3" t="s">
        <v>40</v>
      </c>
      <c r="I610" s="3" t="s">
        <v>314</v>
      </c>
    </row>
    <row r="611" spans="1:9" ht="19.95" customHeight="1" x14ac:dyDescent="0.2">
      <c r="A611" s="3" t="s">
        <v>957</v>
      </c>
      <c r="B611" s="3" t="s">
        <v>45</v>
      </c>
      <c r="C611" s="3" t="s">
        <v>37</v>
      </c>
      <c r="D611" s="3" t="s">
        <v>109</v>
      </c>
      <c r="E611" s="4">
        <v>1140</v>
      </c>
      <c r="F611" s="5" t="s">
        <v>39</v>
      </c>
      <c r="G611" s="4">
        <v>918</v>
      </c>
      <c r="H611" s="3" t="s">
        <v>40</v>
      </c>
      <c r="I611" s="3" t="s">
        <v>229</v>
      </c>
    </row>
    <row r="612" spans="1:9" ht="19.95" customHeight="1" x14ac:dyDescent="0.2">
      <c r="A612" s="3" t="s">
        <v>958</v>
      </c>
      <c r="B612" s="3" t="s">
        <v>45</v>
      </c>
      <c r="C612" s="3" t="s">
        <v>69</v>
      </c>
      <c r="D612" s="3" t="s">
        <v>109</v>
      </c>
      <c r="E612" s="4">
        <v>1830</v>
      </c>
      <c r="F612" s="5" t="s">
        <v>39</v>
      </c>
      <c r="G612" s="4">
        <v>1473</v>
      </c>
      <c r="H612" s="3" t="s">
        <v>40</v>
      </c>
      <c r="I612" s="3" t="s">
        <v>229</v>
      </c>
    </row>
    <row r="613" spans="1:9" ht="19.95" customHeight="1" x14ac:dyDescent="0.2">
      <c r="A613" s="3" t="s">
        <v>959</v>
      </c>
      <c r="B613" s="3" t="s">
        <v>10</v>
      </c>
      <c r="C613" s="3" t="s">
        <v>69</v>
      </c>
      <c r="D613" s="3" t="s">
        <v>216</v>
      </c>
      <c r="E613" s="4">
        <v>860</v>
      </c>
      <c r="F613" s="5" t="s">
        <v>39</v>
      </c>
      <c r="G613" s="4">
        <v>766</v>
      </c>
      <c r="H613" s="3" t="s">
        <v>40</v>
      </c>
      <c r="I613" s="3" t="s">
        <v>334</v>
      </c>
    </row>
    <row r="614" spans="1:9" ht="19.95" customHeight="1" x14ac:dyDescent="0.2">
      <c r="A614" s="3" t="s">
        <v>960</v>
      </c>
      <c r="B614" s="3" t="s">
        <v>10</v>
      </c>
      <c r="C614" s="3" t="s">
        <v>69</v>
      </c>
      <c r="D614" s="3" t="s">
        <v>216</v>
      </c>
      <c r="E614" s="4">
        <v>1010</v>
      </c>
      <c r="F614" s="5" t="s">
        <v>39</v>
      </c>
      <c r="G614" s="4">
        <v>900</v>
      </c>
      <c r="H614" s="3" t="s">
        <v>40</v>
      </c>
      <c r="I614" s="3" t="s">
        <v>334</v>
      </c>
    </row>
    <row r="615" spans="1:9" ht="19.95" customHeight="1" x14ac:dyDescent="0.2">
      <c r="A615" s="3" t="s">
        <v>961</v>
      </c>
      <c r="B615" s="3" t="s">
        <v>45</v>
      </c>
      <c r="C615" s="3" t="s">
        <v>962</v>
      </c>
      <c r="D615" s="3" t="s">
        <v>432</v>
      </c>
      <c r="E615" s="4">
        <v>1029</v>
      </c>
      <c r="F615" s="5" t="s">
        <v>14</v>
      </c>
      <c r="G615" s="4">
        <v>916</v>
      </c>
      <c r="H615" s="3" t="s">
        <v>63</v>
      </c>
      <c r="I615" s="3" t="s">
        <v>103</v>
      </c>
    </row>
    <row r="616" spans="1:9" ht="19.95" customHeight="1" x14ac:dyDescent="0.2">
      <c r="A616" s="3" t="s">
        <v>963</v>
      </c>
      <c r="B616" s="3" t="s">
        <v>71</v>
      </c>
      <c r="C616" s="3" t="s">
        <v>84</v>
      </c>
      <c r="D616" s="3" t="s">
        <v>262</v>
      </c>
      <c r="E616" s="4">
        <v>2740</v>
      </c>
      <c r="F616" s="5" t="s">
        <v>14</v>
      </c>
      <c r="G616" s="4">
        <v>2490</v>
      </c>
      <c r="H616" s="3" t="s">
        <v>40</v>
      </c>
      <c r="I616" s="3" t="s">
        <v>161</v>
      </c>
    </row>
    <row r="617" spans="1:9" ht="19.95" customHeight="1" x14ac:dyDescent="0.2">
      <c r="A617" s="3" t="s">
        <v>964</v>
      </c>
      <c r="B617" s="3" t="s">
        <v>10</v>
      </c>
      <c r="C617" s="3" t="s">
        <v>965</v>
      </c>
      <c r="D617" s="3" t="s">
        <v>262</v>
      </c>
      <c r="E617" s="4">
        <v>7560</v>
      </c>
      <c r="F617" s="5" t="s">
        <v>39</v>
      </c>
      <c r="G617" s="4">
        <v>6432</v>
      </c>
      <c r="H617" s="3" t="s">
        <v>40</v>
      </c>
      <c r="I617" s="3" t="s">
        <v>161</v>
      </c>
    </row>
    <row r="618" spans="1:9" ht="19.95" customHeight="1" x14ac:dyDescent="0.2">
      <c r="A618" s="3" t="s">
        <v>966</v>
      </c>
      <c r="B618" s="3" t="s">
        <v>10</v>
      </c>
      <c r="C618" s="3" t="s">
        <v>642</v>
      </c>
      <c r="D618" s="3" t="s">
        <v>767</v>
      </c>
      <c r="E618" s="4">
        <v>3000</v>
      </c>
      <c r="F618" s="5" t="s">
        <v>89</v>
      </c>
      <c r="G618" s="4">
        <v>2672</v>
      </c>
      <c r="H618" s="3" t="s">
        <v>81</v>
      </c>
      <c r="I618" s="3" t="s">
        <v>161</v>
      </c>
    </row>
    <row r="619" spans="1:9" ht="19.95" customHeight="1" x14ac:dyDescent="0.2">
      <c r="A619" s="3" t="s">
        <v>967</v>
      </c>
      <c r="B619" s="3" t="s">
        <v>115</v>
      </c>
      <c r="C619" s="3" t="s">
        <v>642</v>
      </c>
      <c r="D619" s="3" t="s">
        <v>115</v>
      </c>
      <c r="E619" s="4">
        <v>3000</v>
      </c>
      <c r="F619" s="5" t="s">
        <v>89</v>
      </c>
      <c r="G619" s="4">
        <v>2675</v>
      </c>
      <c r="H619" s="3" t="s">
        <v>81</v>
      </c>
      <c r="I619" s="3" t="s">
        <v>161</v>
      </c>
    </row>
    <row r="620" spans="1:9" ht="19.95" customHeight="1" x14ac:dyDescent="0.2">
      <c r="A620" s="3" t="s">
        <v>968</v>
      </c>
      <c r="B620" s="3" t="s">
        <v>11</v>
      </c>
      <c r="C620" s="3" t="s">
        <v>133</v>
      </c>
      <c r="D620" s="3" t="s">
        <v>115</v>
      </c>
      <c r="E620" s="4">
        <v>5200</v>
      </c>
      <c r="F620" s="5" t="s">
        <v>39</v>
      </c>
      <c r="G620" s="6"/>
      <c r="H620" s="3" t="s">
        <v>40</v>
      </c>
      <c r="I620" s="3" t="s">
        <v>314</v>
      </c>
    </row>
    <row r="621" spans="1:9" ht="19.95" customHeight="1" x14ac:dyDescent="0.2">
      <c r="A621" s="3" t="s">
        <v>969</v>
      </c>
      <c r="B621" s="3" t="s">
        <v>11</v>
      </c>
      <c r="C621" s="3" t="s">
        <v>140</v>
      </c>
      <c r="D621" s="3" t="s">
        <v>115</v>
      </c>
      <c r="E621" s="4">
        <v>10400</v>
      </c>
      <c r="F621" s="5" t="s">
        <v>39</v>
      </c>
      <c r="G621" s="6"/>
      <c r="H621" s="3" t="s">
        <v>40</v>
      </c>
      <c r="I621" s="3" t="s">
        <v>314</v>
      </c>
    </row>
    <row r="622" spans="1:9" ht="19.95" customHeight="1" x14ac:dyDescent="0.2">
      <c r="A622" s="3" t="s">
        <v>970</v>
      </c>
      <c r="B622" s="3" t="s">
        <v>91</v>
      </c>
      <c r="C622" s="3" t="s">
        <v>176</v>
      </c>
      <c r="D622" s="3" t="s">
        <v>459</v>
      </c>
      <c r="E622" s="4">
        <v>5200</v>
      </c>
      <c r="F622" s="5" t="s">
        <v>39</v>
      </c>
      <c r="G622" s="4">
        <v>4395</v>
      </c>
      <c r="H622" s="3" t="s">
        <v>40</v>
      </c>
      <c r="I622" s="3" t="s">
        <v>314</v>
      </c>
    </row>
    <row r="623" spans="1:9" ht="19.95" customHeight="1" x14ac:dyDescent="0.2">
      <c r="A623" s="3" t="s">
        <v>970</v>
      </c>
      <c r="B623" s="3" t="s">
        <v>91</v>
      </c>
      <c r="C623" s="3" t="s">
        <v>140</v>
      </c>
      <c r="D623" s="3" t="s">
        <v>459</v>
      </c>
      <c r="E623" s="4">
        <v>10400</v>
      </c>
      <c r="F623" s="5" t="s">
        <v>39</v>
      </c>
      <c r="G623" s="4">
        <v>8790</v>
      </c>
      <c r="H623" s="3" t="s">
        <v>40</v>
      </c>
      <c r="I623" s="3" t="s">
        <v>314</v>
      </c>
    </row>
    <row r="624" spans="1:9" ht="19.95" customHeight="1" x14ac:dyDescent="0.2">
      <c r="A624" s="3" t="s">
        <v>971</v>
      </c>
      <c r="B624" s="3" t="s">
        <v>11</v>
      </c>
      <c r="C624" s="3" t="s">
        <v>146</v>
      </c>
      <c r="D624" s="3" t="s">
        <v>38</v>
      </c>
      <c r="E624" s="4">
        <v>3215</v>
      </c>
      <c r="F624" s="5" t="s">
        <v>75</v>
      </c>
      <c r="G624" s="6"/>
      <c r="H624" s="3" t="s">
        <v>63</v>
      </c>
      <c r="I624" s="3" t="s">
        <v>76</v>
      </c>
    </row>
    <row r="625" spans="1:9" ht="19.95" customHeight="1" x14ac:dyDescent="0.2">
      <c r="A625" s="3" t="s">
        <v>972</v>
      </c>
      <c r="B625" s="3" t="s">
        <v>45</v>
      </c>
      <c r="C625" s="3" t="s">
        <v>84</v>
      </c>
      <c r="D625" s="3" t="s">
        <v>85</v>
      </c>
      <c r="E625" s="4">
        <v>9920</v>
      </c>
      <c r="F625" s="5" t="s">
        <v>14</v>
      </c>
      <c r="G625" s="4">
        <v>7638</v>
      </c>
      <c r="H625" s="3" t="s">
        <v>40</v>
      </c>
      <c r="I625" s="3" t="s">
        <v>232</v>
      </c>
    </row>
    <row r="626" spans="1:9" ht="19.95" customHeight="1" x14ac:dyDescent="0.2">
      <c r="A626" s="3" t="s">
        <v>973</v>
      </c>
      <c r="B626" s="3" t="s">
        <v>10</v>
      </c>
      <c r="C626" s="3" t="s">
        <v>69</v>
      </c>
      <c r="D626" s="3" t="s">
        <v>85</v>
      </c>
      <c r="E626" s="4">
        <v>930</v>
      </c>
      <c r="F626" s="5" t="s">
        <v>39</v>
      </c>
      <c r="G626" s="4">
        <v>700</v>
      </c>
      <c r="H626" s="3" t="s">
        <v>40</v>
      </c>
      <c r="I626" s="3" t="s">
        <v>232</v>
      </c>
    </row>
    <row r="627" spans="1:9" ht="19.95" customHeight="1" x14ac:dyDescent="0.2">
      <c r="A627" s="3" t="s">
        <v>974</v>
      </c>
      <c r="B627" s="3" t="s">
        <v>10</v>
      </c>
      <c r="C627" s="3" t="s">
        <v>69</v>
      </c>
      <c r="D627" s="3" t="s">
        <v>85</v>
      </c>
      <c r="E627" s="4">
        <v>1800</v>
      </c>
      <c r="F627" s="5" t="s">
        <v>39</v>
      </c>
      <c r="G627" s="4">
        <v>1355</v>
      </c>
      <c r="H627" s="3" t="s">
        <v>40</v>
      </c>
      <c r="I627" s="3" t="s">
        <v>232</v>
      </c>
    </row>
    <row r="628" spans="1:9" ht="19.95" customHeight="1" x14ac:dyDescent="0.2">
      <c r="A628" s="3" t="s">
        <v>974</v>
      </c>
      <c r="B628" s="3" t="s">
        <v>10</v>
      </c>
      <c r="C628" s="3" t="s">
        <v>140</v>
      </c>
      <c r="D628" s="3" t="s">
        <v>85</v>
      </c>
      <c r="E628" s="4">
        <v>18000</v>
      </c>
      <c r="F628" s="5" t="s">
        <v>39</v>
      </c>
      <c r="G628" s="4">
        <v>13550</v>
      </c>
      <c r="H628" s="3" t="s">
        <v>40</v>
      </c>
      <c r="I628" s="3" t="s">
        <v>232</v>
      </c>
    </row>
    <row r="629" spans="1:9" ht="19.95" customHeight="1" x14ac:dyDescent="0.2">
      <c r="A629" s="3" t="s">
        <v>975</v>
      </c>
      <c r="B629" s="3" t="s">
        <v>10</v>
      </c>
      <c r="C629" s="3" t="s">
        <v>140</v>
      </c>
      <c r="D629" s="3" t="s">
        <v>85</v>
      </c>
      <c r="E629" s="4">
        <v>32000</v>
      </c>
      <c r="F629" s="5" t="s">
        <v>39</v>
      </c>
      <c r="G629" s="4">
        <v>24100</v>
      </c>
      <c r="H629" s="3" t="s">
        <v>40</v>
      </c>
      <c r="I629" s="3" t="s">
        <v>232</v>
      </c>
    </row>
    <row r="630" spans="1:9" ht="19.95" customHeight="1" x14ac:dyDescent="0.2">
      <c r="A630" s="3" t="s">
        <v>975</v>
      </c>
      <c r="B630" s="3" t="s">
        <v>10</v>
      </c>
      <c r="C630" s="3" t="s">
        <v>69</v>
      </c>
      <c r="D630" s="3" t="s">
        <v>85</v>
      </c>
      <c r="E630" s="4">
        <v>3200</v>
      </c>
      <c r="F630" s="5" t="s">
        <v>39</v>
      </c>
      <c r="G630" s="4">
        <v>2410</v>
      </c>
      <c r="H630" s="3" t="s">
        <v>40</v>
      </c>
      <c r="I630" s="3" t="s">
        <v>232</v>
      </c>
    </row>
    <row r="631" spans="1:9" ht="19.95" customHeight="1" x14ac:dyDescent="0.2">
      <c r="A631" s="3" t="s">
        <v>976</v>
      </c>
      <c r="B631" s="3" t="s">
        <v>10</v>
      </c>
      <c r="C631" s="3" t="s">
        <v>37</v>
      </c>
      <c r="D631" s="3" t="s">
        <v>38</v>
      </c>
      <c r="E631" s="4">
        <v>1200</v>
      </c>
      <c r="F631" s="5" t="s">
        <v>39</v>
      </c>
      <c r="G631" s="4">
        <v>1060</v>
      </c>
      <c r="H631" s="3" t="s">
        <v>40</v>
      </c>
      <c r="I631" s="3" t="s">
        <v>557</v>
      </c>
    </row>
    <row r="632" spans="1:9" ht="19.95" customHeight="1" x14ac:dyDescent="0.2">
      <c r="A632" s="3" t="s">
        <v>976</v>
      </c>
      <c r="B632" s="3" t="s">
        <v>11</v>
      </c>
      <c r="C632" s="3" t="s">
        <v>133</v>
      </c>
      <c r="D632" s="3" t="s">
        <v>38</v>
      </c>
      <c r="E632" s="4">
        <v>6000</v>
      </c>
      <c r="F632" s="5" t="s">
        <v>39</v>
      </c>
      <c r="G632" s="6"/>
      <c r="H632" s="3" t="s">
        <v>40</v>
      </c>
      <c r="I632" s="3" t="s">
        <v>557</v>
      </c>
    </row>
    <row r="633" spans="1:9" ht="19.95" customHeight="1" x14ac:dyDescent="0.2">
      <c r="A633" s="3" t="s">
        <v>977</v>
      </c>
      <c r="B633" s="3" t="s">
        <v>45</v>
      </c>
      <c r="C633" s="3" t="s">
        <v>622</v>
      </c>
      <c r="D633" s="3" t="s">
        <v>978</v>
      </c>
      <c r="E633" s="4">
        <v>2184</v>
      </c>
      <c r="F633" s="5" t="s">
        <v>39</v>
      </c>
      <c r="G633" s="4">
        <v>1933</v>
      </c>
      <c r="H633" s="3" t="s">
        <v>40</v>
      </c>
      <c r="I633" s="3" t="s">
        <v>317</v>
      </c>
    </row>
    <row r="634" spans="1:9" ht="19.95" customHeight="1" x14ac:dyDescent="0.2">
      <c r="A634" s="3" t="s">
        <v>979</v>
      </c>
      <c r="B634" s="3" t="s">
        <v>10</v>
      </c>
      <c r="C634" s="3" t="s">
        <v>980</v>
      </c>
      <c r="D634" s="3" t="s">
        <v>38</v>
      </c>
      <c r="E634" s="4">
        <v>252</v>
      </c>
      <c r="F634" s="5" t="s">
        <v>75</v>
      </c>
      <c r="G634" s="4">
        <v>225</v>
      </c>
      <c r="H634" s="3" t="s">
        <v>63</v>
      </c>
      <c r="I634" s="3" t="s">
        <v>404</v>
      </c>
    </row>
    <row r="635" spans="1:9" ht="19.95" customHeight="1" x14ac:dyDescent="0.2">
      <c r="A635" s="3" t="s">
        <v>981</v>
      </c>
      <c r="B635" s="3" t="s">
        <v>115</v>
      </c>
      <c r="C635" s="3" t="s">
        <v>308</v>
      </c>
      <c r="D635" s="3" t="s">
        <v>115</v>
      </c>
      <c r="E635" s="4">
        <v>5300</v>
      </c>
      <c r="F635" s="5" t="s">
        <v>39</v>
      </c>
      <c r="G635" s="4">
        <v>4730</v>
      </c>
      <c r="H635" s="3" t="s">
        <v>40</v>
      </c>
      <c r="I635" s="3" t="s">
        <v>499</v>
      </c>
    </row>
    <row r="636" spans="1:9" ht="19.95" customHeight="1" x14ac:dyDescent="0.2">
      <c r="A636" s="3" t="s">
        <v>982</v>
      </c>
      <c r="B636" s="3" t="s">
        <v>10</v>
      </c>
      <c r="C636" s="3" t="s">
        <v>983</v>
      </c>
      <c r="D636" s="3" t="s">
        <v>38</v>
      </c>
      <c r="E636" s="4">
        <v>2950</v>
      </c>
      <c r="F636" s="5" t="s">
        <v>89</v>
      </c>
      <c r="G636" s="4">
        <v>2681</v>
      </c>
      <c r="H636" s="3" t="s">
        <v>81</v>
      </c>
      <c r="I636" s="3" t="s">
        <v>404</v>
      </c>
    </row>
    <row r="637" spans="1:9" ht="19.95" customHeight="1" x14ac:dyDescent="0.2">
      <c r="A637" s="3" t="s">
        <v>984</v>
      </c>
      <c r="B637" s="3" t="s">
        <v>10</v>
      </c>
      <c r="C637" s="3" t="s">
        <v>69</v>
      </c>
      <c r="D637" s="3" t="s">
        <v>319</v>
      </c>
      <c r="E637" s="4">
        <v>670</v>
      </c>
      <c r="F637" s="5" t="s">
        <v>39</v>
      </c>
      <c r="G637" s="4">
        <v>596</v>
      </c>
      <c r="H637" s="3" t="s">
        <v>40</v>
      </c>
      <c r="I637" s="3" t="s">
        <v>167</v>
      </c>
    </row>
    <row r="638" spans="1:9" ht="19.95" customHeight="1" x14ac:dyDescent="0.2">
      <c r="A638" s="3" t="s">
        <v>985</v>
      </c>
      <c r="B638" s="3" t="s">
        <v>91</v>
      </c>
      <c r="C638" s="3" t="s">
        <v>37</v>
      </c>
      <c r="D638" s="3" t="s">
        <v>327</v>
      </c>
      <c r="E638" s="4">
        <v>14610</v>
      </c>
      <c r="F638" s="5" t="s">
        <v>11</v>
      </c>
      <c r="G638" s="4">
        <v>12478</v>
      </c>
      <c r="H638" s="3" t="s">
        <v>40</v>
      </c>
      <c r="I638" s="3" t="s">
        <v>557</v>
      </c>
    </row>
    <row r="639" spans="1:9" ht="19.95" customHeight="1" x14ac:dyDescent="0.2">
      <c r="A639" s="3" t="s">
        <v>986</v>
      </c>
      <c r="B639" s="3" t="s">
        <v>91</v>
      </c>
      <c r="C639" s="3" t="s">
        <v>987</v>
      </c>
      <c r="D639" s="3" t="s">
        <v>988</v>
      </c>
      <c r="E639" s="4">
        <v>46498</v>
      </c>
      <c r="F639" s="5" t="s">
        <v>148</v>
      </c>
      <c r="G639" s="4">
        <v>41108</v>
      </c>
      <c r="H639" s="3" t="s">
        <v>81</v>
      </c>
      <c r="I639" s="3" t="s">
        <v>112</v>
      </c>
    </row>
    <row r="640" spans="1:9" ht="19.95" customHeight="1" x14ac:dyDescent="0.2">
      <c r="A640" s="3" t="s">
        <v>989</v>
      </c>
      <c r="B640" s="3" t="s">
        <v>91</v>
      </c>
      <c r="C640" s="3" t="s">
        <v>84</v>
      </c>
      <c r="D640" s="3" t="s">
        <v>477</v>
      </c>
      <c r="E640" s="4">
        <v>880</v>
      </c>
      <c r="F640" s="5" t="s">
        <v>14</v>
      </c>
      <c r="G640" s="4">
        <v>784</v>
      </c>
      <c r="H640" s="3" t="s">
        <v>40</v>
      </c>
      <c r="I640" s="3" t="s">
        <v>538</v>
      </c>
    </row>
    <row r="641" spans="1:9" ht="19.95" customHeight="1" x14ac:dyDescent="0.2">
      <c r="A641" s="3" t="s">
        <v>990</v>
      </c>
      <c r="B641" s="3" t="s">
        <v>10</v>
      </c>
      <c r="C641" s="3" t="s">
        <v>37</v>
      </c>
      <c r="D641" s="3" t="s">
        <v>262</v>
      </c>
      <c r="E641" s="4">
        <v>1040</v>
      </c>
      <c r="F641" s="5" t="s">
        <v>39</v>
      </c>
      <c r="G641" s="4">
        <v>853</v>
      </c>
      <c r="H641" s="3" t="s">
        <v>40</v>
      </c>
      <c r="I641" s="3" t="s">
        <v>59</v>
      </c>
    </row>
    <row r="642" spans="1:9" ht="19.95" customHeight="1" x14ac:dyDescent="0.2">
      <c r="A642" s="3" t="s">
        <v>991</v>
      </c>
      <c r="B642" s="3" t="s">
        <v>11</v>
      </c>
      <c r="C642" s="3" t="s">
        <v>69</v>
      </c>
      <c r="D642" s="3" t="s">
        <v>349</v>
      </c>
      <c r="E642" s="4">
        <v>680</v>
      </c>
      <c r="F642" s="5" t="s">
        <v>39</v>
      </c>
      <c r="G642" s="6"/>
      <c r="H642" s="3" t="s">
        <v>40</v>
      </c>
      <c r="I642" s="3" t="s">
        <v>187</v>
      </c>
    </row>
    <row r="643" spans="1:9" ht="19.95" customHeight="1" x14ac:dyDescent="0.2">
      <c r="A643" s="3" t="s">
        <v>992</v>
      </c>
      <c r="B643" s="3" t="s">
        <v>91</v>
      </c>
      <c r="C643" s="3" t="s">
        <v>69</v>
      </c>
      <c r="D643" s="3" t="s">
        <v>205</v>
      </c>
      <c r="E643" s="4">
        <v>14170</v>
      </c>
      <c r="F643" s="5" t="s">
        <v>39</v>
      </c>
      <c r="G643" s="4">
        <v>12125</v>
      </c>
      <c r="H643" s="3" t="s">
        <v>40</v>
      </c>
      <c r="I643" s="3" t="s">
        <v>557</v>
      </c>
    </row>
    <row r="644" spans="1:9" ht="19.95" customHeight="1" x14ac:dyDescent="0.2">
      <c r="A644" s="3" t="s">
        <v>993</v>
      </c>
      <c r="B644" s="3" t="s">
        <v>10</v>
      </c>
      <c r="C644" s="3" t="s">
        <v>994</v>
      </c>
      <c r="D644" s="3" t="s">
        <v>492</v>
      </c>
      <c r="E644" s="4">
        <v>850</v>
      </c>
      <c r="F644" s="5" t="s">
        <v>75</v>
      </c>
      <c r="G644" s="4">
        <v>773</v>
      </c>
      <c r="H644" s="3" t="s">
        <v>63</v>
      </c>
      <c r="I644" s="3" t="s">
        <v>129</v>
      </c>
    </row>
    <row r="645" spans="1:9" ht="19.95" customHeight="1" x14ac:dyDescent="0.2">
      <c r="A645" s="3" t="s">
        <v>995</v>
      </c>
      <c r="B645" s="3" t="s">
        <v>10</v>
      </c>
      <c r="C645" s="3" t="s">
        <v>142</v>
      </c>
      <c r="D645" s="3" t="s">
        <v>93</v>
      </c>
      <c r="E645" s="4">
        <v>1260</v>
      </c>
      <c r="F645" s="5" t="s">
        <v>144</v>
      </c>
      <c r="G645" s="4">
        <v>1123</v>
      </c>
      <c r="H645" s="3" t="s">
        <v>81</v>
      </c>
      <c r="I645" s="3" t="s">
        <v>358</v>
      </c>
    </row>
    <row r="646" spans="1:9" ht="19.95" customHeight="1" x14ac:dyDescent="0.2">
      <c r="A646" s="3" t="s">
        <v>996</v>
      </c>
      <c r="B646" s="3" t="s">
        <v>11</v>
      </c>
      <c r="C646" s="3" t="s">
        <v>997</v>
      </c>
      <c r="D646" s="3" t="s">
        <v>424</v>
      </c>
      <c r="E646" s="4">
        <v>825</v>
      </c>
      <c r="F646" s="5" t="s">
        <v>111</v>
      </c>
      <c r="G646" s="6"/>
      <c r="H646" s="3" t="s">
        <v>81</v>
      </c>
      <c r="I646" s="3" t="s">
        <v>358</v>
      </c>
    </row>
    <row r="647" spans="1:9" ht="19.95" customHeight="1" x14ac:dyDescent="0.2">
      <c r="A647" s="3" t="s">
        <v>998</v>
      </c>
      <c r="B647" s="3" t="s">
        <v>45</v>
      </c>
      <c r="C647" s="3" t="s">
        <v>999</v>
      </c>
      <c r="D647" s="3" t="s">
        <v>697</v>
      </c>
      <c r="E647" s="4">
        <v>7400</v>
      </c>
      <c r="F647" s="5" t="s">
        <v>14</v>
      </c>
      <c r="G647" s="4">
        <v>6592</v>
      </c>
      <c r="H647" s="3" t="s">
        <v>63</v>
      </c>
      <c r="I647" s="3" t="s">
        <v>358</v>
      </c>
    </row>
    <row r="648" spans="1:9" ht="19.95" customHeight="1" x14ac:dyDescent="0.2">
      <c r="A648" s="3" t="s">
        <v>1000</v>
      </c>
      <c r="B648" s="3" t="s">
        <v>45</v>
      </c>
      <c r="C648" s="3" t="s">
        <v>999</v>
      </c>
      <c r="D648" s="3" t="s">
        <v>817</v>
      </c>
      <c r="E648" s="4">
        <v>7400</v>
      </c>
      <c r="F648" s="5" t="s">
        <v>14</v>
      </c>
      <c r="G648" s="4">
        <v>6290</v>
      </c>
      <c r="H648" s="3" t="s">
        <v>63</v>
      </c>
      <c r="I648" s="3" t="s">
        <v>358</v>
      </c>
    </row>
    <row r="649" spans="1:9" ht="19.95" customHeight="1" x14ac:dyDescent="0.2">
      <c r="A649" s="3" t="s">
        <v>1001</v>
      </c>
      <c r="B649" s="3" t="s">
        <v>10</v>
      </c>
      <c r="C649" s="3" t="s">
        <v>84</v>
      </c>
      <c r="D649" s="3" t="s">
        <v>262</v>
      </c>
      <c r="E649" s="4">
        <v>370</v>
      </c>
      <c r="F649" s="5" t="s">
        <v>14</v>
      </c>
      <c r="G649" s="4">
        <v>336</v>
      </c>
      <c r="H649" s="3" t="s">
        <v>63</v>
      </c>
      <c r="I649" s="3" t="s">
        <v>358</v>
      </c>
    </row>
    <row r="650" spans="1:9" ht="19.95" customHeight="1" x14ac:dyDescent="0.2">
      <c r="A650" s="3" t="s">
        <v>1002</v>
      </c>
      <c r="B650" s="3" t="s">
        <v>11</v>
      </c>
      <c r="C650" s="3" t="s">
        <v>1003</v>
      </c>
      <c r="D650" s="3" t="s">
        <v>1004</v>
      </c>
      <c r="E650" s="4">
        <v>35976</v>
      </c>
      <c r="F650" s="5" t="s">
        <v>111</v>
      </c>
      <c r="G650" s="6"/>
      <c r="H650" s="3" t="s">
        <v>81</v>
      </c>
      <c r="I650" s="3" t="s">
        <v>243</v>
      </c>
    </row>
    <row r="651" spans="1:9" ht="19.95" customHeight="1" x14ac:dyDescent="0.2">
      <c r="A651" s="3" t="s">
        <v>1005</v>
      </c>
      <c r="B651" s="3" t="s">
        <v>45</v>
      </c>
      <c r="C651" s="3" t="s">
        <v>69</v>
      </c>
      <c r="D651" s="3" t="s">
        <v>559</v>
      </c>
      <c r="E651" s="4">
        <v>3360</v>
      </c>
      <c r="F651" s="5" t="s">
        <v>39</v>
      </c>
      <c r="G651" s="4">
        <v>2993</v>
      </c>
      <c r="H651" s="3" t="s">
        <v>40</v>
      </c>
      <c r="I651" s="3" t="s">
        <v>296</v>
      </c>
    </row>
    <row r="652" spans="1:9" ht="19.95" customHeight="1" x14ac:dyDescent="0.2">
      <c r="A652" s="3" t="s">
        <v>1006</v>
      </c>
      <c r="B652" s="3" t="s">
        <v>91</v>
      </c>
      <c r="C652" s="3" t="s">
        <v>146</v>
      </c>
      <c r="D652" s="3" t="s">
        <v>1007</v>
      </c>
      <c r="E652" s="4">
        <v>2014</v>
      </c>
      <c r="F652" s="5" t="s">
        <v>148</v>
      </c>
      <c r="G652" s="4">
        <v>1785</v>
      </c>
      <c r="H652" s="3" t="s">
        <v>63</v>
      </c>
      <c r="I652" s="3" t="s">
        <v>76</v>
      </c>
    </row>
    <row r="653" spans="1:9" ht="19.95" customHeight="1" x14ac:dyDescent="0.2">
      <c r="A653" s="3" t="s">
        <v>1008</v>
      </c>
      <c r="B653" s="3" t="s">
        <v>45</v>
      </c>
      <c r="C653" s="3" t="s">
        <v>1009</v>
      </c>
      <c r="D653" s="3" t="s">
        <v>1010</v>
      </c>
      <c r="E653" s="4">
        <v>2982</v>
      </c>
      <c r="F653" s="5" t="s">
        <v>14</v>
      </c>
      <c r="G653" s="4">
        <v>2656</v>
      </c>
      <c r="H653" s="3" t="s">
        <v>63</v>
      </c>
      <c r="I653" s="3" t="s">
        <v>1011</v>
      </c>
    </row>
    <row r="654" spans="1:9" ht="19.95" customHeight="1" x14ac:dyDescent="0.2">
      <c r="A654" s="3" t="s">
        <v>1012</v>
      </c>
      <c r="B654" s="3" t="s">
        <v>45</v>
      </c>
      <c r="C654" s="3" t="s">
        <v>176</v>
      </c>
      <c r="D654" s="3" t="s">
        <v>672</v>
      </c>
      <c r="E654" s="4">
        <v>45400</v>
      </c>
      <c r="F654" s="5" t="s">
        <v>39</v>
      </c>
      <c r="G654" s="4">
        <v>38817</v>
      </c>
      <c r="H654" s="3" t="s">
        <v>40</v>
      </c>
      <c r="I654" s="3" t="s">
        <v>229</v>
      </c>
    </row>
    <row r="655" spans="1:9" ht="19.95" customHeight="1" x14ac:dyDescent="0.2">
      <c r="A655" s="3" t="s">
        <v>1013</v>
      </c>
      <c r="B655" s="3" t="s">
        <v>45</v>
      </c>
      <c r="C655" s="3" t="s">
        <v>69</v>
      </c>
      <c r="D655" s="3" t="s">
        <v>70</v>
      </c>
      <c r="E655" s="4">
        <v>10990</v>
      </c>
      <c r="F655" s="5" t="s">
        <v>39</v>
      </c>
      <c r="G655" s="4">
        <v>9396</v>
      </c>
      <c r="H655" s="3" t="s">
        <v>40</v>
      </c>
      <c r="I655" s="3" t="s">
        <v>229</v>
      </c>
    </row>
    <row r="656" spans="1:9" ht="19.95" customHeight="1" x14ac:dyDescent="0.2">
      <c r="A656" s="3" t="s">
        <v>1014</v>
      </c>
      <c r="B656" s="3" t="s">
        <v>45</v>
      </c>
      <c r="C656" s="3" t="s">
        <v>37</v>
      </c>
      <c r="D656" s="3" t="s">
        <v>459</v>
      </c>
      <c r="E656" s="4">
        <v>730</v>
      </c>
      <c r="F656" s="5" t="s">
        <v>39</v>
      </c>
      <c r="G656" s="4">
        <v>650</v>
      </c>
      <c r="H656" s="3" t="s">
        <v>40</v>
      </c>
      <c r="I656" s="3" t="s">
        <v>165</v>
      </c>
    </row>
    <row r="657" spans="1:9" ht="19.95" customHeight="1" x14ac:dyDescent="0.2">
      <c r="A657" s="3" t="s">
        <v>1015</v>
      </c>
      <c r="B657" s="3" t="s">
        <v>45</v>
      </c>
      <c r="C657" s="3" t="s">
        <v>575</v>
      </c>
      <c r="D657" s="3" t="s">
        <v>1016</v>
      </c>
      <c r="E657" s="4">
        <v>5610</v>
      </c>
      <c r="F657" s="5" t="s">
        <v>148</v>
      </c>
      <c r="G657" s="4">
        <v>4914</v>
      </c>
      <c r="H657" s="3" t="s">
        <v>81</v>
      </c>
      <c r="I657" s="3" t="s">
        <v>165</v>
      </c>
    </row>
    <row r="658" spans="1:9" ht="19.95" customHeight="1" x14ac:dyDescent="0.2">
      <c r="A658" s="3" t="s">
        <v>1017</v>
      </c>
      <c r="B658" s="3" t="s">
        <v>45</v>
      </c>
      <c r="C658" s="3" t="s">
        <v>1018</v>
      </c>
      <c r="D658" s="3" t="s">
        <v>319</v>
      </c>
      <c r="E658" s="4">
        <v>1620</v>
      </c>
      <c r="F658" s="5" t="s">
        <v>14</v>
      </c>
      <c r="G658" s="4">
        <v>1443</v>
      </c>
      <c r="H658" s="3" t="s">
        <v>40</v>
      </c>
      <c r="I658" s="3" t="s">
        <v>314</v>
      </c>
    </row>
    <row r="659" spans="1:9" ht="19.95" customHeight="1" x14ac:dyDescent="0.2">
      <c r="A659" s="3" t="s">
        <v>1019</v>
      </c>
      <c r="B659" s="3" t="s">
        <v>45</v>
      </c>
      <c r="C659" s="3" t="s">
        <v>140</v>
      </c>
      <c r="D659" s="3" t="s">
        <v>319</v>
      </c>
      <c r="E659" s="4">
        <v>7800</v>
      </c>
      <c r="F659" s="5" t="s">
        <v>39</v>
      </c>
      <c r="G659" s="4">
        <v>6786</v>
      </c>
      <c r="H659" s="3" t="s">
        <v>40</v>
      </c>
      <c r="I659" s="3" t="s">
        <v>314</v>
      </c>
    </row>
    <row r="660" spans="1:9" ht="19.95" customHeight="1" x14ac:dyDescent="0.2">
      <c r="A660" s="3" t="s">
        <v>1019</v>
      </c>
      <c r="B660" s="3" t="s">
        <v>45</v>
      </c>
      <c r="C660" s="3" t="s">
        <v>69</v>
      </c>
      <c r="D660" s="3" t="s">
        <v>319</v>
      </c>
      <c r="E660" s="4">
        <v>780</v>
      </c>
      <c r="F660" s="5" t="s">
        <v>39</v>
      </c>
      <c r="G660" s="4">
        <v>679</v>
      </c>
      <c r="H660" s="3" t="s">
        <v>40</v>
      </c>
      <c r="I660" s="3" t="s">
        <v>314</v>
      </c>
    </row>
    <row r="661" spans="1:9" ht="19.95" customHeight="1" x14ac:dyDescent="0.2">
      <c r="A661" s="3" t="s">
        <v>1020</v>
      </c>
      <c r="B661" s="3" t="s">
        <v>10</v>
      </c>
      <c r="C661" s="3" t="s">
        <v>1021</v>
      </c>
      <c r="D661" s="3" t="s">
        <v>327</v>
      </c>
      <c r="E661" s="4">
        <v>5305.3</v>
      </c>
      <c r="F661" s="5" t="s">
        <v>14</v>
      </c>
      <c r="G661" s="4">
        <v>4663</v>
      </c>
      <c r="H661" s="3" t="s">
        <v>40</v>
      </c>
      <c r="I661" s="3" t="s">
        <v>64</v>
      </c>
    </row>
    <row r="662" spans="1:9" ht="19.95" customHeight="1" x14ac:dyDescent="0.2">
      <c r="A662" s="3" t="s">
        <v>1022</v>
      </c>
      <c r="B662" s="3" t="s">
        <v>45</v>
      </c>
      <c r="C662" s="3" t="s">
        <v>1023</v>
      </c>
      <c r="D662" s="3" t="s">
        <v>1024</v>
      </c>
      <c r="E662" s="4">
        <v>3290</v>
      </c>
      <c r="F662" s="5" t="s">
        <v>111</v>
      </c>
      <c r="G662" s="4">
        <v>2912</v>
      </c>
      <c r="H662" s="3" t="s">
        <v>81</v>
      </c>
      <c r="I662" s="3" t="s">
        <v>454</v>
      </c>
    </row>
    <row r="663" spans="1:9" ht="19.95" customHeight="1" x14ac:dyDescent="0.2">
      <c r="A663" s="3" t="s">
        <v>1025</v>
      </c>
      <c r="B663" s="3" t="s">
        <v>45</v>
      </c>
      <c r="C663" s="3" t="s">
        <v>84</v>
      </c>
      <c r="D663" s="3" t="s">
        <v>102</v>
      </c>
      <c r="E663" s="4">
        <v>1130</v>
      </c>
      <c r="F663" s="5" t="s">
        <v>14</v>
      </c>
      <c r="G663" s="4">
        <v>942</v>
      </c>
      <c r="H663" s="3" t="s">
        <v>63</v>
      </c>
      <c r="I663" s="3" t="s">
        <v>129</v>
      </c>
    </row>
    <row r="664" spans="1:9" ht="19.95" customHeight="1" x14ac:dyDescent="0.2">
      <c r="A664" s="3" t="s">
        <v>1026</v>
      </c>
      <c r="B664" s="3" t="s">
        <v>11</v>
      </c>
      <c r="C664" s="3" t="s">
        <v>69</v>
      </c>
      <c r="D664" s="3" t="s">
        <v>1027</v>
      </c>
      <c r="E664" s="4">
        <v>2290</v>
      </c>
      <c r="F664" s="5" t="s">
        <v>39</v>
      </c>
      <c r="G664" s="6"/>
      <c r="H664" s="3" t="s">
        <v>63</v>
      </c>
      <c r="I664" s="3" t="s">
        <v>471</v>
      </c>
    </row>
    <row r="665" spans="1:9" ht="19.95" customHeight="1" x14ac:dyDescent="0.2">
      <c r="A665" s="3" t="s">
        <v>1028</v>
      </c>
      <c r="B665" s="3" t="s">
        <v>115</v>
      </c>
      <c r="C665" s="3" t="s">
        <v>37</v>
      </c>
      <c r="D665" s="3" t="s">
        <v>115</v>
      </c>
      <c r="E665" s="4">
        <v>1040</v>
      </c>
      <c r="F665" s="5" t="s">
        <v>39</v>
      </c>
      <c r="G665" s="4">
        <v>875</v>
      </c>
      <c r="H665" s="3" t="s">
        <v>40</v>
      </c>
      <c r="I665" s="3" t="s">
        <v>433</v>
      </c>
    </row>
    <row r="666" spans="1:9" ht="19.95" customHeight="1" x14ac:dyDescent="0.2">
      <c r="A666" s="3" t="s">
        <v>1029</v>
      </c>
      <c r="B666" s="3" t="s">
        <v>115</v>
      </c>
      <c r="C666" s="3" t="s">
        <v>133</v>
      </c>
      <c r="D666" s="3" t="s">
        <v>115</v>
      </c>
      <c r="E666" s="4">
        <v>5200</v>
      </c>
      <c r="F666" s="5" t="s">
        <v>39</v>
      </c>
      <c r="G666" s="4">
        <v>4375</v>
      </c>
      <c r="H666" s="3" t="s">
        <v>40</v>
      </c>
      <c r="I666" s="3" t="s">
        <v>433</v>
      </c>
    </row>
    <row r="667" spans="1:9" ht="19.95" customHeight="1" x14ac:dyDescent="0.2">
      <c r="A667" s="3" t="s">
        <v>1030</v>
      </c>
      <c r="B667" s="3" t="s">
        <v>11</v>
      </c>
      <c r="C667" s="3" t="s">
        <v>1031</v>
      </c>
      <c r="D667" s="3" t="s">
        <v>262</v>
      </c>
      <c r="E667" s="4">
        <v>8630</v>
      </c>
      <c r="F667" s="5" t="s">
        <v>111</v>
      </c>
      <c r="G667" s="6"/>
      <c r="H667" s="3" t="s">
        <v>81</v>
      </c>
      <c r="I667" s="3" t="s">
        <v>369</v>
      </c>
    </row>
    <row r="668" spans="1:9" ht="19.95" customHeight="1" x14ac:dyDescent="0.2">
      <c r="A668" s="3" t="s">
        <v>1032</v>
      </c>
      <c r="B668" s="3" t="s">
        <v>91</v>
      </c>
      <c r="C668" s="3" t="s">
        <v>1033</v>
      </c>
      <c r="D668" s="3" t="s">
        <v>70</v>
      </c>
      <c r="E668" s="4">
        <v>1880</v>
      </c>
      <c r="F668" s="5" t="s">
        <v>89</v>
      </c>
      <c r="G668" s="4">
        <v>1660</v>
      </c>
      <c r="H668" s="3" t="s">
        <v>81</v>
      </c>
      <c r="I668" s="3" t="s">
        <v>334</v>
      </c>
    </row>
    <row r="669" spans="1:9" ht="19.95" customHeight="1" x14ac:dyDescent="0.2">
      <c r="A669" s="3" t="s">
        <v>1034</v>
      </c>
      <c r="B669" s="3" t="s">
        <v>11</v>
      </c>
      <c r="C669" s="3" t="s">
        <v>1035</v>
      </c>
      <c r="D669" s="3" t="s">
        <v>978</v>
      </c>
      <c r="E669" s="4">
        <v>14220</v>
      </c>
      <c r="F669" s="5" t="s">
        <v>585</v>
      </c>
      <c r="G669" s="4">
        <v>0</v>
      </c>
      <c r="H669" s="3" t="s">
        <v>40</v>
      </c>
      <c r="I669" s="3" t="s">
        <v>137</v>
      </c>
    </row>
    <row r="670" spans="1:9" ht="19.95" customHeight="1" x14ac:dyDescent="0.2">
      <c r="A670" s="3" t="s">
        <v>1036</v>
      </c>
      <c r="B670" s="3" t="s">
        <v>91</v>
      </c>
      <c r="C670" s="3" t="s">
        <v>1037</v>
      </c>
      <c r="D670" s="3" t="s">
        <v>93</v>
      </c>
      <c r="E670" s="4">
        <v>5020</v>
      </c>
      <c r="F670" s="5" t="s">
        <v>98</v>
      </c>
      <c r="G670" s="4">
        <v>4460</v>
      </c>
      <c r="H670" s="3" t="s">
        <v>81</v>
      </c>
      <c r="I670" s="3" t="s">
        <v>99</v>
      </c>
    </row>
    <row r="671" spans="1:9" ht="19.95" customHeight="1" x14ac:dyDescent="0.2">
      <c r="A671" s="3" t="s">
        <v>1038</v>
      </c>
      <c r="B671" s="3" t="s">
        <v>91</v>
      </c>
      <c r="C671" s="3" t="s">
        <v>222</v>
      </c>
      <c r="D671" s="3" t="s">
        <v>93</v>
      </c>
      <c r="E671" s="4">
        <v>5580</v>
      </c>
      <c r="F671" s="5" t="s">
        <v>98</v>
      </c>
      <c r="G671" s="4">
        <v>4960</v>
      </c>
      <c r="H671" s="3" t="s">
        <v>81</v>
      </c>
      <c r="I671" s="3" t="s">
        <v>99</v>
      </c>
    </row>
    <row r="672" spans="1:9" ht="19.95" customHeight="1" x14ac:dyDescent="0.2">
      <c r="A672" s="3" t="s">
        <v>1039</v>
      </c>
      <c r="B672" s="3" t="s">
        <v>91</v>
      </c>
      <c r="C672" s="3" t="s">
        <v>1040</v>
      </c>
      <c r="D672" s="3" t="s">
        <v>1041</v>
      </c>
      <c r="E672" s="4">
        <v>4800</v>
      </c>
      <c r="F672" s="5" t="s">
        <v>75</v>
      </c>
      <c r="G672" s="4">
        <v>4233</v>
      </c>
      <c r="H672" s="3" t="s">
        <v>63</v>
      </c>
      <c r="I672" s="3" t="s">
        <v>1042</v>
      </c>
    </row>
    <row r="673" spans="1:9" ht="19.95" customHeight="1" x14ac:dyDescent="0.2">
      <c r="A673" s="3" t="s">
        <v>1043</v>
      </c>
      <c r="B673" s="3" t="s">
        <v>11</v>
      </c>
      <c r="C673" s="3" t="s">
        <v>1044</v>
      </c>
      <c r="D673" s="3" t="s">
        <v>1041</v>
      </c>
      <c r="E673" s="6"/>
      <c r="F673" s="5" t="s">
        <v>11</v>
      </c>
      <c r="G673" s="6"/>
      <c r="H673" s="3" t="s">
        <v>582</v>
      </c>
      <c r="I673" s="3" t="s">
        <v>153</v>
      </c>
    </row>
    <row r="674" spans="1:9" ht="19.95" customHeight="1" x14ac:dyDescent="0.2">
      <c r="A674" s="3" t="s">
        <v>1045</v>
      </c>
      <c r="B674" s="3" t="s">
        <v>11</v>
      </c>
      <c r="C674" s="3" t="s">
        <v>1046</v>
      </c>
      <c r="D674" s="3" t="s">
        <v>551</v>
      </c>
      <c r="E674" s="4">
        <v>690</v>
      </c>
      <c r="F674" s="5" t="s">
        <v>89</v>
      </c>
      <c r="G674" s="6"/>
      <c r="H674" s="3" t="s">
        <v>81</v>
      </c>
      <c r="I674" s="3" t="s">
        <v>889</v>
      </c>
    </row>
    <row r="675" spans="1:9" ht="19.95" customHeight="1" x14ac:dyDescent="0.2">
      <c r="A675" s="3" t="s">
        <v>1047</v>
      </c>
      <c r="B675" s="3" t="s">
        <v>91</v>
      </c>
      <c r="C675" s="3" t="s">
        <v>1048</v>
      </c>
      <c r="D675" s="3" t="s">
        <v>349</v>
      </c>
      <c r="E675" s="4">
        <v>8169</v>
      </c>
      <c r="F675" s="5" t="s">
        <v>171</v>
      </c>
      <c r="G675" s="4">
        <v>7271</v>
      </c>
      <c r="H675" s="3" t="s">
        <v>40</v>
      </c>
      <c r="I675" s="3" t="s">
        <v>557</v>
      </c>
    </row>
    <row r="676" spans="1:9" ht="19.95" customHeight="1" x14ac:dyDescent="0.2">
      <c r="A676" s="3" t="s">
        <v>1049</v>
      </c>
      <c r="B676" s="3" t="s">
        <v>45</v>
      </c>
      <c r="C676" s="3" t="s">
        <v>37</v>
      </c>
      <c r="D676" s="3" t="s">
        <v>311</v>
      </c>
      <c r="E676" s="4">
        <v>730</v>
      </c>
      <c r="F676" s="5" t="s">
        <v>39</v>
      </c>
      <c r="G676" s="4">
        <v>604</v>
      </c>
      <c r="H676" s="3" t="s">
        <v>40</v>
      </c>
      <c r="I676" s="3" t="s">
        <v>156</v>
      </c>
    </row>
    <row r="677" spans="1:9" ht="19.95" customHeight="1" x14ac:dyDescent="0.2">
      <c r="A677" s="3" t="s">
        <v>1050</v>
      </c>
      <c r="B677" s="3" t="s">
        <v>45</v>
      </c>
      <c r="C677" s="3" t="s">
        <v>1051</v>
      </c>
      <c r="D677" s="3" t="s">
        <v>751</v>
      </c>
      <c r="E677" s="4">
        <v>9600</v>
      </c>
      <c r="F677" s="5" t="s">
        <v>14</v>
      </c>
      <c r="G677" s="4">
        <v>8740</v>
      </c>
      <c r="H677" s="3" t="s">
        <v>40</v>
      </c>
      <c r="I677" s="3" t="s">
        <v>317</v>
      </c>
    </row>
    <row r="678" spans="1:9" ht="19.95" customHeight="1" x14ac:dyDescent="0.2">
      <c r="A678" s="3" t="s">
        <v>1050</v>
      </c>
      <c r="B678" s="3" t="s">
        <v>45</v>
      </c>
      <c r="C678" s="3" t="s">
        <v>1052</v>
      </c>
      <c r="D678" s="3" t="s">
        <v>751</v>
      </c>
      <c r="E678" s="4">
        <v>3840</v>
      </c>
      <c r="F678" s="5" t="s">
        <v>14</v>
      </c>
      <c r="G678" s="4">
        <v>3496</v>
      </c>
      <c r="H678" s="3" t="s">
        <v>40</v>
      </c>
      <c r="I678" s="3" t="s">
        <v>317</v>
      </c>
    </row>
    <row r="679" spans="1:9" ht="19.95" customHeight="1" x14ac:dyDescent="0.2">
      <c r="A679" s="3" t="s">
        <v>1053</v>
      </c>
      <c r="B679" s="3" t="s">
        <v>45</v>
      </c>
      <c r="C679" s="3" t="s">
        <v>245</v>
      </c>
      <c r="D679" s="3" t="s">
        <v>459</v>
      </c>
      <c r="E679" s="4">
        <v>555</v>
      </c>
      <c r="F679" s="5" t="s">
        <v>14</v>
      </c>
      <c r="G679" s="4">
        <v>494</v>
      </c>
      <c r="H679" s="3" t="s">
        <v>63</v>
      </c>
      <c r="I679" s="3" t="s">
        <v>129</v>
      </c>
    </row>
    <row r="680" spans="1:9" ht="19.95" customHeight="1" x14ac:dyDescent="0.2">
      <c r="A680" s="3" t="s">
        <v>1054</v>
      </c>
      <c r="B680" s="3" t="s">
        <v>45</v>
      </c>
      <c r="C680" s="3" t="s">
        <v>133</v>
      </c>
      <c r="D680" s="3" t="s">
        <v>85</v>
      </c>
      <c r="E680" s="4">
        <v>7000</v>
      </c>
      <c r="F680" s="5" t="s">
        <v>39</v>
      </c>
      <c r="G680" s="4">
        <v>6236</v>
      </c>
      <c r="H680" s="3" t="s">
        <v>40</v>
      </c>
      <c r="I680" s="3" t="s">
        <v>251</v>
      </c>
    </row>
    <row r="681" spans="1:9" ht="19.95" customHeight="1" x14ac:dyDescent="0.2">
      <c r="A681" s="3" t="s">
        <v>1055</v>
      </c>
      <c r="B681" s="3" t="s">
        <v>11</v>
      </c>
      <c r="C681" s="3" t="s">
        <v>140</v>
      </c>
      <c r="D681" s="3" t="s">
        <v>205</v>
      </c>
      <c r="E681" s="4">
        <v>17500</v>
      </c>
      <c r="F681" s="5" t="s">
        <v>39</v>
      </c>
      <c r="G681" s="6"/>
      <c r="H681" s="3" t="s">
        <v>40</v>
      </c>
      <c r="I681" s="3" t="s">
        <v>314</v>
      </c>
    </row>
    <row r="682" spans="1:9" ht="19.95" customHeight="1" x14ac:dyDescent="0.2">
      <c r="A682" s="3" t="s">
        <v>1055</v>
      </c>
      <c r="B682" s="3" t="s">
        <v>91</v>
      </c>
      <c r="C682" s="3" t="s">
        <v>69</v>
      </c>
      <c r="D682" s="3" t="s">
        <v>205</v>
      </c>
      <c r="E682" s="4">
        <v>1750</v>
      </c>
      <c r="F682" s="5" t="s">
        <v>39</v>
      </c>
      <c r="G682" s="4">
        <v>1417</v>
      </c>
      <c r="H682" s="3" t="s">
        <v>40</v>
      </c>
      <c r="I682" s="3" t="s">
        <v>314</v>
      </c>
    </row>
    <row r="683" spans="1:9" ht="19.95" customHeight="1" x14ac:dyDescent="0.2">
      <c r="A683" s="3" t="s">
        <v>1056</v>
      </c>
      <c r="B683" s="3" t="s">
        <v>45</v>
      </c>
      <c r="C683" s="3" t="s">
        <v>308</v>
      </c>
      <c r="D683" s="3" t="s">
        <v>446</v>
      </c>
      <c r="E683" s="4">
        <v>5900</v>
      </c>
      <c r="F683" s="5" t="s">
        <v>39</v>
      </c>
      <c r="G683" s="4">
        <v>3540</v>
      </c>
      <c r="H683" s="3" t="s">
        <v>40</v>
      </c>
      <c r="I683" s="3" t="s">
        <v>1057</v>
      </c>
    </row>
    <row r="684" spans="1:9" ht="19.95" customHeight="1" x14ac:dyDescent="0.2">
      <c r="A684" s="3" t="s">
        <v>1056</v>
      </c>
      <c r="B684" s="3" t="s">
        <v>45</v>
      </c>
      <c r="C684" s="3" t="s">
        <v>140</v>
      </c>
      <c r="D684" s="3" t="s">
        <v>446</v>
      </c>
      <c r="E684" s="4">
        <v>5900</v>
      </c>
      <c r="F684" s="5" t="s">
        <v>39</v>
      </c>
      <c r="G684" s="4">
        <v>3540</v>
      </c>
      <c r="H684" s="3" t="s">
        <v>40</v>
      </c>
      <c r="I684" s="3" t="s">
        <v>1057</v>
      </c>
    </row>
    <row r="685" spans="1:9" ht="19.95" customHeight="1" x14ac:dyDescent="0.2">
      <c r="A685" s="3" t="s">
        <v>1058</v>
      </c>
      <c r="B685" s="3" t="s">
        <v>45</v>
      </c>
      <c r="C685" s="3" t="s">
        <v>133</v>
      </c>
      <c r="D685" s="3" t="s">
        <v>446</v>
      </c>
      <c r="E685" s="4">
        <v>2950</v>
      </c>
      <c r="F685" s="5" t="s">
        <v>39</v>
      </c>
      <c r="G685" s="4">
        <v>1770</v>
      </c>
      <c r="H685" s="3" t="s">
        <v>40</v>
      </c>
      <c r="I685" s="3" t="s">
        <v>1057</v>
      </c>
    </row>
    <row r="686" spans="1:9" ht="19.95" customHeight="1" x14ac:dyDescent="0.2">
      <c r="A686" s="3" t="s">
        <v>1058</v>
      </c>
      <c r="B686" s="3" t="s">
        <v>45</v>
      </c>
      <c r="C686" s="3" t="s">
        <v>176</v>
      </c>
      <c r="D686" s="3" t="s">
        <v>446</v>
      </c>
      <c r="E686" s="4">
        <v>2950</v>
      </c>
      <c r="F686" s="5" t="s">
        <v>39</v>
      </c>
      <c r="G686" s="4">
        <v>1770</v>
      </c>
      <c r="H686" s="3" t="s">
        <v>40</v>
      </c>
      <c r="I686" s="3" t="s">
        <v>1057</v>
      </c>
    </row>
    <row r="687" spans="1:9" ht="19.95" customHeight="1" x14ac:dyDescent="0.2">
      <c r="A687" s="3" t="s">
        <v>1059</v>
      </c>
      <c r="B687" s="3" t="s">
        <v>11</v>
      </c>
      <c r="C687" s="3" t="s">
        <v>37</v>
      </c>
      <c r="D687" s="3" t="s">
        <v>295</v>
      </c>
      <c r="E687" s="4">
        <v>1700</v>
      </c>
      <c r="F687" s="5" t="s">
        <v>39</v>
      </c>
      <c r="G687" s="6"/>
      <c r="H687" s="3" t="s">
        <v>40</v>
      </c>
      <c r="I687" s="3" t="s">
        <v>86</v>
      </c>
    </row>
    <row r="688" spans="1:9" ht="19.95" customHeight="1" x14ac:dyDescent="0.2">
      <c r="A688" s="3" t="s">
        <v>1060</v>
      </c>
      <c r="B688" s="3" t="s">
        <v>10</v>
      </c>
      <c r="C688" s="3" t="s">
        <v>69</v>
      </c>
      <c r="D688" s="3" t="s">
        <v>319</v>
      </c>
      <c r="E688" s="4">
        <v>610</v>
      </c>
      <c r="F688" s="5" t="s">
        <v>39</v>
      </c>
      <c r="G688" s="4">
        <v>543</v>
      </c>
      <c r="H688" s="3" t="s">
        <v>40</v>
      </c>
      <c r="I688" s="3" t="s">
        <v>187</v>
      </c>
    </row>
    <row r="689" spans="1:9" ht="19.95" customHeight="1" x14ac:dyDescent="0.2">
      <c r="A689" s="3" t="s">
        <v>1061</v>
      </c>
      <c r="B689" s="3" t="s">
        <v>10</v>
      </c>
      <c r="C689" s="3" t="s">
        <v>69</v>
      </c>
      <c r="D689" s="3" t="s">
        <v>319</v>
      </c>
      <c r="E689" s="4">
        <v>870</v>
      </c>
      <c r="F689" s="5" t="s">
        <v>39</v>
      </c>
      <c r="G689" s="4">
        <v>775</v>
      </c>
      <c r="H689" s="3" t="s">
        <v>40</v>
      </c>
      <c r="I689" s="3" t="s">
        <v>187</v>
      </c>
    </row>
    <row r="690" spans="1:9" ht="19.95" customHeight="1" x14ac:dyDescent="0.2">
      <c r="A690" s="3" t="s">
        <v>1062</v>
      </c>
      <c r="B690" s="3" t="s">
        <v>91</v>
      </c>
      <c r="C690" s="3" t="s">
        <v>1063</v>
      </c>
      <c r="D690" s="3" t="s">
        <v>93</v>
      </c>
      <c r="E690" s="4">
        <v>13805</v>
      </c>
      <c r="F690" s="5" t="s">
        <v>75</v>
      </c>
      <c r="G690" s="4">
        <v>12254</v>
      </c>
      <c r="H690" s="3" t="s">
        <v>63</v>
      </c>
      <c r="I690" s="3" t="s">
        <v>76</v>
      </c>
    </row>
    <row r="691" spans="1:9" ht="19.95" customHeight="1" x14ac:dyDescent="0.2">
      <c r="A691" s="3" t="s">
        <v>1064</v>
      </c>
      <c r="B691" s="3" t="s">
        <v>45</v>
      </c>
      <c r="C691" s="3" t="s">
        <v>69</v>
      </c>
      <c r="D691" s="3" t="s">
        <v>349</v>
      </c>
      <c r="E691" s="4">
        <v>830</v>
      </c>
      <c r="F691" s="5" t="s">
        <v>39</v>
      </c>
      <c r="G691" s="4">
        <v>739</v>
      </c>
      <c r="H691" s="3" t="s">
        <v>40</v>
      </c>
      <c r="I691" s="3" t="s">
        <v>433</v>
      </c>
    </row>
    <row r="692" spans="1:9" ht="19.95" customHeight="1" x14ac:dyDescent="0.2">
      <c r="A692" s="3" t="s">
        <v>1065</v>
      </c>
      <c r="B692" s="3" t="s">
        <v>115</v>
      </c>
      <c r="C692" s="3" t="s">
        <v>69</v>
      </c>
      <c r="D692" s="3" t="s">
        <v>115</v>
      </c>
      <c r="E692" s="4">
        <v>810</v>
      </c>
      <c r="F692" s="5" t="s">
        <v>39</v>
      </c>
      <c r="G692" s="4">
        <v>681</v>
      </c>
      <c r="H692" s="3" t="s">
        <v>40</v>
      </c>
      <c r="I692" s="3" t="s">
        <v>1066</v>
      </c>
    </row>
    <row r="693" spans="1:9" ht="19.95" customHeight="1" x14ac:dyDescent="0.2">
      <c r="A693" s="3" t="s">
        <v>1067</v>
      </c>
      <c r="B693" s="3" t="s">
        <v>10</v>
      </c>
      <c r="C693" s="3" t="s">
        <v>619</v>
      </c>
      <c r="D693" s="3" t="s">
        <v>262</v>
      </c>
      <c r="E693" s="4">
        <v>3280</v>
      </c>
      <c r="F693" s="5" t="s">
        <v>111</v>
      </c>
      <c r="G693" s="4">
        <v>2981</v>
      </c>
      <c r="H693" s="3" t="s">
        <v>81</v>
      </c>
      <c r="I693" s="3" t="s">
        <v>883</v>
      </c>
    </row>
    <row r="694" spans="1:9" ht="19.95" customHeight="1" x14ac:dyDescent="0.2">
      <c r="A694" s="3" t="s">
        <v>1068</v>
      </c>
      <c r="B694" s="3" t="s">
        <v>10</v>
      </c>
      <c r="C694" s="3" t="s">
        <v>1069</v>
      </c>
      <c r="D694" s="3" t="s">
        <v>378</v>
      </c>
      <c r="E694" s="4">
        <v>1026.2</v>
      </c>
      <c r="F694" s="5" t="s">
        <v>39</v>
      </c>
      <c r="G694" s="4">
        <v>850</v>
      </c>
      <c r="H694" s="3" t="s">
        <v>40</v>
      </c>
      <c r="I694" s="3" t="s">
        <v>275</v>
      </c>
    </row>
    <row r="695" spans="1:9" ht="19.95" customHeight="1" x14ac:dyDescent="0.2">
      <c r="A695" s="3" t="s">
        <v>1070</v>
      </c>
      <c r="B695" s="3" t="s">
        <v>45</v>
      </c>
      <c r="C695" s="3" t="s">
        <v>648</v>
      </c>
      <c r="D695" s="3" t="s">
        <v>109</v>
      </c>
      <c r="E695" s="4">
        <v>3140</v>
      </c>
      <c r="F695" s="5" t="s">
        <v>39</v>
      </c>
      <c r="G695" s="4">
        <v>2606</v>
      </c>
      <c r="H695" s="3" t="s">
        <v>40</v>
      </c>
      <c r="I695" s="3" t="s">
        <v>187</v>
      </c>
    </row>
    <row r="696" spans="1:9" ht="19.95" customHeight="1" x14ac:dyDescent="0.2">
      <c r="A696" s="3" t="s">
        <v>1070</v>
      </c>
      <c r="B696" s="3" t="s">
        <v>45</v>
      </c>
      <c r="C696" s="3" t="s">
        <v>37</v>
      </c>
      <c r="D696" s="3" t="s">
        <v>109</v>
      </c>
      <c r="E696" s="4">
        <v>1570</v>
      </c>
      <c r="F696" s="5" t="s">
        <v>39</v>
      </c>
      <c r="G696" s="4">
        <v>1303</v>
      </c>
      <c r="H696" s="3" t="s">
        <v>40</v>
      </c>
      <c r="I696" s="3" t="s">
        <v>187</v>
      </c>
    </row>
    <row r="697" spans="1:9" ht="19.95" customHeight="1" x14ac:dyDescent="0.2">
      <c r="A697" s="3" t="s">
        <v>1071</v>
      </c>
      <c r="B697" s="3" t="s">
        <v>91</v>
      </c>
      <c r="C697" s="3" t="s">
        <v>1072</v>
      </c>
      <c r="D697" s="3" t="s">
        <v>93</v>
      </c>
      <c r="E697" s="4">
        <v>1780.8</v>
      </c>
      <c r="F697" s="5" t="s">
        <v>249</v>
      </c>
      <c r="G697" s="4">
        <v>1585</v>
      </c>
      <c r="H697" s="3" t="s">
        <v>63</v>
      </c>
      <c r="I697" s="3" t="s">
        <v>76</v>
      </c>
    </row>
    <row r="698" spans="1:9" ht="19.95" customHeight="1" x14ac:dyDescent="0.2">
      <c r="A698" s="3" t="s">
        <v>1073</v>
      </c>
      <c r="B698" s="3" t="s">
        <v>45</v>
      </c>
      <c r="C698" s="3" t="s">
        <v>133</v>
      </c>
      <c r="D698" s="3" t="s">
        <v>62</v>
      </c>
      <c r="E698" s="4">
        <v>5200</v>
      </c>
      <c r="F698" s="5" t="s">
        <v>39</v>
      </c>
      <c r="G698" s="4">
        <v>4550</v>
      </c>
      <c r="H698" s="3" t="s">
        <v>40</v>
      </c>
      <c r="I698" s="3" t="s">
        <v>314</v>
      </c>
    </row>
    <row r="699" spans="1:9" ht="19.95" customHeight="1" x14ac:dyDescent="0.2">
      <c r="A699" s="3" t="s">
        <v>1074</v>
      </c>
      <c r="B699" s="3" t="s">
        <v>11</v>
      </c>
      <c r="C699" s="3" t="s">
        <v>1075</v>
      </c>
      <c r="D699" s="3" t="s">
        <v>93</v>
      </c>
      <c r="E699" s="4">
        <v>1000</v>
      </c>
      <c r="F699" s="5" t="s">
        <v>89</v>
      </c>
      <c r="G699" s="6"/>
      <c r="H699" s="3" t="s">
        <v>81</v>
      </c>
      <c r="I699" s="3" t="s">
        <v>460</v>
      </c>
    </row>
    <row r="700" spans="1:9" ht="19.95" customHeight="1" x14ac:dyDescent="0.2">
      <c r="A700" s="3" t="s">
        <v>1076</v>
      </c>
      <c r="B700" s="3" t="s">
        <v>11</v>
      </c>
      <c r="C700" s="3" t="s">
        <v>512</v>
      </c>
      <c r="D700" s="3" t="s">
        <v>295</v>
      </c>
      <c r="E700" s="4">
        <v>880</v>
      </c>
      <c r="F700" s="5" t="s">
        <v>58</v>
      </c>
      <c r="G700" s="6"/>
      <c r="H700" s="3" t="s">
        <v>40</v>
      </c>
      <c r="I700" s="3" t="s">
        <v>296</v>
      </c>
    </row>
    <row r="701" spans="1:9" ht="19.95" customHeight="1" x14ac:dyDescent="0.2">
      <c r="A701" s="3" t="s">
        <v>1077</v>
      </c>
      <c r="B701" s="3" t="s">
        <v>115</v>
      </c>
      <c r="C701" s="3" t="s">
        <v>140</v>
      </c>
      <c r="D701" s="3" t="s">
        <v>115</v>
      </c>
      <c r="E701" s="4">
        <v>5900</v>
      </c>
      <c r="F701" s="5" t="s">
        <v>39</v>
      </c>
      <c r="G701" s="4">
        <v>5260</v>
      </c>
      <c r="H701" s="3" t="s">
        <v>40</v>
      </c>
      <c r="I701" s="3" t="s">
        <v>122</v>
      </c>
    </row>
    <row r="702" spans="1:9" ht="19.95" customHeight="1" x14ac:dyDescent="0.2">
      <c r="A702" s="3" t="s">
        <v>1077</v>
      </c>
      <c r="B702" s="3" t="s">
        <v>115</v>
      </c>
      <c r="C702" s="3" t="s">
        <v>308</v>
      </c>
      <c r="D702" s="3" t="s">
        <v>115</v>
      </c>
      <c r="E702" s="4">
        <v>5900</v>
      </c>
      <c r="F702" s="5" t="s">
        <v>39</v>
      </c>
      <c r="G702" s="4">
        <v>5260</v>
      </c>
      <c r="H702" s="3" t="s">
        <v>40</v>
      </c>
      <c r="I702" s="3" t="s">
        <v>122</v>
      </c>
    </row>
    <row r="703" spans="1:9" ht="19.95" customHeight="1" x14ac:dyDescent="0.2">
      <c r="A703" s="3" t="s">
        <v>1078</v>
      </c>
      <c r="B703" s="3" t="s">
        <v>91</v>
      </c>
      <c r="C703" s="3" t="s">
        <v>1079</v>
      </c>
      <c r="D703" s="3" t="s">
        <v>407</v>
      </c>
      <c r="E703" s="4">
        <v>3715.2</v>
      </c>
      <c r="F703" s="5" t="s">
        <v>39</v>
      </c>
      <c r="G703" s="4">
        <v>3307</v>
      </c>
      <c r="H703" s="3" t="s">
        <v>40</v>
      </c>
      <c r="I703" s="3" t="s">
        <v>275</v>
      </c>
    </row>
    <row r="704" spans="1:9" ht="19.95" customHeight="1" x14ac:dyDescent="0.2">
      <c r="A704" s="3" t="s">
        <v>1080</v>
      </c>
      <c r="B704" s="3" t="s">
        <v>10</v>
      </c>
      <c r="C704" s="3" t="s">
        <v>176</v>
      </c>
      <c r="D704" s="3" t="s">
        <v>85</v>
      </c>
      <c r="E704" s="4">
        <v>5200</v>
      </c>
      <c r="F704" s="5" t="s">
        <v>39</v>
      </c>
      <c r="G704" s="4">
        <v>4320</v>
      </c>
      <c r="H704" s="3" t="s">
        <v>40</v>
      </c>
      <c r="I704" s="3" t="s">
        <v>433</v>
      </c>
    </row>
    <row r="705" spans="1:9" ht="19.95" customHeight="1" x14ac:dyDescent="0.2">
      <c r="A705" s="3" t="s">
        <v>1081</v>
      </c>
      <c r="B705" s="3" t="s">
        <v>91</v>
      </c>
      <c r="C705" s="3" t="s">
        <v>146</v>
      </c>
      <c r="D705" s="3" t="s">
        <v>93</v>
      </c>
      <c r="E705" s="4">
        <v>10609</v>
      </c>
      <c r="F705" s="5" t="s">
        <v>249</v>
      </c>
      <c r="G705" s="4">
        <v>9451</v>
      </c>
      <c r="H705" s="3" t="s">
        <v>63</v>
      </c>
      <c r="I705" s="3" t="s">
        <v>210</v>
      </c>
    </row>
    <row r="706" spans="1:9" ht="19.95" customHeight="1" x14ac:dyDescent="0.2">
      <c r="A706" s="3" t="s">
        <v>1082</v>
      </c>
      <c r="B706" s="3" t="s">
        <v>45</v>
      </c>
      <c r="C706" s="3" t="s">
        <v>37</v>
      </c>
      <c r="D706" s="3" t="s">
        <v>402</v>
      </c>
      <c r="E706" s="4">
        <v>6600</v>
      </c>
      <c r="F706" s="5" t="s">
        <v>39</v>
      </c>
      <c r="G706" s="4">
        <v>5676</v>
      </c>
      <c r="H706" s="3" t="s">
        <v>40</v>
      </c>
      <c r="I706" s="3" t="s">
        <v>229</v>
      </c>
    </row>
    <row r="707" spans="1:9" ht="19.95" customHeight="1" x14ac:dyDescent="0.2">
      <c r="A707" s="3" t="s">
        <v>1082</v>
      </c>
      <c r="B707" s="3" t="s">
        <v>45</v>
      </c>
      <c r="C707" s="3" t="s">
        <v>375</v>
      </c>
      <c r="D707" s="3" t="s">
        <v>402</v>
      </c>
      <c r="E707" s="4">
        <v>3696</v>
      </c>
      <c r="F707" s="5" t="s">
        <v>39</v>
      </c>
      <c r="G707" s="4">
        <v>3179</v>
      </c>
      <c r="H707" s="3" t="s">
        <v>40</v>
      </c>
      <c r="I707" s="3" t="s">
        <v>229</v>
      </c>
    </row>
    <row r="708" spans="1:9" ht="19.95" customHeight="1" x14ac:dyDescent="0.2">
      <c r="A708" s="3" t="s">
        <v>1083</v>
      </c>
      <c r="B708" s="3" t="s">
        <v>45</v>
      </c>
      <c r="C708" s="3" t="s">
        <v>37</v>
      </c>
      <c r="D708" s="3" t="s">
        <v>402</v>
      </c>
      <c r="E708" s="4">
        <v>2150</v>
      </c>
      <c r="F708" s="5" t="s">
        <v>39</v>
      </c>
      <c r="G708" s="4">
        <v>1849</v>
      </c>
      <c r="H708" s="3" t="s">
        <v>40</v>
      </c>
      <c r="I708" s="3" t="s">
        <v>229</v>
      </c>
    </row>
    <row r="709" spans="1:9" ht="19.95" customHeight="1" x14ac:dyDescent="0.2">
      <c r="A709" s="3" t="s">
        <v>1083</v>
      </c>
      <c r="B709" s="3" t="s">
        <v>45</v>
      </c>
      <c r="C709" s="3" t="s">
        <v>375</v>
      </c>
      <c r="D709" s="3" t="s">
        <v>402</v>
      </c>
      <c r="E709" s="4">
        <v>1204</v>
      </c>
      <c r="F709" s="5" t="s">
        <v>39</v>
      </c>
      <c r="G709" s="4">
        <v>1035</v>
      </c>
      <c r="H709" s="3" t="s">
        <v>40</v>
      </c>
      <c r="I709" s="3" t="s">
        <v>229</v>
      </c>
    </row>
    <row r="710" spans="1:9" ht="19.95" customHeight="1" x14ac:dyDescent="0.2">
      <c r="A710" s="3" t="s">
        <v>1084</v>
      </c>
      <c r="B710" s="3" t="s">
        <v>91</v>
      </c>
      <c r="C710" s="3" t="s">
        <v>37</v>
      </c>
      <c r="D710" s="3" t="s">
        <v>477</v>
      </c>
      <c r="E710" s="4">
        <v>900</v>
      </c>
      <c r="F710" s="5" t="s">
        <v>39</v>
      </c>
      <c r="G710" s="4">
        <v>802</v>
      </c>
      <c r="H710" s="3" t="s">
        <v>40</v>
      </c>
      <c r="I710" s="3" t="s">
        <v>541</v>
      </c>
    </row>
    <row r="711" spans="1:9" ht="19.95" customHeight="1" x14ac:dyDescent="0.2">
      <c r="A711" s="3" t="s">
        <v>1085</v>
      </c>
      <c r="B711" s="3" t="s">
        <v>10</v>
      </c>
      <c r="C711" s="3" t="s">
        <v>37</v>
      </c>
      <c r="D711" s="3" t="s">
        <v>1027</v>
      </c>
      <c r="E711" s="4">
        <v>1010</v>
      </c>
      <c r="F711" s="5" t="s">
        <v>39</v>
      </c>
      <c r="G711" s="4">
        <v>918</v>
      </c>
      <c r="H711" s="3" t="s">
        <v>40</v>
      </c>
      <c r="I711" s="3" t="s">
        <v>275</v>
      </c>
    </row>
    <row r="712" spans="1:9" ht="19.95" customHeight="1" x14ac:dyDescent="0.2">
      <c r="A712" s="3" t="s">
        <v>1086</v>
      </c>
      <c r="B712" s="3" t="s">
        <v>110</v>
      </c>
      <c r="C712" s="3" t="s">
        <v>1087</v>
      </c>
      <c r="D712" s="3" t="s">
        <v>109</v>
      </c>
      <c r="E712" s="4">
        <v>6560</v>
      </c>
      <c r="F712" s="5" t="s">
        <v>111</v>
      </c>
      <c r="G712" s="4">
        <v>5921</v>
      </c>
      <c r="H712" s="3" t="s">
        <v>81</v>
      </c>
      <c r="I712" s="3" t="s">
        <v>369</v>
      </c>
    </row>
    <row r="713" spans="1:9" ht="19.95" customHeight="1" x14ac:dyDescent="0.2">
      <c r="A713" s="3" t="s">
        <v>1088</v>
      </c>
      <c r="B713" s="3" t="s">
        <v>10</v>
      </c>
      <c r="C713" s="3" t="s">
        <v>84</v>
      </c>
      <c r="D713" s="3" t="s">
        <v>262</v>
      </c>
      <c r="E713" s="4">
        <v>960</v>
      </c>
      <c r="F713" s="5" t="s">
        <v>14</v>
      </c>
      <c r="G713" s="4">
        <v>870</v>
      </c>
      <c r="H713" s="3" t="s">
        <v>40</v>
      </c>
      <c r="I713" s="3" t="s">
        <v>64</v>
      </c>
    </row>
    <row r="714" spans="1:9" ht="19.95" customHeight="1" x14ac:dyDescent="0.2">
      <c r="A714" s="3" t="s">
        <v>1089</v>
      </c>
      <c r="B714" s="3" t="s">
        <v>10</v>
      </c>
      <c r="C714" s="3" t="s">
        <v>69</v>
      </c>
      <c r="D714" s="3" t="s">
        <v>262</v>
      </c>
      <c r="E714" s="4">
        <v>1040</v>
      </c>
      <c r="F714" s="5" t="s">
        <v>39</v>
      </c>
      <c r="G714" s="4">
        <v>840</v>
      </c>
      <c r="H714" s="3" t="s">
        <v>40</v>
      </c>
      <c r="I714" s="3" t="s">
        <v>64</v>
      </c>
    </row>
    <row r="715" spans="1:9" ht="19.95" customHeight="1" x14ac:dyDescent="0.2">
      <c r="A715" s="3" t="s">
        <v>1089</v>
      </c>
      <c r="B715" s="3" t="s">
        <v>10</v>
      </c>
      <c r="C715" s="3" t="s">
        <v>140</v>
      </c>
      <c r="D715" s="3" t="s">
        <v>262</v>
      </c>
      <c r="E715" s="4">
        <v>10400</v>
      </c>
      <c r="F715" s="5" t="s">
        <v>39</v>
      </c>
      <c r="G715" s="4">
        <v>8400</v>
      </c>
      <c r="H715" s="3" t="s">
        <v>40</v>
      </c>
      <c r="I715" s="3" t="s">
        <v>64</v>
      </c>
    </row>
    <row r="716" spans="1:9" ht="19.95" customHeight="1" x14ac:dyDescent="0.2">
      <c r="A716" s="3" t="s">
        <v>1090</v>
      </c>
      <c r="B716" s="3" t="s">
        <v>45</v>
      </c>
      <c r="C716" s="3" t="s">
        <v>69</v>
      </c>
      <c r="D716" s="3" t="s">
        <v>57</v>
      </c>
      <c r="E716" s="4">
        <v>30360</v>
      </c>
      <c r="F716" s="5" t="s">
        <v>39</v>
      </c>
      <c r="G716" s="4">
        <v>26110</v>
      </c>
      <c r="H716" s="3" t="s">
        <v>40</v>
      </c>
      <c r="I716" s="3" t="s">
        <v>1091</v>
      </c>
    </row>
    <row r="717" spans="1:9" ht="19.95" customHeight="1" x14ac:dyDescent="0.2">
      <c r="A717" s="3" t="s">
        <v>1092</v>
      </c>
      <c r="B717" s="3" t="s">
        <v>10</v>
      </c>
      <c r="C717" s="3" t="s">
        <v>1093</v>
      </c>
      <c r="D717" s="3" t="s">
        <v>424</v>
      </c>
      <c r="E717" s="4">
        <v>6140</v>
      </c>
      <c r="F717" s="5" t="s">
        <v>585</v>
      </c>
      <c r="G717" s="4">
        <v>5240</v>
      </c>
      <c r="H717" s="3" t="s">
        <v>40</v>
      </c>
      <c r="I717" s="3" t="s">
        <v>217</v>
      </c>
    </row>
    <row r="718" spans="1:9" ht="19.95" customHeight="1" x14ac:dyDescent="0.2">
      <c r="A718" s="3" t="s">
        <v>1094</v>
      </c>
      <c r="B718" s="3" t="s">
        <v>45</v>
      </c>
      <c r="C718" s="3" t="s">
        <v>37</v>
      </c>
      <c r="D718" s="3" t="s">
        <v>38</v>
      </c>
      <c r="E718" s="4">
        <v>840</v>
      </c>
      <c r="F718" s="5" t="s">
        <v>39</v>
      </c>
      <c r="G718" s="4">
        <v>748</v>
      </c>
      <c r="H718" s="3" t="s">
        <v>40</v>
      </c>
      <c r="I718" s="3" t="s">
        <v>314</v>
      </c>
    </row>
    <row r="719" spans="1:9" ht="19.95" customHeight="1" x14ac:dyDescent="0.2">
      <c r="A719" s="3" t="s">
        <v>1095</v>
      </c>
      <c r="B719" s="3" t="s">
        <v>91</v>
      </c>
      <c r="C719" s="3" t="s">
        <v>1096</v>
      </c>
      <c r="D719" s="3" t="s">
        <v>477</v>
      </c>
      <c r="E719" s="4">
        <v>1428</v>
      </c>
      <c r="F719" s="5" t="s">
        <v>58</v>
      </c>
      <c r="G719" s="4">
        <v>1252</v>
      </c>
      <c r="H719" s="3" t="s">
        <v>40</v>
      </c>
      <c r="I719" s="3" t="s">
        <v>364</v>
      </c>
    </row>
    <row r="720" spans="1:9" ht="19.95" customHeight="1" x14ac:dyDescent="0.2">
      <c r="A720" s="3" t="s">
        <v>1097</v>
      </c>
      <c r="B720" s="3" t="s">
        <v>45</v>
      </c>
      <c r="C720" s="3" t="s">
        <v>69</v>
      </c>
      <c r="D720" s="3" t="s">
        <v>747</v>
      </c>
      <c r="E720" s="4">
        <v>4240</v>
      </c>
      <c r="F720" s="5" t="s">
        <v>39</v>
      </c>
      <c r="G720" s="4">
        <v>3739</v>
      </c>
      <c r="H720" s="3" t="s">
        <v>40</v>
      </c>
      <c r="I720" s="3" t="s">
        <v>256</v>
      </c>
    </row>
    <row r="721" spans="1:9" ht="19.95" customHeight="1" x14ac:dyDescent="0.2">
      <c r="A721" s="3" t="s">
        <v>1098</v>
      </c>
      <c r="B721" s="3" t="s">
        <v>45</v>
      </c>
      <c r="C721" s="3" t="s">
        <v>69</v>
      </c>
      <c r="D721" s="3" t="s">
        <v>424</v>
      </c>
      <c r="E721" s="4">
        <v>7560</v>
      </c>
      <c r="F721" s="5" t="s">
        <v>39</v>
      </c>
      <c r="G721" s="4">
        <v>6666</v>
      </c>
      <c r="H721" s="3" t="s">
        <v>40</v>
      </c>
      <c r="I721" s="3" t="s">
        <v>256</v>
      </c>
    </row>
    <row r="722" spans="1:9" ht="19.95" customHeight="1" x14ac:dyDescent="0.2">
      <c r="A722" s="3" t="s">
        <v>1099</v>
      </c>
      <c r="B722" s="3" t="s">
        <v>10</v>
      </c>
      <c r="C722" s="3" t="s">
        <v>1100</v>
      </c>
      <c r="D722" s="3" t="s">
        <v>262</v>
      </c>
      <c r="E722" s="4">
        <v>5900</v>
      </c>
      <c r="F722" s="5" t="s">
        <v>1101</v>
      </c>
      <c r="G722" s="4">
        <v>5279</v>
      </c>
      <c r="H722" s="3" t="s">
        <v>40</v>
      </c>
      <c r="I722" s="3" t="s">
        <v>137</v>
      </c>
    </row>
    <row r="723" spans="1:9" ht="19.95" customHeight="1" x14ac:dyDescent="0.2">
      <c r="A723" s="3" t="s">
        <v>1102</v>
      </c>
      <c r="B723" s="3" t="s">
        <v>10</v>
      </c>
      <c r="C723" s="3" t="s">
        <v>265</v>
      </c>
      <c r="D723" s="3" t="s">
        <v>198</v>
      </c>
      <c r="E723" s="4">
        <v>3450</v>
      </c>
      <c r="F723" s="5" t="s">
        <v>75</v>
      </c>
      <c r="G723" s="4">
        <v>3136</v>
      </c>
      <c r="H723" s="3" t="s">
        <v>40</v>
      </c>
      <c r="I723" s="3" t="s">
        <v>217</v>
      </c>
    </row>
    <row r="724" spans="1:9" ht="19.95" customHeight="1" x14ac:dyDescent="0.2">
      <c r="A724" s="3" t="s">
        <v>1103</v>
      </c>
      <c r="B724" s="3" t="s">
        <v>91</v>
      </c>
      <c r="C724" s="3" t="s">
        <v>1104</v>
      </c>
      <c r="D724" s="3" t="s">
        <v>672</v>
      </c>
      <c r="E724" s="4">
        <v>86596</v>
      </c>
      <c r="F724" s="5" t="s">
        <v>58</v>
      </c>
      <c r="G724" s="4">
        <v>77149</v>
      </c>
      <c r="H724" s="3" t="s">
        <v>40</v>
      </c>
      <c r="I724" s="3" t="s">
        <v>112</v>
      </c>
    </row>
    <row r="725" spans="1:9" ht="19.95" customHeight="1" x14ac:dyDescent="0.2">
      <c r="A725" s="3" t="s">
        <v>1105</v>
      </c>
      <c r="B725" s="3" t="s">
        <v>91</v>
      </c>
      <c r="C725" s="3" t="s">
        <v>1106</v>
      </c>
      <c r="D725" s="3" t="s">
        <v>93</v>
      </c>
      <c r="E725" s="4">
        <v>5992</v>
      </c>
      <c r="F725" s="5" t="s">
        <v>1107</v>
      </c>
      <c r="G725" s="4">
        <v>5320</v>
      </c>
      <c r="H725" s="3" t="s">
        <v>40</v>
      </c>
      <c r="I725" s="3" t="s">
        <v>220</v>
      </c>
    </row>
    <row r="726" spans="1:9" ht="19.95" customHeight="1" x14ac:dyDescent="0.2">
      <c r="A726" s="3" t="s">
        <v>1108</v>
      </c>
      <c r="B726" s="3" t="s">
        <v>91</v>
      </c>
      <c r="C726" s="3" t="s">
        <v>1106</v>
      </c>
      <c r="D726" s="3" t="s">
        <v>93</v>
      </c>
      <c r="E726" s="4">
        <v>5992</v>
      </c>
      <c r="F726" s="5" t="s">
        <v>1107</v>
      </c>
      <c r="G726" s="4">
        <v>5320</v>
      </c>
      <c r="H726" s="3" t="s">
        <v>81</v>
      </c>
      <c r="I726" s="3" t="s">
        <v>220</v>
      </c>
    </row>
    <row r="727" spans="1:9" ht="19.95" customHeight="1" x14ac:dyDescent="0.2">
      <c r="A727" s="3" t="s">
        <v>1109</v>
      </c>
      <c r="B727" s="3" t="s">
        <v>11</v>
      </c>
      <c r="C727" s="3" t="s">
        <v>1110</v>
      </c>
      <c r="D727" s="3" t="s">
        <v>93</v>
      </c>
      <c r="E727" s="4">
        <v>5778</v>
      </c>
      <c r="F727" s="5" t="s">
        <v>128</v>
      </c>
      <c r="G727" s="6"/>
      <c r="H727" s="3" t="s">
        <v>40</v>
      </c>
      <c r="I727" s="3" t="s">
        <v>220</v>
      </c>
    </row>
    <row r="728" spans="1:9" ht="19.95" customHeight="1" x14ac:dyDescent="0.2">
      <c r="A728" s="3" t="s">
        <v>1111</v>
      </c>
      <c r="B728" s="3" t="s">
        <v>45</v>
      </c>
      <c r="C728" s="3" t="s">
        <v>69</v>
      </c>
      <c r="D728" s="3" t="s">
        <v>378</v>
      </c>
      <c r="E728" s="4">
        <v>7630</v>
      </c>
      <c r="F728" s="5" t="s">
        <v>39</v>
      </c>
      <c r="G728" s="4">
        <v>4999</v>
      </c>
      <c r="H728" s="3" t="s">
        <v>40</v>
      </c>
      <c r="I728" s="3" t="s">
        <v>251</v>
      </c>
    </row>
    <row r="729" spans="1:9" ht="19.95" customHeight="1" x14ac:dyDescent="0.2">
      <c r="A729" s="3" t="s">
        <v>1112</v>
      </c>
      <c r="B729" s="3" t="s">
        <v>11</v>
      </c>
      <c r="C729" s="3" t="s">
        <v>1113</v>
      </c>
      <c r="D729" s="3" t="s">
        <v>459</v>
      </c>
      <c r="E729" s="4">
        <v>96040</v>
      </c>
      <c r="F729" s="5" t="s">
        <v>75</v>
      </c>
      <c r="G729" s="6"/>
      <c r="H729" s="3" t="s">
        <v>40</v>
      </c>
      <c r="I729" s="3" t="s">
        <v>229</v>
      </c>
    </row>
    <row r="730" spans="1:9" ht="19.95" customHeight="1" x14ac:dyDescent="0.2">
      <c r="A730" s="3" t="s">
        <v>1114</v>
      </c>
      <c r="B730" s="3" t="s">
        <v>11</v>
      </c>
      <c r="C730" s="3" t="s">
        <v>1115</v>
      </c>
      <c r="D730" s="3" t="s">
        <v>459</v>
      </c>
      <c r="E730" s="4">
        <v>137200</v>
      </c>
      <c r="F730" s="5" t="s">
        <v>75</v>
      </c>
      <c r="G730" s="6"/>
      <c r="H730" s="3" t="s">
        <v>40</v>
      </c>
      <c r="I730" s="3" t="s">
        <v>229</v>
      </c>
    </row>
    <row r="731" spans="1:9" ht="19.95" customHeight="1" x14ac:dyDescent="0.2">
      <c r="A731" s="3" t="s">
        <v>1116</v>
      </c>
      <c r="B731" s="3" t="s">
        <v>10</v>
      </c>
      <c r="C731" s="3" t="s">
        <v>338</v>
      </c>
      <c r="D731" s="3" t="s">
        <v>327</v>
      </c>
      <c r="E731" s="4">
        <v>3962</v>
      </c>
      <c r="F731" s="5" t="s">
        <v>80</v>
      </c>
      <c r="G731" s="4">
        <v>3500</v>
      </c>
      <c r="H731" s="3" t="s">
        <v>81</v>
      </c>
      <c r="I731" s="3" t="s">
        <v>732</v>
      </c>
    </row>
    <row r="732" spans="1:9" ht="19.95" customHeight="1" x14ac:dyDescent="0.2">
      <c r="A732" s="3" t="s">
        <v>1117</v>
      </c>
      <c r="B732" s="3" t="s">
        <v>10</v>
      </c>
      <c r="C732" s="3" t="s">
        <v>1063</v>
      </c>
      <c r="D732" s="3" t="s">
        <v>767</v>
      </c>
      <c r="E732" s="4">
        <v>3775</v>
      </c>
      <c r="F732" s="5" t="s">
        <v>75</v>
      </c>
      <c r="G732" s="4">
        <v>3160</v>
      </c>
      <c r="H732" s="3" t="s">
        <v>63</v>
      </c>
      <c r="I732" s="3" t="s">
        <v>76</v>
      </c>
    </row>
    <row r="733" spans="1:9" ht="19.95" customHeight="1" x14ac:dyDescent="0.2">
      <c r="A733" s="3" t="s">
        <v>1118</v>
      </c>
      <c r="B733" s="3" t="s">
        <v>11</v>
      </c>
      <c r="C733" s="3" t="s">
        <v>1063</v>
      </c>
      <c r="D733" s="3" t="s">
        <v>147</v>
      </c>
      <c r="E733" s="4">
        <v>3775</v>
      </c>
      <c r="F733" s="5" t="s">
        <v>75</v>
      </c>
      <c r="G733" s="6"/>
      <c r="H733" s="3" t="s">
        <v>63</v>
      </c>
      <c r="I733" s="3" t="s">
        <v>76</v>
      </c>
    </row>
    <row r="734" spans="1:9" ht="19.95" customHeight="1" x14ac:dyDescent="0.2">
      <c r="A734" s="3" t="s">
        <v>1119</v>
      </c>
      <c r="B734" s="3" t="s">
        <v>10</v>
      </c>
      <c r="C734" s="3" t="s">
        <v>69</v>
      </c>
      <c r="D734" s="3" t="s">
        <v>85</v>
      </c>
      <c r="E734" s="4">
        <v>15910</v>
      </c>
      <c r="F734" s="5" t="s">
        <v>39</v>
      </c>
      <c r="G734" s="4">
        <v>13691</v>
      </c>
      <c r="H734" s="3" t="s">
        <v>40</v>
      </c>
      <c r="I734" s="3" t="s">
        <v>232</v>
      </c>
    </row>
    <row r="735" spans="1:9" ht="19.95" customHeight="1" x14ac:dyDescent="0.2">
      <c r="A735" s="3" t="s">
        <v>1119</v>
      </c>
      <c r="B735" s="3" t="s">
        <v>10</v>
      </c>
      <c r="C735" s="3" t="s">
        <v>176</v>
      </c>
      <c r="D735" s="3" t="s">
        <v>85</v>
      </c>
      <c r="E735" s="4">
        <v>79550</v>
      </c>
      <c r="F735" s="5" t="s">
        <v>39</v>
      </c>
      <c r="G735" s="4">
        <v>68456</v>
      </c>
      <c r="H735" s="3" t="s">
        <v>40</v>
      </c>
      <c r="I735" s="3" t="s">
        <v>232</v>
      </c>
    </row>
    <row r="736" spans="1:9" ht="19.95" customHeight="1" x14ac:dyDescent="0.2">
      <c r="A736" s="3" t="s">
        <v>1120</v>
      </c>
      <c r="B736" s="3" t="s">
        <v>10</v>
      </c>
      <c r="C736" s="3" t="s">
        <v>176</v>
      </c>
      <c r="D736" s="3" t="s">
        <v>85</v>
      </c>
      <c r="E736" s="4">
        <v>147900</v>
      </c>
      <c r="F736" s="5" t="s">
        <v>39</v>
      </c>
      <c r="G736" s="4">
        <v>127000</v>
      </c>
      <c r="H736" s="3" t="s">
        <v>40</v>
      </c>
      <c r="I736" s="3" t="s">
        <v>232</v>
      </c>
    </row>
    <row r="737" spans="1:9" ht="19.95" customHeight="1" x14ac:dyDescent="0.2">
      <c r="A737" s="3" t="s">
        <v>1120</v>
      </c>
      <c r="B737" s="3" t="s">
        <v>10</v>
      </c>
      <c r="C737" s="3" t="s">
        <v>69</v>
      </c>
      <c r="D737" s="3" t="s">
        <v>85</v>
      </c>
      <c r="E737" s="4">
        <v>29580</v>
      </c>
      <c r="F737" s="5" t="s">
        <v>39</v>
      </c>
      <c r="G737" s="4">
        <v>25400</v>
      </c>
      <c r="H737" s="3" t="s">
        <v>40</v>
      </c>
      <c r="I737" s="3" t="s">
        <v>232</v>
      </c>
    </row>
    <row r="738" spans="1:9" ht="19.95" customHeight="1" x14ac:dyDescent="0.2">
      <c r="A738" s="3" t="s">
        <v>1121</v>
      </c>
      <c r="B738" s="3" t="s">
        <v>11</v>
      </c>
      <c r="C738" s="3" t="s">
        <v>1122</v>
      </c>
      <c r="D738" s="3" t="s">
        <v>246</v>
      </c>
      <c r="E738" s="4">
        <v>6197</v>
      </c>
      <c r="F738" s="5" t="s">
        <v>98</v>
      </c>
      <c r="G738" s="6"/>
      <c r="H738" s="3" t="s">
        <v>81</v>
      </c>
      <c r="I738" s="3" t="s">
        <v>112</v>
      </c>
    </row>
    <row r="739" spans="1:9" ht="19.95" customHeight="1" x14ac:dyDescent="0.2">
      <c r="A739" s="3" t="s">
        <v>1123</v>
      </c>
      <c r="B739" s="3" t="s">
        <v>115</v>
      </c>
      <c r="C739" s="3" t="s">
        <v>192</v>
      </c>
      <c r="D739" s="3" t="s">
        <v>115</v>
      </c>
      <c r="E739" s="4">
        <v>5670</v>
      </c>
      <c r="F739" s="5" t="s">
        <v>39</v>
      </c>
      <c r="G739" s="4">
        <v>4365</v>
      </c>
      <c r="H739" s="3" t="s">
        <v>40</v>
      </c>
      <c r="I739" s="3" t="s">
        <v>229</v>
      </c>
    </row>
    <row r="740" spans="1:9" ht="19.95" customHeight="1" x14ac:dyDescent="0.2">
      <c r="A740" s="3" t="s">
        <v>1123</v>
      </c>
      <c r="B740" s="3" t="s">
        <v>115</v>
      </c>
      <c r="C740" s="3" t="s">
        <v>69</v>
      </c>
      <c r="D740" s="3" t="s">
        <v>115</v>
      </c>
      <c r="E740" s="4">
        <v>1890</v>
      </c>
      <c r="F740" s="5" t="s">
        <v>39</v>
      </c>
      <c r="G740" s="4">
        <v>1455</v>
      </c>
      <c r="H740" s="3" t="s">
        <v>40</v>
      </c>
      <c r="I740" s="3" t="s">
        <v>229</v>
      </c>
    </row>
    <row r="741" spans="1:9" ht="19.95" customHeight="1" x14ac:dyDescent="0.2">
      <c r="A741" s="3" t="s">
        <v>1124</v>
      </c>
      <c r="B741" s="3" t="s">
        <v>115</v>
      </c>
      <c r="C741" s="3" t="s">
        <v>37</v>
      </c>
      <c r="D741" s="3" t="s">
        <v>115</v>
      </c>
      <c r="E741" s="4">
        <v>2870</v>
      </c>
      <c r="F741" s="5" t="s">
        <v>39</v>
      </c>
      <c r="G741" s="4">
        <v>2382</v>
      </c>
      <c r="H741" s="3" t="s">
        <v>40</v>
      </c>
      <c r="I741" s="3" t="s">
        <v>251</v>
      </c>
    </row>
    <row r="742" spans="1:9" ht="19.95" customHeight="1" x14ac:dyDescent="0.2">
      <c r="A742" s="3" t="s">
        <v>1124</v>
      </c>
      <c r="B742" s="3" t="s">
        <v>115</v>
      </c>
      <c r="C742" s="3" t="s">
        <v>395</v>
      </c>
      <c r="D742" s="3" t="s">
        <v>115</v>
      </c>
      <c r="E742" s="4">
        <v>4018</v>
      </c>
      <c r="F742" s="5" t="s">
        <v>39</v>
      </c>
      <c r="G742" s="4">
        <v>3335</v>
      </c>
      <c r="H742" s="3" t="s">
        <v>40</v>
      </c>
      <c r="I742" s="3" t="s">
        <v>251</v>
      </c>
    </row>
    <row r="743" spans="1:9" ht="19.95" customHeight="1" x14ac:dyDescent="0.2">
      <c r="A743" s="3" t="s">
        <v>1125</v>
      </c>
      <c r="B743" s="3" t="s">
        <v>115</v>
      </c>
      <c r="C743" s="3" t="s">
        <v>69</v>
      </c>
      <c r="D743" s="3" t="s">
        <v>115</v>
      </c>
      <c r="E743" s="4">
        <v>1170</v>
      </c>
      <c r="F743" s="5" t="s">
        <v>39</v>
      </c>
      <c r="G743" s="4">
        <v>971</v>
      </c>
      <c r="H743" s="3" t="s">
        <v>40</v>
      </c>
      <c r="I743" s="3" t="s">
        <v>251</v>
      </c>
    </row>
    <row r="744" spans="1:9" ht="19.95" customHeight="1" x14ac:dyDescent="0.2">
      <c r="A744" s="3" t="s">
        <v>1125</v>
      </c>
      <c r="B744" s="3" t="s">
        <v>115</v>
      </c>
      <c r="C744" s="3" t="s">
        <v>622</v>
      </c>
      <c r="D744" s="3" t="s">
        <v>115</v>
      </c>
      <c r="E744" s="4">
        <v>1638</v>
      </c>
      <c r="F744" s="5" t="s">
        <v>39</v>
      </c>
      <c r="G744" s="4">
        <v>1360</v>
      </c>
      <c r="H744" s="3" t="s">
        <v>40</v>
      </c>
      <c r="I744" s="3" t="s">
        <v>251</v>
      </c>
    </row>
    <row r="745" spans="1:9" ht="19.95" customHeight="1" x14ac:dyDescent="0.2">
      <c r="A745" s="3" t="s">
        <v>1126</v>
      </c>
      <c r="B745" s="3" t="s">
        <v>115</v>
      </c>
      <c r="C745" s="3" t="s">
        <v>133</v>
      </c>
      <c r="D745" s="3" t="s">
        <v>115</v>
      </c>
      <c r="E745" s="4">
        <v>5650</v>
      </c>
      <c r="F745" s="5" t="s">
        <v>39</v>
      </c>
      <c r="G745" s="4">
        <v>4520</v>
      </c>
      <c r="H745" s="3" t="s">
        <v>40</v>
      </c>
      <c r="I745" s="3" t="s">
        <v>317</v>
      </c>
    </row>
    <row r="746" spans="1:9" ht="19.95" customHeight="1" x14ac:dyDescent="0.2">
      <c r="A746" s="3" t="s">
        <v>1126</v>
      </c>
      <c r="B746" s="3" t="s">
        <v>115</v>
      </c>
      <c r="C746" s="3" t="s">
        <v>133</v>
      </c>
      <c r="D746" s="3" t="s">
        <v>115</v>
      </c>
      <c r="E746" s="4">
        <v>5650</v>
      </c>
      <c r="F746" s="5" t="s">
        <v>39</v>
      </c>
      <c r="G746" s="4">
        <v>4520</v>
      </c>
      <c r="H746" s="3" t="s">
        <v>40</v>
      </c>
      <c r="I746" s="3" t="s">
        <v>317</v>
      </c>
    </row>
    <row r="747" spans="1:9" ht="19.95" customHeight="1" x14ac:dyDescent="0.2">
      <c r="A747" s="3" t="s">
        <v>1127</v>
      </c>
      <c r="B747" s="3" t="s">
        <v>45</v>
      </c>
      <c r="C747" s="3" t="s">
        <v>1128</v>
      </c>
      <c r="D747" s="3" t="s">
        <v>355</v>
      </c>
      <c r="E747" s="4">
        <v>3820</v>
      </c>
      <c r="F747" s="5" t="s">
        <v>80</v>
      </c>
      <c r="G747" s="4">
        <v>3323</v>
      </c>
      <c r="H747" s="3" t="s">
        <v>81</v>
      </c>
      <c r="I747" s="3" t="s">
        <v>82</v>
      </c>
    </row>
    <row r="748" spans="1:9" ht="19.95" customHeight="1" x14ac:dyDescent="0.2">
      <c r="A748" s="3" t="s">
        <v>1129</v>
      </c>
      <c r="B748" s="3" t="s">
        <v>45</v>
      </c>
      <c r="C748" s="3" t="s">
        <v>1130</v>
      </c>
      <c r="D748" s="3" t="s">
        <v>355</v>
      </c>
      <c r="E748" s="4">
        <v>2098</v>
      </c>
      <c r="F748" s="5" t="s">
        <v>249</v>
      </c>
      <c r="G748" s="4">
        <v>1783</v>
      </c>
      <c r="H748" s="3" t="s">
        <v>81</v>
      </c>
      <c r="I748" s="3" t="s">
        <v>82</v>
      </c>
    </row>
    <row r="749" spans="1:9" ht="19.95" customHeight="1" x14ac:dyDescent="0.2">
      <c r="A749" s="3" t="s">
        <v>1131</v>
      </c>
      <c r="B749" s="3" t="s">
        <v>10</v>
      </c>
      <c r="C749" s="3" t="s">
        <v>37</v>
      </c>
      <c r="D749" s="3" t="s">
        <v>459</v>
      </c>
      <c r="E749" s="4">
        <v>660</v>
      </c>
      <c r="F749" s="5" t="s">
        <v>39</v>
      </c>
      <c r="G749" s="4">
        <v>568</v>
      </c>
      <c r="H749" s="3" t="s">
        <v>40</v>
      </c>
      <c r="I749" s="3" t="s">
        <v>314</v>
      </c>
    </row>
    <row r="750" spans="1:9" ht="19.95" customHeight="1" x14ac:dyDescent="0.2">
      <c r="A750" s="3" t="s">
        <v>1132</v>
      </c>
      <c r="B750" s="3" t="s">
        <v>10</v>
      </c>
      <c r="C750" s="3" t="s">
        <v>37</v>
      </c>
      <c r="D750" s="3" t="s">
        <v>1133</v>
      </c>
      <c r="E750" s="4">
        <v>1040</v>
      </c>
      <c r="F750" s="5" t="s">
        <v>39</v>
      </c>
      <c r="G750" s="4">
        <v>945</v>
      </c>
      <c r="H750" s="3" t="s">
        <v>40</v>
      </c>
      <c r="I750" s="3" t="s">
        <v>195</v>
      </c>
    </row>
    <row r="751" spans="1:9" ht="19.95" customHeight="1" x14ac:dyDescent="0.2">
      <c r="A751" s="3" t="s">
        <v>1134</v>
      </c>
      <c r="B751" s="3" t="s">
        <v>10</v>
      </c>
      <c r="C751" s="3" t="s">
        <v>37</v>
      </c>
      <c r="D751" s="3" t="s">
        <v>70</v>
      </c>
      <c r="E751" s="4">
        <v>41130</v>
      </c>
      <c r="F751" s="5" t="s">
        <v>39</v>
      </c>
      <c r="G751" s="4">
        <v>35730</v>
      </c>
      <c r="H751" s="3" t="s">
        <v>40</v>
      </c>
      <c r="I751" s="3" t="s">
        <v>358</v>
      </c>
    </row>
    <row r="752" spans="1:9" ht="19.95" customHeight="1" x14ac:dyDescent="0.2">
      <c r="A752" s="3" t="s">
        <v>1135</v>
      </c>
      <c r="B752" s="3" t="s">
        <v>11</v>
      </c>
      <c r="C752" s="3" t="s">
        <v>1136</v>
      </c>
      <c r="D752" s="3" t="s">
        <v>715</v>
      </c>
      <c r="E752" s="4">
        <v>33070</v>
      </c>
      <c r="F752" s="5" t="s">
        <v>98</v>
      </c>
      <c r="G752" s="6"/>
      <c r="H752" s="3" t="s">
        <v>81</v>
      </c>
      <c r="I752" s="3" t="s">
        <v>275</v>
      </c>
    </row>
    <row r="753" spans="1:9" ht="19.95" customHeight="1" x14ac:dyDescent="0.2">
      <c r="A753" s="3" t="s">
        <v>1137</v>
      </c>
      <c r="B753" s="3" t="s">
        <v>45</v>
      </c>
      <c r="C753" s="3" t="s">
        <v>338</v>
      </c>
      <c r="D753" s="3" t="s">
        <v>284</v>
      </c>
      <c r="E753" s="4">
        <v>13032</v>
      </c>
      <c r="F753" s="5" t="s">
        <v>80</v>
      </c>
      <c r="G753" s="4">
        <v>10895</v>
      </c>
      <c r="H753" s="3" t="s">
        <v>81</v>
      </c>
      <c r="I753" s="3" t="s">
        <v>232</v>
      </c>
    </row>
    <row r="754" spans="1:9" ht="19.95" customHeight="1" x14ac:dyDescent="0.2">
      <c r="A754" s="3" t="s">
        <v>1138</v>
      </c>
      <c r="B754" s="3" t="s">
        <v>11</v>
      </c>
      <c r="C754" s="3" t="s">
        <v>332</v>
      </c>
      <c r="D754" s="3" t="s">
        <v>284</v>
      </c>
      <c r="E754" s="4">
        <v>16654</v>
      </c>
      <c r="F754" s="5" t="s">
        <v>80</v>
      </c>
      <c r="G754" s="6"/>
      <c r="H754" s="3" t="s">
        <v>81</v>
      </c>
      <c r="I754" s="3" t="s">
        <v>232</v>
      </c>
    </row>
    <row r="755" spans="1:9" ht="19.95" customHeight="1" x14ac:dyDescent="0.2">
      <c r="A755" s="3" t="s">
        <v>1139</v>
      </c>
      <c r="B755" s="3" t="s">
        <v>45</v>
      </c>
      <c r="C755" s="3" t="s">
        <v>1140</v>
      </c>
      <c r="D755" s="3" t="s">
        <v>284</v>
      </c>
      <c r="E755" s="4">
        <v>19680</v>
      </c>
      <c r="F755" s="5" t="s">
        <v>80</v>
      </c>
      <c r="G755" s="4">
        <v>16452</v>
      </c>
      <c r="H755" s="3" t="s">
        <v>81</v>
      </c>
      <c r="I755" s="3" t="s">
        <v>232</v>
      </c>
    </row>
    <row r="756" spans="1:9" ht="19.95" customHeight="1" x14ac:dyDescent="0.2">
      <c r="A756" s="3" t="s">
        <v>1141</v>
      </c>
      <c r="B756" s="3" t="s">
        <v>11</v>
      </c>
      <c r="C756" s="3" t="s">
        <v>1140</v>
      </c>
      <c r="D756" s="3" t="s">
        <v>284</v>
      </c>
      <c r="E756" s="4">
        <v>19680</v>
      </c>
      <c r="F756" s="5" t="s">
        <v>80</v>
      </c>
      <c r="G756" s="6"/>
      <c r="H756" s="3" t="s">
        <v>81</v>
      </c>
      <c r="I756" s="3" t="s">
        <v>232</v>
      </c>
    </row>
    <row r="757" spans="1:9" ht="19.95" customHeight="1" x14ac:dyDescent="0.2">
      <c r="A757" s="3" t="s">
        <v>1142</v>
      </c>
      <c r="B757" s="3" t="s">
        <v>45</v>
      </c>
      <c r="C757" s="3" t="s">
        <v>84</v>
      </c>
      <c r="D757" s="3" t="s">
        <v>284</v>
      </c>
      <c r="E757" s="4">
        <v>8420</v>
      </c>
      <c r="F757" s="5" t="s">
        <v>14</v>
      </c>
      <c r="G757" s="4">
        <v>6904</v>
      </c>
      <c r="H757" s="3" t="s">
        <v>40</v>
      </c>
      <c r="I757" s="3" t="s">
        <v>232</v>
      </c>
    </row>
    <row r="758" spans="1:9" ht="19.95" customHeight="1" x14ac:dyDescent="0.2">
      <c r="A758" s="3" t="s">
        <v>1143</v>
      </c>
      <c r="B758" s="3" t="s">
        <v>45</v>
      </c>
      <c r="C758" s="3" t="s">
        <v>308</v>
      </c>
      <c r="D758" s="3" t="s">
        <v>284</v>
      </c>
      <c r="E758" s="4">
        <v>11900</v>
      </c>
      <c r="F758" s="5" t="s">
        <v>39</v>
      </c>
      <c r="G758" s="4">
        <v>9758</v>
      </c>
      <c r="H758" s="3" t="s">
        <v>40</v>
      </c>
      <c r="I758" s="3" t="s">
        <v>232</v>
      </c>
    </row>
    <row r="759" spans="1:9" ht="19.95" customHeight="1" x14ac:dyDescent="0.2">
      <c r="A759" s="3" t="s">
        <v>1143</v>
      </c>
      <c r="B759" s="3" t="s">
        <v>45</v>
      </c>
      <c r="C759" s="3" t="s">
        <v>37</v>
      </c>
      <c r="D759" s="3" t="s">
        <v>284</v>
      </c>
      <c r="E759" s="4">
        <v>1190</v>
      </c>
      <c r="F759" s="5" t="s">
        <v>39</v>
      </c>
      <c r="G759" s="4">
        <v>976</v>
      </c>
      <c r="H759" s="3" t="s">
        <v>40</v>
      </c>
      <c r="I759" s="3" t="s">
        <v>232</v>
      </c>
    </row>
    <row r="760" spans="1:9" ht="19.95" customHeight="1" x14ac:dyDescent="0.2">
      <c r="A760" s="3" t="s">
        <v>1144</v>
      </c>
      <c r="B760" s="3" t="s">
        <v>45</v>
      </c>
      <c r="C760" s="3" t="s">
        <v>37</v>
      </c>
      <c r="D760" s="3" t="s">
        <v>284</v>
      </c>
      <c r="E760" s="4">
        <v>1930</v>
      </c>
      <c r="F760" s="5" t="s">
        <v>39</v>
      </c>
      <c r="G760" s="4">
        <v>1583</v>
      </c>
      <c r="H760" s="3" t="s">
        <v>40</v>
      </c>
      <c r="I760" s="3" t="s">
        <v>232</v>
      </c>
    </row>
    <row r="761" spans="1:9" ht="19.95" customHeight="1" x14ac:dyDescent="0.2">
      <c r="A761" s="3" t="s">
        <v>1144</v>
      </c>
      <c r="B761" s="3" t="s">
        <v>45</v>
      </c>
      <c r="C761" s="3" t="s">
        <v>308</v>
      </c>
      <c r="D761" s="3" t="s">
        <v>284</v>
      </c>
      <c r="E761" s="4">
        <v>19300</v>
      </c>
      <c r="F761" s="5" t="s">
        <v>39</v>
      </c>
      <c r="G761" s="4">
        <v>15826</v>
      </c>
      <c r="H761" s="3" t="s">
        <v>40</v>
      </c>
      <c r="I761" s="3" t="s">
        <v>232</v>
      </c>
    </row>
    <row r="762" spans="1:9" ht="19.95" customHeight="1" x14ac:dyDescent="0.2">
      <c r="A762" s="3" t="s">
        <v>1145</v>
      </c>
      <c r="B762" s="3" t="s">
        <v>45</v>
      </c>
      <c r="C762" s="3" t="s">
        <v>308</v>
      </c>
      <c r="D762" s="3" t="s">
        <v>284</v>
      </c>
      <c r="E762" s="4">
        <v>26200</v>
      </c>
      <c r="F762" s="5" t="s">
        <v>39</v>
      </c>
      <c r="G762" s="4">
        <v>21484</v>
      </c>
      <c r="H762" s="3" t="s">
        <v>40</v>
      </c>
      <c r="I762" s="3" t="s">
        <v>232</v>
      </c>
    </row>
    <row r="763" spans="1:9" ht="19.95" customHeight="1" x14ac:dyDescent="0.2">
      <c r="A763" s="3" t="s">
        <v>1145</v>
      </c>
      <c r="B763" s="3" t="s">
        <v>45</v>
      </c>
      <c r="C763" s="3" t="s">
        <v>37</v>
      </c>
      <c r="D763" s="3" t="s">
        <v>284</v>
      </c>
      <c r="E763" s="4">
        <v>2620</v>
      </c>
      <c r="F763" s="5" t="s">
        <v>39</v>
      </c>
      <c r="G763" s="4">
        <v>2148</v>
      </c>
      <c r="H763" s="3" t="s">
        <v>40</v>
      </c>
      <c r="I763" s="3" t="s">
        <v>232</v>
      </c>
    </row>
    <row r="764" spans="1:9" ht="19.95" customHeight="1" x14ac:dyDescent="0.2">
      <c r="A764" s="3" t="s">
        <v>1146</v>
      </c>
      <c r="B764" s="3" t="s">
        <v>45</v>
      </c>
      <c r="C764" s="3" t="s">
        <v>1147</v>
      </c>
      <c r="D764" s="3" t="s">
        <v>284</v>
      </c>
      <c r="E764" s="4">
        <v>945</v>
      </c>
      <c r="F764" s="5" t="s">
        <v>75</v>
      </c>
      <c r="G764" s="4">
        <v>775</v>
      </c>
      <c r="H764" s="3" t="s">
        <v>40</v>
      </c>
      <c r="I764" s="3" t="s">
        <v>232</v>
      </c>
    </row>
    <row r="765" spans="1:9" ht="19.95" customHeight="1" x14ac:dyDescent="0.2">
      <c r="A765" s="3" t="s">
        <v>1148</v>
      </c>
      <c r="B765" s="3" t="s">
        <v>45</v>
      </c>
      <c r="C765" s="3" t="s">
        <v>1149</v>
      </c>
      <c r="D765" s="3" t="s">
        <v>284</v>
      </c>
      <c r="E765" s="4">
        <v>787.5</v>
      </c>
      <c r="F765" s="5" t="s">
        <v>75</v>
      </c>
      <c r="G765" s="4">
        <v>646</v>
      </c>
      <c r="H765" s="3" t="s">
        <v>40</v>
      </c>
      <c r="I765" s="3" t="s">
        <v>232</v>
      </c>
    </row>
    <row r="766" spans="1:9" ht="19.95" customHeight="1" x14ac:dyDescent="0.2">
      <c r="A766" s="3" t="s">
        <v>1150</v>
      </c>
      <c r="B766" s="3" t="s">
        <v>45</v>
      </c>
      <c r="C766" s="3" t="s">
        <v>1151</v>
      </c>
      <c r="D766" s="3" t="s">
        <v>284</v>
      </c>
      <c r="E766" s="4">
        <v>1575</v>
      </c>
      <c r="F766" s="5" t="s">
        <v>75</v>
      </c>
      <c r="G766" s="4">
        <v>1292</v>
      </c>
      <c r="H766" s="3" t="s">
        <v>40</v>
      </c>
      <c r="I766" s="3" t="s">
        <v>232</v>
      </c>
    </row>
    <row r="767" spans="1:9" ht="19.95" customHeight="1" x14ac:dyDescent="0.2">
      <c r="A767" s="3" t="s">
        <v>1152</v>
      </c>
      <c r="B767" s="3" t="s">
        <v>45</v>
      </c>
      <c r="C767" s="3" t="s">
        <v>69</v>
      </c>
      <c r="D767" s="3" t="s">
        <v>319</v>
      </c>
      <c r="E767" s="4">
        <v>1040</v>
      </c>
      <c r="F767" s="5" t="s">
        <v>11</v>
      </c>
      <c r="G767" s="4">
        <v>676</v>
      </c>
      <c r="H767" s="3" t="s">
        <v>40</v>
      </c>
      <c r="I767" s="3" t="s">
        <v>232</v>
      </c>
    </row>
    <row r="768" spans="1:9" ht="19.95" customHeight="1" x14ac:dyDescent="0.2">
      <c r="A768" s="3" t="s">
        <v>1152</v>
      </c>
      <c r="B768" s="3" t="s">
        <v>45</v>
      </c>
      <c r="C768" s="3" t="s">
        <v>176</v>
      </c>
      <c r="D768" s="3" t="s">
        <v>319</v>
      </c>
      <c r="E768" s="4">
        <v>5200</v>
      </c>
      <c r="F768" s="5" t="s">
        <v>11</v>
      </c>
      <c r="G768" s="4">
        <v>3380</v>
      </c>
      <c r="H768" s="3" t="s">
        <v>40</v>
      </c>
      <c r="I768" s="3" t="s">
        <v>232</v>
      </c>
    </row>
    <row r="769" spans="1:9" ht="19.95" customHeight="1" x14ac:dyDescent="0.2">
      <c r="A769" s="3" t="s">
        <v>1153</v>
      </c>
      <c r="B769" s="3" t="s">
        <v>45</v>
      </c>
      <c r="C769" s="3" t="s">
        <v>176</v>
      </c>
      <c r="D769" s="3" t="s">
        <v>319</v>
      </c>
      <c r="E769" s="4">
        <v>5200</v>
      </c>
      <c r="F769" s="5" t="s">
        <v>11</v>
      </c>
      <c r="G769" s="4">
        <v>3380</v>
      </c>
      <c r="H769" s="3" t="s">
        <v>40</v>
      </c>
      <c r="I769" s="3" t="s">
        <v>232</v>
      </c>
    </row>
    <row r="770" spans="1:9" ht="19.95" customHeight="1" x14ac:dyDescent="0.2">
      <c r="A770" s="3" t="s">
        <v>1153</v>
      </c>
      <c r="B770" s="3" t="s">
        <v>45</v>
      </c>
      <c r="C770" s="3" t="s">
        <v>69</v>
      </c>
      <c r="D770" s="3" t="s">
        <v>319</v>
      </c>
      <c r="E770" s="4">
        <v>1040</v>
      </c>
      <c r="F770" s="5" t="s">
        <v>39</v>
      </c>
      <c r="G770" s="4">
        <v>676</v>
      </c>
      <c r="H770" s="3" t="s">
        <v>40</v>
      </c>
      <c r="I770" s="3" t="s">
        <v>232</v>
      </c>
    </row>
    <row r="771" spans="1:9" ht="19.95" customHeight="1" x14ac:dyDescent="0.2">
      <c r="A771" s="3" t="s">
        <v>1154</v>
      </c>
      <c r="B771" s="3" t="s">
        <v>45</v>
      </c>
      <c r="C771" s="3" t="s">
        <v>176</v>
      </c>
      <c r="D771" s="3" t="s">
        <v>319</v>
      </c>
      <c r="E771" s="4">
        <v>5200</v>
      </c>
      <c r="F771" s="5" t="s">
        <v>11</v>
      </c>
      <c r="G771" s="4">
        <v>4370</v>
      </c>
      <c r="H771" s="3" t="s">
        <v>40</v>
      </c>
      <c r="I771" s="3" t="s">
        <v>232</v>
      </c>
    </row>
    <row r="772" spans="1:9" ht="19.95" customHeight="1" x14ac:dyDescent="0.2">
      <c r="A772" s="3" t="s">
        <v>1154</v>
      </c>
      <c r="B772" s="3" t="s">
        <v>45</v>
      </c>
      <c r="C772" s="3" t="s">
        <v>69</v>
      </c>
      <c r="D772" s="3" t="s">
        <v>319</v>
      </c>
      <c r="E772" s="4">
        <v>1040</v>
      </c>
      <c r="F772" s="5" t="s">
        <v>11</v>
      </c>
      <c r="G772" s="4">
        <v>874</v>
      </c>
      <c r="H772" s="3" t="s">
        <v>40</v>
      </c>
      <c r="I772" s="3" t="s">
        <v>232</v>
      </c>
    </row>
    <row r="773" spans="1:9" ht="19.95" customHeight="1" x14ac:dyDescent="0.2">
      <c r="A773" s="3" t="s">
        <v>1155</v>
      </c>
      <c r="B773" s="3" t="s">
        <v>45</v>
      </c>
      <c r="C773" s="3" t="s">
        <v>69</v>
      </c>
      <c r="D773" s="3" t="s">
        <v>319</v>
      </c>
      <c r="E773" s="4">
        <v>1090</v>
      </c>
      <c r="F773" s="5" t="s">
        <v>11</v>
      </c>
      <c r="G773" s="4">
        <v>927</v>
      </c>
      <c r="H773" s="3" t="s">
        <v>40</v>
      </c>
      <c r="I773" s="3" t="s">
        <v>232</v>
      </c>
    </row>
    <row r="774" spans="1:9" ht="19.95" customHeight="1" x14ac:dyDescent="0.2">
      <c r="A774" s="3" t="s">
        <v>1155</v>
      </c>
      <c r="B774" s="3" t="s">
        <v>45</v>
      </c>
      <c r="C774" s="3" t="s">
        <v>176</v>
      </c>
      <c r="D774" s="3" t="s">
        <v>319</v>
      </c>
      <c r="E774" s="4">
        <v>5450</v>
      </c>
      <c r="F774" s="5" t="s">
        <v>11</v>
      </c>
      <c r="G774" s="4">
        <v>4633</v>
      </c>
      <c r="H774" s="3" t="s">
        <v>40</v>
      </c>
      <c r="I774" s="3" t="s">
        <v>232</v>
      </c>
    </row>
    <row r="775" spans="1:9" ht="19.95" customHeight="1" x14ac:dyDescent="0.2">
      <c r="A775" s="3" t="s">
        <v>1156</v>
      </c>
      <c r="B775" s="3" t="s">
        <v>11</v>
      </c>
      <c r="C775" s="3" t="s">
        <v>84</v>
      </c>
      <c r="D775" s="3" t="s">
        <v>319</v>
      </c>
      <c r="E775" s="4">
        <v>4690</v>
      </c>
      <c r="F775" s="5" t="s">
        <v>14</v>
      </c>
      <c r="G775" s="6"/>
      <c r="H775" s="3" t="s">
        <v>40</v>
      </c>
      <c r="I775" s="3" t="s">
        <v>232</v>
      </c>
    </row>
    <row r="776" spans="1:9" ht="19.95" customHeight="1" x14ac:dyDescent="0.2">
      <c r="A776" s="3" t="s">
        <v>1157</v>
      </c>
      <c r="B776" s="3" t="s">
        <v>11</v>
      </c>
      <c r="C776" s="3" t="s">
        <v>308</v>
      </c>
      <c r="D776" s="3" t="s">
        <v>319</v>
      </c>
      <c r="E776" s="4">
        <v>10400</v>
      </c>
      <c r="F776" s="5" t="s">
        <v>39</v>
      </c>
      <c r="G776" s="6"/>
      <c r="H776" s="3" t="s">
        <v>40</v>
      </c>
      <c r="I776" s="3" t="s">
        <v>232</v>
      </c>
    </row>
    <row r="777" spans="1:9" ht="19.95" customHeight="1" x14ac:dyDescent="0.2">
      <c r="A777" s="3" t="s">
        <v>1157</v>
      </c>
      <c r="B777" s="3" t="s">
        <v>45</v>
      </c>
      <c r="C777" s="3" t="s">
        <v>37</v>
      </c>
      <c r="D777" s="3" t="s">
        <v>319</v>
      </c>
      <c r="E777" s="4">
        <v>1040</v>
      </c>
      <c r="F777" s="5" t="s">
        <v>39</v>
      </c>
      <c r="G777" s="4">
        <v>676</v>
      </c>
      <c r="H777" s="3" t="s">
        <v>40</v>
      </c>
      <c r="I777" s="3" t="s">
        <v>232</v>
      </c>
    </row>
    <row r="778" spans="1:9" ht="19.95" customHeight="1" x14ac:dyDescent="0.2">
      <c r="A778" s="3" t="s">
        <v>1158</v>
      </c>
      <c r="B778" s="3" t="s">
        <v>45</v>
      </c>
      <c r="C778" s="3" t="s">
        <v>69</v>
      </c>
      <c r="D778" s="3" t="s">
        <v>319</v>
      </c>
      <c r="E778" s="4">
        <v>1040</v>
      </c>
      <c r="F778" s="5" t="s">
        <v>39</v>
      </c>
      <c r="G778" s="4">
        <v>945</v>
      </c>
      <c r="H778" s="3" t="s">
        <v>40</v>
      </c>
      <c r="I778" s="3" t="s">
        <v>232</v>
      </c>
    </row>
    <row r="779" spans="1:9" ht="19.95" customHeight="1" x14ac:dyDescent="0.2">
      <c r="A779" s="3" t="s">
        <v>1159</v>
      </c>
      <c r="B779" s="3" t="s">
        <v>11</v>
      </c>
      <c r="C779" s="3" t="s">
        <v>140</v>
      </c>
      <c r="D779" s="3" t="s">
        <v>319</v>
      </c>
      <c r="E779" s="4">
        <v>10400</v>
      </c>
      <c r="F779" s="5" t="s">
        <v>39</v>
      </c>
      <c r="G779" s="6"/>
      <c r="H779" s="3" t="s">
        <v>40</v>
      </c>
      <c r="I779" s="3" t="s">
        <v>232</v>
      </c>
    </row>
    <row r="780" spans="1:9" ht="19.95" customHeight="1" x14ac:dyDescent="0.2">
      <c r="A780" s="3" t="s">
        <v>1160</v>
      </c>
      <c r="B780" s="3" t="s">
        <v>11</v>
      </c>
      <c r="C780" s="3" t="s">
        <v>69</v>
      </c>
      <c r="D780" s="3" t="s">
        <v>319</v>
      </c>
      <c r="E780" s="4">
        <v>1040</v>
      </c>
      <c r="F780" s="5" t="s">
        <v>39</v>
      </c>
      <c r="G780" s="6"/>
      <c r="H780" s="3" t="s">
        <v>40</v>
      </c>
      <c r="I780" s="3" t="s">
        <v>232</v>
      </c>
    </row>
    <row r="781" spans="1:9" ht="19.95" customHeight="1" x14ac:dyDescent="0.2">
      <c r="A781" s="3" t="s">
        <v>1160</v>
      </c>
      <c r="B781" s="3" t="s">
        <v>11</v>
      </c>
      <c r="C781" s="3" t="s">
        <v>308</v>
      </c>
      <c r="D781" s="3" t="s">
        <v>319</v>
      </c>
      <c r="E781" s="4">
        <v>10400</v>
      </c>
      <c r="F781" s="5" t="s">
        <v>39</v>
      </c>
      <c r="G781" s="6"/>
      <c r="H781" s="3" t="s">
        <v>40</v>
      </c>
      <c r="I781" s="3" t="s">
        <v>232</v>
      </c>
    </row>
    <row r="782" spans="1:9" ht="19.95" customHeight="1" x14ac:dyDescent="0.2">
      <c r="A782" s="3" t="s">
        <v>1161</v>
      </c>
      <c r="B782" s="3" t="s">
        <v>11</v>
      </c>
      <c r="C782" s="3" t="s">
        <v>69</v>
      </c>
      <c r="D782" s="3" t="s">
        <v>319</v>
      </c>
      <c r="E782" s="4">
        <v>1090</v>
      </c>
      <c r="F782" s="5" t="s">
        <v>39</v>
      </c>
      <c r="G782" s="6"/>
      <c r="H782" s="3" t="s">
        <v>40</v>
      </c>
      <c r="I782" s="3" t="s">
        <v>232</v>
      </c>
    </row>
    <row r="783" spans="1:9" ht="19.95" customHeight="1" x14ac:dyDescent="0.2">
      <c r="A783" s="3" t="s">
        <v>1161</v>
      </c>
      <c r="B783" s="3" t="s">
        <v>11</v>
      </c>
      <c r="C783" s="3" t="s">
        <v>140</v>
      </c>
      <c r="D783" s="3" t="s">
        <v>319</v>
      </c>
      <c r="E783" s="4">
        <v>10900</v>
      </c>
      <c r="F783" s="5" t="s">
        <v>39</v>
      </c>
      <c r="G783" s="6"/>
      <c r="H783" s="3" t="s">
        <v>40</v>
      </c>
      <c r="I783" s="3" t="s">
        <v>232</v>
      </c>
    </row>
    <row r="784" spans="1:9" ht="19.95" customHeight="1" x14ac:dyDescent="0.2">
      <c r="A784" s="3" t="s">
        <v>1162</v>
      </c>
      <c r="B784" s="3" t="s">
        <v>11</v>
      </c>
      <c r="C784" s="3" t="s">
        <v>299</v>
      </c>
      <c r="D784" s="3" t="s">
        <v>319</v>
      </c>
      <c r="E784" s="4">
        <v>3470</v>
      </c>
      <c r="F784" s="5" t="s">
        <v>585</v>
      </c>
      <c r="G784" s="6"/>
      <c r="H784" s="3" t="s">
        <v>40</v>
      </c>
      <c r="I784" s="3" t="s">
        <v>232</v>
      </c>
    </row>
    <row r="785" spans="1:9" ht="19.95" customHeight="1" x14ac:dyDescent="0.2">
      <c r="A785" s="3" t="s">
        <v>1163</v>
      </c>
      <c r="B785" s="3" t="s">
        <v>45</v>
      </c>
      <c r="C785" s="3" t="s">
        <v>1164</v>
      </c>
      <c r="D785" s="3" t="s">
        <v>319</v>
      </c>
      <c r="E785" s="4">
        <v>750</v>
      </c>
      <c r="F785" s="5" t="s">
        <v>585</v>
      </c>
      <c r="G785" s="4">
        <v>641</v>
      </c>
      <c r="H785" s="3" t="s">
        <v>40</v>
      </c>
      <c r="I785" s="3" t="s">
        <v>232</v>
      </c>
    </row>
    <row r="786" spans="1:9" ht="19.95" customHeight="1" x14ac:dyDescent="0.2">
      <c r="A786" s="3" t="s">
        <v>1165</v>
      </c>
      <c r="B786" s="3" t="s">
        <v>45</v>
      </c>
      <c r="C786" s="3" t="s">
        <v>888</v>
      </c>
      <c r="D786" s="3" t="s">
        <v>319</v>
      </c>
      <c r="E786" s="4">
        <v>1485</v>
      </c>
      <c r="F786" s="5" t="s">
        <v>585</v>
      </c>
      <c r="G786" s="4">
        <v>1270</v>
      </c>
      <c r="H786" s="3" t="s">
        <v>40</v>
      </c>
      <c r="I786" s="3" t="s">
        <v>232</v>
      </c>
    </row>
    <row r="787" spans="1:9" ht="19.95" customHeight="1" x14ac:dyDescent="0.2">
      <c r="A787" s="3" t="s">
        <v>1166</v>
      </c>
      <c r="B787" s="3" t="s">
        <v>45</v>
      </c>
      <c r="C787" s="3" t="s">
        <v>69</v>
      </c>
      <c r="D787" s="3" t="s">
        <v>319</v>
      </c>
      <c r="E787" s="4">
        <v>1620</v>
      </c>
      <c r="F787" s="5" t="s">
        <v>39</v>
      </c>
      <c r="G787" s="4">
        <v>1443</v>
      </c>
      <c r="H787" s="3" t="s">
        <v>40</v>
      </c>
      <c r="I787" s="3" t="s">
        <v>314</v>
      </c>
    </row>
    <row r="788" spans="1:9" ht="19.95" customHeight="1" x14ac:dyDescent="0.2">
      <c r="A788" s="3" t="s">
        <v>1167</v>
      </c>
      <c r="B788" s="3" t="s">
        <v>11</v>
      </c>
      <c r="C788" s="3" t="s">
        <v>258</v>
      </c>
      <c r="D788" s="3" t="s">
        <v>228</v>
      </c>
      <c r="E788" s="4">
        <v>1470</v>
      </c>
      <c r="F788" s="5" t="s">
        <v>14</v>
      </c>
      <c r="G788" s="6"/>
      <c r="H788" s="3" t="s">
        <v>63</v>
      </c>
      <c r="I788" s="3" t="s">
        <v>129</v>
      </c>
    </row>
    <row r="789" spans="1:9" ht="19.95" customHeight="1" x14ac:dyDescent="0.2">
      <c r="A789" s="3" t="s">
        <v>1168</v>
      </c>
      <c r="B789" s="3" t="s">
        <v>11</v>
      </c>
      <c r="C789" s="3" t="s">
        <v>192</v>
      </c>
      <c r="D789" s="3" t="s">
        <v>115</v>
      </c>
      <c r="E789" s="4">
        <v>48390</v>
      </c>
      <c r="F789" s="5" t="s">
        <v>39</v>
      </c>
      <c r="G789" s="6"/>
      <c r="H789" s="3" t="s">
        <v>40</v>
      </c>
      <c r="I789" s="3" t="s">
        <v>358</v>
      </c>
    </row>
    <row r="790" spans="1:9" ht="19.95" customHeight="1" x14ac:dyDescent="0.2">
      <c r="A790" s="3" t="s">
        <v>1169</v>
      </c>
      <c r="B790" s="3" t="s">
        <v>10</v>
      </c>
      <c r="C790" s="3" t="s">
        <v>69</v>
      </c>
      <c r="D790" s="3" t="s">
        <v>70</v>
      </c>
      <c r="E790" s="4">
        <v>16130</v>
      </c>
      <c r="F790" s="5" t="s">
        <v>39</v>
      </c>
      <c r="G790" s="4">
        <v>13480</v>
      </c>
      <c r="H790" s="3" t="s">
        <v>40</v>
      </c>
      <c r="I790" s="3" t="s">
        <v>358</v>
      </c>
    </row>
    <row r="791" spans="1:9" ht="19.95" customHeight="1" x14ac:dyDescent="0.2">
      <c r="A791" s="3" t="s">
        <v>1170</v>
      </c>
      <c r="B791" s="3" t="s">
        <v>115</v>
      </c>
      <c r="C791" s="3" t="s">
        <v>1171</v>
      </c>
      <c r="D791" s="3" t="s">
        <v>115</v>
      </c>
      <c r="E791" s="4">
        <v>1176</v>
      </c>
      <c r="F791" s="5" t="s">
        <v>183</v>
      </c>
      <c r="G791" s="4">
        <v>940</v>
      </c>
      <c r="H791" s="3" t="s">
        <v>63</v>
      </c>
      <c r="I791" s="3" t="s">
        <v>229</v>
      </c>
    </row>
    <row r="792" spans="1:9" ht="19.95" customHeight="1" x14ac:dyDescent="0.2">
      <c r="A792" s="3" t="s">
        <v>1172</v>
      </c>
      <c r="B792" s="3" t="s">
        <v>11</v>
      </c>
      <c r="C792" s="3" t="s">
        <v>1173</v>
      </c>
      <c r="D792" s="3" t="s">
        <v>139</v>
      </c>
      <c r="E792" s="4">
        <v>2352</v>
      </c>
      <c r="F792" s="5" t="s">
        <v>183</v>
      </c>
      <c r="G792" s="6"/>
      <c r="H792" s="3" t="s">
        <v>63</v>
      </c>
      <c r="I792" s="3" t="s">
        <v>229</v>
      </c>
    </row>
    <row r="793" spans="1:9" ht="19.95" customHeight="1" x14ac:dyDescent="0.2">
      <c r="A793" s="3" t="s">
        <v>1174</v>
      </c>
      <c r="B793" s="3" t="s">
        <v>115</v>
      </c>
      <c r="C793" s="3" t="s">
        <v>1171</v>
      </c>
      <c r="D793" s="3" t="s">
        <v>115</v>
      </c>
      <c r="E793" s="4">
        <v>1253</v>
      </c>
      <c r="F793" s="5" t="s">
        <v>183</v>
      </c>
      <c r="G793" s="4">
        <v>1002</v>
      </c>
      <c r="H793" s="3" t="s">
        <v>63</v>
      </c>
      <c r="I793" s="3" t="s">
        <v>229</v>
      </c>
    </row>
    <row r="794" spans="1:9" ht="19.95" customHeight="1" x14ac:dyDescent="0.2">
      <c r="A794" s="3" t="s">
        <v>1175</v>
      </c>
      <c r="B794" s="3" t="s">
        <v>11</v>
      </c>
      <c r="C794" s="3" t="s">
        <v>1173</v>
      </c>
      <c r="D794" s="3" t="s">
        <v>139</v>
      </c>
      <c r="E794" s="4">
        <v>2506</v>
      </c>
      <c r="F794" s="5" t="s">
        <v>183</v>
      </c>
      <c r="G794" s="6"/>
      <c r="H794" s="3" t="s">
        <v>63</v>
      </c>
      <c r="I794" s="3" t="s">
        <v>229</v>
      </c>
    </row>
    <row r="795" spans="1:9" ht="19.95" customHeight="1" x14ac:dyDescent="0.2">
      <c r="A795" s="3" t="s">
        <v>1176</v>
      </c>
      <c r="B795" s="3" t="s">
        <v>115</v>
      </c>
      <c r="C795" s="3" t="s">
        <v>1171</v>
      </c>
      <c r="D795" s="3" t="s">
        <v>115</v>
      </c>
      <c r="E795" s="4">
        <v>996.8</v>
      </c>
      <c r="F795" s="5" t="s">
        <v>183</v>
      </c>
      <c r="G795" s="4">
        <v>797</v>
      </c>
      <c r="H795" s="3" t="s">
        <v>63</v>
      </c>
      <c r="I795" s="3" t="s">
        <v>229</v>
      </c>
    </row>
    <row r="796" spans="1:9" ht="19.95" customHeight="1" x14ac:dyDescent="0.2">
      <c r="A796" s="3" t="s">
        <v>1177</v>
      </c>
      <c r="B796" s="3" t="s">
        <v>11</v>
      </c>
      <c r="C796" s="3" t="s">
        <v>1173</v>
      </c>
      <c r="D796" s="3" t="s">
        <v>139</v>
      </c>
      <c r="E796" s="4">
        <v>1993.6</v>
      </c>
      <c r="F796" s="5" t="s">
        <v>183</v>
      </c>
      <c r="G796" s="6"/>
      <c r="H796" s="3" t="s">
        <v>63</v>
      </c>
      <c r="I796" s="3" t="s">
        <v>229</v>
      </c>
    </row>
    <row r="797" spans="1:9" ht="19.95" customHeight="1" x14ac:dyDescent="0.2">
      <c r="A797" s="3" t="s">
        <v>1178</v>
      </c>
      <c r="B797" s="3" t="s">
        <v>115</v>
      </c>
      <c r="C797" s="3" t="s">
        <v>1171</v>
      </c>
      <c r="D797" s="3" t="s">
        <v>115</v>
      </c>
      <c r="E797" s="4">
        <v>1125.5999999999999</v>
      </c>
      <c r="F797" s="5" t="s">
        <v>183</v>
      </c>
      <c r="G797" s="4">
        <v>900</v>
      </c>
      <c r="H797" s="3" t="s">
        <v>63</v>
      </c>
      <c r="I797" s="3" t="s">
        <v>229</v>
      </c>
    </row>
    <row r="798" spans="1:9" ht="19.95" customHeight="1" x14ac:dyDescent="0.2">
      <c r="A798" s="3" t="s">
        <v>1179</v>
      </c>
      <c r="B798" s="3" t="s">
        <v>11</v>
      </c>
      <c r="C798" s="3" t="s">
        <v>1173</v>
      </c>
      <c r="D798" s="3" t="s">
        <v>139</v>
      </c>
      <c r="E798" s="4">
        <v>2251.1999999999998</v>
      </c>
      <c r="F798" s="5" t="s">
        <v>183</v>
      </c>
      <c r="G798" s="6"/>
      <c r="H798" s="3" t="s">
        <v>63</v>
      </c>
      <c r="I798" s="3" t="s">
        <v>229</v>
      </c>
    </row>
    <row r="799" spans="1:9" ht="19.95" customHeight="1" x14ac:dyDescent="0.2">
      <c r="A799" s="3" t="s">
        <v>1180</v>
      </c>
      <c r="B799" s="3" t="s">
        <v>11</v>
      </c>
      <c r="C799" s="3" t="s">
        <v>69</v>
      </c>
      <c r="D799" s="3" t="s">
        <v>38</v>
      </c>
      <c r="E799" s="4">
        <v>23510</v>
      </c>
      <c r="F799" s="5" t="s">
        <v>39</v>
      </c>
      <c r="G799" s="6"/>
      <c r="H799" s="3" t="s">
        <v>40</v>
      </c>
      <c r="I799" s="3" t="s">
        <v>1181</v>
      </c>
    </row>
    <row r="800" spans="1:9" ht="19.95" customHeight="1" x14ac:dyDescent="0.2">
      <c r="A800" s="3" t="s">
        <v>1182</v>
      </c>
      <c r="B800" s="3" t="s">
        <v>45</v>
      </c>
      <c r="C800" s="3" t="s">
        <v>37</v>
      </c>
      <c r="D800" s="3" t="s">
        <v>295</v>
      </c>
      <c r="E800" s="4">
        <v>960</v>
      </c>
      <c r="F800" s="5" t="s">
        <v>39</v>
      </c>
      <c r="G800" s="4">
        <v>829</v>
      </c>
      <c r="H800" s="3" t="s">
        <v>40</v>
      </c>
      <c r="I800" s="3" t="s">
        <v>251</v>
      </c>
    </row>
    <row r="801" spans="1:9" ht="19.95" customHeight="1" x14ac:dyDescent="0.2">
      <c r="A801" s="3" t="s">
        <v>1182</v>
      </c>
      <c r="B801" s="3" t="s">
        <v>45</v>
      </c>
      <c r="C801" s="3" t="s">
        <v>308</v>
      </c>
      <c r="D801" s="3" t="s">
        <v>295</v>
      </c>
      <c r="E801" s="4">
        <v>9600</v>
      </c>
      <c r="F801" s="5" t="s">
        <v>39</v>
      </c>
      <c r="G801" s="4">
        <v>8290</v>
      </c>
      <c r="H801" s="3" t="s">
        <v>40</v>
      </c>
      <c r="I801" s="3" t="s">
        <v>251</v>
      </c>
    </row>
    <row r="802" spans="1:9" ht="19.95" customHeight="1" x14ac:dyDescent="0.2">
      <c r="A802" s="3" t="s">
        <v>1183</v>
      </c>
      <c r="B802" s="3" t="s">
        <v>45</v>
      </c>
      <c r="C802" s="3" t="s">
        <v>37</v>
      </c>
      <c r="D802" s="3" t="s">
        <v>295</v>
      </c>
      <c r="E802" s="4">
        <v>1040</v>
      </c>
      <c r="F802" s="5" t="s">
        <v>39</v>
      </c>
      <c r="G802" s="4">
        <v>898</v>
      </c>
      <c r="H802" s="3" t="s">
        <v>40</v>
      </c>
      <c r="I802" s="3" t="s">
        <v>251</v>
      </c>
    </row>
    <row r="803" spans="1:9" ht="19.95" customHeight="1" x14ac:dyDescent="0.2">
      <c r="A803" s="3" t="s">
        <v>1183</v>
      </c>
      <c r="B803" s="3" t="s">
        <v>45</v>
      </c>
      <c r="C803" s="3" t="s">
        <v>140</v>
      </c>
      <c r="D803" s="3" t="s">
        <v>295</v>
      </c>
      <c r="E803" s="4">
        <v>10400</v>
      </c>
      <c r="F803" s="5" t="s">
        <v>39</v>
      </c>
      <c r="G803" s="4">
        <v>8980</v>
      </c>
      <c r="H803" s="3" t="s">
        <v>40</v>
      </c>
      <c r="I803" s="3" t="s">
        <v>251</v>
      </c>
    </row>
    <row r="804" spans="1:9" ht="19.95" customHeight="1" x14ac:dyDescent="0.2">
      <c r="A804" s="3" t="s">
        <v>1184</v>
      </c>
      <c r="B804" s="3" t="s">
        <v>11</v>
      </c>
      <c r="C804" s="3" t="s">
        <v>69</v>
      </c>
      <c r="D804" s="3" t="s">
        <v>407</v>
      </c>
      <c r="E804" s="4">
        <v>2900</v>
      </c>
      <c r="F804" s="5" t="s">
        <v>39</v>
      </c>
      <c r="G804" s="6"/>
      <c r="H804" s="3" t="s">
        <v>40</v>
      </c>
      <c r="I804" s="3" t="s">
        <v>1185</v>
      </c>
    </row>
    <row r="805" spans="1:9" ht="19.95" customHeight="1" x14ac:dyDescent="0.2">
      <c r="A805" s="3" t="s">
        <v>1186</v>
      </c>
      <c r="B805" s="3" t="s">
        <v>10</v>
      </c>
      <c r="C805" s="3" t="s">
        <v>648</v>
      </c>
      <c r="D805" s="3" t="s">
        <v>109</v>
      </c>
      <c r="E805" s="4">
        <v>1980</v>
      </c>
      <c r="F805" s="5" t="s">
        <v>39</v>
      </c>
      <c r="G805" s="4">
        <v>1680</v>
      </c>
      <c r="H805" s="3" t="s">
        <v>40</v>
      </c>
      <c r="I805" s="3" t="s">
        <v>263</v>
      </c>
    </row>
    <row r="806" spans="1:9" ht="19.95" customHeight="1" x14ac:dyDescent="0.2">
      <c r="A806" s="3" t="s">
        <v>1187</v>
      </c>
      <c r="B806" s="3" t="s">
        <v>11</v>
      </c>
      <c r="C806" s="3" t="s">
        <v>1188</v>
      </c>
      <c r="D806" s="3" t="s">
        <v>1027</v>
      </c>
      <c r="E806" s="4">
        <v>17611</v>
      </c>
      <c r="F806" s="5" t="s">
        <v>935</v>
      </c>
      <c r="G806" s="6"/>
      <c r="H806" s="3" t="s">
        <v>81</v>
      </c>
      <c r="I806" s="3" t="s">
        <v>82</v>
      </c>
    </row>
    <row r="807" spans="1:9" ht="19.95" customHeight="1" x14ac:dyDescent="0.2">
      <c r="A807" s="3" t="s">
        <v>1189</v>
      </c>
      <c r="B807" s="3" t="s">
        <v>11</v>
      </c>
      <c r="C807" s="3" t="s">
        <v>917</v>
      </c>
      <c r="D807" s="3" t="s">
        <v>139</v>
      </c>
      <c r="E807" s="4">
        <v>21476</v>
      </c>
      <c r="F807" s="5" t="s">
        <v>39</v>
      </c>
      <c r="G807" s="6"/>
      <c r="H807" s="3" t="s">
        <v>40</v>
      </c>
      <c r="I807" s="3" t="s">
        <v>229</v>
      </c>
    </row>
    <row r="808" spans="1:9" ht="19.95" customHeight="1" x14ac:dyDescent="0.2">
      <c r="A808" s="3" t="s">
        <v>1190</v>
      </c>
      <c r="B808" s="3" t="s">
        <v>10</v>
      </c>
      <c r="C808" s="3" t="s">
        <v>37</v>
      </c>
      <c r="D808" s="3" t="s">
        <v>205</v>
      </c>
      <c r="E808" s="4">
        <v>6450</v>
      </c>
      <c r="F808" s="5" t="s">
        <v>39</v>
      </c>
      <c r="G808" s="4">
        <v>5550</v>
      </c>
      <c r="H808" s="3" t="s">
        <v>40</v>
      </c>
      <c r="I808" s="3" t="s">
        <v>64</v>
      </c>
    </row>
    <row r="809" spans="1:9" ht="19.95" customHeight="1" x14ac:dyDescent="0.2">
      <c r="A809" s="3" t="s">
        <v>1191</v>
      </c>
      <c r="B809" s="3" t="s">
        <v>91</v>
      </c>
      <c r="C809" s="3" t="s">
        <v>1192</v>
      </c>
      <c r="D809" s="3" t="s">
        <v>246</v>
      </c>
      <c r="E809" s="4">
        <v>845</v>
      </c>
      <c r="F809" s="5" t="s">
        <v>14</v>
      </c>
      <c r="G809" s="4">
        <v>748</v>
      </c>
      <c r="H809" s="3" t="s">
        <v>63</v>
      </c>
      <c r="I809" s="3" t="s">
        <v>129</v>
      </c>
    </row>
    <row r="810" spans="1:9" ht="19.95" customHeight="1" x14ac:dyDescent="0.2">
      <c r="A810" s="3" t="s">
        <v>1193</v>
      </c>
      <c r="B810" s="3" t="s">
        <v>11</v>
      </c>
      <c r="C810" s="3" t="s">
        <v>1194</v>
      </c>
      <c r="D810" s="3" t="s">
        <v>246</v>
      </c>
      <c r="E810" s="4">
        <v>2080</v>
      </c>
      <c r="F810" s="5" t="s">
        <v>89</v>
      </c>
      <c r="G810" s="6"/>
      <c r="H810" s="3" t="s">
        <v>81</v>
      </c>
      <c r="I810" s="3" t="s">
        <v>334</v>
      </c>
    </row>
    <row r="811" spans="1:9" ht="19.95" customHeight="1" x14ac:dyDescent="0.2">
      <c r="A811" s="3" t="s">
        <v>1195</v>
      </c>
      <c r="B811" s="3" t="s">
        <v>10</v>
      </c>
      <c r="C811" s="3" t="s">
        <v>146</v>
      </c>
      <c r="D811" s="3" t="s">
        <v>246</v>
      </c>
      <c r="E811" s="4">
        <v>2455</v>
      </c>
      <c r="F811" s="5" t="s">
        <v>249</v>
      </c>
      <c r="G811" s="4">
        <v>2187</v>
      </c>
      <c r="H811" s="3" t="s">
        <v>63</v>
      </c>
      <c r="I811" s="3" t="s">
        <v>76</v>
      </c>
    </row>
    <row r="812" spans="1:9" ht="19.95" customHeight="1" x14ac:dyDescent="0.2">
      <c r="A812" s="3" t="s">
        <v>1196</v>
      </c>
      <c r="B812" s="3" t="s">
        <v>10</v>
      </c>
      <c r="C812" s="3" t="s">
        <v>308</v>
      </c>
      <c r="D812" s="3" t="s">
        <v>85</v>
      </c>
      <c r="E812" s="4">
        <v>9600</v>
      </c>
      <c r="F812" s="5" t="s">
        <v>39</v>
      </c>
      <c r="G812" s="4">
        <v>8510</v>
      </c>
      <c r="H812" s="3" t="s">
        <v>40</v>
      </c>
      <c r="I812" s="3" t="s">
        <v>232</v>
      </c>
    </row>
    <row r="813" spans="1:9" ht="19.95" customHeight="1" x14ac:dyDescent="0.2">
      <c r="A813" s="3" t="s">
        <v>1196</v>
      </c>
      <c r="B813" s="3" t="s">
        <v>11</v>
      </c>
      <c r="C813" s="3" t="s">
        <v>1197</v>
      </c>
      <c r="D813" s="3" t="s">
        <v>85</v>
      </c>
      <c r="E813" s="4">
        <v>960</v>
      </c>
      <c r="F813" s="5" t="s">
        <v>39</v>
      </c>
      <c r="G813" s="6"/>
      <c r="H813" s="3" t="s">
        <v>40</v>
      </c>
      <c r="I813" s="3" t="s">
        <v>232</v>
      </c>
    </row>
    <row r="814" spans="1:9" ht="19.95" customHeight="1" x14ac:dyDescent="0.2">
      <c r="A814" s="3" t="s">
        <v>1198</v>
      </c>
      <c r="B814" s="3" t="s">
        <v>10</v>
      </c>
      <c r="C814" s="3" t="s">
        <v>140</v>
      </c>
      <c r="D814" s="3" t="s">
        <v>85</v>
      </c>
      <c r="E814" s="4">
        <v>18700</v>
      </c>
      <c r="F814" s="5" t="s">
        <v>39</v>
      </c>
      <c r="G814" s="4">
        <v>16580</v>
      </c>
      <c r="H814" s="3" t="s">
        <v>40</v>
      </c>
      <c r="I814" s="3" t="s">
        <v>232</v>
      </c>
    </row>
    <row r="815" spans="1:9" ht="19.95" customHeight="1" x14ac:dyDescent="0.2">
      <c r="A815" s="3" t="s">
        <v>1199</v>
      </c>
      <c r="B815" s="3" t="s">
        <v>11</v>
      </c>
      <c r="C815" s="3" t="s">
        <v>37</v>
      </c>
      <c r="D815" s="3" t="s">
        <v>85</v>
      </c>
      <c r="E815" s="4">
        <v>1870</v>
      </c>
      <c r="F815" s="5" t="s">
        <v>39</v>
      </c>
      <c r="G815" s="6"/>
      <c r="H815" s="3" t="s">
        <v>40</v>
      </c>
      <c r="I815" s="3" t="s">
        <v>232</v>
      </c>
    </row>
    <row r="816" spans="1:9" ht="19.95" customHeight="1" x14ac:dyDescent="0.2">
      <c r="A816" s="3" t="s">
        <v>1200</v>
      </c>
      <c r="B816" s="3" t="s">
        <v>11</v>
      </c>
      <c r="C816" s="3" t="s">
        <v>69</v>
      </c>
      <c r="D816" s="3" t="s">
        <v>1024</v>
      </c>
      <c r="E816" s="4">
        <v>1440</v>
      </c>
      <c r="F816" s="5" t="s">
        <v>39</v>
      </c>
      <c r="G816" s="6"/>
      <c r="H816" s="3" t="s">
        <v>40</v>
      </c>
      <c r="I816" s="3" t="s">
        <v>161</v>
      </c>
    </row>
    <row r="817" spans="1:9" ht="19.95" customHeight="1" x14ac:dyDescent="0.2">
      <c r="A817" s="3" t="s">
        <v>1201</v>
      </c>
      <c r="B817" s="3" t="s">
        <v>91</v>
      </c>
      <c r="C817" s="3" t="s">
        <v>69</v>
      </c>
      <c r="D817" s="3" t="s">
        <v>93</v>
      </c>
      <c r="E817" s="4">
        <v>12870</v>
      </c>
      <c r="F817" s="5" t="s">
        <v>39</v>
      </c>
      <c r="G817" s="4">
        <v>11300</v>
      </c>
      <c r="H817" s="3" t="s">
        <v>40</v>
      </c>
      <c r="I817" s="3" t="s">
        <v>232</v>
      </c>
    </row>
    <row r="818" spans="1:9" ht="19.95" customHeight="1" x14ac:dyDescent="0.2">
      <c r="A818" s="3" t="s">
        <v>1201</v>
      </c>
      <c r="B818" s="3" t="s">
        <v>91</v>
      </c>
      <c r="C818" s="3" t="s">
        <v>176</v>
      </c>
      <c r="D818" s="3" t="s">
        <v>93</v>
      </c>
      <c r="E818" s="4">
        <v>64350</v>
      </c>
      <c r="F818" s="5" t="s">
        <v>39</v>
      </c>
      <c r="G818" s="4">
        <v>56499</v>
      </c>
      <c r="H818" s="3" t="s">
        <v>40</v>
      </c>
      <c r="I818" s="3" t="s">
        <v>232</v>
      </c>
    </row>
    <row r="819" spans="1:9" ht="19.95" customHeight="1" x14ac:dyDescent="0.2">
      <c r="A819" s="3" t="s">
        <v>1202</v>
      </c>
      <c r="B819" s="3" t="s">
        <v>91</v>
      </c>
      <c r="C819" s="3" t="s">
        <v>176</v>
      </c>
      <c r="D819" s="3" t="s">
        <v>93</v>
      </c>
      <c r="E819" s="4">
        <v>120900</v>
      </c>
      <c r="F819" s="5" t="s">
        <v>39</v>
      </c>
      <c r="G819" s="4">
        <v>106150</v>
      </c>
      <c r="H819" s="3" t="s">
        <v>40</v>
      </c>
      <c r="I819" s="3" t="s">
        <v>232</v>
      </c>
    </row>
    <row r="820" spans="1:9" ht="19.95" customHeight="1" x14ac:dyDescent="0.2">
      <c r="A820" s="3" t="s">
        <v>1202</v>
      </c>
      <c r="B820" s="3" t="s">
        <v>91</v>
      </c>
      <c r="C820" s="3" t="s">
        <v>69</v>
      </c>
      <c r="D820" s="3" t="s">
        <v>93</v>
      </c>
      <c r="E820" s="4">
        <v>24180</v>
      </c>
      <c r="F820" s="5" t="s">
        <v>39</v>
      </c>
      <c r="G820" s="4">
        <v>21230</v>
      </c>
      <c r="H820" s="3" t="s">
        <v>40</v>
      </c>
      <c r="I820" s="3" t="s">
        <v>232</v>
      </c>
    </row>
    <row r="821" spans="1:9" ht="19.95" customHeight="1" x14ac:dyDescent="0.2">
      <c r="A821" s="3" t="s">
        <v>1203</v>
      </c>
      <c r="B821" s="3" t="s">
        <v>91</v>
      </c>
      <c r="C821" s="3" t="s">
        <v>176</v>
      </c>
      <c r="D821" s="3" t="s">
        <v>93</v>
      </c>
      <c r="E821" s="4">
        <v>230950</v>
      </c>
      <c r="F821" s="5" t="s">
        <v>39</v>
      </c>
      <c r="G821" s="4">
        <v>202774</v>
      </c>
      <c r="H821" s="3" t="s">
        <v>40</v>
      </c>
      <c r="I821" s="3" t="s">
        <v>232</v>
      </c>
    </row>
    <row r="822" spans="1:9" ht="19.95" customHeight="1" x14ac:dyDescent="0.2">
      <c r="A822" s="3" t="s">
        <v>1204</v>
      </c>
      <c r="B822" s="3" t="s">
        <v>91</v>
      </c>
      <c r="C822" s="3" t="s">
        <v>69</v>
      </c>
      <c r="D822" s="3" t="s">
        <v>93</v>
      </c>
      <c r="E822" s="4">
        <v>46190</v>
      </c>
      <c r="F822" s="5" t="s">
        <v>39</v>
      </c>
      <c r="G822" s="4">
        <v>40555</v>
      </c>
      <c r="H822" s="3" t="s">
        <v>40</v>
      </c>
      <c r="I822" s="3" t="s">
        <v>232</v>
      </c>
    </row>
    <row r="823" spans="1:9" ht="19.95" customHeight="1" x14ac:dyDescent="0.2">
      <c r="A823" s="3" t="s">
        <v>1205</v>
      </c>
      <c r="B823" s="3" t="s">
        <v>10</v>
      </c>
      <c r="C823" s="3" t="s">
        <v>37</v>
      </c>
      <c r="D823" s="3" t="s">
        <v>1206</v>
      </c>
      <c r="E823" s="4">
        <v>610</v>
      </c>
      <c r="F823" s="5" t="s">
        <v>39</v>
      </c>
      <c r="G823" s="4">
        <v>554</v>
      </c>
      <c r="H823" s="3" t="s">
        <v>40</v>
      </c>
      <c r="I823" s="3" t="s">
        <v>314</v>
      </c>
    </row>
    <row r="824" spans="1:9" ht="19.95" customHeight="1" x14ac:dyDescent="0.2">
      <c r="A824" s="3" t="s">
        <v>1205</v>
      </c>
      <c r="B824" s="3" t="s">
        <v>10</v>
      </c>
      <c r="C824" s="3" t="s">
        <v>133</v>
      </c>
      <c r="D824" s="3" t="s">
        <v>1206</v>
      </c>
      <c r="E824" s="4">
        <v>3050</v>
      </c>
      <c r="F824" s="5" t="s">
        <v>39</v>
      </c>
      <c r="G824" s="4">
        <v>2770</v>
      </c>
      <c r="H824" s="3" t="s">
        <v>40</v>
      </c>
      <c r="I824" s="3" t="s">
        <v>314</v>
      </c>
    </row>
    <row r="825" spans="1:9" ht="19.95" customHeight="1" x14ac:dyDescent="0.2">
      <c r="A825" s="3" t="s">
        <v>1207</v>
      </c>
      <c r="B825" s="3" t="s">
        <v>11</v>
      </c>
      <c r="C825" s="3" t="s">
        <v>133</v>
      </c>
      <c r="D825" s="3" t="s">
        <v>1206</v>
      </c>
      <c r="E825" s="4">
        <v>3500</v>
      </c>
      <c r="F825" s="5" t="s">
        <v>39</v>
      </c>
      <c r="G825" s="6"/>
      <c r="H825" s="3" t="s">
        <v>40</v>
      </c>
      <c r="I825" s="3" t="s">
        <v>314</v>
      </c>
    </row>
    <row r="826" spans="1:9" ht="19.95" customHeight="1" x14ac:dyDescent="0.2">
      <c r="A826" s="3" t="s">
        <v>1207</v>
      </c>
      <c r="B826" s="3" t="s">
        <v>10</v>
      </c>
      <c r="C826" s="3" t="s">
        <v>37</v>
      </c>
      <c r="D826" s="3" t="s">
        <v>1206</v>
      </c>
      <c r="E826" s="4">
        <v>700</v>
      </c>
      <c r="F826" s="5" t="s">
        <v>39</v>
      </c>
      <c r="G826" s="4">
        <v>636</v>
      </c>
      <c r="H826" s="3" t="s">
        <v>40</v>
      </c>
      <c r="I826" s="3" t="s">
        <v>314</v>
      </c>
    </row>
    <row r="827" spans="1:9" ht="19.95" customHeight="1" x14ac:dyDescent="0.2">
      <c r="A827" s="3" t="s">
        <v>1208</v>
      </c>
      <c r="B827" s="3" t="s">
        <v>10</v>
      </c>
      <c r="C827" s="3" t="s">
        <v>1209</v>
      </c>
      <c r="D827" s="3" t="s">
        <v>127</v>
      </c>
      <c r="E827" s="4">
        <v>3420</v>
      </c>
      <c r="F827" s="5" t="s">
        <v>39</v>
      </c>
      <c r="G827" s="4">
        <v>2970</v>
      </c>
      <c r="H827" s="3" t="s">
        <v>40</v>
      </c>
      <c r="I827" s="3" t="s">
        <v>229</v>
      </c>
    </row>
    <row r="828" spans="1:9" ht="19.95" customHeight="1" x14ac:dyDescent="0.2">
      <c r="A828" s="3" t="s">
        <v>1208</v>
      </c>
      <c r="B828" s="3" t="s">
        <v>10</v>
      </c>
      <c r="C828" s="3" t="s">
        <v>1210</v>
      </c>
      <c r="D828" s="3" t="s">
        <v>127</v>
      </c>
      <c r="E828" s="4">
        <v>17100</v>
      </c>
      <c r="F828" s="5" t="s">
        <v>39</v>
      </c>
      <c r="G828" s="4">
        <v>14850</v>
      </c>
      <c r="H828" s="3" t="s">
        <v>40</v>
      </c>
      <c r="I828" s="3" t="s">
        <v>229</v>
      </c>
    </row>
    <row r="829" spans="1:9" ht="19.95" customHeight="1" x14ac:dyDescent="0.2">
      <c r="A829" s="3" t="s">
        <v>1211</v>
      </c>
      <c r="B829" s="3" t="s">
        <v>45</v>
      </c>
      <c r="C829" s="3" t="s">
        <v>136</v>
      </c>
      <c r="D829" s="3" t="s">
        <v>228</v>
      </c>
      <c r="E829" s="4">
        <v>1065</v>
      </c>
      <c r="F829" s="5" t="s">
        <v>128</v>
      </c>
      <c r="G829" s="4">
        <v>948</v>
      </c>
      <c r="H829" s="3" t="s">
        <v>63</v>
      </c>
      <c r="I829" s="3" t="s">
        <v>129</v>
      </c>
    </row>
    <row r="830" spans="1:9" ht="19.95" customHeight="1" x14ac:dyDescent="0.2">
      <c r="A830" s="3" t="s">
        <v>1212</v>
      </c>
      <c r="B830" s="3" t="s">
        <v>10</v>
      </c>
      <c r="C830" s="3" t="s">
        <v>133</v>
      </c>
      <c r="D830" s="3" t="s">
        <v>353</v>
      </c>
      <c r="E830" s="4">
        <v>5400</v>
      </c>
      <c r="F830" s="5" t="s">
        <v>39</v>
      </c>
      <c r="G830" s="4">
        <v>4908</v>
      </c>
      <c r="H830" s="3" t="s">
        <v>40</v>
      </c>
      <c r="I830" s="3" t="s">
        <v>499</v>
      </c>
    </row>
    <row r="831" spans="1:9" ht="19.95" customHeight="1" x14ac:dyDescent="0.2">
      <c r="A831" s="3" t="s">
        <v>1213</v>
      </c>
      <c r="B831" s="3" t="s">
        <v>10</v>
      </c>
      <c r="C831" s="3" t="s">
        <v>197</v>
      </c>
      <c r="D831" s="3" t="s">
        <v>109</v>
      </c>
      <c r="E831" s="4">
        <v>1572</v>
      </c>
      <c r="F831" s="5" t="s">
        <v>39</v>
      </c>
      <c r="G831" s="4">
        <v>1305</v>
      </c>
      <c r="H831" s="3" t="s">
        <v>40</v>
      </c>
      <c r="I831" s="3" t="s">
        <v>199</v>
      </c>
    </row>
    <row r="832" spans="1:9" ht="19.95" customHeight="1" x14ac:dyDescent="0.2">
      <c r="A832" s="3" t="s">
        <v>1214</v>
      </c>
      <c r="B832" s="3" t="s">
        <v>10</v>
      </c>
      <c r="C832" s="3" t="s">
        <v>133</v>
      </c>
      <c r="D832" s="3" t="s">
        <v>93</v>
      </c>
      <c r="E832" s="4">
        <v>5200</v>
      </c>
      <c r="F832" s="5" t="s">
        <v>39</v>
      </c>
      <c r="G832" s="4">
        <v>4100</v>
      </c>
      <c r="H832" s="3" t="s">
        <v>40</v>
      </c>
      <c r="I832" s="3" t="s">
        <v>317</v>
      </c>
    </row>
    <row r="833" spans="1:9" ht="19.95" customHeight="1" x14ac:dyDescent="0.2">
      <c r="A833" s="3" t="s">
        <v>1214</v>
      </c>
      <c r="B833" s="3" t="s">
        <v>10</v>
      </c>
      <c r="C833" s="3" t="s">
        <v>133</v>
      </c>
      <c r="D833" s="3" t="s">
        <v>93</v>
      </c>
      <c r="E833" s="4">
        <v>5200</v>
      </c>
      <c r="F833" s="5" t="s">
        <v>39</v>
      </c>
      <c r="G833" s="4">
        <v>4100</v>
      </c>
      <c r="H833" s="3" t="s">
        <v>40</v>
      </c>
      <c r="I833" s="3" t="s">
        <v>317</v>
      </c>
    </row>
    <row r="834" spans="1:9" ht="19.95" customHeight="1" x14ac:dyDescent="0.2">
      <c r="A834" s="3" t="s">
        <v>1215</v>
      </c>
      <c r="B834" s="3" t="s">
        <v>115</v>
      </c>
      <c r="C834" s="3" t="s">
        <v>1216</v>
      </c>
      <c r="D834" s="3" t="s">
        <v>115</v>
      </c>
      <c r="E834" s="4">
        <v>6370</v>
      </c>
      <c r="F834" s="5" t="s">
        <v>14</v>
      </c>
      <c r="G834" s="4">
        <v>5223</v>
      </c>
      <c r="H834" s="3" t="s">
        <v>40</v>
      </c>
      <c r="I834" s="3" t="s">
        <v>251</v>
      </c>
    </row>
    <row r="835" spans="1:9" ht="19.95" customHeight="1" x14ac:dyDescent="0.2">
      <c r="A835" s="3" t="s">
        <v>1217</v>
      </c>
      <c r="B835" s="3" t="s">
        <v>115</v>
      </c>
      <c r="C835" s="3" t="s">
        <v>192</v>
      </c>
      <c r="D835" s="3" t="s">
        <v>115</v>
      </c>
      <c r="E835" s="4">
        <v>7620</v>
      </c>
      <c r="F835" s="5" t="s">
        <v>39</v>
      </c>
      <c r="G835" s="4">
        <v>6246</v>
      </c>
      <c r="H835" s="3" t="s">
        <v>40</v>
      </c>
      <c r="I835" s="3" t="s">
        <v>251</v>
      </c>
    </row>
    <row r="836" spans="1:9" ht="19.95" customHeight="1" x14ac:dyDescent="0.2">
      <c r="A836" s="3" t="s">
        <v>1217</v>
      </c>
      <c r="B836" s="3" t="s">
        <v>115</v>
      </c>
      <c r="C836" s="3" t="s">
        <v>69</v>
      </c>
      <c r="D836" s="3" t="s">
        <v>115</v>
      </c>
      <c r="E836" s="4">
        <v>2540</v>
      </c>
      <c r="F836" s="5" t="s">
        <v>39</v>
      </c>
      <c r="G836" s="4">
        <v>2082</v>
      </c>
      <c r="H836" s="3" t="s">
        <v>40</v>
      </c>
      <c r="I836" s="3" t="s">
        <v>251</v>
      </c>
    </row>
    <row r="837" spans="1:9" ht="19.95" customHeight="1" x14ac:dyDescent="0.2">
      <c r="A837" s="3" t="s">
        <v>1218</v>
      </c>
      <c r="B837" s="3" t="s">
        <v>45</v>
      </c>
      <c r="C837" s="3" t="s">
        <v>415</v>
      </c>
      <c r="D837" s="3" t="s">
        <v>62</v>
      </c>
      <c r="E837" s="4">
        <v>6690</v>
      </c>
      <c r="F837" s="5" t="s">
        <v>89</v>
      </c>
      <c r="G837" s="4">
        <v>5887</v>
      </c>
      <c r="H837" s="3" t="s">
        <v>81</v>
      </c>
      <c r="I837" s="3" t="s">
        <v>251</v>
      </c>
    </row>
    <row r="838" spans="1:9" ht="19.95" customHeight="1" x14ac:dyDescent="0.2">
      <c r="A838" s="3" t="s">
        <v>1219</v>
      </c>
      <c r="B838" s="3" t="s">
        <v>11</v>
      </c>
      <c r="C838" s="3" t="s">
        <v>69</v>
      </c>
      <c r="D838" s="3" t="s">
        <v>319</v>
      </c>
      <c r="E838" s="4">
        <v>7590</v>
      </c>
      <c r="F838" s="5" t="s">
        <v>39</v>
      </c>
      <c r="G838" s="6"/>
      <c r="H838" s="3" t="s">
        <v>40</v>
      </c>
      <c r="I838" s="3" t="s">
        <v>275</v>
      </c>
    </row>
    <row r="839" spans="1:9" ht="19.95" customHeight="1" x14ac:dyDescent="0.2">
      <c r="A839" s="3" t="s">
        <v>1220</v>
      </c>
      <c r="B839" s="3" t="s">
        <v>11</v>
      </c>
      <c r="C839" s="3" t="s">
        <v>1221</v>
      </c>
      <c r="D839" s="3" t="s">
        <v>459</v>
      </c>
      <c r="E839" s="4">
        <v>1430</v>
      </c>
      <c r="F839" s="5" t="s">
        <v>14</v>
      </c>
      <c r="G839" s="6"/>
      <c r="H839" s="3" t="s">
        <v>40</v>
      </c>
      <c r="I839" s="3" t="s">
        <v>167</v>
      </c>
    </row>
    <row r="840" spans="1:9" ht="19.95" customHeight="1" x14ac:dyDescent="0.2">
      <c r="A840" s="3" t="s">
        <v>1222</v>
      </c>
      <c r="B840" s="3" t="s">
        <v>10</v>
      </c>
      <c r="C840" s="3" t="s">
        <v>84</v>
      </c>
      <c r="D840" s="3" t="s">
        <v>70</v>
      </c>
      <c r="E840" s="4">
        <v>2770</v>
      </c>
      <c r="F840" s="5" t="s">
        <v>14</v>
      </c>
      <c r="G840" s="4">
        <v>2467</v>
      </c>
      <c r="H840" s="3" t="s">
        <v>40</v>
      </c>
      <c r="I840" s="3" t="s">
        <v>732</v>
      </c>
    </row>
    <row r="841" spans="1:9" ht="19.95" customHeight="1" x14ac:dyDescent="0.2">
      <c r="A841" s="3" t="s">
        <v>1223</v>
      </c>
      <c r="B841" s="3" t="s">
        <v>10</v>
      </c>
      <c r="C841" s="3" t="s">
        <v>69</v>
      </c>
      <c r="D841" s="3" t="s">
        <v>70</v>
      </c>
      <c r="E841" s="4">
        <v>3290</v>
      </c>
      <c r="F841" s="5" t="s">
        <v>39</v>
      </c>
      <c r="G841" s="4">
        <v>2931</v>
      </c>
      <c r="H841" s="3" t="s">
        <v>40</v>
      </c>
      <c r="I841" s="3" t="s">
        <v>732</v>
      </c>
    </row>
    <row r="842" spans="1:9" ht="19.95" customHeight="1" x14ac:dyDescent="0.2">
      <c r="A842" s="3" t="s">
        <v>1224</v>
      </c>
      <c r="B842" s="3" t="s">
        <v>45</v>
      </c>
      <c r="C842" s="3" t="s">
        <v>146</v>
      </c>
      <c r="D842" s="3" t="s">
        <v>147</v>
      </c>
      <c r="E842" s="4">
        <v>1330</v>
      </c>
      <c r="F842" s="5" t="s">
        <v>75</v>
      </c>
      <c r="G842" s="4">
        <v>1184</v>
      </c>
      <c r="H842" s="3" t="s">
        <v>63</v>
      </c>
      <c r="I842" s="3" t="s">
        <v>76</v>
      </c>
    </row>
    <row r="843" spans="1:9" ht="19.95" customHeight="1" x14ac:dyDescent="0.2">
      <c r="A843" s="3" t="s">
        <v>1225</v>
      </c>
      <c r="B843" s="3" t="s">
        <v>10</v>
      </c>
      <c r="C843" s="3" t="s">
        <v>1226</v>
      </c>
      <c r="D843" s="3" t="s">
        <v>402</v>
      </c>
      <c r="E843" s="4">
        <v>10440</v>
      </c>
      <c r="F843" s="5" t="s">
        <v>98</v>
      </c>
      <c r="G843" s="4">
        <v>9300</v>
      </c>
      <c r="H843" s="3" t="s">
        <v>81</v>
      </c>
      <c r="I843" s="3" t="s">
        <v>732</v>
      </c>
    </row>
    <row r="844" spans="1:9" ht="19.95" customHeight="1" x14ac:dyDescent="0.2">
      <c r="A844" s="3" t="s">
        <v>1227</v>
      </c>
      <c r="B844" s="3" t="s">
        <v>11</v>
      </c>
      <c r="C844" s="3" t="s">
        <v>362</v>
      </c>
      <c r="D844" s="3" t="s">
        <v>311</v>
      </c>
      <c r="E844" s="4">
        <v>166411</v>
      </c>
      <c r="F844" s="5" t="s">
        <v>39</v>
      </c>
      <c r="G844" s="6"/>
      <c r="H844" s="3" t="s">
        <v>40</v>
      </c>
      <c r="I844" s="3" t="s">
        <v>275</v>
      </c>
    </row>
    <row r="845" spans="1:9" ht="19.95" customHeight="1" x14ac:dyDescent="0.2">
      <c r="A845" s="3" t="s">
        <v>1228</v>
      </c>
      <c r="B845" s="3" t="s">
        <v>45</v>
      </c>
      <c r="C845" s="3" t="s">
        <v>562</v>
      </c>
      <c r="D845" s="3" t="s">
        <v>105</v>
      </c>
      <c r="E845" s="4">
        <v>3469</v>
      </c>
      <c r="F845" s="5" t="s">
        <v>39</v>
      </c>
      <c r="G845" s="4">
        <v>3053</v>
      </c>
      <c r="H845" s="3" t="s">
        <v>40</v>
      </c>
      <c r="I845" s="3" t="s">
        <v>1066</v>
      </c>
    </row>
    <row r="846" spans="1:9" ht="19.95" customHeight="1" x14ac:dyDescent="0.2">
      <c r="A846" s="3" t="s">
        <v>1229</v>
      </c>
      <c r="B846" s="3" t="s">
        <v>110</v>
      </c>
      <c r="C846" s="3" t="s">
        <v>208</v>
      </c>
      <c r="D846" s="3" t="s">
        <v>368</v>
      </c>
      <c r="E846" s="4">
        <v>4829.8999999999996</v>
      </c>
      <c r="F846" s="5" t="s">
        <v>171</v>
      </c>
      <c r="G846" s="4">
        <v>4193</v>
      </c>
      <c r="H846" s="3" t="s">
        <v>63</v>
      </c>
      <c r="I846" s="3" t="s">
        <v>172</v>
      </c>
    </row>
    <row r="847" spans="1:9" ht="19.95" customHeight="1" x14ac:dyDescent="0.2">
      <c r="A847" s="3" t="s">
        <v>1230</v>
      </c>
      <c r="B847" s="3" t="s">
        <v>110</v>
      </c>
      <c r="C847" s="3" t="s">
        <v>208</v>
      </c>
      <c r="D847" s="3" t="s">
        <v>368</v>
      </c>
      <c r="E847" s="4">
        <v>5220.8</v>
      </c>
      <c r="F847" s="5" t="s">
        <v>171</v>
      </c>
      <c r="G847" s="4">
        <v>4531</v>
      </c>
      <c r="H847" s="3" t="s">
        <v>63</v>
      </c>
      <c r="I847" s="3" t="s">
        <v>172</v>
      </c>
    </row>
    <row r="848" spans="1:9" ht="19.95" customHeight="1" x14ac:dyDescent="0.2">
      <c r="A848" s="3" t="s">
        <v>1231</v>
      </c>
      <c r="B848" s="3" t="s">
        <v>11</v>
      </c>
      <c r="C848" s="3" t="s">
        <v>194</v>
      </c>
      <c r="D848" s="3" t="s">
        <v>105</v>
      </c>
      <c r="E848" s="4">
        <v>2630</v>
      </c>
      <c r="F848" s="5" t="s">
        <v>89</v>
      </c>
      <c r="G848" s="6"/>
      <c r="H848" s="3" t="s">
        <v>81</v>
      </c>
      <c r="I848" s="3" t="s">
        <v>460</v>
      </c>
    </row>
    <row r="849" spans="1:9" ht="19.95" customHeight="1" x14ac:dyDescent="0.2">
      <c r="A849" s="3" t="s">
        <v>1232</v>
      </c>
      <c r="B849" s="3" t="s">
        <v>11</v>
      </c>
      <c r="C849" s="3" t="s">
        <v>84</v>
      </c>
      <c r="D849" s="3" t="s">
        <v>70</v>
      </c>
      <c r="E849" s="4">
        <v>1380</v>
      </c>
      <c r="F849" s="5" t="s">
        <v>14</v>
      </c>
      <c r="G849" s="6"/>
      <c r="H849" s="3" t="s">
        <v>40</v>
      </c>
      <c r="I849" s="3" t="s">
        <v>156</v>
      </c>
    </row>
    <row r="850" spans="1:9" ht="19.95" customHeight="1" x14ac:dyDescent="0.2">
      <c r="A850" s="3" t="s">
        <v>1233</v>
      </c>
      <c r="B850" s="3" t="s">
        <v>10</v>
      </c>
      <c r="C850" s="3" t="s">
        <v>1234</v>
      </c>
      <c r="D850" s="3" t="s">
        <v>70</v>
      </c>
      <c r="E850" s="4">
        <v>12320</v>
      </c>
      <c r="F850" s="5" t="s">
        <v>183</v>
      </c>
      <c r="G850" s="4">
        <v>10500</v>
      </c>
      <c r="H850" s="3" t="s">
        <v>63</v>
      </c>
      <c r="I850" s="3" t="s">
        <v>129</v>
      </c>
    </row>
    <row r="851" spans="1:9" ht="19.95" customHeight="1" x14ac:dyDescent="0.2">
      <c r="A851" s="3" t="s">
        <v>1235</v>
      </c>
      <c r="B851" s="3" t="s">
        <v>11</v>
      </c>
      <c r="C851" s="3" t="s">
        <v>1234</v>
      </c>
      <c r="D851" s="3" t="s">
        <v>182</v>
      </c>
      <c r="E851" s="4">
        <v>12320</v>
      </c>
      <c r="F851" s="5" t="s">
        <v>183</v>
      </c>
      <c r="G851" s="6"/>
      <c r="H851" s="3" t="s">
        <v>63</v>
      </c>
      <c r="I851" s="3" t="s">
        <v>129</v>
      </c>
    </row>
    <row r="852" spans="1:9" ht="19.95" customHeight="1" x14ac:dyDescent="0.2">
      <c r="A852" s="3" t="s">
        <v>1236</v>
      </c>
      <c r="B852" s="3" t="s">
        <v>10</v>
      </c>
      <c r="C852" s="3" t="s">
        <v>140</v>
      </c>
      <c r="D852" s="3" t="s">
        <v>262</v>
      </c>
      <c r="E852" s="4">
        <v>10100</v>
      </c>
      <c r="F852" s="5" t="s">
        <v>39</v>
      </c>
      <c r="G852" s="4">
        <v>8950</v>
      </c>
      <c r="H852" s="3" t="s">
        <v>40</v>
      </c>
      <c r="I852" s="3" t="s">
        <v>156</v>
      </c>
    </row>
    <row r="853" spans="1:9" ht="19.95" customHeight="1" x14ac:dyDescent="0.2">
      <c r="A853" s="3" t="s">
        <v>1236</v>
      </c>
      <c r="B853" s="3" t="s">
        <v>10</v>
      </c>
      <c r="C853" s="3" t="s">
        <v>140</v>
      </c>
      <c r="D853" s="3" t="s">
        <v>262</v>
      </c>
      <c r="E853" s="4">
        <v>10100</v>
      </c>
      <c r="F853" s="5" t="s">
        <v>39</v>
      </c>
      <c r="G853" s="4">
        <v>8950</v>
      </c>
      <c r="H853" s="3" t="s">
        <v>40</v>
      </c>
      <c r="I853" s="3" t="s">
        <v>156</v>
      </c>
    </row>
    <row r="854" spans="1:9" ht="19.95" customHeight="1" x14ac:dyDescent="0.2">
      <c r="A854" s="3" t="s">
        <v>1237</v>
      </c>
      <c r="B854" s="3" t="s">
        <v>45</v>
      </c>
      <c r="C854" s="3" t="s">
        <v>1238</v>
      </c>
      <c r="D854" s="3" t="s">
        <v>1239</v>
      </c>
      <c r="E854" s="4">
        <v>28680.400000000001</v>
      </c>
      <c r="F854" s="5" t="s">
        <v>585</v>
      </c>
      <c r="G854" s="4">
        <v>25067</v>
      </c>
      <c r="H854" s="3" t="s">
        <v>40</v>
      </c>
      <c r="I854" s="3" t="s">
        <v>364</v>
      </c>
    </row>
    <row r="855" spans="1:9" ht="19.95" customHeight="1" x14ac:dyDescent="0.2">
      <c r="A855" s="3" t="s">
        <v>1240</v>
      </c>
      <c r="B855" s="3" t="s">
        <v>71</v>
      </c>
      <c r="C855" s="3" t="s">
        <v>245</v>
      </c>
      <c r="D855" s="3" t="s">
        <v>259</v>
      </c>
      <c r="E855" s="4">
        <v>745</v>
      </c>
      <c r="F855" s="5" t="s">
        <v>14</v>
      </c>
      <c r="G855" s="4">
        <v>663</v>
      </c>
      <c r="H855" s="3" t="s">
        <v>63</v>
      </c>
      <c r="I855" s="3" t="s">
        <v>129</v>
      </c>
    </row>
    <row r="856" spans="1:9" ht="19.95" customHeight="1" x14ac:dyDescent="0.2">
      <c r="A856" s="3" t="s">
        <v>1241</v>
      </c>
      <c r="B856" s="3" t="s">
        <v>115</v>
      </c>
      <c r="C856" s="3" t="s">
        <v>69</v>
      </c>
      <c r="D856" s="3" t="s">
        <v>115</v>
      </c>
      <c r="E856" s="4">
        <v>1040</v>
      </c>
      <c r="F856" s="5" t="s">
        <v>39</v>
      </c>
      <c r="G856" s="4">
        <v>830</v>
      </c>
      <c r="H856" s="3" t="s">
        <v>40</v>
      </c>
      <c r="I856" s="3" t="s">
        <v>59</v>
      </c>
    </row>
    <row r="857" spans="1:9" ht="19.95" customHeight="1" x14ac:dyDescent="0.2">
      <c r="A857" s="3" t="s">
        <v>1241</v>
      </c>
      <c r="B857" s="3" t="s">
        <v>115</v>
      </c>
      <c r="C857" s="3" t="s">
        <v>192</v>
      </c>
      <c r="D857" s="3" t="s">
        <v>115</v>
      </c>
      <c r="E857" s="4">
        <v>3120</v>
      </c>
      <c r="F857" s="5" t="s">
        <v>39</v>
      </c>
      <c r="G857" s="4">
        <v>2490</v>
      </c>
      <c r="H857" s="3" t="s">
        <v>40</v>
      </c>
      <c r="I857" s="3" t="s">
        <v>59</v>
      </c>
    </row>
    <row r="858" spans="1:9" ht="19.95" customHeight="1" x14ac:dyDescent="0.2">
      <c r="A858" s="3" t="s">
        <v>1242</v>
      </c>
      <c r="B858" s="3" t="s">
        <v>45</v>
      </c>
      <c r="C858" s="3" t="s">
        <v>69</v>
      </c>
      <c r="D858" s="3" t="s">
        <v>38</v>
      </c>
      <c r="E858" s="4">
        <v>4110</v>
      </c>
      <c r="F858" s="5" t="s">
        <v>39</v>
      </c>
      <c r="G858" s="4">
        <v>3535</v>
      </c>
      <c r="H858" s="3" t="s">
        <v>40</v>
      </c>
      <c r="I858" s="3" t="s">
        <v>229</v>
      </c>
    </row>
    <row r="859" spans="1:9" ht="19.95" customHeight="1" x14ac:dyDescent="0.2">
      <c r="A859" s="3" t="s">
        <v>1243</v>
      </c>
      <c r="B859" s="3" t="s">
        <v>10</v>
      </c>
      <c r="C859" s="3" t="s">
        <v>84</v>
      </c>
      <c r="D859" s="3" t="s">
        <v>510</v>
      </c>
      <c r="E859" s="4">
        <v>20260</v>
      </c>
      <c r="F859" s="5" t="s">
        <v>14</v>
      </c>
      <c r="G859" s="4">
        <v>17728</v>
      </c>
      <c r="H859" s="3" t="s">
        <v>40</v>
      </c>
      <c r="I859" s="3" t="s">
        <v>167</v>
      </c>
    </row>
    <row r="860" spans="1:9" ht="19.95" customHeight="1" x14ac:dyDescent="0.2">
      <c r="A860" s="3" t="s">
        <v>1244</v>
      </c>
      <c r="B860" s="3" t="s">
        <v>10</v>
      </c>
      <c r="C860" s="3" t="s">
        <v>37</v>
      </c>
      <c r="D860" s="3" t="s">
        <v>510</v>
      </c>
      <c r="E860" s="4">
        <v>1020</v>
      </c>
      <c r="F860" s="5" t="s">
        <v>39</v>
      </c>
      <c r="G860" s="4">
        <v>892</v>
      </c>
      <c r="H860" s="3" t="s">
        <v>40</v>
      </c>
      <c r="I860" s="3" t="s">
        <v>167</v>
      </c>
    </row>
    <row r="861" spans="1:9" ht="19.95" customHeight="1" x14ac:dyDescent="0.2">
      <c r="A861" s="3" t="s">
        <v>1244</v>
      </c>
      <c r="B861" s="3" t="s">
        <v>10</v>
      </c>
      <c r="C861" s="3" t="s">
        <v>308</v>
      </c>
      <c r="D861" s="3" t="s">
        <v>510</v>
      </c>
      <c r="E861" s="4">
        <v>10200</v>
      </c>
      <c r="F861" s="5" t="s">
        <v>39</v>
      </c>
      <c r="G861" s="4">
        <v>8925</v>
      </c>
      <c r="H861" s="3" t="s">
        <v>40</v>
      </c>
      <c r="I861" s="3" t="s">
        <v>167</v>
      </c>
    </row>
    <row r="862" spans="1:9" ht="19.95" customHeight="1" x14ac:dyDescent="0.2">
      <c r="A862" s="3" t="s">
        <v>1245</v>
      </c>
      <c r="B862" s="3" t="s">
        <v>11</v>
      </c>
      <c r="C862" s="3" t="s">
        <v>37</v>
      </c>
      <c r="D862" s="3" t="s">
        <v>510</v>
      </c>
      <c r="E862" s="4">
        <v>1890</v>
      </c>
      <c r="F862" s="5" t="s">
        <v>39</v>
      </c>
      <c r="G862" s="6"/>
      <c r="H862" s="3" t="s">
        <v>40</v>
      </c>
      <c r="I862" s="3" t="s">
        <v>167</v>
      </c>
    </row>
    <row r="863" spans="1:9" ht="19.95" customHeight="1" x14ac:dyDescent="0.2">
      <c r="A863" s="3" t="s">
        <v>1245</v>
      </c>
      <c r="B863" s="3" t="s">
        <v>10</v>
      </c>
      <c r="C863" s="3" t="s">
        <v>308</v>
      </c>
      <c r="D863" s="3" t="s">
        <v>510</v>
      </c>
      <c r="E863" s="4">
        <v>18900</v>
      </c>
      <c r="F863" s="5" t="s">
        <v>39</v>
      </c>
      <c r="G863" s="4">
        <v>16538</v>
      </c>
      <c r="H863" s="3" t="s">
        <v>40</v>
      </c>
      <c r="I863" s="3" t="s">
        <v>167</v>
      </c>
    </row>
    <row r="864" spans="1:9" ht="19.95" customHeight="1" x14ac:dyDescent="0.2">
      <c r="A864" s="3" t="s">
        <v>1246</v>
      </c>
      <c r="B864" s="3" t="s">
        <v>10</v>
      </c>
      <c r="C864" s="3" t="s">
        <v>683</v>
      </c>
      <c r="D864" s="3" t="s">
        <v>85</v>
      </c>
      <c r="E864" s="4">
        <v>16030</v>
      </c>
      <c r="F864" s="5" t="s">
        <v>183</v>
      </c>
      <c r="G864" s="4">
        <v>13890</v>
      </c>
      <c r="H864" s="3" t="s">
        <v>63</v>
      </c>
      <c r="I864" s="3" t="s">
        <v>232</v>
      </c>
    </row>
    <row r="865" spans="1:9" ht="19.95" customHeight="1" x14ac:dyDescent="0.2">
      <c r="A865" s="3" t="s">
        <v>1247</v>
      </c>
      <c r="B865" s="3" t="s">
        <v>10</v>
      </c>
      <c r="C865" s="3" t="s">
        <v>683</v>
      </c>
      <c r="D865" s="3" t="s">
        <v>85</v>
      </c>
      <c r="E865" s="4">
        <v>30037</v>
      </c>
      <c r="F865" s="5" t="s">
        <v>183</v>
      </c>
      <c r="G865" s="4">
        <v>25980</v>
      </c>
      <c r="H865" s="3" t="s">
        <v>63</v>
      </c>
      <c r="I865" s="3" t="s">
        <v>232</v>
      </c>
    </row>
    <row r="866" spans="1:9" ht="19.95" customHeight="1" x14ac:dyDescent="0.2">
      <c r="A866" s="3" t="s">
        <v>1248</v>
      </c>
      <c r="B866" s="3" t="s">
        <v>91</v>
      </c>
      <c r="C866" s="3" t="s">
        <v>1249</v>
      </c>
      <c r="D866" s="3" t="s">
        <v>289</v>
      </c>
      <c r="E866" s="4">
        <v>980</v>
      </c>
      <c r="F866" s="5" t="s">
        <v>58</v>
      </c>
      <c r="G866" s="4">
        <v>838</v>
      </c>
      <c r="H866" s="3" t="s">
        <v>40</v>
      </c>
      <c r="I866" s="3" t="s">
        <v>549</v>
      </c>
    </row>
    <row r="867" spans="1:9" ht="19.95" customHeight="1" x14ac:dyDescent="0.2">
      <c r="A867" s="3" t="s">
        <v>1250</v>
      </c>
      <c r="B867" s="3" t="s">
        <v>45</v>
      </c>
      <c r="C867" s="3" t="s">
        <v>308</v>
      </c>
      <c r="D867" s="3" t="s">
        <v>109</v>
      </c>
      <c r="E867" s="4">
        <v>5300</v>
      </c>
      <c r="F867" s="5" t="s">
        <v>39</v>
      </c>
      <c r="G867" s="4">
        <v>4611</v>
      </c>
      <c r="H867" s="3" t="s">
        <v>40</v>
      </c>
      <c r="I867" s="3" t="s">
        <v>314</v>
      </c>
    </row>
    <row r="868" spans="1:9" ht="19.95" customHeight="1" x14ac:dyDescent="0.2">
      <c r="A868" s="3" t="s">
        <v>1251</v>
      </c>
      <c r="B868" s="3" t="s">
        <v>10</v>
      </c>
      <c r="C868" s="3" t="s">
        <v>69</v>
      </c>
      <c r="D868" s="3" t="s">
        <v>38</v>
      </c>
      <c r="E868" s="4">
        <v>1380</v>
      </c>
      <c r="F868" s="5" t="s">
        <v>39</v>
      </c>
      <c r="G868" s="4">
        <v>1230</v>
      </c>
      <c r="H868" s="3" t="s">
        <v>40</v>
      </c>
      <c r="I868" s="3" t="s">
        <v>314</v>
      </c>
    </row>
    <row r="869" spans="1:9" ht="19.95" customHeight="1" x14ac:dyDescent="0.2">
      <c r="A869" s="3" t="s">
        <v>1251</v>
      </c>
      <c r="B869" s="3" t="s">
        <v>10</v>
      </c>
      <c r="C869" s="3" t="s">
        <v>176</v>
      </c>
      <c r="D869" s="3" t="s">
        <v>38</v>
      </c>
      <c r="E869" s="4">
        <v>6900</v>
      </c>
      <c r="F869" s="5" t="s">
        <v>39</v>
      </c>
      <c r="G869" s="4">
        <v>6147</v>
      </c>
      <c r="H869" s="3" t="s">
        <v>40</v>
      </c>
      <c r="I869" s="3" t="s">
        <v>314</v>
      </c>
    </row>
    <row r="870" spans="1:9" ht="19.95" customHeight="1" x14ac:dyDescent="0.2">
      <c r="A870" s="3" t="s">
        <v>1252</v>
      </c>
      <c r="B870" s="3" t="s">
        <v>45</v>
      </c>
      <c r="C870" s="3" t="s">
        <v>37</v>
      </c>
      <c r="D870" s="3" t="s">
        <v>477</v>
      </c>
      <c r="E870" s="4">
        <v>1040</v>
      </c>
      <c r="F870" s="5" t="s">
        <v>39</v>
      </c>
      <c r="G870" s="4">
        <v>926</v>
      </c>
      <c r="H870" s="3" t="s">
        <v>40</v>
      </c>
      <c r="I870" s="3" t="s">
        <v>358</v>
      </c>
    </row>
    <row r="871" spans="1:9" ht="19.95" customHeight="1" x14ac:dyDescent="0.2">
      <c r="A871" s="3" t="s">
        <v>1253</v>
      </c>
      <c r="B871" s="3" t="s">
        <v>11</v>
      </c>
      <c r="C871" s="3" t="s">
        <v>1254</v>
      </c>
      <c r="D871" s="3" t="s">
        <v>246</v>
      </c>
      <c r="E871" s="4">
        <v>1000</v>
      </c>
      <c r="F871" s="5" t="s">
        <v>835</v>
      </c>
      <c r="G871" s="6"/>
      <c r="H871" s="3" t="s">
        <v>81</v>
      </c>
      <c r="I871" s="3" t="s">
        <v>538</v>
      </c>
    </row>
    <row r="872" spans="1:9" ht="19.95" customHeight="1" x14ac:dyDescent="0.2">
      <c r="A872" s="3" t="s">
        <v>1255</v>
      </c>
      <c r="B872" s="3" t="s">
        <v>91</v>
      </c>
      <c r="C872" s="3" t="s">
        <v>37</v>
      </c>
      <c r="D872" s="3" t="s">
        <v>477</v>
      </c>
      <c r="E872" s="4">
        <v>740</v>
      </c>
      <c r="F872" s="5" t="s">
        <v>39</v>
      </c>
      <c r="G872" s="4">
        <v>649</v>
      </c>
      <c r="H872" s="3" t="s">
        <v>40</v>
      </c>
      <c r="I872" s="3" t="s">
        <v>165</v>
      </c>
    </row>
    <row r="873" spans="1:9" ht="19.95" customHeight="1" x14ac:dyDescent="0.2">
      <c r="A873" s="3" t="s">
        <v>1256</v>
      </c>
      <c r="B873" s="3" t="s">
        <v>91</v>
      </c>
      <c r="C873" s="3" t="s">
        <v>1257</v>
      </c>
      <c r="D873" s="3" t="s">
        <v>477</v>
      </c>
      <c r="E873" s="4">
        <v>2060</v>
      </c>
      <c r="F873" s="5" t="s">
        <v>89</v>
      </c>
      <c r="G873" s="4">
        <v>1769</v>
      </c>
      <c r="H873" s="3" t="s">
        <v>81</v>
      </c>
      <c r="I873" s="3" t="s">
        <v>165</v>
      </c>
    </row>
    <row r="874" spans="1:9" ht="19.95" customHeight="1" x14ac:dyDescent="0.2">
      <c r="A874" s="3" t="s">
        <v>1258</v>
      </c>
      <c r="B874" s="3" t="s">
        <v>91</v>
      </c>
      <c r="C874" s="3" t="s">
        <v>1259</v>
      </c>
      <c r="D874" s="3" t="s">
        <v>496</v>
      </c>
      <c r="E874" s="4">
        <v>13990</v>
      </c>
      <c r="F874" s="5" t="s">
        <v>98</v>
      </c>
      <c r="G874" s="4">
        <v>12717</v>
      </c>
      <c r="H874" s="3" t="s">
        <v>81</v>
      </c>
      <c r="I874" s="3" t="s">
        <v>220</v>
      </c>
    </row>
    <row r="875" spans="1:9" ht="19.95" customHeight="1" x14ac:dyDescent="0.2">
      <c r="A875" s="3" t="s">
        <v>1260</v>
      </c>
      <c r="B875" s="3" t="s">
        <v>91</v>
      </c>
      <c r="C875" s="3" t="s">
        <v>1261</v>
      </c>
      <c r="D875" s="3" t="s">
        <v>496</v>
      </c>
      <c r="E875" s="4">
        <v>12775</v>
      </c>
      <c r="F875" s="5" t="s">
        <v>98</v>
      </c>
      <c r="G875" s="4">
        <v>11613</v>
      </c>
      <c r="H875" s="3" t="s">
        <v>81</v>
      </c>
      <c r="I875" s="3" t="s">
        <v>220</v>
      </c>
    </row>
    <row r="876" spans="1:9" ht="19.95" customHeight="1" x14ac:dyDescent="0.2">
      <c r="A876" s="3" t="s">
        <v>1262</v>
      </c>
      <c r="B876" s="3" t="s">
        <v>11</v>
      </c>
      <c r="C876" s="3" t="s">
        <v>136</v>
      </c>
      <c r="D876" s="3" t="s">
        <v>446</v>
      </c>
      <c r="E876" s="4">
        <v>1650</v>
      </c>
      <c r="F876" s="5" t="s">
        <v>128</v>
      </c>
      <c r="G876" s="6"/>
      <c r="H876" s="3" t="s">
        <v>63</v>
      </c>
      <c r="I876" s="3" t="s">
        <v>129</v>
      </c>
    </row>
    <row r="877" spans="1:9" ht="19.95" customHeight="1" x14ac:dyDescent="0.2">
      <c r="A877" s="3" t="s">
        <v>1263</v>
      </c>
      <c r="B877" s="3" t="s">
        <v>10</v>
      </c>
      <c r="C877" s="3" t="s">
        <v>136</v>
      </c>
      <c r="D877" s="3" t="s">
        <v>388</v>
      </c>
      <c r="E877" s="4">
        <v>390</v>
      </c>
      <c r="F877" s="5" t="s">
        <v>128</v>
      </c>
      <c r="G877" s="4">
        <v>1300</v>
      </c>
      <c r="H877" s="3" t="s">
        <v>40</v>
      </c>
      <c r="I877" s="3" t="s">
        <v>137</v>
      </c>
    </row>
    <row r="878" spans="1:9" ht="19.95" customHeight="1" x14ac:dyDescent="0.2">
      <c r="A878" s="3" t="s">
        <v>1264</v>
      </c>
      <c r="B878" s="3" t="s">
        <v>10</v>
      </c>
      <c r="C878" s="3" t="s">
        <v>136</v>
      </c>
      <c r="D878" s="3" t="s">
        <v>388</v>
      </c>
      <c r="E878" s="4">
        <v>455</v>
      </c>
      <c r="F878" s="5" t="s">
        <v>128</v>
      </c>
      <c r="G878" s="4">
        <v>550</v>
      </c>
      <c r="H878" s="3" t="s">
        <v>40</v>
      </c>
      <c r="I878" s="3" t="s">
        <v>137</v>
      </c>
    </row>
    <row r="879" spans="1:9" ht="19.95" customHeight="1" x14ac:dyDescent="0.2">
      <c r="A879" s="3" t="s">
        <v>1265</v>
      </c>
      <c r="B879" s="3" t="s">
        <v>11</v>
      </c>
      <c r="C879" s="3" t="s">
        <v>120</v>
      </c>
      <c r="D879" s="3" t="s">
        <v>551</v>
      </c>
      <c r="E879" s="4">
        <v>3050</v>
      </c>
      <c r="F879" s="5" t="s">
        <v>89</v>
      </c>
      <c r="G879" s="6"/>
      <c r="H879" s="3" t="s">
        <v>81</v>
      </c>
      <c r="I879" s="3" t="s">
        <v>64</v>
      </c>
    </row>
    <row r="880" spans="1:9" ht="19.95" customHeight="1" x14ac:dyDescent="0.2">
      <c r="A880" s="3" t="s">
        <v>1266</v>
      </c>
      <c r="B880" s="3" t="s">
        <v>10</v>
      </c>
      <c r="C880" s="3" t="s">
        <v>1267</v>
      </c>
      <c r="D880" s="3" t="s">
        <v>266</v>
      </c>
      <c r="E880" s="4">
        <v>335</v>
      </c>
      <c r="F880" s="5" t="s">
        <v>144</v>
      </c>
      <c r="G880" s="4">
        <v>298</v>
      </c>
      <c r="H880" s="3" t="s">
        <v>582</v>
      </c>
      <c r="I880" s="3" t="s">
        <v>267</v>
      </c>
    </row>
    <row r="881" spans="1:9" ht="19.95" customHeight="1" x14ac:dyDescent="0.2">
      <c r="A881" s="3" t="s">
        <v>1268</v>
      </c>
      <c r="B881" s="3" t="s">
        <v>11</v>
      </c>
      <c r="C881" s="3" t="s">
        <v>1269</v>
      </c>
      <c r="D881" s="3" t="s">
        <v>508</v>
      </c>
      <c r="E881" s="4">
        <v>28172</v>
      </c>
      <c r="F881" s="5" t="s">
        <v>111</v>
      </c>
      <c r="G881" s="6"/>
      <c r="H881" s="3" t="s">
        <v>81</v>
      </c>
      <c r="I881" s="3" t="s">
        <v>243</v>
      </c>
    </row>
    <row r="882" spans="1:9" ht="19.95" customHeight="1" x14ac:dyDescent="0.2">
      <c r="A882" s="3" t="s">
        <v>1270</v>
      </c>
      <c r="B882" s="3" t="s">
        <v>10</v>
      </c>
      <c r="C882" s="3" t="s">
        <v>868</v>
      </c>
      <c r="D882" s="3" t="s">
        <v>266</v>
      </c>
      <c r="E882" s="4">
        <v>1650</v>
      </c>
      <c r="F882" s="5" t="s">
        <v>128</v>
      </c>
      <c r="G882" s="4">
        <v>1469</v>
      </c>
      <c r="H882" s="3" t="s">
        <v>40</v>
      </c>
      <c r="I882" s="3" t="s">
        <v>217</v>
      </c>
    </row>
    <row r="883" spans="1:9" ht="19.95" customHeight="1" x14ac:dyDescent="0.2">
      <c r="A883" s="3" t="s">
        <v>1271</v>
      </c>
      <c r="B883" s="3" t="s">
        <v>10</v>
      </c>
      <c r="C883" s="3" t="s">
        <v>1272</v>
      </c>
      <c r="D883" s="3" t="s">
        <v>262</v>
      </c>
      <c r="E883" s="4">
        <v>6100</v>
      </c>
      <c r="F883" s="5" t="s">
        <v>58</v>
      </c>
      <c r="G883" s="4">
        <v>5540</v>
      </c>
      <c r="H883" s="3" t="s">
        <v>40</v>
      </c>
      <c r="I883" s="3" t="s">
        <v>165</v>
      </c>
    </row>
    <row r="884" spans="1:9" ht="19.95" customHeight="1" x14ac:dyDescent="0.2">
      <c r="A884" s="3" t="s">
        <v>1273</v>
      </c>
      <c r="B884" s="3" t="s">
        <v>45</v>
      </c>
      <c r="C884" s="3" t="s">
        <v>1274</v>
      </c>
      <c r="D884" s="3" t="s">
        <v>978</v>
      </c>
      <c r="E884" s="4">
        <v>4422</v>
      </c>
      <c r="F884" s="5" t="s">
        <v>171</v>
      </c>
      <c r="G884" s="4">
        <v>3936</v>
      </c>
      <c r="H884" s="3" t="s">
        <v>63</v>
      </c>
      <c r="I884" s="3" t="s">
        <v>217</v>
      </c>
    </row>
    <row r="885" spans="1:9" ht="19.95" customHeight="1" x14ac:dyDescent="0.2">
      <c r="A885" s="3" t="s">
        <v>1275</v>
      </c>
      <c r="B885" s="3" t="s">
        <v>10</v>
      </c>
      <c r="C885" s="3" t="s">
        <v>1276</v>
      </c>
      <c r="D885" s="3" t="s">
        <v>262</v>
      </c>
      <c r="E885" s="4">
        <v>4950</v>
      </c>
      <c r="F885" s="5" t="s">
        <v>89</v>
      </c>
      <c r="G885" s="4">
        <v>4499</v>
      </c>
      <c r="H885" s="3" t="s">
        <v>81</v>
      </c>
      <c r="I885" s="3" t="s">
        <v>1277</v>
      </c>
    </row>
    <row r="886" spans="1:9" ht="19.95" customHeight="1" x14ac:dyDescent="0.2">
      <c r="A886" s="3" t="s">
        <v>1278</v>
      </c>
      <c r="B886" s="3" t="s">
        <v>91</v>
      </c>
      <c r="C886" s="3" t="s">
        <v>453</v>
      </c>
      <c r="D886" s="3" t="s">
        <v>246</v>
      </c>
      <c r="E886" s="4">
        <v>2050</v>
      </c>
      <c r="F886" s="5" t="s">
        <v>89</v>
      </c>
      <c r="G886" s="4">
        <v>1826</v>
      </c>
      <c r="H886" s="3" t="s">
        <v>81</v>
      </c>
      <c r="I886" s="3" t="s">
        <v>334</v>
      </c>
    </row>
    <row r="887" spans="1:9" ht="19.95" customHeight="1" x14ac:dyDescent="0.2">
      <c r="A887" s="3" t="s">
        <v>1279</v>
      </c>
      <c r="B887" s="3" t="s">
        <v>91</v>
      </c>
      <c r="C887" s="3" t="s">
        <v>142</v>
      </c>
      <c r="D887" s="3" t="s">
        <v>139</v>
      </c>
      <c r="E887" s="4">
        <v>1000</v>
      </c>
      <c r="F887" s="5" t="s">
        <v>144</v>
      </c>
      <c r="G887" s="4">
        <v>900</v>
      </c>
      <c r="H887" s="3" t="s">
        <v>81</v>
      </c>
      <c r="I887" s="3" t="s">
        <v>99</v>
      </c>
    </row>
    <row r="888" spans="1:9" ht="19.95" customHeight="1" x14ac:dyDescent="0.2">
      <c r="A888" s="3" t="s">
        <v>1280</v>
      </c>
      <c r="B888" s="3" t="s">
        <v>45</v>
      </c>
      <c r="C888" s="3" t="s">
        <v>298</v>
      </c>
      <c r="D888" s="3" t="s">
        <v>1281</v>
      </c>
      <c r="E888" s="4">
        <v>2120</v>
      </c>
      <c r="F888" s="5" t="s">
        <v>148</v>
      </c>
      <c r="G888" s="4">
        <v>1888</v>
      </c>
      <c r="H888" s="3" t="s">
        <v>81</v>
      </c>
      <c r="I888" s="3" t="s">
        <v>99</v>
      </c>
    </row>
    <row r="889" spans="1:9" ht="19.95" customHeight="1" x14ac:dyDescent="0.2">
      <c r="A889" s="3" t="s">
        <v>1282</v>
      </c>
      <c r="B889" s="3" t="s">
        <v>10</v>
      </c>
      <c r="C889" s="3" t="s">
        <v>1283</v>
      </c>
      <c r="D889" s="3" t="s">
        <v>216</v>
      </c>
      <c r="E889" s="4">
        <v>1470</v>
      </c>
      <c r="F889" s="5" t="s">
        <v>148</v>
      </c>
      <c r="G889" s="4">
        <v>1300</v>
      </c>
      <c r="H889" s="3" t="s">
        <v>81</v>
      </c>
      <c r="I889" s="3" t="s">
        <v>99</v>
      </c>
    </row>
    <row r="890" spans="1:9" ht="19.95" customHeight="1" x14ac:dyDescent="0.2">
      <c r="A890" s="3" t="s">
        <v>1284</v>
      </c>
      <c r="B890" s="3" t="s">
        <v>11</v>
      </c>
      <c r="C890" s="3" t="s">
        <v>1285</v>
      </c>
      <c r="D890" s="3" t="s">
        <v>216</v>
      </c>
      <c r="E890" s="4">
        <v>10000</v>
      </c>
      <c r="F890" s="5" t="s">
        <v>89</v>
      </c>
      <c r="G890" s="6"/>
      <c r="H890" s="3" t="s">
        <v>81</v>
      </c>
      <c r="I890" s="3" t="s">
        <v>99</v>
      </c>
    </row>
    <row r="891" spans="1:9" ht="19.95" customHeight="1" x14ac:dyDescent="0.2">
      <c r="A891" s="3" t="s">
        <v>1286</v>
      </c>
      <c r="B891" s="3" t="s">
        <v>45</v>
      </c>
      <c r="C891" s="3" t="s">
        <v>265</v>
      </c>
      <c r="D891" s="3" t="s">
        <v>1041</v>
      </c>
      <c r="E891" s="4">
        <v>125</v>
      </c>
      <c r="F891" s="5" t="s">
        <v>144</v>
      </c>
      <c r="G891" s="4">
        <v>111</v>
      </c>
      <c r="H891" s="3" t="s">
        <v>582</v>
      </c>
      <c r="I891" s="3" t="s">
        <v>1287</v>
      </c>
    </row>
    <row r="892" spans="1:9" ht="19.95" customHeight="1" x14ac:dyDescent="0.2">
      <c r="A892" s="3" t="s">
        <v>1288</v>
      </c>
      <c r="B892" s="3" t="s">
        <v>11</v>
      </c>
      <c r="C892" s="3" t="s">
        <v>1289</v>
      </c>
      <c r="D892" s="3" t="s">
        <v>1239</v>
      </c>
      <c r="E892" s="4">
        <v>1190</v>
      </c>
      <c r="F892" s="5" t="s">
        <v>89</v>
      </c>
      <c r="G892" s="6"/>
      <c r="H892" s="3" t="s">
        <v>81</v>
      </c>
      <c r="I892" s="3" t="s">
        <v>412</v>
      </c>
    </row>
    <row r="893" spans="1:9" ht="19.95" customHeight="1" x14ac:dyDescent="0.2">
      <c r="A893" s="3" t="s">
        <v>1290</v>
      </c>
      <c r="B893" s="3" t="s">
        <v>11</v>
      </c>
      <c r="C893" s="3" t="s">
        <v>1291</v>
      </c>
      <c r="D893" s="3" t="s">
        <v>93</v>
      </c>
      <c r="E893" s="4">
        <v>4720</v>
      </c>
      <c r="F893" s="5" t="s">
        <v>148</v>
      </c>
      <c r="G893" s="6"/>
      <c r="H893" s="3" t="s">
        <v>81</v>
      </c>
      <c r="I893" s="3" t="s">
        <v>99</v>
      </c>
    </row>
    <row r="894" spans="1:9" ht="19.95" customHeight="1" x14ac:dyDescent="0.2">
      <c r="A894" s="3" t="s">
        <v>1292</v>
      </c>
      <c r="B894" s="3" t="s">
        <v>10</v>
      </c>
      <c r="C894" s="3" t="s">
        <v>1293</v>
      </c>
      <c r="D894" s="3" t="s">
        <v>93</v>
      </c>
      <c r="E894" s="4">
        <v>4720</v>
      </c>
      <c r="F894" s="5" t="s">
        <v>98</v>
      </c>
      <c r="G894" s="4">
        <v>4205</v>
      </c>
      <c r="H894" s="3" t="s">
        <v>81</v>
      </c>
      <c r="I894" s="3" t="s">
        <v>99</v>
      </c>
    </row>
    <row r="895" spans="1:9" ht="19.95" customHeight="1" x14ac:dyDescent="0.2">
      <c r="A895" s="3" t="s">
        <v>1294</v>
      </c>
      <c r="B895" s="3" t="s">
        <v>71</v>
      </c>
      <c r="C895" s="3" t="s">
        <v>1295</v>
      </c>
      <c r="D895" s="3" t="s">
        <v>93</v>
      </c>
      <c r="E895" s="4">
        <v>1510</v>
      </c>
      <c r="F895" s="5" t="s">
        <v>1296</v>
      </c>
      <c r="G895" s="4">
        <v>1345</v>
      </c>
      <c r="H895" s="3" t="s">
        <v>81</v>
      </c>
      <c r="I895" s="3" t="s">
        <v>932</v>
      </c>
    </row>
    <row r="896" spans="1:9" ht="19.95" customHeight="1" x14ac:dyDescent="0.2">
      <c r="A896" s="3" t="s">
        <v>1294</v>
      </c>
      <c r="B896" s="3" t="s">
        <v>45</v>
      </c>
      <c r="C896" s="3" t="s">
        <v>96</v>
      </c>
      <c r="D896" s="3" t="s">
        <v>93</v>
      </c>
      <c r="E896" s="4">
        <v>6640</v>
      </c>
      <c r="F896" s="5" t="s">
        <v>98</v>
      </c>
      <c r="G896" s="4">
        <v>5890</v>
      </c>
      <c r="H896" s="3" t="s">
        <v>81</v>
      </c>
      <c r="I896" s="3" t="s">
        <v>932</v>
      </c>
    </row>
    <row r="897" spans="1:9" ht="19.95" customHeight="1" x14ac:dyDescent="0.2">
      <c r="A897" s="3" t="s">
        <v>1297</v>
      </c>
      <c r="B897" s="3" t="s">
        <v>45</v>
      </c>
      <c r="C897" s="3" t="s">
        <v>1298</v>
      </c>
      <c r="D897" s="3" t="s">
        <v>866</v>
      </c>
      <c r="E897" s="4">
        <v>890</v>
      </c>
      <c r="F897" s="5" t="s">
        <v>39</v>
      </c>
      <c r="G897" s="4">
        <v>791</v>
      </c>
      <c r="H897" s="3" t="s">
        <v>40</v>
      </c>
      <c r="I897" s="3" t="s">
        <v>187</v>
      </c>
    </row>
    <row r="898" spans="1:9" ht="19.95" customHeight="1" x14ac:dyDescent="0.2">
      <c r="A898" s="3" t="s">
        <v>1297</v>
      </c>
      <c r="B898" s="3" t="s">
        <v>11</v>
      </c>
      <c r="C898" s="3" t="s">
        <v>1299</v>
      </c>
      <c r="D898" s="3" t="s">
        <v>866</v>
      </c>
      <c r="E898" s="4">
        <v>8900</v>
      </c>
      <c r="F898" s="5" t="s">
        <v>39</v>
      </c>
      <c r="G898" s="6"/>
      <c r="H898" s="3" t="s">
        <v>40</v>
      </c>
      <c r="I898" s="3" t="s">
        <v>187</v>
      </c>
    </row>
    <row r="899" spans="1:9" ht="19.95" customHeight="1" x14ac:dyDescent="0.2">
      <c r="A899" s="3" t="s">
        <v>1300</v>
      </c>
      <c r="B899" s="3" t="s">
        <v>45</v>
      </c>
      <c r="C899" s="3" t="s">
        <v>69</v>
      </c>
      <c r="D899" s="3" t="s">
        <v>866</v>
      </c>
      <c r="E899" s="4">
        <v>1260</v>
      </c>
      <c r="F899" s="5" t="s">
        <v>39</v>
      </c>
      <c r="G899" s="4">
        <v>1120</v>
      </c>
      <c r="H899" s="3" t="s">
        <v>40</v>
      </c>
      <c r="I899" s="3" t="s">
        <v>187</v>
      </c>
    </row>
    <row r="900" spans="1:9" ht="19.95" customHeight="1" x14ac:dyDescent="0.2">
      <c r="A900" s="3" t="s">
        <v>1300</v>
      </c>
      <c r="B900" s="3" t="s">
        <v>45</v>
      </c>
      <c r="C900" s="3" t="s">
        <v>140</v>
      </c>
      <c r="D900" s="3" t="s">
        <v>866</v>
      </c>
      <c r="E900" s="4">
        <v>12600</v>
      </c>
      <c r="F900" s="5" t="s">
        <v>39</v>
      </c>
      <c r="G900" s="4">
        <v>11201</v>
      </c>
      <c r="H900" s="3" t="s">
        <v>40</v>
      </c>
      <c r="I900" s="3" t="s">
        <v>187</v>
      </c>
    </row>
    <row r="901" spans="1:9" ht="19.95" customHeight="1" x14ac:dyDescent="0.2">
      <c r="A901" s="3" t="s">
        <v>1301</v>
      </c>
      <c r="B901" s="3" t="s">
        <v>11</v>
      </c>
      <c r="C901" s="3" t="s">
        <v>136</v>
      </c>
      <c r="D901" s="3" t="s">
        <v>97</v>
      </c>
      <c r="E901" s="4">
        <v>385</v>
      </c>
      <c r="F901" s="5" t="s">
        <v>128</v>
      </c>
      <c r="G901" s="6"/>
      <c r="H901" s="3" t="s">
        <v>40</v>
      </c>
      <c r="I901" s="3" t="s">
        <v>1057</v>
      </c>
    </row>
    <row r="902" spans="1:9" ht="19.95" customHeight="1" x14ac:dyDescent="0.2">
      <c r="A902" s="3" t="s">
        <v>1302</v>
      </c>
      <c r="B902" s="3" t="s">
        <v>11</v>
      </c>
      <c r="C902" s="3" t="s">
        <v>1303</v>
      </c>
      <c r="D902" s="3" t="s">
        <v>97</v>
      </c>
      <c r="E902" s="4">
        <v>1470</v>
      </c>
      <c r="F902" s="5" t="s">
        <v>935</v>
      </c>
      <c r="G902" s="6"/>
      <c r="H902" s="3" t="s">
        <v>81</v>
      </c>
      <c r="I902" s="3" t="s">
        <v>1287</v>
      </c>
    </row>
    <row r="903" spans="1:9" ht="19.95" customHeight="1" x14ac:dyDescent="0.2">
      <c r="A903" s="3" t="s">
        <v>1304</v>
      </c>
      <c r="B903" s="3" t="s">
        <v>10</v>
      </c>
      <c r="C903" s="3" t="s">
        <v>1305</v>
      </c>
      <c r="D903" s="3" t="s">
        <v>97</v>
      </c>
      <c r="E903" s="4">
        <v>5000</v>
      </c>
      <c r="F903" s="5" t="s">
        <v>935</v>
      </c>
      <c r="G903" s="4">
        <v>4454</v>
      </c>
      <c r="H903" s="3" t="s">
        <v>81</v>
      </c>
      <c r="I903" s="3" t="s">
        <v>1287</v>
      </c>
    </row>
    <row r="904" spans="1:9" ht="19.95" customHeight="1" x14ac:dyDescent="0.2">
      <c r="A904" s="3" t="s">
        <v>1306</v>
      </c>
      <c r="B904" s="3" t="s">
        <v>45</v>
      </c>
      <c r="C904" s="3" t="s">
        <v>136</v>
      </c>
      <c r="D904" s="3" t="s">
        <v>1307</v>
      </c>
      <c r="E904" s="4">
        <v>745</v>
      </c>
      <c r="F904" s="5" t="s">
        <v>128</v>
      </c>
      <c r="G904" s="4">
        <v>663</v>
      </c>
      <c r="H904" s="3" t="s">
        <v>40</v>
      </c>
      <c r="I904" s="3" t="s">
        <v>1308</v>
      </c>
    </row>
    <row r="905" spans="1:9" ht="19.95" customHeight="1" x14ac:dyDescent="0.2">
      <c r="A905" s="3" t="s">
        <v>1309</v>
      </c>
      <c r="B905" s="3" t="s">
        <v>10</v>
      </c>
      <c r="C905" s="3" t="s">
        <v>1310</v>
      </c>
      <c r="D905" s="3" t="s">
        <v>262</v>
      </c>
      <c r="E905" s="4">
        <v>580</v>
      </c>
      <c r="F905" s="5" t="s">
        <v>14</v>
      </c>
      <c r="G905" s="4">
        <v>527</v>
      </c>
      <c r="H905" s="3" t="s">
        <v>63</v>
      </c>
      <c r="I905" s="3" t="s">
        <v>567</v>
      </c>
    </row>
    <row r="906" spans="1:9" ht="19.95" customHeight="1" x14ac:dyDescent="0.2">
      <c r="A906" s="3" t="s">
        <v>1311</v>
      </c>
      <c r="B906" s="3" t="s">
        <v>45</v>
      </c>
      <c r="C906" s="3" t="s">
        <v>136</v>
      </c>
      <c r="D906" s="3" t="s">
        <v>1307</v>
      </c>
      <c r="E906" s="4">
        <v>1215</v>
      </c>
      <c r="F906" s="5" t="s">
        <v>128</v>
      </c>
      <c r="G906" s="4">
        <v>1082</v>
      </c>
      <c r="H906" s="3" t="s">
        <v>63</v>
      </c>
      <c r="I906" s="3" t="s">
        <v>389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8095-6FE7-42E4-BB1A-426DA4083D9D}">
  <dimension ref="A1:I906"/>
  <sheetViews>
    <sheetView topLeftCell="C1" workbookViewId="0">
      <selection activeCell="I9" sqref="I9"/>
    </sheetView>
  </sheetViews>
  <sheetFormatPr defaultRowHeight="19.95" customHeight="1" x14ac:dyDescent="0.2"/>
  <cols>
    <col min="1" max="1" width="56.6640625" bestFit="1" customWidth="1"/>
    <col min="2" max="2" width="12.21875" bestFit="1" customWidth="1"/>
    <col min="3" max="3" width="16.21875" bestFit="1" customWidth="1"/>
    <col min="4" max="4" width="19.6640625" bestFit="1" customWidth="1"/>
    <col min="5" max="5" width="13.88671875" bestFit="1" customWidth="1"/>
    <col min="6" max="6" width="9.5546875" style="2" bestFit="1" customWidth="1"/>
    <col min="7" max="7" width="16.109375" bestFit="1" customWidth="1"/>
    <col min="8" max="8" width="9.5546875" bestFit="1" customWidth="1"/>
    <col min="9" max="9" width="6.88671875" bestFit="1" customWidth="1"/>
    <col min="10" max="10" width="56.6640625" bestFit="1" customWidth="1"/>
  </cols>
  <sheetData>
    <row r="1" spans="1:9" ht="19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.95" customHeight="1" x14ac:dyDescent="0.2">
      <c r="A2" s="3" t="s">
        <v>9</v>
      </c>
      <c r="B2" s="3" t="s">
        <v>10</v>
      </c>
      <c r="C2" s="3" t="s">
        <v>12</v>
      </c>
      <c r="D2" s="3" t="s">
        <v>13</v>
      </c>
      <c r="E2" s="4">
        <v>4630.5</v>
      </c>
      <c r="F2" s="5" t="s">
        <v>14</v>
      </c>
      <c r="G2" s="4">
        <v>4093</v>
      </c>
      <c r="H2" s="3" t="s">
        <v>15</v>
      </c>
      <c r="I2" s="3" t="s">
        <v>16</v>
      </c>
    </row>
    <row r="3" spans="1:9" ht="19.95" customHeight="1" x14ac:dyDescent="0.2">
      <c r="A3" s="3" t="s">
        <v>9</v>
      </c>
      <c r="B3" s="3" t="s">
        <v>11</v>
      </c>
      <c r="C3" s="3" t="s">
        <v>17</v>
      </c>
      <c r="D3" s="3" t="s">
        <v>13</v>
      </c>
      <c r="E3" s="4">
        <v>1029</v>
      </c>
      <c r="F3" s="5" t="s">
        <v>14</v>
      </c>
      <c r="G3" s="6"/>
      <c r="H3" s="3" t="s">
        <v>15</v>
      </c>
      <c r="I3" s="3" t="s">
        <v>16</v>
      </c>
    </row>
    <row r="4" spans="1:9" ht="19.95" customHeight="1" x14ac:dyDescent="0.2">
      <c r="A4" s="3" t="s">
        <v>18</v>
      </c>
      <c r="B4" s="3" t="s">
        <v>10</v>
      </c>
      <c r="C4" s="3" t="s">
        <v>12</v>
      </c>
      <c r="D4" s="3" t="s">
        <v>13</v>
      </c>
      <c r="E4" s="4">
        <v>9591.75</v>
      </c>
      <c r="F4" s="5" t="s">
        <v>19</v>
      </c>
      <c r="G4" s="4">
        <v>8544</v>
      </c>
      <c r="H4" s="3" t="s">
        <v>15</v>
      </c>
      <c r="I4" s="3" t="s">
        <v>16</v>
      </c>
    </row>
    <row r="5" spans="1:9" ht="19.95" customHeight="1" x14ac:dyDescent="0.2">
      <c r="A5" s="3" t="s">
        <v>20</v>
      </c>
      <c r="B5" s="3" t="s">
        <v>10</v>
      </c>
      <c r="C5" s="3" t="s">
        <v>12</v>
      </c>
      <c r="D5" s="3" t="s">
        <v>13</v>
      </c>
      <c r="E5" s="4">
        <v>6898.5</v>
      </c>
      <c r="F5" s="5" t="s">
        <v>14</v>
      </c>
      <c r="G5" s="4">
        <v>6211</v>
      </c>
      <c r="H5" s="3" t="s">
        <v>15</v>
      </c>
      <c r="I5" s="3" t="s">
        <v>16</v>
      </c>
    </row>
    <row r="6" spans="1:9" ht="19.95" customHeight="1" x14ac:dyDescent="0.2">
      <c r="A6" s="3" t="s">
        <v>21</v>
      </c>
      <c r="B6" s="3" t="s">
        <v>10</v>
      </c>
      <c r="C6" s="3" t="s">
        <v>12</v>
      </c>
      <c r="D6" s="3" t="s">
        <v>13</v>
      </c>
      <c r="E6" s="4">
        <v>6426</v>
      </c>
      <c r="F6" s="5" t="s">
        <v>19</v>
      </c>
      <c r="G6" s="4">
        <v>5728</v>
      </c>
      <c r="H6" s="3" t="s">
        <v>15</v>
      </c>
      <c r="I6" s="3" t="s">
        <v>16</v>
      </c>
    </row>
    <row r="7" spans="1:9" ht="19.95" customHeight="1" x14ac:dyDescent="0.2">
      <c r="A7" s="3" t="s">
        <v>22</v>
      </c>
      <c r="B7" s="3" t="s">
        <v>10</v>
      </c>
      <c r="C7" s="3" t="s">
        <v>23</v>
      </c>
      <c r="D7" s="3" t="s">
        <v>13</v>
      </c>
      <c r="E7" s="4">
        <v>1612.8</v>
      </c>
      <c r="F7" s="5" t="s">
        <v>19</v>
      </c>
      <c r="G7" s="4">
        <v>1465</v>
      </c>
      <c r="H7" s="3" t="s">
        <v>15</v>
      </c>
      <c r="I7" s="3" t="s">
        <v>16</v>
      </c>
    </row>
    <row r="8" spans="1:9" ht="19.95" customHeight="1" x14ac:dyDescent="0.2">
      <c r="A8" s="3" t="s">
        <v>24</v>
      </c>
      <c r="B8" s="3" t="s">
        <v>10</v>
      </c>
      <c r="C8" s="3" t="s">
        <v>12</v>
      </c>
      <c r="D8" s="3" t="s">
        <v>13</v>
      </c>
      <c r="E8" s="4">
        <v>8505</v>
      </c>
      <c r="F8" s="5" t="s">
        <v>19</v>
      </c>
      <c r="G8" s="4">
        <v>7576</v>
      </c>
      <c r="H8" s="3" t="s">
        <v>15</v>
      </c>
      <c r="I8" s="3" t="s">
        <v>16</v>
      </c>
    </row>
    <row r="9" spans="1:9" ht="19.95" customHeight="1" x14ac:dyDescent="0.2">
      <c r="A9" s="3" t="s">
        <v>25</v>
      </c>
      <c r="B9" s="3" t="s">
        <v>11</v>
      </c>
      <c r="C9" s="3" t="s">
        <v>26</v>
      </c>
      <c r="D9" s="3" t="s">
        <v>13</v>
      </c>
      <c r="E9" s="4">
        <v>8694</v>
      </c>
      <c r="F9" s="5" t="s">
        <v>19</v>
      </c>
      <c r="G9" s="6"/>
      <c r="H9" s="3" t="s">
        <v>15</v>
      </c>
      <c r="I9" s="3" t="s">
        <v>16</v>
      </c>
    </row>
    <row r="10" spans="1:9" ht="19.95" customHeight="1" x14ac:dyDescent="0.2">
      <c r="A10" s="3" t="s">
        <v>27</v>
      </c>
      <c r="B10" s="3" t="s">
        <v>10</v>
      </c>
      <c r="C10" s="3" t="s">
        <v>28</v>
      </c>
      <c r="D10" s="3" t="s">
        <v>13</v>
      </c>
      <c r="E10" s="4">
        <v>7607.25</v>
      </c>
      <c r="F10" s="5" t="s">
        <v>19</v>
      </c>
      <c r="G10" s="4">
        <v>6849</v>
      </c>
      <c r="H10" s="3" t="s">
        <v>15</v>
      </c>
      <c r="I10" s="3" t="s">
        <v>16</v>
      </c>
    </row>
    <row r="11" spans="1:9" ht="19.95" customHeight="1" x14ac:dyDescent="0.2">
      <c r="A11" s="3" t="s">
        <v>29</v>
      </c>
      <c r="B11" s="3" t="s">
        <v>10</v>
      </c>
      <c r="C11" s="3" t="s">
        <v>12</v>
      </c>
      <c r="D11" s="3" t="s">
        <v>13</v>
      </c>
      <c r="E11" s="4">
        <v>6520.5</v>
      </c>
      <c r="F11" s="5" t="s">
        <v>19</v>
      </c>
      <c r="G11" s="4">
        <v>5871</v>
      </c>
      <c r="H11" s="3" t="s">
        <v>15</v>
      </c>
      <c r="I11" s="3" t="s">
        <v>16</v>
      </c>
    </row>
    <row r="12" spans="1:9" ht="19.95" customHeight="1" x14ac:dyDescent="0.2">
      <c r="A12" s="3" t="s">
        <v>30</v>
      </c>
      <c r="B12" s="3" t="s">
        <v>10</v>
      </c>
      <c r="C12" s="3" t="s">
        <v>17</v>
      </c>
      <c r="D12" s="3" t="s">
        <v>13</v>
      </c>
      <c r="E12" s="4">
        <v>1092</v>
      </c>
      <c r="F12" s="5" t="s">
        <v>19</v>
      </c>
      <c r="G12" s="4">
        <v>992</v>
      </c>
      <c r="H12" s="3" t="s">
        <v>15</v>
      </c>
      <c r="I12" s="3" t="s">
        <v>16</v>
      </c>
    </row>
    <row r="13" spans="1:9" ht="19.95" customHeight="1" x14ac:dyDescent="0.2">
      <c r="A13" s="3" t="s">
        <v>31</v>
      </c>
      <c r="B13" s="3" t="s">
        <v>10</v>
      </c>
      <c r="C13" s="3" t="s">
        <v>12</v>
      </c>
      <c r="D13" s="3" t="s">
        <v>13</v>
      </c>
      <c r="E13" s="4">
        <v>6804</v>
      </c>
      <c r="F13" s="5" t="s">
        <v>19</v>
      </c>
      <c r="G13" s="4">
        <v>6065</v>
      </c>
      <c r="H13" s="3" t="s">
        <v>15</v>
      </c>
      <c r="I13" s="3" t="s">
        <v>16</v>
      </c>
    </row>
    <row r="14" spans="1:9" ht="19.95" customHeight="1" x14ac:dyDescent="0.2">
      <c r="A14" s="3" t="s">
        <v>32</v>
      </c>
      <c r="B14" s="3" t="s">
        <v>10</v>
      </c>
      <c r="C14" s="3" t="s">
        <v>28</v>
      </c>
      <c r="D14" s="3" t="s">
        <v>13</v>
      </c>
      <c r="E14" s="4">
        <v>6473.25</v>
      </c>
      <c r="F14" s="5" t="s">
        <v>19</v>
      </c>
      <c r="G14" s="4">
        <v>5828</v>
      </c>
      <c r="H14" s="3" t="s">
        <v>15</v>
      </c>
      <c r="I14" s="3" t="s">
        <v>16</v>
      </c>
    </row>
    <row r="15" spans="1:9" ht="19.95" customHeight="1" x14ac:dyDescent="0.2">
      <c r="A15" s="3" t="s">
        <v>33</v>
      </c>
      <c r="B15" s="3" t="s">
        <v>10</v>
      </c>
      <c r="C15" s="3" t="s">
        <v>34</v>
      </c>
      <c r="D15" s="3" t="s">
        <v>13</v>
      </c>
      <c r="E15" s="4">
        <v>2532.6</v>
      </c>
      <c r="F15" s="5" t="s">
        <v>14</v>
      </c>
      <c r="G15" s="4">
        <v>2301</v>
      </c>
      <c r="H15" s="3" t="s">
        <v>15</v>
      </c>
      <c r="I15" s="3" t="s">
        <v>16</v>
      </c>
    </row>
    <row r="16" spans="1:9" ht="19.95" customHeight="1" x14ac:dyDescent="0.2">
      <c r="A16" s="3" t="s">
        <v>35</v>
      </c>
      <c r="B16" s="3" t="s">
        <v>11</v>
      </c>
      <c r="C16" s="3" t="s">
        <v>17</v>
      </c>
      <c r="D16" s="3" t="s">
        <v>13</v>
      </c>
      <c r="E16" s="4">
        <v>2404.5</v>
      </c>
      <c r="F16" s="5" t="s">
        <v>19</v>
      </c>
      <c r="G16" s="6"/>
      <c r="H16" s="3" t="s">
        <v>15</v>
      </c>
      <c r="I16" s="3" t="s">
        <v>16</v>
      </c>
    </row>
    <row r="17" spans="1:9" ht="19.95" customHeight="1" x14ac:dyDescent="0.2">
      <c r="A17" s="3" t="s">
        <v>36</v>
      </c>
      <c r="B17" s="3" t="s">
        <v>10</v>
      </c>
      <c r="C17" s="3" t="s">
        <v>37</v>
      </c>
      <c r="D17" s="3" t="s">
        <v>38</v>
      </c>
      <c r="E17" s="4">
        <v>610</v>
      </c>
      <c r="F17" s="5" t="s">
        <v>39</v>
      </c>
      <c r="G17" s="4">
        <v>544</v>
      </c>
      <c r="H17" s="3" t="s">
        <v>40</v>
      </c>
      <c r="I17" s="3" t="s">
        <v>41</v>
      </c>
    </row>
    <row r="18" spans="1:9" ht="19.95" customHeight="1" x14ac:dyDescent="0.2">
      <c r="A18" s="3" t="s">
        <v>42</v>
      </c>
      <c r="B18" s="3" t="s">
        <v>10</v>
      </c>
      <c r="C18" s="3" t="s">
        <v>43</v>
      </c>
      <c r="D18" s="3" t="s">
        <v>44</v>
      </c>
      <c r="E18" s="4">
        <v>7497</v>
      </c>
      <c r="F18" s="5" t="s">
        <v>19</v>
      </c>
      <c r="G18" s="4">
        <v>6679</v>
      </c>
      <c r="H18" s="3" t="s">
        <v>15</v>
      </c>
      <c r="I18" s="3" t="s">
        <v>16</v>
      </c>
    </row>
    <row r="19" spans="1:9" ht="19.95" customHeight="1" x14ac:dyDescent="0.2">
      <c r="A19" s="3" t="s">
        <v>46</v>
      </c>
      <c r="B19" s="3" t="s">
        <v>10</v>
      </c>
      <c r="C19" s="3" t="s">
        <v>47</v>
      </c>
      <c r="D19" s="3" t="s">
        <v>44</v>
      </c>
      <c r="E19" s="4">
        <v>37149.839999999997</v>
      </c>
      <c r="F19" s="5" t="s">
        <v>19</v>
      </c>
      <c r="G19" s="4">
        <v>33097</v>
      </c>
      <c r="H19" s="3" t="s">
        <v>15</v>
      </c>
      <c r="I19" s="3" t="s">
        <v>16</v>
      </c>
    </row>
    <row r="20" spans="1:9" ht="19.95" customHeight="1" x14ac:dyDescent="0.2">
      <c r="A20" s="3" t="s">
        <v>48</v>
      </c>
      <c r="B20" s="3" t="s">
        <v>10</v>
      </c>
      <c r="C20" s="3" t="s">
        <v>49</v>
      </c>
      <c r="D20" s="3" t="s">
        <v>44</v>
      </c>
      <c r="E20" s="4">
        <v>1117.2</v>
      </c>
      <c r="F20" s="5" t="s">
        <v>19</v>
      </c>
      <c r="G20" s="4">
        <v>1015</v>
      </c>
      <c r="H20" s="3" t="s">
        <v>15</v>
      </c>
      <c r="I20" s="3" t="s">
        <v>16</v>
      </c>
    </row>
    <row r="21" spans="1:9" ht="19.95" customHeight="1" x14ac:dyDescent="0.2">
      <c r="A21" s="3" t="s">
        <v>50</v>
      </c>
      <c r="B21" s="3" t="s">
        <v>45</v>
      </c>
      <c r="C21" s="3" t="s">
        <v>49</v>
      </c>
      <c r="D21" s="3" t="s">
        <v>44</v>
      </c>
      <c r="E21" s="4">
        <v>2024.4</v>
      </c>
      <c r="F21" s="5" t="s">
        <v>19</v>
      </c>
      <c r="G21" s="4">
        <v>1840</v>
      </c>
      <c r="H21" s="3" t="s">
        <v>15</v>
      </c>
      <c r="I21" s="3" t="s">
        <v>16</v>
      </c>
    </row>
    <row r="22" spans="1:9" ht="19.95" customHeight="1" x14ac:dyDescent="0.2">
      <c r="A22" s="3" t="s">
        <v>51</v>
      </c>
      <c r="B22" s="3" t="s">
        <v>10</v>
      </c>
      <c r="C22" s="3" t="s">
        <v>49</v>
      </c>
      <c r="D22" s="3" t="s">
        <v>44</v>
      </c>
      <c r="E22" s="4">
        <v>1537.2</v>
      </c>
      <c r="F22" s="5" t="s">
        <v>19</v>
      </c>
      <c r="G22" s="4">
        <v>1397</v>
      </c>
      <c r="H22" s="3" t="s">
        <v>15</v>
      </c>
      <c r="I22" s="3" t="s">
        <v>16</v>
      </c>
    </row>
    <row r="23" spans="1:9" ht="19.95" customHeight="1" x14ac:dyDescent="0.2">
      <c r="A23" s="3" t="s">
        <v>52</v>
      </c>
      <c r="B23" s="3" t="s">
        <v>10</v>
      </c>
      <c r="C23" s="3" t="s">
        <v>49</v>
      </c>
      <c r="D23" s="3" t="s">
        <v>44</v>
      </c>
      <c r="E23" s="4">
        <v>1243.2</v>
      </c>
      <c r="F23" s="5" t="s">
        <v>19</v>
      </c>
      <c r="G23" s="4">
        <v>1130</v>
      </c>
      <c r="H23" s="3" t="s">
        <v>15</v>
      </c>
      <c r="I23" s="3" t="s">
        <v>16</v>
      </c>
    </row>
    <row r="24" spans="1:9" ht="19.95" customHeight="1" x14ac:dyDescent="0.2">
      <c r="A24" s="3" t="s">
        <v>53</v>
      </c>
      <c r="B24" s="3" t="s">
        <v>10</v>
      </c>
      <c r="C24" s="3" t="s">
        <v>54</v>
      </c>
      <c r="D24" s="3" t="s">
        <v>44</v>
      </c>
      <c r="E24" s="4">
        <v>14994</v>
      </c>
      <c r="F24" s="5" t="s">
        <v>19</v>
      </c>
      <c r="G24" s="4">
        <v>13358</v>
      </c>
      <c r="H24" s="3" t="s">
        <v>15</v>
      </c>
      <c r="I24" s="3" t="s">
        <v>16</v>
      </c>
    </row>
    <row r="25" spans="1:9" ht="19.95" customHeight="1" x14ac:dyDescent="0.2">
      <c r="A25" s="3" t="s">
        <v>55</v>
      </c>
      <c r="B25" s="3" t="s">
        <v>45</v>
      </c>
      <c r="C25" s="3" t="s">
        <v>56</v>
      </c>
      <c r="D25" s="3" t="s">
        <v>57</v>
      </c>
      <c r="E25" s="4">
        <v>2440</v>
      </c>
      <c r="F25" s="5" t="s">
        <v>58</v>
      </c>
      <c r="G25" s="4">
        <v>2218</v>
      </c>
      <c r="H25" s="3" t="s">
        <v>40</v>
      </c>
      <c r="I25" s="3" t="s">
        <v>59</v>
      </c>
    </row>
    <row r="26" spans="1:9" ht="19.95" customHeight="1" x14ac:dyDescent="0.2">
      <c r="A26" s="3" t="s">
        <v>60</v>
      </c>
      <c r="B26" s="3" t="s">
        <v>10</v>
      </c>
      <c r="C26" s="3" t="s">
        <v>61</v>
      </c>
      <c r="D26" s="3" t="s">
        <v>62</v>
      </c>
      <c r="E26" s="4">
        <v>7080</v>
      </c>
      <c r="F26" s="5" t="s">
        <v>39</v>
      </c>
      <c r="G26" s="4">
        <v>6435</v>
      </c>
      <c r="H26" s="3" t="s">
        <v>63</v>
      </c>
      <c r="I26" s="3" t="s">
        <v>64</v>
      </c>
    </row>
    <row r="27" spans="1:9" ht="19.95" customHeight="1" x14ac:dyDescent="0.2">
      <c r="A27" s="3" t="s">
        <v>65</v>
      </c>
      <c r="B27" s="3" t="s">
        <v>10</v>
      </c>
      <c r="C27" s="3" t="s">
        <v>66</v>
      </c>
      <c r="D27" s="3" t="s">
        <v>67</v>
      </c>
      <c r="E27" s="4">
        <v>8190</v>
      </c>
      <c r="F27" s="5" t="s">
        <v>39</v>
      </c>
      <c r="G27" s="4">
        <v>7445</v>
      </c>
      <c r="H27" s="3" t="s">
        <v>40</v>
      </c>
      <c r="I27" s="3" t="s">
        <v>16</v>
      </c>
    </row>
    <row r="28" spans="1:9" ht="19.95" customHeight="1" x14ac:dyDescent="0.2">
      <c r="A28" s="3" t="s">
        <v>68</v>
      </c>
      <c r="B28" s="3" t="s">
        <v>10</v>
      </c>
      <c r="C28" s="3" t="s">
        <v>69</v>
      </c>
      <c r="D28" s="3" t="s">
        <v>70</v>
      </c>
      <c r="E28" s="4">
        <v>1040</v>
      </c>
      <c r="F28" s="5" t="s">
        <v>39</v>
      </c>
      <c r="G28" s="4">
        <v>926</v>
      </c>
      <c r="H28" s="3" t="s">
        <v>40</v>
      </c>
      <c r="I28" s="3" t="s">
        <v>72</v>
      </c>
    </row>
    <row r="29" spans="1:9" ht="19.95" customHeight="1" x14ac:dyDescent="0.2">
      <c r="A29" s="3" t="s">
        <v>73</v>
      </c>
      <c r="B29" s="3" t="s">
        <v>11</v>
      </c>
      <c r="C29" s="3" t="s">
        <v>74</v>
      </c>
      <c r="D29" s="3" t="s">
        <v>38</v>
      </c>
      <c r="E29" s="4">
        <v>6722.5</v>
      </c>
      <c r="F29" s="5" t="s">
        <v>75</v>
      </c>
      <c r="G29" s="6"/>
      <c r="H29" s="3" t="s">
        <v>63</v>
      </c>
      <c r="I29" s="3" t="s">
        <v>76</v>
      </c>
    </row>
    <row r="30" spans="1:9" ht="19.95" customHeight="1" x14ac:dyDescent="0.2">
      <c r="A30" s="3" t="s">
        <v>77</v>
      </c>
      <c r="B30" s="3" t="s">
        <v>45</v>
      </c>
      <c r="C30" s="3" t="s">
        <v>78</v>
      </c>
      <c r="D30" s="3" t="s">
        <v>79</v>
      </c>
      <c r="E30" s="4">
        <v>4162</v>
      </c>
      <c r="F30" s="5" t="s">
        <v>80</v>
      </c>
      <c r="G30" s="4">
        <v>3689</v>
      </c>
      <c r="H30" s="3" t="s">
        <v>81</v>
      </c>
      <c r="I30" s="3" t="s">
        <v>82</v>
      </c>
    </row>
    <row r="31" spans="1:9" ht="19.95" customHeight="1" x14ac:dyDescent="0.2">
      <c r="A31" s="3" t="s">
        <v>83</v>
      </c>
      <c r="B31" s="3" t="s">
        <v>11</v>
      </c>
      <c r="C31" s="3" t="s">
        <v>84</v>
      </c>
      <c r="D31" s="3" t="s">
        <v>85</v>
      </c>
      <c r="E31" s="4">
        <v>2140</v>
      </c>
      <c r="F31" s="5" t="s">
        <v>14</v>
      </c>
      <c r="G31" s="6"/>
      <c r="H31" s="3" t="s">
        <v>40</v>
      </c>
      <c r="I31" s="3" t="s">
        <v>86</v>
      </c>
    </row>
    <row r="32" spans="1:9" ht="19.95" customHeight="1" x14ac:dyDescent="0.2">
      <c r="A32" s="3" t="s">
        <v>87</v>
      </c>
      <c r="B32" s="3" t="s">
        <v>11</v>
      </c>
      <c r="C32" s="3" t="s">
        <v>88</v>
      </c>
      <c r="D32" s="3" t="s">
        <v>85</v>
      </c>
      <c r="E32" s="4">
        <v>3050</v>
      </c>
      <c r="F32" s="5" t="s">
        <v>89</v>
      </c>
      <c r="G32" s="6"/>
      <c r="H32" s="3" t="s">
        <v>81</v>
      </c>
      <c r="I32" s="3" t="s">
        <v>86</v>
      </c>
    </row>
    <row r="33" spans="1:9" ht="19.95" customHeight="1" x14ac:dyDescent="0.2">
      <c r="A33" s="3" t="s">
        <v>90</v>
      </c>
      <c r="B33" s="3" t="s">
        <v>91</v>
      </c>
      <c r="C33" s="3" t="s">
        <v>92</v>
      </c>
      <c r="D33" s="3" t="s">
        <v>93</v>
      </c>
      <c r="E33" s="4">
        <v>2070</v>
      </c>
      <c r="F33" s="5" t="s">
        <v>14</v>
      </c>
      <c r="G33" s="4">
        <v>1841</v>
      </c>
      <c r="H33" s="3" t="s">
        <v>63</v>
      </c>
      <c r="I33" s="3" t="s">
        <v>94</v>
      </c>
    </row>
    <row r="34" spans="1:9" ht="19.95" customHeight="1" x14ac:dyDescent="0.2">
      <c r="A34" s="3" t="s">
        <v>95</v>
      </c>
      <c r="B34" s="3" t="s">
        <v>10</v>
      </c>
      <c r="C34" s="3" t="s">
        <v>96</v>
      </c>
      <c r="D34" s="3" t="s">
        <v>97</v>
      </c>
      <c r="E34" s="4">
        <v>6820</v>
      </c>
      <c r="F34" s="5" t="s">
        <v>98</v>
      </c>
      <c r="G34" s="4">
        <v>6075</v>
      </c>
      <c r="H34" s="3" t="s">
        <v>81</v>
      </c>
      <c r="I34" s="3" t="s">
        <v>99</v>
      </c>
    </row>
    <row r="35" spans="1:9" ht="19.95" customHeight="1" x14ac:dyDescent="0.2">
      <c r="A35" s="3" t="s">
        <v>100</v>
      </c>
      <c r="B35" s="3" t="s">
        <v>45</v>
      </c>
      <c r="C35" s="3" t="s">
        <v>101</v>
      </c>
      <c r="D35" s="3" t="s">
        <v>102</v>
      </c>
      <c r="E35" s="4">
        <v>1500</v>
      </c>
      <c r="F35" s="5" t="s">
        <v>19</v>
      </c>
      <c r="G35" s="4">
        <v>1251</v>
      </c>
      <c r="H35" s="3" t="s">
        <v>63</v>
      </c>
      <c r="I35" s="3" t="s">
        <v>103</v>
      </c>
    </row>
    <row r="36" spans="1:9" ht="19.95" customHeight="1" x14ac:dyDescent="0.2">
      <c r="A36" s="3" t="s">
        <v>104</v>
      </c>
      <c r="B36" s="3" t="s">
        <v>71</v>
      </c>
      <c r="C36" s="3" t="s">
        <v>37</v>
      </c>
      <c r="D36" s="3" t="s">
        <v>105</v>
      </c>
      <c r="E36" s="4">
        <v>2590</v>
      </c>
      <c r="F36" s="5" t="s">
        <v>39</v>
      </c>
      <c r="G36" s="4">
        <v>2308</v>
      </c>
      <c r="H36" s="3" t="s">
        <v>40</v>
      </c>
      <c r="I36" s="3" t="s">
        <v>106</v>
      </c>
    </row>
    <row r="37" spans="1:9" ht="19.95" customHeight="1" x14ac:dyDescent="0.2">
      <c r="A37" s="3" t="s">
        <v>107</v>
      </c>
      <c r="B37" s="3" t="s">
        <v>11</v>
      </c>
      <c r="C37" s="3" t="s">
        <v>108</v>
      </c>
      <c r="D37" s="3" t="s">
        <v>109</v>
      </c>
      <c r="E37" s="4">
        <v>3680</v>
      </c>
      <c r="F37" s="5" t="s">
        <v>111</v>
      </c>
      <c r="G37" s="6"/>
      <c r="H37" s="3" t="s">
        <v>81</v>
      </c>
      <c r="I37" s="3" t="s">
        <v>112</v>
      </c>
    </row>
    <row r="38" spans="1:9" ht="19.95" customHeight="1" x14ac:dyDescent="0.2">
      <c r="A38" s="3" t="s">
        <v>113</v>
      </c>
      <c r="B38" s="3" t="s">
        <v>11</v>
      </c>
      <c r="C38" s="3" t="s">
        <v>114</v>
      </c>
      <c r="D38" s="3" t="s">
        <v>115</v>
      </c>
      <c r="E38" s="4">
        <v>3642</v>
      </c>
      <c r="F38" s="5" t="s">
        <v>39</v>
      </c>
      <c r="G38" s="6"/>
      <c r="H38" s="3" t="s">
        <v>40</v>
      </c>
      <c r="I38" s="3" t="s">
        <v>116</v>
      </c>
    </row>
    <row r="39" spans="1:9" ht="19.95" customHeight="1" x14ac:dyDescent="0.2">
      <c r="A39" s="3" t="s">
        <v>117</v>
      </c>
      <c r="B39" s="3" t="s">
        <v>45</v>
      </c>
      <c r="C39" s="3" t="s">
        <v>118</v>
      </c>
      <c r="D39" s="3" t="s">
        <v>109</v>
      </c>
      <c r="E39" s="4">
        <v>5480</v>
      </c>
      <c r="F39" s="5" t="s">
        <v>39</v>
      </c>
      <c r="G39" s="4">
        <v>4165</v>
      </c>
      <c r="H39" s="3" t="s">
        <v>40</v>
      </c>
      <c r="I39" s="3" t="s">
        <v>72</v>
      </c>
    </row>
    <row r="40" spans="1:9" ht="19.95" customHeight="1" x14ac:dyDescent="0.2">
      <c r="A40" s="3" t="s">
        <v>117</v>
      </c>
      <c r="B40" s="3" t="s">
        <v>45</v>
      </c>
      <c r="C40" s="3" t="s">
        <v>69</v>
      </c>
      <c r="D40" s="3" t="s">
        <v>109</v>
      </c>
      <c r="E40" s="4">
        <v>2740</v>
      </c>
      <c r="F40" s="5" t="s">
        <v>39</v>
      </c>
      <c r="G40" s="4">
        <v>2082</v>
      </c>
      <c r="H40" s="3" t="s">
        <v>40</v>
      </c>
      <c r="I40" s="3" t="s">
        <v>72</v>
      </c>
    </row>
    <row r="41" spans="1:9" ht="19.95" customHeight="1" x14ac:dyDescent="0.2">
      <c r="A41" s="3" t="s">
        <v>119</v>
      </c>
      <c r="B41" s="3" t="s">
        <v>45</v>
      </c>
      <c r="C41" s="3" t="s">
        <v>120</v>
      </c>
      <c r="D41" s="3" t="s">
        <v>121</v>
      </c>
      <c r="E41" s="4">
        <v>5000</v>
      </c>
      <c r="F41" s="5" t="s">
        <v>89</v>
      </c>
      <c r="G41" s="4">
        <v>4545</v>
      </c>
      <c r="H41" s="3" t="s">
        <v>81</v>
      </c>
      <c r="I41" s="3" t="s">
        <v>122</v>
      </c>
    </row>
    <row r="42" spans="1:9" ht="19.95" customHeight="1" x14ac:dyDescent="0.2">
      <c r="A42" s="3" t="s">
        <v>123</v>
      </c>
      <c r="B42" s="3" t="s">
        <v>115</v>
      </c>
      <c r="C42" s="3" t="s">
        <v>124</v>
      </c>
      <c r="D42" s="3" t="s">
        <v>115</v>
      </c>
      <c r="E42" s="4">
        <v>10000</v>
      </c>
      <c r="F42" s="5" t="s">
        <v>89</v>
      </c>
      <c r="G42" s="4">
        <v>7220</v>
      </c>
      <c r="H42" s="3" t="s">
        <v>81</v>
      </c>
      <c r="I42" s="3" t="s">
        <v>122</v>
      </c>
    </row>
    <row r="43" spans="1:9" ht="19.95" customHeight="1" x14ac:dyDescent="0.2">
      <c r="A43" s="3" t="s">
        <v>125</v>
      </c>
      <c r="B43" s="3" t="s">
        <v>10</v>
      </c>
      <c r="C43" s="3" t="s">
        <v>126</v>
      </c>
      <c r="D43" s="3" t="s">
        <v>127</v>
      </c>
      <c r="E43" s="4">
        <v>1606</v>
      </c>
      <c r="F43" s="5" t="s">
        <v>128</v>
      </c>
      <c r="G43" s="4">
        <v>1431</v>
      </c>
      <c r="H43" s="3" t="s">
        <v>63</v>
      </c>
      <c r="I43" s="3" t="s">
        <v>129</v>
      </c>
    </row>
    <row r="44" spans="1:9" ht="19.95" customHeight="1" x14ac:dyDescent="0.2">
      <c r="A44" s="3" t="s">
        <v>130</v>
      </c>
      <c r="B44" s="3" t="s">
        <v>71</v>
      </c>
      <c r="C44" s="3" t="s">
        <v>69</v>
      </c>
      <c r="D44" s="3" t="s">
        <v>131</v>
      </c>
      <c r="E44" s="4">
        <v>590</v>
      </c>
      <c r="F44" s="5" t="s">
        <v>39</v>
      </c>
      <c r="G44" s="4">
        <v>525</v>
      </c>
      <c r="H44" s="3" t="s">
        <v>40</v>
      </c>
      <c r="I44" s="3" t="s">
        <v>132</v>
      </c>
    </row>
    <row r="45" spans="1:9" ht="19.95" customHeight="1" x14ac:dyDescent="0.2">
      <c r="A45" s="3" t="s">
        <v>130</v>
      </c>
      <c r="B45" s="3" t="s">
        <v>71</v>
      </c>
      <c r="C45" s="3" t="s">
        <v>133</v>
      </c>
      <c r="D45" s="3" t="s">
        <v>134</v>
      </c>
      <c r="E45" s="4">
        <v>2950</v>
      </c>
      <c r="F45" s="5" t="s">
        <v>39</v>
      </c>
      <c r="G45" s="4">
        <v>2629</v>
      </c>
      <c r="H45" s="3" t="s">
        <v>40</v>
      </c>
      <c r="I45" s="3" t="s">
        <v>132</v>
      </c>
    </row>
    <row r="46" spans="1:9" ht="19.95" customHeight="1" x14ac:dyDescent="0.2">
      <c r="A46" s="3" t="s">
        <v>135</v>
      </c>
      <c r="B46" s="3" t="s">
        <v>71</v>
      </c>
      <c r="C46" s="3" t="s">
        <v>136</v>
      </c>
      <c r="D46" s="3" t="s">
        <v>131</v>
      </c>
      <c r="E46" s="4">
        <v>3350</v>
      </c>
      <c r="F46" s="5" t="s">
        <v>14</v>
      </c>
      <c r="G46" s="4">
        <v>2985</v>
      </c>
      <c r="H46" s="3" t="s">
        <v>40</v>
      </c>
      <c r="I46" s="3" t="s">
        <v>137</v>
      </c>
    </row>
    <row r="47" spans="1:9" ht="19.95" customHeight="1" x14ac:dyDescent="0.2">
      <c r="A47" s="3" t="s">
        <v>138</v>
      </c>
      <c r="B47" s="3" t="s">
        <v>71</v>
      </c>
      <c r="C47" s="3" t="s">
        <v>69</v>
      </c>
      <c r="D47" s="3" t="s">
        <v>139</v>
      </c>
      <c r="E47" s="4">
        <v>610</v>
      </c>
      <c r="F47" s="5" t="s">
        <v>39</v>
      </c>
      <c r="G47" s="4">
        <v>544</v>
      </c>
      <c r="H47" s="3" t="s">
        <v>40</v>
      </c>
      <c r="I47" s="3" t="s">
        <v>137</v>
      </c>
    </row>
    <row r="48" spans="1:9" ht="19.95" customHeight="1" x14ac:dyDescent="0.2">
      <c r="A48" s="3" t="s">
        <v>138</v>
      </c>
      <c r="B48" s="3" t="s">
        <v>71</v>
      </c>
      <c r="C48" s="3" t="s">
        <v>140</v>
      </c>
      <c r="D48" s="3" t="s">
        <v>131</v>
      </c>
      <c r="E48" s="4">
        <v>6100</v>
      </c>
      <c r="F48" s="5" t="s">
        <v>39</v>
      </c>
      <c r="G48" s="4">
        <v>5435</v>
      </c>
      <c r="H48" s="3" t="s">
        <v>40</v>
      </c>
      <c r="I48" s="3" t="s">
        <v>137</v>
      </c>
    </row>
    <row r="49" spans="1:9" ht="19.95" customHeight="1" x14ac:dyDescent="0.2">
      <c r="A49" s="3" t="s">
        <v>141</v>
      </c>
      <c r="B49" s="3" t="s">
        <v>45</v>
      </c>
      <c r="C49" s="3" t="s">
        <v>142</v>
      </c>
      <c r="D49" s="3" t="s">
        <v>143</v>
      </c>
      <c r="E49" s="4">
        <v>1810</v>
      </c>
      <c r="F49" s="5" t="s">
        <v>144</v>
      </c>
      <c r="G49" s="4">
        <v>1637</v>
      </c>
      <c r="H49" s="3" t="s">
        <v>81</v>
      </c>
      <c r="I49" s="3" t="s">
        <v>137</v>
      </c>
    </row>
    <row r="50" spans="1:9" ht="19.95" customHeight="1" x14ac:dyDescent="0.2">
      <c r="A50" s="3" t="s">
        <v>145</v>
      </c>
      <c r="B50" s="3" t="s">
        <v>11</v>
      </c>
      <c r="C50" s="3" t="s">
        <v>146</v>
      </c>
      <c r="D50" s="3" t="s">
        <v>147</v>
      </c>
      <c r="E50" s="4">
        <v>916</v>
      </c>
      <c r="F50" s="5" t="s">
        <v>148</v>
      </c>
      <c r="G50" s="6"/>
      <c r="H50" s="3" t="s">
        <v>63</v>
      </c>
      <c r="I50" s="3" t="s">
        <v>76</v>
      </c>
    </row>
    <row r="51" spans="1:9" ht="19.95" customHeight="1" x14ac:dyDescent="0.2">
      <c r="A51" s="3" t="s">
        <v>149</v>
      </c>
      <c r="B51" s="3" t="s">
        <v>11</v>
      </c>
      <c r="C51" s="3" t="s">
        <v>150</v>
      </c>
      <c r="D51" s="3" t="s">
        <v>151</v>
      </c>
      <c r="E51" s="6"/>
      <c r="F51" s="5" t="s">
        <v>11</v>
      </c>
      <c r="G51" s="6"/>
      <c r="H51" s="3" t="s">
        <v>152</v>
      </c>
      <c r="I51" s="3" t="s">
        <v>153</v>
      </c>
    </row>
    <row r="52" spans="1:9" ht="19.95" customHeight="1" x14ac:dyDescent="0.2">
      <c r="A52" s="3" t="s">
        <v>154</v>
      </c>
      <c r="B52" s="3" t="s">
        <v>45</v>
      </c>
      <c r="C52" s="3" t="s">
        <v>155</v>
      </c>
      <c r="D52" s="3" t="s">
        <v>143</v>
      </c>
      <c r="E52" s="4">
        <v>5960</v>
      </c>
      <c r="F52" s="5" t="s">
        <v>98</v>
      </c>
      <c r="G52" s="4">
        <v>5360</v>
      </c>
      <c r="H52" s="3" t="s">
        <v>81</v>
      </c>
      <c r="I52" s="3" t="s">
        <v>156</v>
      </c>
    </row>
    <row r="53" spans="1:9" ht="19.95" customHeight="1" x14ac:dyDescent="0.2">
      <c r="A53" s="3" t="s">
        <v>157</v>
      </c>
      <c r="B53" s="3" t="s">
        <v>11</v>
      </c>
      <c r="C53" s="3" t="s">
        <v>158</v>
      </c>
      <c r="D53" s="3" t="s">
        <v>159</v>
      </c>
      <c r="E53" s="4">
        <v>16460</v>
      </c>
      <c r="F53" s="5" t="s">
        <v>148</v>
      </c>
      <c r="G53" s="6"/>
      <c r="H53" s="3" t="s">
        <v>81</v>
      </c>
      <c r="I53" s="3" t="s">
        <v>137</v>
      </c>
    </row>
    <row r="54" spans="1:9" ht="19.95" customHeight="1" x14ac:dyDescent="0.2">
      <c r="A54" s="3" t="s">
        <v>160</v>
      </c>
      <c r="B54" s="3" t="s">
        <v>10</v>
      </c>
      <c r="C54" s="3" t="s">
        <v>69</v>
      </c>
      <c r="D54" s="3" t="s">
        <v>70</v>
      </c>
      <c r="E54" s="4">
        <v>1040</v>
      </c>
      <c r="F54" s="5" t="s">
        <v>39</v>
      </c>
      <c r="G54" s="4">
        <v>926</v>
      </c>
      <c r="H54" s="3" t="s">
        <v>40</v>
      </c>
      <c r="I54" s="3" t="s">
        <v>161</v>
      </c>
    </row>
    <row r="55" spans="1:9" ht="19.95" customHeight="1" x14ac:dyDescent="0.2">
      <c r="A55" s="3" t="s">
        <v>162</v>
      </c>
      <c r="B55" s="3" t="s">
        <v>11</v>
      </c>
      <c r="C55" s="3" t="s">
        <v>69</v>
      </c>
      <c r="D55" s="3" t="s">
        <v>70</v>
      </c>
      <c r="E55" s="4">
        <v>1130</v>
      </c>
      <c r="F55" s="5" t="s">
        <v>39</v>
      </c>
      <c r="G55" s="6"/>
      <c r="H55" s="3" t="s">
        <v>40</v>
      </c>
      <c r="I55" s="3" t="s">
        <v>161</v>
      </c>
    </row>
    <row r="56" spans="1:9" ht="19.95" customHeight="1" x14ac:dyDescent="0.2">
      <c r="A56" s="3" t="s">
        <v>163</v>
      </c>
      <c r="B56" s="3" t="s">
        <v>10</v>
      </c>
      <c r="C56" s="3" t="s">
        <v>37</v>
      </c>
      <c r="D56" s="3" t="s">
        <v>164</v>
      </c>
      <c r="E56" s="4">
        <v>1320</v>
      </c>
      <c r="F56" s="5" t="s">
        <v>39</v>
      </c>
      <c r="G56" s="4">
        <v>1176</v>
      </c>
      <c r="H56" s="3" t="s">
        <v>40</v>
      </c>
      <c r="I56" s="3" t="s">
        <v>165</v>
      </c>
    </row>
    <row r="57" spans="1:9" ht="19.95" customHeight="1" x14ac:dyDescent="0.2">
      <c r="A57" s="3" t="s">
        <v>166</v>
      </c>
      <c r="B57" s="3" t="s">
        <v>71</v>
      </c>
      <c r="C57" s="3" t="s">
        <v>37</v>
      </c>
      <c r="D57" s="3" t="s">
        <v>105</v>
      </c>
      <c r="E57" s="4">
        <v>610</v>
      </c>
      <c r="F57" s="5" t="s">
        <v>39</v>
      </c>
      <c r="G57" s="4">
        <v>536</v>
      </c>
      <c r="H57" s="3" t="s">
        <v>40</v>
      </c>
      <c r="I57" s="3" t="s">
        <v>167</v>
      </c>
    </row>
    <row r="58" spans="1:9" ht="19.95" customHeight="1" x14ac:dyDescent="0.2">
      <c r="A58" s="3" t="s">
        <v>168</v>
      </c>
      <c r="B58" s="3" t="s">
        <v>110</v>
      </c>
      <c r="C58" s="3" t="s">
        <v>169</v>
      </c>
      <c r="D58" s="3" t="s">
        <v>170</v>
      </c>
      <c r="E58" s="4">
        <v>3952.1</v>
      </c>
      <c r="F58" s="5" t="s">
        <v>171</v>
      </c>
      <c r="G58" s="4">
        <v>3430</v>
      </c>
      <c r="H58" s="3" t="s">
        <v>63</v>
      </c>
      <c r="I58" s="3" t="s">
        <v>172</v>
      </c>
    </row>
    <row r="59" spans="1:9" ht="19.95" customHeight="1" x14ac:dyDescent="0.2">
      <c r="A59" s="3" t="s">
        <v>173</v>
      </c>
      <c r="B59" s="3" t="s">
        <v>45</v>
      </c>
      <c r="C59" s="3" t="s">
        <v>84</v>
      </c>
      <c r="D59" s="3" t="s">
        <v>131</v>
      </c>
      <c r="E59" s="4">
        <v>3250</v>
      </c>
      <c r="F59" s="5" t="s">
        <v>14</v>
      </c>
      <c r="G59" s="4">
        <v>2860</v>
      </c>
      <c r="H59" s="3" t="s">
        <v>40</v>
      </c>
      <c r="I59" s="3" t="s">
        <v>174</v>
      </c>
    </row>
    <row r="60" spans="1:9" ht="19.95" customHeight="1" x14ac:dyDescent="0.2">
      <c r="A60" s="3" t="s">
        <v>175</v>
      </c>
      <c r="B60" s="3" t="s">
        <v>45</v>
      </c>
      <c r="C60" s="3" t="s">
        <v>176</v>
      </c>
      <c r="D60" s="3" t="s">
        <v>131</v>
      </c>
      <c r="E60" s="4">
        <v>3850</v>
      </c>
      <c r="F60" s="5" t="s">
        <v>39</v>
      </c>
      <c r="G60" s="4">
        <v>3388</v>
      </c>
      <c r="H60" s="3" t="s">
        <v>40</v>
      </c>
      <c r="I60" s="3" t="s">
        <v>174</v>
      </c>
    </row>
    <row r="61" spans="1:9" ht="19.95" customHeight="1" x14ac:dyDescent="0.2">
      <c r="A61" s="3" t="s">
        <v>177</v>
      </c>
      <c r="B61" s="3" t="s">
        <v>11</v>
      </c>
      <c r="C61" s="3" t="s">
        <v>178</v>
      </c>
      <c r="D61" s="3" t="s">
        <v>139</v>
      </c>
      <c r="E61" s="4">
        <v>4450</v>
      </c>
      <c r="F61" s="5" t="s">
        <v>89</v>
      </c>
      <c r="G61" s="6"/>
      <c r="H61" s="3" t="s">
        <v>81</v>
      </c>
      <c r="I61" s="3" t="s">
        <v>174</v>
      </c>
    </row>
    <row r="62" spans="1:9" ht="19.95" customHeight="1" x14ac:dyDescent="0.2">
      <c r="A62" s="3" t="s">
        <v>177</v>
      </c>
      <c r="B62" s="3" t="s">
        <v>45</v>
      </c>
      <c r="C62" s="3" t="s">
        <v>179</v>
      </c>
      <c r="D62" s="3" t="s">
        <v>139</v>
      </c>
      <c r="E62" s="4">
        <v>890</v>
      </c>
      <c r="F62" s="5" t="s">
        <v>89</v>
      </c>
      <c r="G62" s="4">
        <v>792</v>
      </c>
      <c r="H62" s="3" t="s">
        <v>81</v>
      </c>
      <c r="I62" s="3" t="s">
        <v>174</v>
      </c>
    </row>
    <row r="63" spans="1:9" ht="19.95" customHeight="1" x14ac:dyDescent="0.2">
      <c r="A63" s="3" t="s">
        <v>180</v>
      </c>
      <c r="B63" s="3" t="s">
        <v>11</v>
      </c>
      <c r="C63" s="3" t="s">
        <v>181</v>
      </c>
      <c r="D63" s="3" t="s">
        <v>182</v>
      </c>
      <c r="E63" s="4">
        <v>6160</v>
      </c>
      <c r="F63" s="5" t="s">
        <v>183</v>
      </c>
      <c r="G63" s="6"/>
      <c r="H63" s="3" t="s">
        <v>63</v>
      </c>
      <c r="I63" s="3" t="s">
        <v>129</v>
      </c>
    </row>
    <row r="64" spans="1:9" ht="19.95" customHeight="1" x14ac:dyDescent="0.2">
      <c r="A64" s="3" t="s">
        <v>184</v>
      </c>
      <c r="B64" s="3" t="s">
        <v>10</v>
      </c>
      <c r="C64" s="3" t="s">
        <v>185</v>
      </c>
      <c r="D64" s="3" t="s">
        <v>186</v>
      </c>
      <c r="E64" s="4">
        <v>7042</v>
      </c>
      <c r="F64" s="5" t="s">
        <v>58</v>
      </c>
      <c r="G64" s="4">
        <v>6273</v>
      </c>
      <c r="H64" s="3" t="s">
        <v>40</v>
      </c>
      <c r="I64" s="3" t="s">
        <v>187</v>
      </c>
    </row>
    <row r="65" spans="1:9" ht="19.95" customHeight="1" x14ac:dyDescent="0.2">
      <c r="A65" s="3" t="s">
        <v>188</v>
      </c>
      <c r="B65" s="3" t="s">
        <v>45</v>
      </c>
      <c r="C65" s="3" t="s">
        <v>185</v>
      </c>
      <c r="D65" s="3" t="s">
        <v>109</v>
      </c>
      <c r="E65" s="4">
        <v>7042</v>
      </c>
      <c r="F65" s="5" t="s">
        <v>58</v>
      </c>
      <c r="G65" s="4">
        <v>5563</v>
      </c>
      <c r="H65" s="3" t="s">
        <v>40</v>
      </c>
      <c r="I65" s="3" t="s">
        <v>187</v>
      </c>
    </row>
    <row r="66" spans="1:9" ht="19.95" customHeight="1" x14ac:dyDescent="0.2">
      <c r="A66" s="3" t="s">
        <v>189</v>
      </c>
      <c r="B66" s="3" t="s">
        <v>10</v>
      </c>
      <c r="C66" s="3" t="s">
        <v>185</v>
      </c>
      <c r="D66" s="3" t="s">
        <v>186</v>
      </c>
      <c r="E66" s="4">
        <v>9058</v>
      </c>
      <c r="F66" s="5" t="s">
        <v>58</v>
      </c>
      <c r="G66" s="4">
        <v>8069</v>
      </c>
      <c r="H66" s="3" t="s">
        <v>40</v>
      </c>
      <c r="I66" s="3" t="s">
        <v>187</v>
      </c>
    </row>
    <row r="67" spans="1:9" ht="19.95" customHeight="1" x14ac:dyDescent="0.2">
      <c r="A67" s="3" t="s">
        <v>190</v>
      </c>
      <c r="B67" s="3" t="s">
        <v>45</v>
      </c>
      <c r="C67" s="3" t="s">
        <v>185</v>
      </c>
      <c r="D67" s="3" t="s">
        <v>109</v>
      </c>
      <c r="E67" s="4">
        <v>9058</v>
      </c>
      <c r="F67" s="5" t="s">
        <v>58</v>
      </c>
      <c r="G67" s="4">
        <v>7156</v>
      </c>
      <c r="H67" s="3" t="s">
        <v>40</v>
      </c>
      <c r="I67" s="3" t="s">
        <v>187</v>
      </c>
    </row>
    <row r="68" spans="1:9" ht="19.95" customHeight="1" x14ac:dyDescent="0.2">
      <c r="A68" s="3" t="s">
        <v>191</v>
      </c>
      <c r="B68" s="3" t="s">
        <v>115</v>
      </c>
      <c r="C68" s="3" t="s">
        <v>69</v>
      </c>
      <c r="D68" s="3" t="s">
        <v>115</v>
      </c>
      <c r="E68" s="4">
        <v>1390</v>
      </c>
      <c r="F68" s="5" t="s">
        <v>39</v>
      </c>
      <c r="G68" s="4">
        <v>1210</v>
      </c>
      <c r="H68" s="3" t="s">
        <v>40</v>
      </c>
      <c r="I68" s="3" t="s">
        <v>59</v>
      </c>
    </row>
    <row r="69" spans="1:9" ht="19.95" customHeight="1" x14ac:dyDescent="0.2">
      <c r="A69" s="3" t="s">
        <v>191</v>
      </c>
      <c r="B69" s="3" t="s">
        <v>115</v>
      </c>
      <c r="C69" s="3" t="s">
        <v>192</v>
      </c>
      <c r="D69" s="3" t="s">
        <v>115</v>
      </c>
      <c r="E69" s="4">
        <v>4170</v>
      </c>
      <c r="F69" s="5" t="s">
        <v>39</v>
      </c>
      <c r="G69" s="4">
        <v>3630</v>
      </c>
      <c r="H69" s="3" t="s">
        <v>40</v>
      </c>
      <c r="I69" s="3" t="s">
        <v>59</v>
      </c>
    </row>
    <row r="70" spans="1:9" ht="19.95" customHeight="1" x14ac:dyDescent="0.2">
      <c r="A70" s="3" t="s">
        <v>193</v>
      </c>
      <c r="B70" s="3" t="s">
        <v>11</v>
      </c>
      <c r="C70" s="3" t="s">
        <v>194</v>
      </c>
      <c r="D70" s="3" t="s">
        <v>139</v>
      </c>
      <c r="E70" s="4">
        <v>1000</v>
      </c>
      <c r="F70" s="5" t="s">
        <v>89</v>
      </c>
      <c r="G70" s="6"/>
      <c r="H70" s="3" t="s">
        <v>81</v>
      </c>
      <c r="I70" s="3" t="s">
        <v>195</v>
      </c>
    </row>
    <row r="71" spans="1:9" ht="19.95" customHeight="1" x14ac:dyDescent="0.2">
      <c r="A71" s="3" t="s">
        <v>196</v>
      </c>
      <c r="B71" s="3" t="s">
        <v>11</v>
      </c>
      <c r="C71" s="3" t="s">
        <v>197</v>
      </c>
      <c r="D71" s="3" t="s">
        <v>198</v>
      </c>
      <c r="E71" s="4">
        <v>1755</v>
      </c>
      <c r="F71" s="5" t="s">
        <v>39</v>
      </c>
      <c r="G71" s="6"/>
      <c r="H71" s="3" t="s">
        <v>40</v>
      </c>
      <c r="I71" s="3" t="s">
        <v>199</v>
      </c>
    </row>
    <row r="72" spans="1:9" ht="19.95" customHeight="1" x14ac:dyDescent="0.2">
      <c r="A72" s="3" t="s">
        <v>200</v>
      </c>
      <c r="B72" s="3" t="s">
        <v>10</v>
      </c>
      <c r="C72" s="3" t="s">
        <v>197</v>
      </c>
      <c r="D72" s="3" t="s">
        <v>109</v>
      </c>
      <c r="E72" s="4">
        <v>1755</v>
      </c>
      <c r="F72" s="5" t="s">
        <v>39</v>
      </c>
      <c r="G72" s="4">
        <v>1458</v>
      </c>
      <c r="H72" s="3" t="s">
        <v>40</v>
      </c>
      <c r="I72" s="3" t="s">
        <v>199</v>
      </c>
    </row>
    <row r="73" spans="1:9" ht="19.95" customHeight="1" x14ac:dyDescent="0.2">
      <c r="A73" s="3" t="s">
        <v>201</v>
      </c>
      <c r="B73" s="3" t="s">
        <v>11</v>
      </c>
      <c r="C73" s="3" t="s">
        <v>202</v>
      </c>
      <c r="D73" s="3" t="s">
        <v>57</v>
      </c>
      <c r="E73" s="4">
        <v>2970</v>
      </c>
      <c r="F73" s="5" t="s">
        <v>39</v>
      </c>
      <c r="G73" s="6"/>
      <c r="H73" s="3" t="s">
        <v>40</v>
      </c>
      <c r="I73" s="3" t="s">
        <v>187</v>
      </c>
    </row>
    <row r="74" spans="1:9" ht="19.95" customHeight="1" x14ac:dyDescent="0.2">
      <c r="A74" s="3" t="s">
        <v>203</v>
      </c>
      <c r="B74" s="3" t="s">
        <v>71</v>
      </c>
      <c r="C74" s="3" t="s">
        <v>204</v>
      </c>
      <c r="D74" s="3" t="s">
        <v>205</v>
      </c>
      <c r="E74" s="4">
        <v>10005</v>
      </c>
      <c r="F74" s="5" t="s">
        <v>89</v>
      </c>
      <c r="G74" s="4">
        <v>9005</v>
      </c>
      <c r="H74" s="3" t="s">
        <v>81</v>
      </c>
      <c r="I74" s="3" t="s">
        <v>206</v>
      </c>
    </row>
    <row r="75" spans="1:9" ht="19.95" customHeight="1" x14ac:dyDescent="0.2">
      <c r="A75" s="3" t="s">
        <v>207</v>
      </c>
      <c r="B75" s="3" t="s">
        <v>11</v>
      </c>
      <c r="C75" s="3" t="s">
        <v>208</v>
      </c>
      <c r="D75" s="3" t="s">
        <v>170</v>
      </c>
      <c r="E75" s="4">
        <v>5445.1</v>
      </c>
      <c r="F75" s="5" t="s">
        <v>209</v>
      </c>
      <c r="G75" s="6"/>
      <c r="H75" s="3" t="s">
        <v>63</v>
      </c>
      <c r="I75" s="3" t="s">
        <v>210</v>
      </c>
    </row>
    <row r="76" spans="1:9" ht="19.95" customHeight="1" x14ac:dyDescent="0.2">
      <c r="A76" s="3" t="s">
        <v>211</v>
      </c>
      <c r="B76" s="3" t="s">
        <v>11</v>
      </c>
      <c r="C76" s="3" t="s">
        <v>69</v>
      </c>
      <c r="D76" s="3" t="s">
        <v>212</v>
      </c>
      <c r="E76" s="4">
        <v>610</v>
      </c>
      <c r="F76" s="5" t="s">
        <v>39</v>
      </c>
      <c r="G76" s="4">
        <v>510</v>
      </c>
      <c r="H76" s="3" t="s">
        <v>40</v>
      </c>
      <c r="I76" s="3" t="s">
        <v>86</v>
      </c>
    </row>
    <row r="77" spans="1:9" ht="19.95" customHeight="1" x14ac:dyDescent="0.2">
      <c r="A77" s="3" t="s">
        <v>213</v>
      </c>
      <c r="B77" s="3" t="s">
        <v>11</v>
      </c>
      <c r="C77" s="3" t="s">
        <v>37</v>
      </c>
      <c r="D77" s="3" t="s">
        <v>205</v>
      </c>
      <c r="E77" s="4">
        <v>4410</v>
      </c>
      <c r="F77" s="5" t="s">
        <v>39</v>
      </c>
      <c r="G77" s="6"/>
      <c r="H77" s="3" t="s">
        <v>40</v>
      </c>
      <c r="I77" s="3" t="s">
        <v>206</v>
      </c>
    </row>
    <row r="78" spans="1:9" ht="19.95" customHeight="1" x14ac:dyDescent="0.2">
      <c r="A78" s="3" t="s">
        <v>214</v>
      </c>
      <c r="B78" s="3" t="s">
        <v>45</v>
      </c>
      <c r="C78" s="3" t="s">
        <v>215</v>
      </c>
      <c r="D78" s="3" t="s">
        <v>216</v>
      </c>
      <c r="E78" s="4">
        <v>48450</v>
      </c>
      <c r="F78" s="5" t="s">
        <v>58</v>
      </c>
      <c r="G78" s="4">
        <v>41183</v>
      </c>
      <c r="H78" s="3" t="s">
        <v>40</v>
      </c>
      <c r="I78" s="3" t="s">
        <v>217</v>
      </c>
    </row>
    <row r="79" spans="1:9" ht="19.95" customHeight="1" x14ac:dyDescent="0.2">
      <c r="A79" s="3" t="s">
        <v>218</v>
      </c>
      <c r="B79" s="3" t="s">
        <v>11</v>
      </c>
      <c r="C79" s="3" t="s">
        <v>219</v>
      </c>
      <c r="D79" s="3" t="s">
        <v>93</v>
      </c>
      <c r="E79" s="4">
        <v>9324</v>
      </c>
      <c r="F79" s="5" t="s">
        <v>128</v>
      </c>
      <c r="G79" s="6"/>
      <c r="H79" s="3" t="s">
        <v>40</v>
      </c>
      <c r="I79" s="3" t="s">
        <v>220</v>
      </c>
    </row>
    <row r="80" spans="1:9" ht="19.95" customHeight="1" x14ac:dyDescent="0.2">
      <c r="A80" s="3" t="s">
        <v>221</v>
      </c>
      <c r="B80" s="3" t="s">
        <v>11</v>
      </c>
      <c r="C80" s="3" t="s">
        <v>222</v>
      </c>
      <c r="D80" s="3" t="s">
        <v>93</v>
      </c>
      <c r="E80" s="4">
        <v>14300</v>
      </c>
      <c r="F80" s="5" t="s">
        <v>98</v>
      </c>
      <c r="G80" s="6"/>
      <c r="H80" s="3" t="s">
        <v>81</v>
      </c>
      <c r="I80" s="3" t="s">
        <v>220</v>
      </c>
    </row>
    <row r="81" spans="1:9" ht="19.95" customHeight="1" x14ac:dyDescent="0.2">
      <c r="A81" s="3" t="s">
        <v>223</v>
      </c>
      <c r="B81" s="3" t="s">
        <v>11</v>
      </c>
      <c r="C81" s="3" t="s">
        <v>176</v>
      </c>
      <c r="D81" s="3" t="s">
        <v>38</v>
      </c>
      <c r="E81" s="4">
        <v>5200</v>
      </c>
      <c r="F81" s="5" t="s">
        <v>39</v>
      </c>
      <c r="G81" s="6"/>
      <c r="H81" s="3" t="s">
        <v>40</v>
      </c>
      <c r="I81" s="3" t="s">
        <v>165</v>
      </c>
    </row>
    <row r="82" spans="1:9" ht="19.95" customHeight="1" x14ac:dyDescent="0.2">
      <c r="A82" s="3" t="s">
        <v>224</v>
      </c>
      <c r="B82" s="3" t="s">
        <v>10</v>
      </c>
      <c r="C82" s="3" t="s">
        <v>176</v>
      </c>
      <c r="D82" s="3" t="s">
        <v>225</v>
      </c>
      <c r="E82" s="4">
        <v>5200</v>
      </c>
      <c r="F82" s="5" t="s">
        <v>39</v>
      </c>
      <c r="G82" s="7">
        <v>4180</v>
      </c>
      <c r="H82" s="3" t="s">
        <v>40</v>
      </c>
      <c r="I82" s="3" t="s">
        <v>165</v>
      </c>
    </row>
    <row r="83" spans="1:9" ht="19.95" customHeight="1" x14ac:dyDescent="0.2">
      <c r="A83" s="3" t="s">
        <v>226</v>
      </c>
      <c r="B83" s="3" t="s">
        <v>91</v>
      </c>
      <c r="C83" s="3" t="s">
        <v>227</v>
      </c>
      <c r="D83" s="3" t="s">
        <v>228</v>
      </c>
      <c r="E83" s="4">
        <v>8019.2</v>
      </c>
      <c r="F83" s="5" t="s">
        <v>183</v>
      </c>
      <c r="G83" s="4">
        <v>6943</v>
      </c>
      <c r="H83" s="3" t="s">
        <v>63</v>
      </c>
      <c r="I83" s="3" t="s">
        <v>229</v>
      </c>
    </row>
    <row r="84" spans="1:9" ht="19.95" customHeight="1" x14ac:dyDescent="0.2">
      <c r="A84" s="3" t="s">
        <v>230</v>
      </c>
      <c r="B84" s="3" t="s">
        <v>91</v>
      </c>
      <c r="C84" s="3" t="s">
        <v>227</v>
      </c>
      <c r="D84" s="3" t="s">
        <v>228</v>
      </c>
      <c r="E84" s="4">
        <v>12252.8</v>
      </c>
      <c r="F84" s="5" t="s">
        <v>183</v>
      </c>
      <c r="G84" s="4">
        <v>10608</v>
      </c>
      <c r="H84" s="3" t="s">
        <v>63</v>
      </c>
      <c r="I84" s="3" t="s">
        <v>229</v>
      </c>
    </row>
    <row r="85" spans="1:9" ht="19.95" customHeight="1" x14ac:dyDescent="0.2">
      <c r="A85" s="3" t="s">
        <v>231</v>
      </c>
      <c r="B85" s="3" t="s">
        <v>45</v>
      </c>
      <c r="C85" s="3" t="s">
        <v>37</v>
      </c>
      <c r="D85" s="3" t="s">
        <v>131</v>
      </c>
      <c r="E85" s="4">
        <v>2270</v>
      </c>
      <c r="F85" s="5" t="s">
        <v>39</v>
      </c>
      <c r="G85" s="4">
        <v>1975</v>
      </c>
      <c r="H85" s="3" t="s">
        <v>40</v>
      </c>
      <c r="I85" s="3" t="s">
        <v>232</v>
      </c>
    </row>
    <row r="86" spans="1:9" ht="19.95" customHeight="1" x14ac:dyDescent="0.2">
      <c r="A86" s="3" t="s">
        <v>231</v>
      </c>
      <c r="B86" s="3" t="s">
        <v>45</v>
      </c>
      <c r="C86" s="3" t="s">
        <v>133</v>
      </c>
      <c r="D86" s="3" t="s">
        <v>134</v>
      </c>
      <c r="E86" s="4">
        <v>11350</v>
      </c>
      <c r="F86" s="5" t="s">
        <v>39</v>
      </c>
      <c r="G86" s="4">
        <v>9875</v>
      </c>
      <c r="H86" s="3" t="s">
        <v>40</v>
      </c>
      <c r="I86" s="3" t="s">
        <v>232</v>
      </c>
    </row>
    <row r="87" spans="1:9" ht="19.95" customHeight="1" x14ac:dyDescent="0.2">
      <c r="A87" s="3" t="s">
        <v>233</v>
      </c>
      <c r="B87" s="3" t="s">
        <v>45</v>
      </c>
      <c r="C87" s="3" t="s">
        <v>37</v>
      </c>
      <c r="D87" s="3" t="s">
        <v>134</v>
      </c>
      <c r="E87" s="4">
        <v>640</v>
      </c>
      <c r="F87" s="5" t="s">
        <v>39</v>
      </c>
      <c r="G87" s="4">
        <v>557</v>
      </c>
      <c r="H87" s="3" t="s">
        <v>40</v>
      </c>
      <c r="I87" s="3" t="s">
        <v>232</v>
      </c>
    </row>
    <row r="88" spans="1:9" ht="19.95" customHeight="1" x14ac:dyDescent="0.2">
      <c r="A88" s="3" t="s">
        <v>233</v>
      </c>
      <c r="B88" s="3" t="s">
        <v>45</v>
      </c>
      <c r="C88" s="3" t="s">
        <v>37</v>
      </c>
      <c r="D88" s="3" t="s">
        <v>131</v>
      </c>
      <c r="E88" s="4">
        <v>640</v>
      </c>
      <c r="F88" s="5" t="s">
        <v>39</v>
      </c>
      <c r="G88" s="4">
        <v>557</v>
      </c>
      <c r="H88" s="3" t="s">
        <v>40</v>
      </c>
      <c r="I88" s="3" t="s">
        <v>232</v>
      </c>
    </row>
    <row r="89" spans="1:9" ht="19.95" customHeight="1" x14ac:dyDescent="0.2">
      <c r="A89" s="3" t="s">
        <v>234</v>
      </c>
      <c r="B89" s="3" t="s">
        <v>45</v>
      </c>
      <c r="C89" s="3" t="s">
        <v>37</v>
      </c>
      <c r="D89" s="3" t="s">
        <v>134</v>
      </c>
      <c r="E89" s="4">
        <v>1180</v>
      </c>
      <c r="F89" s="5" t="s">
        <v>39</v>
      </c>
      <c r="G89" s="4">
        <v>1027</v>
      </c>
      <c r="H89" s="3" t="s">
        <v>40</v>
      </c>
      <c r="I89" s="3" t="s">
        <v>232</v>
      </c>
    </row>
    <row r="90" spans="1:9" ht="19.95" customHeight="1" x14ac:dyDescent="0.2">
      <c r="A90" s="3" t="s">
        <v>235</v>
      </c>
      <c r="B90" s="3" t="s">
        <v>10</v>
      </c>
      <c r="C90" s="3" t="s">
        <v>84</v>
      </c>
      <c r="D90" s="3" t="s">
        <v>131</v>
      </c>
      <c r="E90" s="4">
        <v>1860</v>
      </c>
      <c r="F90" s="5" t="s">
        <v>14</v>
      </c>
      <c r="G90" s="4">
        <v>1657</v>
      </c>
      <c r="H90" s="3" t="s">
        <v>40</v>
      </c>
      <c r="I90" s="3" t="s">
        <v>232</v>
      </c>
    </row>
    <row r="91" spans="1:9" ht="19.95" customHeight="1" x14ac:dyDescent="0.2">
      <c r="A91" s="3" t="s">
        <v>236</v>
      </c>
      <c r="B91" s="3" t="s">
        <v>10</v>
      </c>
      <c r="C91" s="3" t="s">
        <v>69</v>
      </c>
      <c r="D91" s="3" t="s">
        <v>109</v>
      </c>
      <c r="E91" s="4">
        <v>610</v>
      </c>
      <c r="F91" s="5" t="s">
        <v>39</v>
      </c>
      <c r="G91" s="4">
        <v>545</v>
      </c>
      <c r="H91" s="3" t="s">
        <v>40</v>
      </c>
      <c r="I91" s="3" t="s">
        <v>232</v>
      </c>
    </row>
    <row r="92" spans="1:9" ht="19.95" customHeight="1" x14ac:dyDescent="0.2">
      <c r="A92" s="3" t="s">
        <v>237</v>
      </c>
      <c r="B92" s="3" t="s">
        <v>45</v>
      </c>
      <c r="C92" s="3" t="s">
        <v>37</v>
      </c>
      <c r="D92" s="3" t="s">
        <v>105</v>
      </c>
      <c r="E92" s="4">
        <v>1310</v>
      </c>
      <c r="F92" s="5" t="s">
        <v>39</v>
      </c>
      <c r="G92" s="4">
        <v>1137</v>
      </c>
      <c r="H92" s="3" t="s">
        <v>40</v>
      </c>
      <c r="I92" s="3" t="s">
        <v>161</v>
      </c>
    </row>
    <row r="93" spans="1:9" ht="19.95" customHeight="1" x14ac:dyDescent="0.2">
      <c r="A93" s="3" t="s">
        <v>238</v>
      </c>
      <c r="B93" s="3" t="s">
        <v>45</v>
      </c>
      <c r="C93" s="3" t="s">
        <v>215</v>
      </c>
      <c r="D93" s="3" t="s">
        <v>109</v>
      </c>
      <c r="E93" s="4">
        <v>3050</v>
      </c>
      <c r="F93" s="5" t="s">
        <v>58</v>
      </c>
      <c r="G93" s="4">
        <v>2684</v>
      </c>
      <c r="H93" s="3" t="s">
        <v>40</v>
      </c>
      <c r="I93" s="3" t="s">
        <v>239</v>
      </c>
    </row>
    <row r="94" spans="1:9" ht="19.95" customHeight="1" x14ac:dyDescent="0.2">
      <c r="A94" s="3" t="s">
        <v>240</v>
      </c>
      <c r="B94" s="3" t="s">
        <v>45</v>
      </c>
      <c r="C94" s="3" t="s">
        <v>241</v>
      </c>
      <c r="D94" s="3" t="s">
        <v>242</v>
      </c>
      <c r="E94" s="4">
        <v>4436</v>
      </c>
      <c r="F94" s="5" t="s">
        <v>111</v>
      </c>
      <c r="G94" s="4">
        <v>3960</v>
      </c>
      <c r="H94" s="3" t="s">
        <v>81</v>
      </c>
      <c r="I94" s="3" t="s">
        <v>243</v>
      </c>
    </row>
    <row r="95" spans="1:9" ht="19.95" customHeight="1" x14ac:dyDescent="0.2">
      <c r="A95" s="3" t="s">
        <v>244</v>
      </c>
      <c r="B95" s="3" t="s">
        <v>11</v>
      </c>
      <c r="C95" s="3" t="s">
        <v>245</v>
      </c>
      <c r="D95" s="3" t="s">
        <v>246</v>
      </c>
      <c r="E95" s="4">
        <v>1030</v>
      </c>
      <c r="F95" s="5" t="s">
        <v>14</v>
      </c>
      <c r="G95" s="3"/>
      <c r="H95" s="3" t="s">
        <v>63</v>
      </c>
      <c r="I95" s="3" t="s">
        <v>129</v>
      </c>
    </row>
    <row r="96" spans="1:9" ht="19.95" customHeight="1" x14ac:dyDescent="0.2">
      <c r="A96" s="3" t="s">
        <v>247</v>
      </c>
      <c r="B96" s="3" t="s">
        <v>11</v>
      </c>
      <c r="C96" s="3" t="s">
        <v>146</v>
      </c>
      <c r="D96" s="3" t="s">
        <v>248</v>
      </c>
      <c r="E96" s="4">
        <v>4218</v>
      </c>
      <c r="F96" s="5" t="s">
        <v>249</v>
      </c>
      <c r="G96" s="3"/>
      <c r="H96" s="3" t="s">
        <v>63</v>
      </c>
      <c r="I96" s="3" t="s">
        <v>76</v>
      </c>
    </row>
    <row r="97" spans="1:9" ht="19.95" customHeight="1" x14ac:dyDescent="0.2">
      <c r="A97" s="3" t="s">
        <v>250</v>
      </c>
      <c r="B97" s="3" t="s">
        <v>11</v>
      </c>
      <c r="C97" s="3" t="s">
        <v>136</v>
      </c>
      <c r="D97" s="3" t="s">
        <v>85</v>
      </c>
      <c r="E97" s="4">
        <v>6050</v>
      </c>
      <c r="F97" s="5" t="s">
        <v>14</v>
      </c>
      <c r="G97" s="3"/>
      <c r="H97" s="3" t="s">
        <v>40</v>
      </c>
      <c r="I97" s="3" t="s">
        <v>251</v>
      </c>
    </row>
    <row r="98" spans="1:9" ht="19.95" customHeight="1" x14ac:dyDescent="0.2">
      <c r="A98" s="3" t="s">
        <v>252</v>
      </c>
      <c r="B98" s="3" t="s">
        <v>11</v>
      </c>
      <c r="C98" s="3" t="s">
        <v>69</v>
      </c>
      <c r="D98" s="3" t="s">
        <v>85</v>
      </c>
      <c r="E98" s="4">
        <v>1290</v>
      </c>
      <c r="F98" s="5" t="s">
        <v>39</v>
      </c>
      <c r="G98" s="6"/>
      <c r="H98" s="3" t="s">
        <v>40</v>
      </c>
      <c r="I98" s="3" t="s">
        <v>251</v>
      </c>
    </row>
    <row r="99" spans="1:9" ht="19.95" customHeight="1" x14ac:dyDescent="0.2">
      <c r="A99" s="3" t="s">
        <v>253</v>
      </c>
      <c r="B99" s="3" t="s">
        <v>11</v>
      </c>
      <c r="C99" s="3" t="s">
        <v>254</v>
      </c>
      <c r="D99" s="3" t="s">
        <v>85</v>
      </c>
      <c r="E99" s="4">
        <v>1230</v>
      </c>
      <c r="F99" s="5" t="s">
        <v>89</v>
      </c>
      <c r="G99" s="6"/>
      <c r="H99" s="3" t="s">
        <v>81</v>
      </c>
      <c r="I99" s="3" t="s">
        <v>251</v>
      </c>
    </row>
    <row r="100" spans="1:9" ht="19.95" customHeight="1" x14ac:dyDescent="0.2">
      <c r="A100" s="3" t="s">
        <v>255</v>
      </c>
      <c r="B100" s="3" t="s">
        <v>11</v>
      </c>
      <c r="C100" s="3" t="s">
        <v>69</v>
      </c>
      <c r="D100" s="3" t="s">
        <v>109</v>
      </c>
      <c r="E100" s="4">
        <v>800</v>
      </c>
      <c r="F100" s="5" t="s">
        <v>39</v>
      </c>
      <c r="G100" s="6"/>
      <c r="H100" s="3" t="s">
        <v>40</v>
      </c>
      <c r="I100" s="3" t="s">
        <v>256</v>
      </c>
    </row>
    <row r="101" spans="1:9" ht="19.95" customHeight="1" x14ac:dyDescent="0.2">
      <c r="A101" s="3" t="s">
        <v>255</v>
      </c>
      <c r="B101" s="3" t="s">
        <v>45</v>
      </c>
      <c r="C101" s="3" t="s">
        <v>140</v>
      </c>
      <c r="D101" s="3" t="s">
        <v>109</v>
      </c>
      <c r="E101" s="4">
        <v>8000</v>
      </c>
      <c r="F101" s="5" t="s">
        <v>39</v>
      </c>
      <c r="G101" s="7">
        <v>7120</v>
      </c>
      <c r="H101" s="3" t="s">
        <v>40</v>
      </c>
      <c r="I101" s="3" t="s">
        <v>256</v>
      </c>
    </row>
    <row r="102" spans="1:9" ht="19.95" customHeight="1" x14ac:dyDescent="0.2">
      <c r="A102" s="3" t="s">
        <v>257</v>
      </c>
      <c r="B102" s="3" t="s">
        <v>11</v>
      </c>
      <c r="C102" s="3" t="s">
        <v>258</v>
      </c>
      <c r="D102" s="3" t="s">
        <v>259</v>
      </c>
      <c r="E102" s="4">
        <v>1890</v>
      </c>
      <c r="F102" s="5" t="s">
        <v>14</v>
      </c>
      <c r="G102" s="6"/>
      <c r="H102" s="3" t="s">
        <v>63</v>
      </c>
      <c r="I102" s="3" t="s">
        <v>129</v>
      </c>
    </row>
    <row r="103" spans="1:9" ht="19.95" customHeight="1" x14ac:dyDescent="0.2">
      <c r="A103" s="3" t="s">
        <v>260</v>
      </c>
      <c r="B103" s="3" t="s">
        <v>10</v>
      </c>
      <c r="C103" s="3" t="s">
        <v>261</v>
      </c>
      <c r="D103" s="3" t="s">
        <v>262</v>
      </c>
      <c r="E103" s="4">
        <v>12500</v>
      </c>
      <c r="F103" s="5" t="s">
        <v>58</v>
      </c>
      <c r="G103" s="7">
        <v>11200</v>
      </c>
      <c r="H103" s="3" t="s">
        <v>40</v>
      </c>
      <c r="I103" s="3" t="s">
        <v>263</v>
      </c>
    </row>
    <row r="104" spans="1:9" ht="19.95" customHeight="1" x14ac:dyDescent="0.2">
      <c r="A104" s="3" t="s">
        <v>264</v>
      </c>
      <c r="B104" s="3" t="s">
        <v>45</v>
      </c>
      <c r="C104" s="3" t="s">
        <v>265</v>
      </c>
      <c r="D104" s="3" t="s">
        <v>266</v>
      </c>
      <c r="E104" s="4">
        <v>340</v>
      </c>
      <c r="F104" s="5" t="s">
        <v>144</v>
      </c>
      <c r="G104" s="4">
        <v>302</v>
      </c>
      <c r="H104" s="3" t="s">
        <v>63</v>
      </c>
      <c r="I104" s="3" t="s">
        <v>267</v>
      </c>
    </row>
    <row r="105" spans="1:9" ht="19.95" customHeight="1" x14ac:dyDescent="0.2">
      <c r="A105" s="3" t="s">
        <v>268</v>
      </c>
      <c r="B105" s="3" t="s">
        <v>91</v>
      </c>
      <c r="C105" s="3" t="s">
        <v>269</v>
      </c>
      <c r="D105" s="3" t="s">
        <v>93</v>
      </c>
      <c r="E105" s="4">
        <v>7776</v>
      </c>
      <c r="F105" s="5" t="s">
        <v>128</v>
      </c>
      <c r="G105" s="7">
        <v>6894</v>
      </c>
      <c r="H105" s="3" t="s">
        <v>40</v>
      </c>
      <c r="I105" s="3" t="s">
        <v>220</v>
      </c>
    </row>
    <row r="106" spans="1:9" ht="19.95" customHeight="1" x14ac:dyDescent="0.2">
      <c r="A106" s="3" t="s">
        <v>270</v>
      </c>
      <c r="B106" s="3" t="s">
        <v>11</v>
      </c>
      <c r="C106" s="3" t="s">
        <v>271</v>
      </c>
      <c r="D106" s="3" t="s">
        <v>93</v>
      </c>
      <c r="E106" s="4">
        <v>7402.5</v>
      </c>
      <c r="F106" s="5" t="s">
        <v>144</v>
      </c>
      <c r="G106" s="4">
        <v>0</v>
      </c>
      <c r="H106" s="3" t="s">
        <v>40</v>
      </c>
      <c r="I106" s="3" t="s">
        <v>220</v>
      </c>
    </row>
    <row r="107" spans="1:9" ht="19.95" customHeight="1" x14ac:dyDescent="0.2">
      <c r="A107" s="3" t="s">
        <v>272</v>
      </c>
      <c r="B107" s="3" t="s">
        <v>115</v>
      </c>
      <c r="C107" s="3" t="s">
        <v>273</v>
      </c>
      <c r="D107" s="3" t="s">
        <v>115</v>
      </c>
      <c r="E107" s="4">
        <v>15880</v>
      </c>
      <c r="F107" s="5" t="s">
        <v>274</v>
      </c>
      <c r="G107" s="4">
        <v>12710</v>
      </c>
      <c r="H107" s="3" t="s">
        <v>81</v>
      </c>
      <c r="I107" s="3" t="s">
        <v>275</v>
      </c>
    </row>
    <row r="108" spans="1:9" ht="19.95" customHeight="1" x14ac:dyDescent="0.2">
      <c r="A108" s="3" t="s">
        <v>272</v>
      </c>
      <c r="B108" s="3" t="s">
        <v>11</v>
      </c>
      <c r="C108" s="3" t="s">
        <v>276</v>
      </c>
      <c r="D108" s="3" t="s">
        <v>115</v>
      </c>
      <c r="E108" s="4">
        <v>1588</v>
      </c>
      <c r="F108" s="5" t="s">
        <v>274</v>
      </c>
      <c r="G108" s="3"/>
      <c r="H108" s="3" t="s">
        <v>81</v>
      </c>
      <c r="I108" s="3" t="s">
        <v>275</v>
      </c>
    </row>
    <row r="109" spans="1:9" ht="19.95" customHeight="1" x14ac:dyDescent="0.2">
      <c r="A109" s="3" t="s">
        <v>277</v>
      </c>
      <c r="B109" s="3" t="s">
        <v>45</v>
      </c>
      <c r="C109" s="3" t="s">
        <v>37</v>
      </c>
      <c r="D109" s="3" t="s">
        <v>216</v>
      </c>
      <c r="E109" s="4">
        <v>10190</v>
      </c>
      <c r="F109" s="5" t="s">
        <v>39</v>
      </c>
      <c r="G109" s="4">
        <v>8763</v>
      </c>
      <c r="H109" s="3" t="s">
        <v>40</v>
      </c>
      <c r="I109" s="3" t="s">
        <v>187</v>
      </c>
    </row>
    <row r="110" spans="1:9" ht="19.95" customHeight="1" x14ac:dyDescent="0.2">
      <c r="A110" s="3" t="s">
        <v>278</v>
      </c>
      <c r="B110" s="3" t="s">
        <v>45</v>
      </c>
      <c r="C110" s="3" t="s">
        <v>69</v>
      </c>
      <c r="D110" s="3" t="s">
        <v>216</v>
      </c>
      <c r="E110" s="4">
        <v>16760</v>
      </c>
      <c r="F110" s="5" t="s">
        <v>39</v>
      </c>
      <c r="G110" s="4">
        <v>14414</v>
      </c>
      <c r="H110" s="3" t="s">
        <v>40</v>
      </c>
      <c r="I110" s="3" t="s">
        <v>187</v>
      </c>
    </row>
    <row r="111" spans="1:9" ht="19.95" customHeight="1" x14ac:dyDescent="0.2">
      <c r="A111" s="3" t="s">
        <v>279</v>
      </c>
      <c r="B111" s="3" t="s">
        <v>45</v>
      </c>
      <c r="C111" s="3" t="s">
        <v>280</v>
      </c>
      <c r="D111" s="3" t="s">
        <v>205</v>
      </c>
      <c r="E111" s="4">
        <v>50122</v>
      </c>
      <c r="F111" s="5" t="s">
        <v>249</v>
      </c>
      <c r="G111" s="7">
        <v>43706</v>
      </c>
      <c r="H111" s="3" t="s">
        <v>81</v>
      </c>
      <c r="I111" s="3" t="s">
        <v>275</v>
      </c>
    </row>
    <row r="112" spans="1:9" ht="19.95" customHeight="1" x14ac:dyDescent="0.2">
      <c r="A112" s="3" t="s">
        <v>281</v>
      </c>
      <c r="B112" s="3" t="s">
        <v>11</v>
      </c>
      <c r="C112" s="3" t="s">
        <v>69</v>
      </c>
      <c r="D112" s="3" t="s">
        <v>205</v>
      </c>
      <c r="E112" s="4">
        <v>6100</v>
      </c>
      <c r="F112" s="5" t="s">
        <v>39</v>
      </c>
      <c r="G112" s="3"/>
      <c r="H112" s="3" t="s">
        <v>40</v>
      </c>
      <c r="I112" s="3" t="s">
        <v>64</v>
      </c>
    </row>
    <row r="113" spans="1:9" ht="19.95" customHeight="1" x14ac:dyDescent="0.2">
      <c r="A113" s="3" t="s">
        <v>282</v>
      </c>
      <c r="B113" s="3" t="s">
        <v>91</v>
      </c>
      <c r="C113" s="3" t="s">
        <v>118</v>
      </c>
      <c r="D113" s="3" t="s">
        <v>109</v>
      </c>
      <c r="E113" s="4">
        <v>2080</v>
      </c>
      <c r="F113" s="5" t="s">
        <v>39</v>
      </c>
      <c r="G113" s="4">
        <v>1851</v>
      </c>
      <c r="H113" s="3" t="s">
        <v>40</v>
      </c>
      <c r="I113" s="3" t="s">
        <v>72</v>
      </c>
    </row>
    <row r="114" spans="1:9" ht="19.95" customHeight="1" x14ac:dyDescent="0.2">
      <c r="A114" s="3" t="s">
        <v>282</v>
      </c>
      <c r="B114" s="3" t="s">
        <v>91</v>
      </c>
      <c r="C114" s="3" t="s">
        <v>69</v>
      </c>
      <c r="D114" s="3" t="s">
        <v>109</v>
      </c>
      <c r="E114" s="4">
        <v>1040</v>
      </c>
      <c r="F114" s="5" t="s">
        <v>39</v>
      </c>
      <c r="G114" s="4">
        <v>926</v>
      </c>
      <c r="H114" s="3" t="s">
        <v>40</v>
      </c>
      <c r="I114" s="3" t="s">
        <v>72</v>
      </c>
    </row>
    <row r="115" spans="1:9" ht="19.95" customHeight="1" x14ac:dyDescent="0.2">
      <c r="A115" s="3" t="s">
        <v>283</v>
      </c>
      <c r="B115" s="3" t="s">
        <v>10</v>
      </c>
      <c r="C115" s="3" t="s">
        <v>37</v>
      </c>
      <c r="D115" s="3" t="s">
        <v>284</v>
      </c>
      <c r="E115" s="4">
        <v>22780</v>
      </c>
      <c r="F115" s="5" t="s">
        <v>39</v>
      </c>
      <c r="G115" s="7">
        <v>19130</v>
      </c>
      <c r="H115" s="3" t="s">
        <v>40</v>
      </c>
      <c r="I115" s="3" t="s">
        <v>232</v>
      </c>
    </row>
    <row r="116" spans="1:9" ht="19.95" customHeight="1" x14ac:dyDescent="0.2">
      <c r="A116" s="3" t="s">
        <v>285</v>
      </c>
      <c r="B116" s="3" t="s">
        <v>10</v>
      </c>
      <c r="C116" s="3" t="s">
        <v>69</v>
      </c>
      <c r="D116" s="3" t="s">
        <v>284</v>
      </c>
      <c r="E116" s="4">
        <v>41970</v>
      </c>
      <c r="F116" s="5" t="s">
        <v>39</v>
      </c>
      <c r="G116" s="4">
        <v>35200</v>
      </c>
      <c r="H116" s="3" t="s">
        <v>40</v>
      </c>
      <c r="I116" s="3" t="s">
        <v>232</v>
      </c>
    </row>
    <row r="117" spans="1:9" ht="19.95" customHeight="1" x14ac:dyDescent="0.2">
      <c r="A117" s="3" t="s">
        <v>286</v>
      </c>
      <c r="B117" s="3" t="s">
        <v>10</v>
      </c>
      <c r="C117" s="3" t="s">
        <v>69</v>
      </c>
      <c r="D117" s="3" t="s">
        <v>38</v>
      </c>
      <c r="E117" s="4">
        <v>39880</v>
      </c>
      <c r="F117" s="5" t="s">
        <v>39</v>
      </c>
      <c r="G117" s="4">
        <v>35500</v>
      </c>
      <c r="H117" s="3" t="s">
        <v>40</v>
      </c>
      <c r="I117" s="3" t="s">
        <v>187</v>
      </c>
    </row>
    <row r="118" spans="1:9" ht="19.95" customHeight="1" x14ac:dyDescent="0.2">
      <c r="A118" s="3" t="s">
        <v>287</v>
      </c>
      <c r="B118" s="3" t="s">
        <v>10</v>
      </c>
      <c r="C118" s="3" t="s">
        <v>288</v>
      </c>
      <c r="D118" s="3" t="s">
        <v>289</v>
      </c>
      <c r="E118" s="4">
        <v>825</v>
      </c>
      <c r="F118" s="5" t="s">
        <v>14</v>
      </c>
      <c r="G118" s="4">
        <v>735</v>
      </c>
      <c r="H118" s="3" t="s">
        <v>63</v>
      </c>
      <c r="I118" s="3" t="s">
        <v>129</v>
      </c>
    </row>
    <row r="119" spans="1:9" ht="19.95" customHeight="1" x14ac:dyDescent="0.2">
      <c r="A119" s="3" t="s">
        <v>290</v>
      </c>
      <c r="B119" s="3" t="s">
        <v>10</v>
      </c>
      <c r="C119" s="3" t="s">
        <v>291</v>
      </c>
      <c r="D119" s="3" t="s">
        <v>289</v>
      </c>
      <c r="E119" s="4">
        <v>1650</v>
      </c>
      <c r="F119" s="5" t="s">
        <v>75</v>
      </c>
      <c r="G119" s="4">
        <v>1470</v>
      </c>
      <c r="H119" s="3" t="s">
        <v>63</v>
      </c>
      <c r="I119" s="3" t="s">
        <v>129</v>
      </c>
    </row>
    <row r="120" spans="1:9" ht="19.95" customHeight="1" x14ac:dyDescent="0.2">
      <c r="A120" s="3" t="s">
        <v>292</v>
      </c>
      <c r="B120" s="3" t="s">
        <v>11</v>
      </c>
      <c r="C120" s="3" t="s">
        <v>293</v>
      </c>
      <c r="D120" s="3" t="s">
        <v>289</v>
      </c>
      <c r="E120" s="4">
        <v>825</v>
      </c>
      <c r="F120" s="5" t="s">
        <v>14</v>
      </c>
      <c r="G120" s="3"/>
      <c r="H120" s="3" t="s">
        <v>63</v>
      </c>
      <c r="I120" s="3" t="s">
        <v>129</v>
      </c>
    </row>
    <row r="121" spans="1:9" ht="19.95" customHeight="1" x14ac:dyDescent="0.2">
      <c r="A121" s="3" t="s">
        <v>294</v>
      </c>
      <c r="B121" s="3" t="s">
        <v>45</v>
      </c>
      <c r="C121" s="3" t="s">
        <v>176</v>
      </c>
      <c r="D121" s="3" t="s">
        <v>295</v>
      </c>
      <c r="E121" s="4">
        <v>5200</v>
      </c>
      <c r="F121" s="5" t="s">
        <v>39</v>
      </c>
      <c r="G121" s="4">
        <v>4576</v>
      </c>
      <c r="H121" s="3" t="s">
        <v>40</v>
      </c>
      <c r="I121" s="3" t="s">
        <v>296</v>
      </c>
    </row>
    <row r="122" spans="1:9" ht="19.95" customHeight="1" x14ac:dyDescent="0.2">
      <c r="A122" s="3" t="s">
        <v>297</v>
      </c>
      <c r="B122" s="3" t="s">
        <v>11</v>
      </c>
      <c r="C122" s="3" t="s">
        <v>298</v>
      </c>
      <c r="D122" s="3" t="s">
        <v>93</v>
      </c>
      <c r="E122" s="4">
        <v>11820</v>
      </c>
      <c r="F122" s="5" t="s">
        <v>299</v>
      </c>
      <c r="G122" s="3"/>
      <c r="H122" s="3" t="s">
        <v>81</v>
      </c>
      <c r="I122" s="3" t="s">
        <v>300</v>
      </c>
    </row>
    <row r="123" spans="1:9" ht="19.95" customHeight="1" x14ac:dyDescent="0.2">
      <c r="A123" s="3" t="s">
        <v>301</v>
      </c>
      <c r="B123" s="3" t="s">
        <v>10</v>
      </c>
      <c r="C123" s="3" t="s">
        <v>302</v>
      </c>
      <c r="D123" s="3" t="s">
        <v>205</v>
      </c>
      <c r="E123" s="3"/>
      <c r="F123" s="5" t="s">
        <v>111</v>
      </c>
      <c r="G123" s="7">
        <v>2600</v>
      </c>
      <c r="H123" s="3" t="s">
        <v>81</v>
      </c>
      <c r="I123" s="3" t="s">
        <v>303</v>
      </c>
    </row>
    <row r="124" spans="1:9" ht="19.95" customHeight="1" x14ac:dyDescent="0.2">
      <c r="A124" s="3" t="s">
        <v>304</v>
      </c>
      <c r="B124" s="3" t="s">
        <v>11</v>
      </c>
      <c r="C124" s="3" t="s">
        <v>305</v>
      </c>
      <c r="D124" s="3" t="s">
        <v>70</v>
      </c>
      <c r="E124" s="3"/>
      <c r="F124" s="5" t="s">
        <v>111</v>
      </c>
      <c r="G124" s="3"/>
      <c r="H124" s="3" t="s">
        <v>81</v>
      </c>
      <c r="I124" s="3" t="s">
        <v>303</v>
      </c>
    </row>
    <row r="125" spans="1:9" ht="19.95" customHeight="1" x14ac:dyDescent="0.2">
      <c r="A125" s="3" t="s">
        <v>306</v>
      </c>
      <c r="B125" s="3" t="s">
        <v>11</v>
      </c>
      <c r="C125" s="3" t="s">
        <v>136</v>
      </c>
      <c r="D125" s="3" t="s">
        <v>246</v>
      </c>
      <c r="E125" s="4">
        <v>4900</v>
      </c>
      <c r="F125" s="5" t="s">
        <v>14</v>
      </c>
      <c r="G125" s="6"/>
      <c r="H125" s="3" t="s">
        <v>40</v>
      </c>
      <c r="I125" s="3" t="s">
        <v>167</v>
      </c>
    </row>
    <row r="126" spans="1:9" ht="19.95" customHeight="1" x14ac:dyDescent="0.2">
      <c r="A126" s="3" t="s">
        <v>307</v>
      </c>
      <c r="B126" s="3" t="s">
        <v>110</v>
      </c>
      <c r="C126" s="3" t="s">
        <v>308</v>
      </c>
      <c r="D126" s="3" t="s">
        <v>109</v>
      </c>
      <c r="E126" s="7">
        <v>10400</v>
      </c>
      <c r="F126" s="5" t="s">
        <v>39</v>
      </c>
      <c r="G126" s="4">
        <v>9387</v>
      </c>
      <c r="H126" s="3" t="s">
        <v>40</v>
      </c>
      <c r="I126" s="3" t="s">
        <v>309</v>
      </c>
    </row>
    <row r="127" spans="1:9" ht="19.95" customHeight="1" x14ac:dyDescent="0.2">
      <c r="A127" s="3" t="s">
        <v>310</v>
      </c>
      <c r="B127" s="3" t="s">
        <v>45</v>
      </c>
      <c r="C127" s="3" t="s">
        <v>146</v>
      </c>
      <c r="D127" s="3" t="s">
        <v>311</v>
      </c>
      <c r="E127" s="7">
        <v>8515</v>
      </c>
      <c r="F127" s="5" t="s">
        <v>75</v>
      </c>
      <c r="G127" s="7">
        <v>6821</v>
      </c>
      <c r="H127" s="3" t="s">
        <v>63</v>
      </c>
      <c r="I127" s="3" t="s">
        <v>76</v>
      </c>
    </row>
    <row r="128" spans="1:9" ht="19.95" customHeight="1" x14ac:dyDescent="0.2">
      <c r="A128" s="3" t="s">
        <v>312</v>
      </c>
      <c r="B128" s="3" t="s">
        <v>115</v>
      </c>
      <c r="C128" s="3" t="s">
        <v>192</v>
      </c>
      <c r="D128" s="3" t="s">
        <v>115</v>
      </c>
      <c r="E128" s="4">
        <v>15570</v>
      </c>
      <c r="F128" s="5" t="s">
        <v>39</v>
      </c>
      <c r="G128" s="7">
        <v>12150</v>
      </c>
      <c r="H128" s="3" t="s">
        <v>40</v>
      </c>
      <c r="I128" s="3" t="s">
        <v>187</v>
      </c>
    </row>
    <row r="129" spans="1:9" ht="19.95" customHeight="1" x14ac:dyDescent="0.2">
      <c r="A129" s="3" t="s">
        <v>312</v>
      </c>
      <c r="B129" s="3" t="s">
        <v>115</v>
      </c>
      <c r="C129" s="3" t="s">
        <v>69</v>
      </c>
      <c r="D129" s="3" t="s">
        <v>115</v>
      </c>
      <c r="E129" s="4">
        <v>5190</v>
      </c>
      <c r="F129" s="5" t="s">
        <v>39</v>
      </c>
      <c r="G129" s="4">
        <v>4050</v>
      </c>
      <c r="H129" s="3" t="s">
        <v>40</v>
      </c>
      <c r="I129" s="3" t="s">
        <v>187</v>
      </c>
    </row>
    <row r="130" spans="1:9" ht="19.95" customHeight="1" x14ac:dyDescent="0.2">
      <c r="A130" s="3" t="s">
        <v>313</v>
      </c>
      <c r="B130" s="3" t="s">
        <v>115</v>
      </c>
      <c r="C130" s="3" t="s">
        <v>69</v>
      </c>
      <c r="D130" s="3" t="s">
        <v>115</v>
      </c>
      <c r="E130" s="4">
        <v>770</v>
      </c>
      <c r="F130" s="5" t="s">
        <v>39</v>
      </c>
      <c r="G130" s="4">
        <v>616</v>
      </c>
      <c r="H130" s="3" t="s">
        <v>40</v>
      </c>
      <c r="I130" s="3" t="s">
        <v>314</v>
      </c>
    </row>
    <row r="131" spans="1:9" ht="19.95" customHeight="1" x14ac:dyDescent="0.2">
      <c r="A131" s="3" t="s">
        <v>315</v>
      </c>
      <c r="B131" s="3" t="s">
        <v>115</v>
      </c>
      <c r="C131" s="3" t="s">
        <v>69</v>
      </c>
      <c r="D131" s="3" t="s">
        <v>115</v>
      </c>
      <c r="E131" s="4">
        <v>3070</v>
      </c>
      <c r="F131" s="5" t="s">
        <v>39</v>
      </c>
      <c r="G131" s="4">
        <v>2490</v>
      </c>
      <c r="H131" s="3" t="s">
        <v>40</v>
      </c>
      <c r="I131" s="3" t="s">
        <v>59</v>
      </c>
    </row>
    <row r="132" spans="1:9" ht="19.95" customHeight="1" x14ac:dyDescent="0.2">
      <c r="A132" s="3" t="s">
        <v>316</v>
      </c>
      <c r="B132" s="3" t="s">
        <v>91</v>
      </c>
      <c r="C132" s="3" t="s">
        <v>176</v>
      </c>
      <c r="D132" s="3" t="s">
        <v>139</v>
      </c>
      <c r="E132" s="4">
        <v>18900</v>
      </c>
      <c r="F132" s="5" t="s">
        <v>58</v>
      </c>
      <c r="G132" s="4">
        <v>16238</v>
      </c>
      <c r="H132" s="3" t="s">
        <v>40</v>
      </c>
      <c r="I132" s="3" t="s">
        <v>317</v>
      </c>
    </row>
    <row r="133" spans="1:9" ht="19.95" customHeight="1" x14ac:dyDescent="0.2">
      <c r="A133" s="3" t="s">
        <v>316</v>
      </c>
      <c r="B133" s="3" t="s">
        <v>11</v>
      </c>
      <c r="C133" s="3" t="s">
        <v>176</v>
      </c>
      <c r="D133" s="3" t="s">
        <v>139</v>
      </c>
      <c r="E133" s="4">
        <v>18900</v>
      </c>
      <c r="F133" s="5" t="s">
        <v>58</v>
      </c>
      <c r="G133" s="3"/>
      <c r="H133" s="3" t="s">
        <v>40</v>
      </c>
      <c r="I133" s="3" t="s">
        <v>317</v>
      </c>
    </row>
    <row r="134" spans="1:9" ht="19.95" customHeight="1" x14ac:dyDescent="0.2">
      <c r="A134" s="3" t="s">
        <v>318</v>
      </c>
      <c r="B134" s="3" t="s">
        <v>10</v>
      </c>
      <c r="C134" s="3" t="s">
        <v>140</v>
      </c>
      <c r="D134" s="3" t="s">
        <v>319</v>
      </c>
      <c r="E134" s="4">
        <v>6600</v>
      </c>
      <c r="F134" s="5" t="s">
        <v>39</v>
      </c>
      <c r="G134" s="4">
        <v>5610</v>
      </c>
      <c r="H134" s="3" t="s">
        <v>40</v>
      </c>
      <c r="I134" s="3" t="s">
        <v>314</v>
      </c>
    </row>
    <row r="135" spans="1:9" ht="19.95" customHeight="1" x14ac:dyDescent="0.2">
      <c r="A135" s="3" t="s">
        <v>320</v>
      </c>
      <c r="B135" s="3" t="s">
        <v>11</v>
      </c>
      <c r="C135" s="3" t="s">
        <v>140</v>
      </c>
      <c r="D135" s="3" t="s">
        <v>319</v>
      </c>
      <c r="E135" s="4">
        <v>10100</v>
      </c>
      <c r="F135" s="5" t="s">
        <v>39</v>
      </c>
      <c r="G135" s="3"/>
      <c r="H135" s="3" t="s">
        <v>40</v>
      </c>
      <c r="I135" s="3" t="s">
        <v>314</v>
      </c>
    </row>
    <row r="136" spans="1:9" ht="19.95" customHeight="1" x14ac:dyDescent="0.2">
      <c r="A136" s="3" t="s">
        <v>320</v>
      </c>
      <c r="B136" s="3" t="s">
        <v>10</v>
      </c>
      <c r="C136" s="3" t="s">
        <v>140</v>
      </c>
      <c r="D136" s="3" t="s">
        <v>319</v>
      </c>
      <c r="E136" s="4">
        <v>10100</v>
      </c>
      <c r="F136" s="5" t="s">
        <v>39</v>
      </c>
      <c r="G136" s="4">
        <v>8590</v>
      </c>
      <c r="H136" s="3" t="s">
        <v>40</v>
      </c>
      <c r="I136" s="3" t="s">
        <v>314</v>
      </c>
    </row>
    <row r="137" spans="1:9" ht="19.95" customHeight="1" x14ac:dyDescent="0.2">
      <c r="A137" s="3" t="s">
        <v>321</v>
      </c>
      <c r="B137" s="3" t="s">
        <v>10</v>
      </c>
      <c r="C137" s="3" t="s">
        <v>140</v>
      </c>
      <c r="D137" s="3" t="s">
        <v>109</v>
      </c>
      <c r="E137" s="4">
        <v>10400</v>
      </c>
      <c r="F137" s="5" t="s">
        <v>39</v>
      </c>
      <c r="G137" s="7">
        <v>9000</v>
      </c>
      <c r="H137" s="3" t="s">
        <v>40</v>
      </c>
      <c r="I137" s="3" t="s">
        <v>72</v>
      </c>
    </row>
    <row r="138" spans="1:9" ht="19.95" customHeight="1" x14ac:dyDescent="0.2">
      <c r="A138" s="3" t="s">
        <v>322</v>
      </c>
      <c r="B138" s="3" t="s">
        <v>11</v>
      </c>
      <c r="C138" s="3" t="s">
        <v>140</v>
      </c>
      <c r="D138" s="3" t="s">
        <v>323</v>
      </c>
      <c r="E138" s="4">
        <v>10400</v>
      </c>
      <c r="F138" s="5" t="s">
        <v>39</v>
      </c>
      <c r="G138" s="3"/>
      <c r="H138" s="3" t="s">
        <v>40</v>
      </c>
      <c r="I138" s="3" t="s">
        <v>72</v>
      </c>
    </row>
    <row r="139" spans="1:9" ht="19.95" customHeight="1" x14ac:dyDescent="0.2">
      <c r="A139" s="3" t="s">
        <v>324</v>
      </c>
      <c r="B139" s="3" t="s">
        <v>10</v>
      </c>
      <c r="C139" s="3" t="s">
        <v>69</v>
      </c>
      <c r="D139" s="3" t="s">
        <v>109</v>
      </c>
      <c r="E139" s="4">
        <v>1740</v>
      </c>
      <c r="F139" s="5" t="s">
        <v>39</v>
      </c>
      <c r="G139" s="4">
        <v>1550</v>
      </c>
      <c r="H139" s="3" t="s">
        <v>40</v>
      </c>
      <c r="I139" s="3" t="s">
        <v>325</v>
      </c>
    </row>
    <row r="140" spans="1:9" ht="19.95" customHeight="1" x14ac:dyDescent="0.2">
      <c r="A140" s="3" t="s">
        <v>326</v>
      </c>
      <c r="B140" s="3" t="s">
        <v>11</v>
      </c>
      <c r="C140" s="3" t="s">
        <v>69</v>
      </c>
      <c r="D140" s="3" t="s">
        <v>327</v>
      </c>
      <c r="E140" s="4">
        <v>1740</v>
      </c>
      <c r="F140" s="5" t="s">
        <v>39</v>
      </c>
      <c r="G140" s="6"/>
      <c r="H140" s="3" t="s">
        <v>40</v>
      </c>
      <c r="I140" s="3" t="s">
        <v>325</v>
      </c>
    </row>
    <row r="141" spans="1:9" ht="19.95" customHeight="1" x14ac:dyDescent="0.2">
      <c r="A141" s="3" t="s">
        <v>328</v>
      </c>
      <c r="B141" s="3" t="s">
        <v>45</v>
      </c>
      <c r="C141" s="3" t="s">
        <v>37</v>
      </c>
      <c r="D141" s="3" t="s">
        <v>329</v>
      </c>
      <c r="E141" s="4">
        <v>5140</v>
      </c>
      <c r="F141" s="5" t="s">
        <v>39</v>
      </c>
      <c r="G141" s="4">
        <v>4440</v>
      </c>
      <c r="H141" s="3" t="s">
        <v>40</v>
      </c>
      <c r="I141" s="3" t="s">
        <v>275</v>
      </c>
    </row>
    <row r="142" spans="1:9" ht="19.95" customHeight="1" x14ac:dyDescent="0.2">
      <c r="A142" s="3" t="s">
        <v>330</v>
      </c>
      <c r="B142" s="3" t="s">
        <v>115</v>
      </c>
      <c r="C142" s="3" t="s">
        <v>308</v>
      </c>
      <c r="D142" s="3" t="s">
        <v>115</v>
      </c>
      <c r="E142" s="4">
        <v>18200</v>
      </c>
      <c r="F142" s="5" t="s">
        <v>39</v>
      </c>
      <c r="G142" s="4">
        <v>15843</v>
      </c>
      <c r="H142" s="3" t="s">
        <v>40</v>
      </c>
      <c r="I142" s="3" t="s">
        <v>325</v>
      </c>
    </row>
    <row r="143" spans="1:9" ht="19.95" customHeight="1" x14ac:dyDescent="0.2">
      <c r="A143" s="3" t="s">
        <v>331</v>
      </c>
      <c r="B143" s="3" t="s">
        <v>11</v>
      </c>
      <c r="C143" s="3" t="s">
        <v>332</v>
      </c>
      <c r="D143" s="3" t="s">
        <v>333</v>
      </c>
      <c r="E143" s="4">
        <v>10203</v>
      </c>
      <c r="F143" s="5" t="s">
        <v>80</v>
      </c>
      <c r="G143" s="6"/>
      <c r="H143" s="3" t="s">
        <v>81</v>
      </c>
      <c r="I143" s="3" t="s">
        <v>334</v>
      </c>
    </row>
    <row r="144" spans="1:9" ht="19.95" customHeight="1" x14ac:dyDescent="0.2">
      <c r="A144" s="3" t="s">
        <v>335</v>
      </c>
      <c r="B144" s="3" t="s">
        <v>11</v>
      </c>
      <c r="C144" s="3" t="s">
        <v>336</v>
      </c>
      <c r="D144" s="3" t="s">
        <v>93</v>
      </c>
      <c r="E144" s="4">
        <v>34376</v>
      </c>
      <c r="F144" s="5" t="s">
        <v>80</v>
      </c>
      <c r="G144" s="3"/>
      <c r="H144" s="3" t="s">
        <v>81</v>
      </c>
      <c r="I144" s="3" t="s">
        <v>232</v>
      </c>
    </row>
    <row r="145" spans="1:9" ht="19.95" customHeight="1" x14ac:dyDescent="0.2">
      <c r="A145" s="3" t="s">
        <v>337</v>
      </c>
      <c r="B145" s="3" t="s">
        <v>10</v>
      </c>
      <c r="C145" s="3" t="s">
        <v>338</v>
      </c>
      <c r="D145" s="3" t="s">
        <v>93</v>
      </c>
      <c r="E145" s="4">
        <v>41300</v>
      </c>
      <c r="F145" s="5" t="s">
        <v>80</v>
      </c>
      <c r="G145" s="7">
        <v>35700</v>
      </c>
      <c r="H145" s="3" t="s">
        <v>81</v>
      </c>
      <c r="I145" s="3" t="s">
        <v>232</v>
      </c>
    </row>
    <row r="146" spans="1:9" ht="19.95" customHeight="1" x14ac:dyDescent="0.2">
      <c r="A146" s="3" t="s">
        <v>339</v>
      </c>
      <c r="B146" s="3" t="s">
        <v>45</v>
      </c>
      <c r="C146" s="3" t="s">
        <v>340</v>
      </c>
      <c r="D146" s="3" t="s">
        <v>93</v>
      </c>
      <c r="E146" s="4">
        <v>2772</v>
      </c>
      <c r="F146" s="5" t="s">
        <v>75</v>
      </c>
      <c r="G146" s="4">
        <v>2301</v>
      </c>
      <c r="H146" s="3" t="s">
        <v>40</v>
      </c>
      <c r="I146" s="3" t="s">
        <v>232</v>
      </c>
    </row>
    <row r="147" spans="1:9" ht="19.95" customHeight="1" x14ac:dyDescent="0.2">
      <c r="A147" s="3" t="s">
        <v>341</v>
      </c>
      <c r="B147" s="3" t="s">
        <v>45</v>
      </c>
      <c r="C147" s="3" t="s">
        <v>342</v>
      </c>
      <c r="D147" s="3" t="s">
        <v>93</v>
      </c>
      <c r="E147" s="4">
        <v>5544</v>
      </c>
      <c r="F147" s="5" t="s">
        <v>75</v>
      </c>
      <c r="G147" s="4">
        <v>4602</v>
      </c>
      <c r="H147" s="3" t="s">
        <v>40</v>
      </c>
      <c r="I147" s="3" t="s">
        <v>232</v>
      </c>
    </row>
    <row r="148" spans="1:9" ht="19.95" customHeight="1" x14ac:dyDescent="0.2">
      <c r="A148" s="3" t="s">
        <v>343</v>
      </c>
      <c r="B148" s="3" t="s">
        <v>11</v>
      </c>
      <c r="C148" s="3" t="s">
        <v>37</v>
      </c>
      <c r="D148" s="3" t="s">
        <v>70</v>
      </c>
      <c r="E148" s="4">
        <v>17800</v>
      </c>
      <c r="F148" s="5" t="s">
        <v>39</v>
      </c>
      <c r="G148" s="6"/>
      <c r="H148" s="3" t="s">
        <v>40</v>
      </c>
      <c r="I148" s="3" t="s">
        <v>263</v>
      </c>
    </row>
    <row r="149" spans="1:9" ht="19.95" customHeight="1" x14ac:dyDescent="0.2">
      <c r="A149" s="3" t="s">
        <v>344</v>
      </c>
      <c r="B149" s="3" t="s">
        <v>45</v>
      </c>
      <c r="C149" s="3" t="s">
        <v>345</v>
      </c>
      <c r="D149" s="3" t="s">
        <v>109</v>
      </c>
      <c r="E149" s="4">
        <v>12038.14</v>
      </c>
      <c r="F149" s="5" t="s">
        <v>14</v>
      </c>
      <c r="G149" s="7">
        <v>9510</v>
      </c>
      <c r="H149" s="3" t="s">
        <v>63</v>
      </c>
      <c r="I149" s="3" t="s">
        <v>346</v>
      </c>
    </row>
    <row r="150" spans="1:9" ht="19.95" customHeight="1" x14ac:dyDescent="0.2">
      <c r="A150" s="3" t="s">
        <v>347</v>
      </c>
      <c r="B150" s="3" t="s">
        <v>45</v>
      </c>
      <c r="C150" s="3" t="s">
        <v>348</v>
      </c>
      <c r="D150" s="3" t="s">
        <v>349</v>
      </c>
      <c r="E150" s="4">
        <v>7900</v>
      </c>
      <c r="F150" s="5" t="s">
        <v>58</v>
      </c>
      <c r="G150" s="4">
        <v>7035</v>
      </c>
      <c r="H150" s="3" t="s">
        <v>40</v>
      </c>
      <c r="I150" s="3" t="s">
        <v>72</v>
      </c>
    </row>
    <row r="151" spans="1:9" ht="19.95" customHeight="1" x14ac:dyDescent="0.2">
      <c r="A151" s="3" t="s">
        <v>350</v>
      </c>
      <c r="B151" s="3" t="s">
        <v>11</v>
      </c>
      <c r="C151" s="3" t="s">
        <v>69</v>
      </c>
      <c r="D151" s="3" t="s">
        <v>262</v>
      </c>
      <c r="E151" s="4">
        <v>610</v>
      </c>
      <c r="F151" s="5" t="s">
        <v>39</v>
      </c>
      <c r="G151" s="3"/>
      <c r="H151" s="3" t="s">
        <v>40</v>
      </c>
      <c r="I151" s="3" t="s">
        <v>195</v>
      </c>
    </row>
    <row r="152" spans="1:9" ht="19.95" customHeight="1" x14ac:dyDescent="0.2">
      <c r="A152" s="3" t="s">
        <v>351</v>
      </c>
      <c r="B152" s="3" t="s">
        <v>11</v>
      </c>
      <c r="C152" s="3" t="s">
        <v>352</v>
      </c>
      <c r="D152" s="3" t="s">
        <v>353</v>
      </c>
      <c r="E152" s="4">
        <v>835</v>
      </c>
      <c r="F152" s="5" t="s">
        <v>249</v>
      </c>
      <c r="G152" s="3"/>
      <c r="H152" s="3" t="s">
        <v>81</v>
      </c>
      <c r="I152" s="3" t="s">
        <v>275</v>
      </c>
    </row>
    <row r="153" spans="1:9" ht="19.95" customHeight="1" x14ac:dyDescent="0.2">
      <c r="A153" s="3" t="s">
        <v>354</v>
      </c>
      <c r="B153" s="3" t="s">
        <v>11</v>
      </c>
      <c r="C153" s="3" t="s">
        <v>194</v>
      </c>
      <c r="D153" s="3" t="s">
        <v>355</v>
      </c>
      <c r="E153" s="4">
        <v>610</v>
      </c>
      <c r="F153" s="5" t="s">
        <v>89</v>
      </c>
      <c r="G153" s="6"/>
      <c r="H153" s="3" t="s">
        <v>81</v>
      </c>
      <c r="I153" s="3" t="s">
        <v>356</v>
      </c>
    </row>
    <row r="154" spans="1:9" ht="19.95" customHeight="1" x14ac:dyDescent="0.2">
      <c r="A154" s="3" t="s">
        <v>357</v>
      </c>
      <c r="B154" s="3" t="s">
        <v>45</v>
      </c>
      <c r="C154" s="3" t="s">
        <v>69</v>
      </c>
      <c r="D154" s="3" t="s">
        <v>105</v>
      </c>
      <c r="E154" s="4">
        <v>11470</v>
      </c>
      <c r="F154" s="5" t="s">
        <v>39</v>
      </c>
      <c r="G154" s="4">
        <v>10151</v>
      </c>
      <c r="H154" s="3" t="s">
        <v>40</v>
      </c>
      <c r="I154" s="3" t="s">
        <v>358</v>
      </c>
    </row>
    <row r="155" spans="1:9" ht="19.95" customHeight="1" x14ac:dyDescent="0.2">
      <c r="A155" s="3" t="s">
        <v>359</v>
      </c>
      <c r="B155" s="3" t="s">
        <v>10</v>
      </c>
      <c r="C155" s="3" t="s">
        <v>69</v>
      </c>
      <c r="D155" s="3" t="s">
        <v>216</v>
      </c>
      <c r="E155" s="4">
        <v>870</v>
      </c>
      <c r="F155" s="5" t="s">
        <v>39</v>
      </c>
      <c r="G155" s="4">
        <v>775</v>
      </c>
      <c r="H155" s="3" t="s">
        <v>40</v>
      </c>
      <c r="I155" s="3" t="s">
        <v>116</v>
      </c>
    </row>
    <row r="156" spans="1:9" ht="19.95" customHeight="1" x14ac:dyDescent="0.2">
      <c r="A156" s="3" t="s">
        <v>360</v>
      </c>
      <c r="B156" s="3" t="s">
        <v>11</v>
      </c>
      <c r="C156" s="3" t="s">
        <v>37</v>
      </c>
      <c r="D156" s="3" t="s">
        <v>93</v>
      </c>
      <c r="E156" s="4">
        <v>16030</v>
      </c>
      <c r="F156" s="5" t="s">
        <v>39</v>
      </c>
      <c r="G156" s="6"/>
      <c r="H156" s="3" t="s">
        <v>40</v>
      </c>
      <c r="I156" s="3" t="s">
        <v>275</v>
      </c>
    </row>
    <row r="157" spans="1:9" ht="19.95" customHeight="1" x14ac:dyDescent="0.2">
      <c r="A157" s="3" t="s">
        <v>361</v>
      </c>
      <c r="B157" s="3" t="s">
        <v>11</v>
      </c>
      <c r="C157" s="3" t="s">
        <v>362</v>
      </c>
      <c r="D157" s="3" t="s">
        <v>109</v>
      </c>
      <c r="E157" s="4">
        <v>5005</v>
      </c>
      <c r="F157" s="5" t="s">
        <v>39</v>
      </c>
      <c r="G157" s="6"/>
      <c r="H157" s="3" t="s">
        <v>40</v>
      </c>
      <c r="I157" s="3" t="s">
        <v>112</v>
      </c>
    </row>
    <row r="158" spans="1:9" ht="19.95" customHeight="1" x14ac:dyDescent="0.2">
      <c r="A158" s="3" t="s">
        <v>363</v>
      </c>
      <c r="B158" s="3" t="s">
        <v>10</v>
      </c>
      <c r="C158" s="3" t="s">
        <v>37</v>
      </c>
      <c r="D158" s="3" t="s">
        <v>311</v>
      </c>
      <c r="E158" s="4">
        <v>10690</v>
      </c>
      <c r="F158" s="5" t="s">
        <v>39</v>
      </c>
      <c r="G158" s="7">
        <v>9439</v>
      </c>
      <c r="H158" s="3" t="s">
        <v>40</v>
      </c>
      <c r="I158" s="3" t="s">
        <v>364</v>
      </c>
    </row>
    <row r="159" spans="1:9" ht="19.95" customHeight="1" x14ac:dyDescent="0.2">
      <c r="A159" s="3" t="s">
        <v>365</v>
      </c>
      <c r="B159" s="3" t="s">
        <v>10</v>
      </c>
      <c r="C159" s="3" t="s">
        <v>366</v>
      </c>
      <c r="D159" s="3" t="s">
        <v>323</v>
      </c>
      <c r="E159" s="4">
        <v>581</v>
      </c>
      <c r="F159" s="5" t="s">
        <v>128</v>
      </c>
      <c r="G159" s="4">
        <v>708</v>
      </c>
      <c r="H159" s="3" t="s">
        <v>63</v>
      </c>
      <c r="I159" s="3" t="s">
        <v>129</v>
      </c>
    </row>
    <row r="160" spans="1:9" ht="19.95" customHeight="1" x14ac:dyDescent="0.2">
      <c r="A160" s="3" t="s">
        <v>367</v>
      </c>
      <c r="B160" s="3" t="s">
        <v>11</v>
      </c>
      <c r="C160" s="3" t="s">
        <v>197</v>
      </c>
      <c r="D160" s="3" t="s">
        <v>368</v>
      </c>
      <c r="E160" s="4">
        <v>1371</v>
      </c>
      <c r="F160" s="5" t="s">
        <v>39</v>
      </c>
      <c r="G160" s="3"/>
      <c r="H160" s="3" t="s">
        <v>40</v>
      </c>
      <c r="I160" s="3" t="s">
        <v>369</v>
      </c>
    </row>
    <row r="161" spans="1:9" ht="19.95" customHeight="1" x14ac:dyDescent="0.2">
      <c r="A161" s="3" t="s">
        <v>370</v>
      </c>
      <c r="B161" s="3" t="s">
        <v>45</v>
      </c>
      <c r="C161" s="3" t="s">
        <v>371</v>
      </c>
      <c r="D161" s="3" t="s">
        <v>102</v>
      </c>
      <c r="E161" s="4">
        <v>5020</v>
      </c>
      <c r="F161" s="5" t="s">
        <v>14</v>
      </c>
      <c r="G161" s="7">
        <v>4189</v>
      </c>
      <c r="H161" s="3" t="s">
        <v>63</v>
      </c>
      <c r="I161" s="3" t="s">
        <v>103</v>
      </c>
    </row>
    <row r="162" spans="1:9" ht="19.95" customHeight="1" x14ac:dyDescent="0.2">
      <c r="A162" s="3" t="s">
        <v>372</v>
      </c>
      <c r="B162" s="3" t="s">
        <v>11</v>
      </c>
      <c r="C162" s="3" t="s">
        <v>373</v>
      </c>
      <c r="D162" s="3" t="s">
        <v>109</v>
      </c>
      <c r="E162" s="4">
        <v>1116</v>
      </c>
      <c r="F162" s="5" t="s">
        <v>58</v>
      </c>
      <c r="G162" s="6"/>
      <c r="H162" s="3" t="s">
        <v>40</v>
      </c>
      <c r="I162" s="3" t="s">
        <v>112</v>
      </c>
    </row>
    <row r="163" spans="1:9" ht="19.95" customHeight="1" x14ac:dyDescent="0.2">
      <c r="A163" s="3" t="s">
        <v>374</v>
      </c>
      <c r="B163" s="3" t="s">
        <v>11</v>
      </c>
      <c r="C163" s="3" t="s">
        <v>375</v>
      </c>
      <c r="D163" s="3" t="s">
        <v>376</v>
      </c>
      <c r="E163" s="4">
        <v>55417.599999999999</v>
      </c>
      <c r="F163" s="5" t="s">
        <v>39</v>
      </c>
      <c r="G163" s="3"/>
      <c r="H163" s="3" t="s">
        <v>40</v>
      </c>
      <c r="I163" s="3" t="s">
        <v>275</v>
      </c>
    </row>
    <row r="164" spans="1:9" ht="19.95" customHeight="1" x14ac:dyDescent="0.2">
      <c r="A164" s="3" t="s">
        <v>377</v>
      </c>
      <c r="B164" s="3" t="s">
        <v>110</v>
      </c>
      <c r="C164" s="3" t="s">
        <v>146</v>
      </c>
      <c r="D164" s="3" t="s">
        <v>378</v>
      </c>
      <c r="E164" s="4">
        <v>5370</v>
      </c>
      <c r="F164" s="5" t="s">
        <v>75</v>
      </c>
      <c r="G164" s="4">
        <v>4881</v>
      </c>
      <c r="H164" s="3" t="s">
        <v>63</v>
      </c>
      <c r="I164" s="3" t="s">
        <v>76</v>
      </c>
    </row>
    <row r="165" spans="1:9" ht="19.95" customHeight="1" x14ac:dyDescent="0.2">
      <c r="A165" s="3" t="s">
        <v>379</v>
      </c>
      <c r="B165" s="3" t="s">
        <v>11</v>
      </c>
      <c r="C165" s="3" t="s">
        <v>133</v>
      </c>
      <c r="D165" s="3" t="s">
        <v>131</v>
      </c>
      <c r="E165" s="4">
        <v>15350</v>
      </c>
      <c r="F165" s="5" t="s">
        <v>39</v>
      </c>
      <c r="G165" s="6"/>
      <c r="H165" s="3" t="s">
        <v>40</v>
      </c>
      <c r="I165" s="3" t="s">
        <v>232</v>
      </c>
    </row>
    <row r="166" spans="1:9" ht="19.95" customHeight="1" x14ac:dyDescent="0.2">
      <c r="A166" s="3" t="s">
        <v>379</v>
      </c>
      <c r="B166" s="3" t="s">
        <v>11</v>
      </c>
      <c r="C166" s="3" t="s">
        <v>362</v>
      </c>
      <c r="D166" s="3" t="s">
        <v>131</v>
      </c>
      <c r="E166" s="4">
        <v>2149</v>
      </c>
      <c r="F166" s="5" t="s">
        <v>39</v>
      </c>
      <c r="G166" s="3"/>
      <c r="H166" s="3" t="s">
        <v>40</v>
      </c>
      <c r="I166" s="3" t="s">
        <v>232</v>
      </c>
    </row>
    <row r="167" spans="1:9" ht="19.95" customHeight="1" x14ac:dyDescent="0.2">
      <c r="A167" s="3" t="s">
        <v>380</v>
      </c>
      <c r="B167" s="3" t="s">
        <v>10</v>
      </c>
      <c r="C167" s="3" t="s">
        <v>37</v>
      </c>
      <c r="D167" s="3" t="s">
        <v>139</v>
      </c>
      <c r="E167" s="4">
        <v>3070</v>
      </c>
      <c r="F167" s="5" t="s">
        <v>39</v>
      </c>
      <c r="G167" s="7">
        <v>2600</v>
      </c>
      <c r="H167" s="3" t="s">
        <v>40</v>
      </c>
      <c r="I167" s="3" t="s">
        <v>232</v>
      </c>
    </row>
    <row r="168" spans="1:9" ht="19.95" customHeight="1" x14ac:dyDescent="0.2">
      <c r="A168" s="3" t="s">
        <v>381</v>
      </c>
      <c r="B168" s="3" t="s">
        <v>11</v>
      </c>
      <c r="C168" s="3" t="s">
        <v>133</v>
      </c>
      <c r="D168" s="3" t="s">
        <v>131</v>
      </c>
      <c r="E168" s="4">
        <v>8500</v>
      </c>
      <c r="F168" s="5" t="s">
        <v>39</v>
      </c>
      <c r="G168" s="6"/>
      <c r="H168" s="3" t="s">
        <v>40</v>
      </c>
      <c r="I168" s="3" t="s">
        <v>232</v>
      </c>
    </row>
    <row r="169" spans="1:9" ht="19.95" customHeight="1" x14ac:dyDescent="0.2">
      <c r="A169" s="3" t="s">
        <v>381</v>
      </c>
      <c r="B169" s="3" t="s">
        <v>11</v>
      </c>
      <c r="C169" s="3" t="s">
        <v>362</v>
      </c>
      <c r="D169" s="3" t="s">
        <v>131</v>
      </c>
      <c r="E169" s="4">
        <v>1190</v>
      </c>
      <c r="F169" s="5" t="s">
        <v>39</v>
      </c>
      <c r="G169" s="3"/>
      <c r="H169" s="3" t="s">
        <v>40</v>
      </c>
      <c r="I169" s="3" t="s">
        <v>232</v>
      </c>
    </row>
    <row r="170" spans="1:9" ht="19.95" customHeight="1" x14ac:dyDescent="0.2">
      <c r="A170" s="3" t="s">
        <v>382</v>
      </c>
      <c r="B170" s="3" t="s">
        <v>10</v>
      </c>
      <c r="C170" s="3" t="s">
        <v>37</v>
      </c>
      <c r="D170" s="3" t="s">
        <v>139</v>
      </c>
      <c r="E170" s="4">
        <v>1700</v>
      </c>
      <c r="F170" s="5" t="s">
        <v>39</v>
      </c>
      <c r="G170" s="7">
        <v>1440</v>
      </c>
      <c r="H170" s="3" t="s">
        <v>40</v>
      </c>
      <c r="I170" s="3" t="s">
        <v>232</v>
      </c>
    </row>
    <row r="171" spans="1:9" ht="19.95" customHeight="1" x14ac:dyDescent="0.2">
      <c r="A171" s="3" t="s">
        <v>383</v>
      </c>
      <c r="B171" s="3" t="s">
        <v>11</v>
      </c>
      <c r="C171" s="3" t="s">
        <v>84</v>
      </c>
      <c r="D171" s="3" t="s">
        <v>131</v>
      </c>
      <c r="E171" s="4">
        <v>6330</v>
      </c>
      <c r="F171" s="5" t="s">
        <v>14</v>
      </c>
      <c r="G171" s="6"/>
      <c r="H171" s="3" t="s">
        <v>40</v>
      </c>
      <c r="I171" s="3" t="s">
        <v>232</v>
      </c>
    </row>
    <row r="172" spans="1:9" ht="19.95" customHeight="1" x14ac:dyDescent="0.2">
      <c r="A172" s="3" t="s">
        <v>384</v>
      </c>
      <c r="B172" s="3" t="s">
        <v>10</v>
      </c>
      <c r="C172" s="3" t="s">
        <v>84</v>
      </c>
      <c r="D172" s="3" t="s">
        <v>139</v>
      </c>
      <c r="E172" s="4">
        <v>3860</v>
      </c>
      <c r="F172" s="5" t="s">
        <v>14</v>
      </c>
      <c r="G172" s="4">
        <v>3300</v>
      </c>
      <c r="H172" s="3" t="s">
        <v>40</v>
      </c>
      <c r="I172" s="3" t="s">
        <v>232</v>
      </c>
    </row>
    <row r="173" spans="1:9" ht="19.95" customHeight="1" x14ac:dyDescent="0.2">
      <c r="A173" s="3" t="s">
        <v>385</v>
      </c>
      <c r="B173" s="3" t="s">
        <v>11</v>
      </c>
      <c r="C173" s="3" t="s">
        <v>69</v>
      </c>
      <c r="D173" s="3" t="s">
        <v>131</v>
      </c>
      <c r="E173" s="4">
        <v>820</v>
      </c>
      <c r="F173" s="5" t="s">
        <v>39</v>
      </c>
      <c r="G173" s="3"/>
      <c r="H173" s="3" t="s">
        <v>40</v>
      </c>
      <c r="I173" s="3" t="s">
        <v>232</v>
      </c>
    </row>
    <row r="174" spans="1:9" ht="19.95" customHeight="1" x14ac:dyDescent="0.2">
      <c r="A174" s="3" t="s">
        <v>385</v>
      </c>
      <c r="B174" s="3" t="s">
        <v>11</v>
      </c>
      <c r="C174" s="3" t="s">
        <v>37</v>
      </c>
      <c r="D174" s="3" t="s">
        <v>134</v>
      </c>
      <c r="E174" s="4">
        <v>820</v>
      </c>
      <c r="F174" s="5" t="s">
        <v>39</v>
      </c>
      <c r="G174" s="6"/>
      <c r="H174" s="3" t="s">
        <v>40</v>
      </c>
      <c r="I174" s="3" t="s">
        <v>232</v>
      </c>
    </row>
    <row r="175" spans="1:9" ht="19.95" customHeight="1" x14ac:dyDescent="0.2">
      <c r="A175" s="3" t="s">
        <v>386</v>
      </c>
      <c r="B175" s="3" t="s">
        <v>10</v>
      </c>
      <c r="C175" s="3" t="s">
        <v>69</v>
      </c>
      <c r="D175" s="3" t="s">
        <v>139</v>
      </c>
      <c r="E175" s="4">
        <v>820</v>
      </c>
      <c r="F175" s="5" t="s">
        <v>39</v>
      </c>
      <c r="G175" s="7">
        <v>700</v>
      </c>
      <c r="H175" s="3" t="s">
        <v>40</v>
      </c>
      <c r="I175" s="3" t="s">
        <v>232</v>
      </c>
    </row>
    <row r="176" spans="1:9" ht="19.95" customHeight="1" x14ac:dyDescent="0.2">
      <c r="A176" s="3" t="s">
        <v>387</v>
      </c>
      <c r="B176" s="3" t="s">
        <v>11</v>
      </c>
      <c r="C176" s="3" t="s">
        <v>265</v>
      </c>
      <c r="D176" s="3" t="s">
        <v>388</v>
      </c>
      <c r="E176" s="4">
        <v>865</v>
      </c>
      <c r="F176" s="5" t="s">
        <v>144</v>
      </c>
      <c r="G176" s="3"/>
      <c r="H176" s="3" t="s">
        <v>63</v>
      </c>
      <c r="I176" s="3" t="s">
        <v>389</v>
      </c>
    </row>
    <row r="177" spans="1:9" ht="19.95" customHeight="1" x14ac:dyDescent="0.2">
      <c r="A177" s="3" t="s">
        <v>390</v>
      </c>
      <c r="B177" s="3" t="s">
        <v>45</v>
      </c>
      <c r="C177" s="3" t="s">
        <v>69</v>
      </c>
      <c r="D177" s="3" t="s">
        <v>70</v>
      </c>
      <c r="E177" s="4">
        <v>1750</v>
      </c>
      <c r="F177" s="5" t="s">
        <v>39</v>
      </c>
      <c r="G177" s="4">
        <v>1505</v>
      </c>
      <c r="H177" s="3" t="s">
        <v>40</v>
      </c>
      <c r="I177" s="3" t="s">
        <v>72</v>
      </c>
    </row>
    <row r="178" spans="1:9" ht="19.95" customHeight="1" x14ac:dyDescent="0.2">
      <c r="A178" s="3" t="s">
        <v>391</v>
      </c>
      <c r="B178" s="3" t="s">
        <v>115</v>
      </c>
      <c r="C178" s="3" t="s">
        <v>37</v>
      </c>
      <c r="D178" s="3" t="s">
        <v>115</v>
      </c>
      <c r="E178" s="4">
        <v>1040</v>
      </c>
      <c r="F178" s="5" t="s">
        <v>39</v>
      </c>
      <c r="G178" s="7">
        <v>905</v>
      </c>
      <c r="H178" s="3" t="s">
        <v>40</v>
      </c>
      <c r="I178" s="3" t="s">
        <v>325</v>
      </c>
    </row>
    <row r="179" spans="1:9" ht="19.95" customHeight="1" x14ac:dyDescent="0.2">
      <c r="A179" s="3" t="s">
        <v>392</v>
      </c>
      <c r="B179" s="3" t="s">
        <v>110</v>
      </c>
      <c r="C179" s="3" t="s">
        <v>69</v>
      </c>
      <c r="D179" s="3" t="s">
        <v>109</v>
      </c>
      <c r="E179" s="4">
        <v>1000</v>
      </c>
      <c r="F179" s="5" t="s">
        <v>39</v>
      </c>
      <c r="G179" s="4">
        <v>903</v>
      </c>
      <c r="H179" s="3" t="s">
        <v>40</v>
      </c>
      <c r="I179" s="3" t="s">
        <v>275</v>
      </c>
    </row>
    <row r="180" spans="1:9" ht="19.95" customHeight="1" x14ac:dyDescent="0.2">
      <c r="A180" s="3" t="s">
        <v>393</v>
      </c>
      <c r="B180" s="3" t="s">
        <v>45</v>
      </c>
      <c r="C180" s="3" t="s">
        <v>375</v>
      </c>
      <c r="D180" s="3" t="s">
        <v>262</v>
      </c>
      <c r="E180" s="4">
        <v>1545.6</v>
      </c>
      <c r="F180" s="5" t="s">
        <v>39</v>
      </c>
      <c r="G180" s="7">
        <v>1318</v>
      </c>
      <c r="H180" s="3" t="s">
        <v>40</v>
      </c>
      <c r="I180" s="3" t="s">
        <v>229</v>
      </c>
    </row>
    <row r="181" spans="1:9" ht="19.95" customHeight="1" x14ac:dyDescent="0.2">
      <c r="A181" s="3" t="s">
        <v>394</v>
      </c>
      <c r="B181" s="3" t="s">
        <v>45</v>
      </c>
      <c r="C181" s="3" t="s">
        <v>395</v>
      </c>
      <c r="D181" s="3" t="s">
        <v>262</v>
      </c>
      <c r="E181" s="4">
        <v>2576</v>
      </c>
      <c r="F181" s="5" t="s">
        <v>39</v>
      </c>
      <c r="G181" s="7">
        <v>2197</v>
      </c>
      <c r="H181" s="3" t="s">
        <v>40</v>
      </c>
      <c r="I181" s="3" t="s">
        <v>229</v>
      </c>
    </row>
    <row r="182" spans="1:9" ht="19.95" customHeight="1" x14ac:dyDescent="0.2">
      <c r="A182" s="3" t="s">
        <v>396</v>
      </c>
      <c r="B182" s="3" t="s">
        <v>11</v>
      </c>
      <c r="C182" s="3" t="s">
        <v>397</v>
      </c>
      <c r="D182" s="3" t="s">
        <v>228</v>
      </c>
      <c r="E182" s="4">
        <v>6531.84</v>
      </c>
      <c r="F182" s="5" t="s">
        <v>14</v>
      </c>
      <c r="G182" s="3"/>
      <c r="H182" s="3" t="s">
        <v>40</v>
      </c>
      <c r="I182" s="3" t="s">
        <v>364</v>
      </c>
    </row>
    <row r="183" spans="1:9" ht="19.95" customHeight="1" x14ac:dyDescent="0.2">
      <c r="A183" s="3" t="s">
        <v>398</v>
      </c>
      <c r="B183" s="3" t="s">
        <v>11</v>
      </c>
      <c r="C183" s="3" t="s">
        <v>136</v>
      </c>
      <c r="D183" s="3" t="s">
        <v>319</v>
      </c>
      <c r="E183" s="4">
        <v>11100</v>
      </c>
      <c r="F183" s="5" t="s">
        <v>14</v>
      </c>
      <c r="G183" s="3"/>
      <c r="H183" s="3" t="s">
        <v>40</v>
      </c>
      <c r="I183" s="3" t="s">
        <v>251</v>
      </c>
    </row>
    <row r="184" spans="1:9" ht="19.95" customHeight="1" x14ac:dyDescent="0.2">
      <c r="A184" s="3" t="s">
        <v>399</v>
      </c>
      <c r="B184" s="3" t="s">
        <v>10</v>
      </c>
      <c r="C184" s="3" t="s">
        <v>133</v>
      </c>
      <c r="D184" s="3" t="s">
        <v>319</v>
      </c>
      <c r="E184" s="4">
        <v>2950</v>
      </c>
      <c r="F184" s="5" t="s">
        <v>39</v>
      </c>
      <c r="G184" s="7">
        <v>2680</v>
      </c>
      <c r="H184" s="3" t="s">
        <v>40</v>
      </c>
      <c r="I184" s="3" t="s">
        <v>251</v>
      </c>
    </row>
    <row r="185" spans="1:9" ht="19.95" customHeight="1" x14ac:dyDescent="0.2">
      <c r="A185" s="3" t="s">
        <v>400</v>
      </c>
      <c r="B185" s="3" t="s">
        <v>10</v>
      </c>
      <c r="C185" s="3" t="s">
        <v>133</v>
      </c>
      <c r="D185" s="3" t="s">
        <v>319</v>
      </c>
      <c r="E185" s="4">
        <v>5000</v>
      </c>
      <c r="F185" s="5" t="s">
        <v>39</v>
      </c>
      <c r="G185" s="4">
        <v>4454</v>
      </c>
      <c r="H185" s="3" t="s">
        <v>40</v>
      </c>
      <c r="I185" s="3" t="s">
        <v>251</v>
      </c>
    </row>
    <row r="186" spans="1:9" ht="19.95" customHeight="1" x14ac:dyDescent="0.2">
      <c r="A186" s="3" t="s">
        <v>400</v>
      </c>
      <c r="B186" s="3" t="s">
        <v>11</v>
      </c>
      <c r="C186" s="3" t="s">
        <v>37</v>
      </c>
      <c r="D186" s="3" t="s">
        <v>319</v>
      </c>
      <c r="E186" s="4">
        <v>1000</v>
      </c>
      <c r="F186" s="5" t="s">
        <v>39</v>
      </c>
      <c r="G186" s="3"/>
      <c r="H186" s="3" t="s">
        <v>40</v>
      </c>
      <c r="I186" s="3" t="s">
        <v>251</v>
      </c>
    </row>
    <row r="187" spans="1:9" ht="19.95" customHeight="1" x14ac:dyDescent="0.2">
      <c r="A187" s="3" t="s">
        <v>401</v>
      </c>
      <c r="B187" s="3" t="s">
        <v>10</v>
      </c>
      <c r="C187" s="3" t="s">
        <v>37</v>
      </c>
      <c r="D187" s="3" t="s">
        <v>402</v>
      </c>
      <c r="E187" s="4">
        <v>1040</v>
      </c>
      <c r="F187" s="5" t="s">
        <v>39</v>
      </c>
      <c r="G187" s="4">
        <v>926</v>
      </c>
      <c r="H187" s="3" t="s">
        <v>40</v>
      </c>
      <c r="I187" s="3" t="s">
        <v>72</v>
      </c>
    </row>
    <row r="188" spans="1:9" ht="19.95" customHeight="1" x14ac:dyDescent="0.2">
      <c r="A188" s="3" t="s">
        <v>403</v>
      </c>
      <c r="B188" s="3" t="s">
        <v>115</v>
      </c>
      <c r="C188" s="3" t="s">
        <v>140</v>
      </c>
      <c r="D188" s="3" t="s">
        <v>115</v>
      </c>
      <c r="E188" s="4">
        <v>10400</v>
      </c>
      <c r="F188" s="5" t="s">
        <v>39</v>
      </c>
      <c r="G188" s="4">
        <v>9270</v>
      </c>
      <c r="H188" s="3" t="s">
        <v>40</v>
      </c>
      <c r="I188" s="3" t="s">
        <v>404</v>
      </c>
    </row>
    <row r="189" spans="1:9" ht="19.95" customHeight="1" x14ac:dyDescent="0.2">
      <c r="A189" s="3" t="s">
        <v>405</v>
      </c>
      <c r="B189" s="3" t="s">
        <v>91</v>
      </c>
      <c r="C189" s="3" t="s">
        <v>406</v>
      </c>
      <c r="D189" s="3" t="s">
        <v>407</v>
      </c>
      <c r="E189" s="4">
        <v>1570</v>
      </c>
      <c r="F189" s="5" t="s">
        <v>171</v>
      </c>
      <c r="G189" s="4">
        <v>1384</v>
      </c>
      <c r="H189" s="3" t="s">
        <v>63</v>
      </c>
      <c r="I189" s="3" t="s">
        <v>156</v>
      </c>
    </row>
    <row r="190" spans="1:9" ht="19.95" customHeight="1" x14ac:dyDescent="0.2">
      <c r="A190" s="3" t="s">
        <v>408</v>
      </c>
      <c r="B190" s="3" t="s">
        <v>91</v>
      </c>
      <c r="C190" s="3" t="s">
        <v>140</v>
      </c>
      <c r="D190" s="3" t="s">
        <v>407</v>
      </c>
      <c r="E190" s="4">
        <v>6700</v>
      </c>
      <c r="F190" s="5" t="s">
        <v>39</v>
      </c>
      <c r="G190" s="4">
        <v>5906</v>
      </c>
      <c r="H190" s="3" t="s">
        <v>40</v>
      </c>
      <c r="I190" s="3" t="s">
        <v>156</v>
      </c>
    </row>
    <row r="191" spans="1:9" ht="19.95" customHeight="1" x14ac:dyDescent="0.2">
      <c r="A191" s="3" t="s">
        <v>408</v>
      </c>
      <c r="B191" s="3" t="s">
        <v>91</v>
      </c>
      <c r="C191" s="3" t="s">
        <v>176</v>
      </c>
      <c r="D191" s="3" t="s">
        <v>407</v>
      </c>
      <c r="E191" s="4">
        <v>3350</v>
      </c>
      <c r="F191" s="5" t="s">
        <v>39</v>
      </c>
      <c r="G191" s="7">
        <v>2953</v>
      </c>
      <c r="H191" s="3" t="s">
        <v>40</v>
      </c>
      <c r="I191" s="3" t="s">
        <v>156</v>
      </c>
    </row>
    <row r="192" spans="1:9" ht="19.95" customHeight="1" x14ac:dyDescent="0.2">
      <c r="A192" s="3" t="s">
        <v>409</v>
      </c>
      <c r="B192" s="3" t="s">
        <v>11</v>
      </c>
      <c r="C192" s="3" t="s">
        <v>410</v>
      </c>
      <c r="D192" s="3" t="s">
        <v>411</v>
      </c>
      <c r="E192" s="4">
        <v>2216</v>
      </c>
      <c r="F192" s="5" t="s">
        <v>14</v>
      </c>
      <c r="G192" s="6"/>
      <c r="H192" s="3" t="s">
        <v>63</v>
      </c>
      <c r="I192" s="3" t="s">
        <v>412</v>
      </c>
    </row>
    <row r="193" spans="1:9" ht="19.95" customHeight="1" x14ac:dyDescent="0.2">
      <c r="A193" s="3" t="s">
        <v>413</v>
      </c>
      <c r="B193" s="3" t="s">
        <v>11</v>
      </c>
      <c r="C193" s="3" t="s">
        <v>142</v>
      </c>
      <c r="D193" s="3" t="s">
        <v>411</v>
      </c>
      <c r="E193" s="4">
        <v>2100</v>
      </c>
      <c r="F193" s="5" t="s">
        <v>144</v>
      </c>
      <c r="G193" s="3"/>
      <c r="H193" s="3" t="s">
        <v>81</v>
      </c>
      <c r="I193" s="3" t="s">
        <v>412</v>
      </c>
    </row>
    <row r="194" spans="1:9" ht="19.95" customHeight="1" x14ac:dyDescent="0.2">
      <c r="A194" s="3" t="s">
        <v>414</v>
      </c>
      <c r="B194" s="3" t="s">
        <v>11</v>
      </c>
      <c r="C194" s="3" t="s">
        <v>415</v>
      </c>
      <c r="D194" s="3" t="s">
        <v>411</v>
      </c>
      <c r="E194" s="4">
        <v>305</v>
      </c>
      <c r="F194" s="5" t="s">
        <v>89</v>
      </c>
      <c r="G194" s="3"/>
      <c r="H194" s="3" t="s">
        <v>81</v>
      </c>
      <c r="I194" s="3" t="s">
        <v>412</v>
      </c>
    </row>
    <row r="195" spans="1:9" ht="19.95" customHeight="1" x14ac:dyDescent="0.2">
      <c r="A195" s="3" t="s">
        <v>416</v>
      </c>
      <c r="B195" s="3" t="s">
        <v>45</v>
      </c>
      <c r="C195" s="3" t="s">
        <v>417</v>
      </c>
      <c r="D195" s="3" t="s">
        <v>85</v>
      </c>
      <c r="E195" s="4">
        <v>1732.2</v>
      </c>
      <c r="F195" s="5" t="s">
        <v>249</v>
      </c>
      <c r="G195" s="7">
        <v>1543</v>
      </c>
      <c r="H195" s="3" t="s">
        <v>63</v>
      </c>
      <c r="I195" s="3" t="s">
        <v>172</v>
      </c>
    </row>
    <row r="196" spans="1:9" ht="19.95" customHeight="1" x14ac:dyDescent="0.2">
      <c r="A196" s="3" t="s">
        <v>418</v>
      </c>
      <c r="B196" s="3" t="s">
        <v>11</v>
      </c>
      <c r="C196" s="3" t="s">
        <v>133</v>
      </c>
      <c r="D196" s="3" t="s">
        <v>319</v>
      </c>
      <c r="E196" s="4">
        <v>10850</v>
      </c>
      <c r="F196" s="5" t="s">
        <v>39</v>
      </c>
      <c r="G196" s="3"/>
      <c r="H196" s="3" t="s">
        <v>40</v>
      </c>
      <c r="I196" s="3" t="s">
        <v>314</v>
      </c>
    </row>
    <row r="197" spans="1:9" ht="19.95" customHeight="1" x14ac:dyDescent="0.2">
      <c r="A197" s="3" t="s">
        <v>418</v>
      </c>
      <c r="B197" s="3" t="s">
        <v>10</v>
      </c>
      <c r="C197" s="3" t="s">
        <v>37</v>
      </c>
      <c r="D197" s="3" t="s">
        <v>319</v>
      </c>
      <c r="E197" s="4">
        <v>2170</v>
      </c>
      <c r="F197" s="5" t="s">
        <v>39</v>
      </c>
      <c r="G197" s="4">
        <v>1900</v>
      </c>
      <c r="H197" s="3" t="s">
        <v>40</v>
      </c>
      <c r="I197" s="3" t="s">
        <v>314</v>
      </c>
    </row>
    <row r="198" spans="1:9" ht="19.95" customHeight="1" x14ac:dyDescent="0.2">
      <c r="A198" s="3" t="s">
        <v>419</v>
      </c>
      <c r="B198" s="3" t="s">
        <v>11</v>
      </c>
      <c r="C198" s="3" t="s">
        <v>420</v>
      </c>
      <c r="D198" s="3" t="s">
        <v>93</v>
      </c>
      <c r="E198" s="3"/>
      <c r="F198" s="5" t="s">
        <v>11</v>
      </c>
      <c r="G198" s="3"/>
      <c r="H198" s="3" t="s">
        <v>152</v>
      </c>
      <c r="I198" s="3" t="s">
        <v>153</v>
      </c>
    </row>
    <row r="199" spans="1:9" ht="19.95" customHeight="1" x14ac:dyDescent="0.2">
      <c r="A199" s="3" t="s">
        <v>421</v>
      </c>
      <c r="B199" s="3" t="s">
        <v>91</v>
      </c>
      <c r="C199" s="3" t="s">
        <v>69</v>
      </c>
      <c r="D199" s="3" t="s">
        <v>246</v>
      </c>
      <c r="E199" s="4">
        <v>5730</v>
      </c>
      <c r="F199" s="5" t="s">
        <v>39</v>
      </c>
      <c r="G199" s="4">
        <v>5048</v>
      </c>
      <c r="H199" s="3" t="s">
        <v>40</v>
      </c>
      <c r="I199" s="3" t="s">
        <v>229</v>
      </c>
    </row>
    <row r="200" spans="1:9" ht="19.95" customHeight="1" x14ac:dyDescent="0.2">
      <c r="A200" s="3" t="s">
        <v>422</v>
      </c>
      <c r="B200" s="3" t="s">
        <v>11</v>
      </c>
      <c r="C200" s="3" t="s">
        <v>69</v>
      </c>
      <c r="D200" s="3" t="s">
        <v>246</v>
      </c>
      <c r="E200" s="4">
        <v>9080</v>
      </c>
      <c r="F200" s="5" t="s">
        <v>39</v>
      </c>
      <c r="G200" s="4">
        <v>7999</v>
      </c>
      <c r="H200" s="3" t="s">
        <v>40</v>
      </c>
      <c r="I200" s="3" t="s">
        <v>229</v>
      </c>
    </row>
    <row r="201" spans="1:9" ht="19.95" customHeight="1" x14ac:dyDescent="0.2">
      <c r="A201" s="3" t="s">
        <v>423</v>
      </c>
      <c r="B201" s="3" t="s">
        <v>91</v>
      </c>
      <c r="C201" s="3" t="s">
        <v>176</v>
      </c>
      <c r="D201" s="3" t="s">
        <v>424</v>
      </c>
      <c r="E201" s="4">
        <v>40100</v>
      </c>
      <c r="F201" s="5" t="s">
        <v>39</v>
      </c>
      <c r="G201" s="7">
        <v>34309</v>
      </c>
      <c r="H201" s="3" t="s">
        <v>40</v>
      </c>
      <c r="I201" s="3" t="s">
        <v>217</v>
      </c>
    </row>
    <row r="202" spans="1:9" ht="19.95" customHeight="1" x14ac:dyDescent="0.2">
      <c r="A202" s="3" t="s">
        <v>425</v>
      </c>
      <c r="B202" s="3" t="s">
        <v>45</v>
      </c>
      <c r="C202" s="3" t="s">
        <v>84</v>
      </c>
      <c r="D202" s="3" t="s">
        <v>319</v>
      </c>
      <c r="E202" s="4">
        <v>13490</v>
      </c>
      <c r="F202" s="5" t="s">
        <v>14</v>
      </c>
      <c r="G202" s="7">
        <v>11467</v>
      </c>
      <c r="H202" s="3" t="s">
        <v>40</v>
      </c>
      <c r="I202" s="3" t="s">
        <v>232</v>
      </c>
    </row>
    <row r="203" spans="1:9" ht="19.95" customHeight="1" x14ac:dyDescent="0.2">
      <c r="A203" s="3" t="s">
        <v>426</v>
      </c>
      <c r="B203" s="3" t="s">
        <v>45</v>
      </c>
      <c r="C203" s="3" t="s">
        <v>140</v>
      </c>
      <c r="D203" s="3" t="s">
        <v>319</v>
      </c>
      <c r="E203" s="4">
        <v>16800</v>
      </c>
      <c r="F203" s="5" t="s">
        <v>39</v>
      </c>
      <c r="G203" s="7">
        <v>14448</v>
      </c>
      <c r="H203" s="3" t="s">
        <v>40</v>
      </c>
      <c r="I203" s="3" t="s">
        <v>232</v>
      </c>
    </row>
    <row r="204" spans="1:9" ht="19.95" customHeight="1" x14ac:dyDescent="0.2">
      <c r="A204" s="3" t="s">
        <v>426</v>
      </c>
      <c r="B204" s="3" t="s">
        <v>45</v>
      </c>
      <c r="C204" s="3" t="s">
        <v>69</v>
      </c>
      <c r="D204" s="3" t="s">
        <v>319</v>
      </c>
      <c r="E204" s="4">
        <v>1680</v>
      </c>
      <c r="F204" s="5" t="s">
        <v>39</v>
      </c>
      <c r="G204" s="4">
        <v>1445</v>
      </c>
      <c r="H204" s="3" t="s">
        <v>40</v>
      </c>
      <c r="I204" s="3" t="s">
        <v>232</v>
      </c>
    </row>
    <row r="205" spans="1:9" ht="19.95" customHeight="1" x14ac:dyDescent="0.2">
      <c r="A205" s="3" t="s">
        <v>427</v>
      </c>
      <c r="B205" s="3" t="s">
        <v>45</v>
      </c>
      <c r="C205" s="3" t="s">
        <v>69</v>
      </c>
      <c r="D205" s="3" t="s">
        <v>319</v>
      </c>
      <c r="E205" s="4">
        <v>1040</v>
      </c>
      <c r="F205" s="5" t="s">
        <v>39</v>
      </c>
      <c r="G205" s="7">
        <v>676</v>
      </c>
      <c r="H205" s="3" t="s">
        <v>40</v>
      </c>
      <c r="I205" s="3" t="s">
        <v>232</v>
      </c>
    </row>
    <row r="206" spans="1:9" ht="19.95" customHeight="1" x14ac:dyDescent="0.2">
      <c r="A206" s="3" t="s">
        <v>427</v>
      </c>
      <c r="B206" s="3" t="s">
        <v>45</v>
      </c>
      <c r="C206" s="3" t="s">
        <v>118</v>
      </c>
      <c r="D206" s="3" t="s">
        <v>319</v>
      </c>
      <c r="E206" s="4">
        <v>2080</v>
      </c>
      <c r="F206" s="5" t="s">
        <v>39</v>
      </c>
      <c r="G206" s="4">
        <v>1352</v>
      </c>
      <c r="H206" s="3" t="s">
        <v>40</v>
      </c>
      <c r="I206" s="3" t="s">
        <v>232</v>
      </c>
    </row>
    <row r="207" spans="1:9" ht="19.95" customHeight="1" x14ac:dyDescent="0.2">
      <c r="A207" s="3" t="s">
        <v>428</v>
      </c>
      <c r="B207" s="3" t="s">
        <v>45</v>
      </c>
      <c r="C207" s="3" t="s">
        <v>37</v>
      </c>
      <c r="D207" s="3" t="s">
        <v>319</v>
      </c>
      <c r="E207" s="7">
        <v>2930</v>
      </c>
      <c r="F207" s="5" t="s">
        <v>39</v>
      </c>
      <c r="G207" s="7">
        <v>2510</v>
      </c>
      <c r="H207" s="3" t="s">
        <v>40</v>
      </c>
      <c r="I207" s="3" t="s">
        <v>232</v>
      </c>
    </row>
    <row r="208" spans="1:9" ht="19.95" customHeight="1" x14ac:dyDescent="0.2">
      <c r="A208" s="3" t="s">
        <v>428</v>
      </c>
      <c r="B208" s="3" t="s">
        <v>45</v>
      </c>
      <c r="C208" s="3" t="s">
        <v>133</v>
      </c>
      <c r="D208" s="3" t="s">
        <v>319</v>
      </c>
      <c r="E208" s="4">
        <v>14650</v>
      </c>
      <c r="F208" s="5" t="s">
        <v>39</v>
      </c>
      <c r="G208" s="4">
        <v>12599</v>
      </c>
      <c r="H208" s="3" t="s">
        <v>40</v>
      </c>
      <c r="I208" s="3" t="s">
        <v>232</v>
      </c>
    </row>
    <row r="209" spans="1:9" ht="19.95" customHeight="1" x14ac:dyDescent="0.2">
      <c r="A209" s="3" t="s">
        <v>429</v>
      </c>
      <c r="B209" s="3" t="s">
        <v>45</v>
      </c>
      <c r="C209" s="3" t="s">
        <v>37</v>
      </c>
      <c r="D209" s="3" t="s">
        <v>319</v>
      </c>
      <c r="E209" s="4">
        <v>1040</v>
      </c>
      <c r="F209" s="5" t="s">
        <v>39</v>
      </c>
      <c r="G209" s="4">
        <v>772</v>
      </c>
      <c r="H209" s="3" t="s">
        <v>40</v>
      </c>
      <c r="I209" s="3" t="s">
        <v>232</v>
      </c>
    </row>
    <row r="210" spans="1:9" ht="19.95" customHeight="1" x14ac:dyDescent="0.2">
      <c r="A210" s="3" t="s">
        <v>429</v>
      </c>
      <c r="B210" s="3" t="s">
        <v>45</v>
      </c>
      <c r="C210" s="3" t="s">
        <v>140</v>
      </c>
      <c r="D210" s="3" t="s">
        <v>319</v>
      </c>
      <c r="E210" s="4">
        <v>10400</v>
      </c>
      <c r="F210" s="5" t="s">
        <v>39</v>
      </c>
      <c r="G210" s="4">
        <v>7725</v>
      </c>
      <c r="H210" s="3" t="s">
        <v>40</v>
      </c>
      <c r="I210" s="3" t="s">
        <v>232</v>
      </c>
    </row>
    <row r="211" spans="1:9" ht="19.95" customHeight="1" x14ac:dyDescent="0.2">
      <c r="A211" s="3" t="s">
        <v>430</v>
      </c>
      <c r="B211" s="3" t="s">
        <v>91</v>
      </c>
      <c r="C211" s="3" t="s">
        <v>74</v>
      </c>
      <c r="D211" s="3" t="s">
        <v>228</v>
      </c>
      <c r="E211" s="4">
        <v>12635</v>
      </c>
      <c r="F211" s="5" t="s">
        <v>75</v>
      </c>
      <c r="G211" s="4">
        <v>11245</v>
      </c>
      <c r="H211" s="3" t="s">
        <v>63</v>
      </c>
      <c r="I211" s="3" t="s">
        <v>76</v>
      </c>
    </row>
    <row r="212" spans="1:9" ht="19.95" customHeight="1" x14ac:dyDescent="0.2">
      <c r="A212" s="3" t="s">
        <v>431</v>
      </c>
      <c r="B212" s="3" t="s">
        <v>45</v>
      </c>
      <c r="C212" s="3" t="s">
        <v>37</v>
      </c>
      <c r="D212" s="3" t="s">
        <v>432</v>
      </c>
      <c r="E212" s="4">
        <v>8520</v>
      </c>
      <c r="F212" s="5" t="s">
        <v>39</v>
      </c>
      <c r="G212" s="4">
        <v>7285</v>
      </c>
      <c r="H212" s="3" t="s">
        <v>40</v>
      </c>
      <c r="I212" s="3" t="s">
        <v>433</v>
      </c>
    </row>
    <row r="213" spans="1:9" ht="19.95" customHeight="1" x14ac:dyDescent="0.2">
      <c r="A213" s="3" t="s">
        <v>434</v>
      </c>
      <c r="B213" s="3" t="s">
        <v>11</v>
      </c>
      <c r="C213" s="3" t="s">
        <v>74</v>
      </c>
      <c r="D213" s="3" t="s">
        <v>228</v>
      </c>
      <c r="E213" s="4">
        <v>11235</v>
      </c>
      <c r="F213" s="5" t="s">
        <v>75</v>
      </c>
      <c r="G213" s="3"/>
      <c r="H213" s="3" t="s">
        <v>63</v>
      </c>
      <c r="I213" s="3" t="s">
        <v>76</v>
      </c>
    </row>
    <row r="214" spans="1:9" ht="19.95" customHeight="1" x14ac:dyDescent="0.2">
      <c r="A214" s="3" t="s">
        <v>435</v>
      </c>
      <c r="B214" s="3" t="s">
        <v>10</v>
      </c>
      <c r="C214" s="3" t="s">
        <v>84</v>
      </c>
      <c r="D214" s="3" t="s">
        <v>262</v>
      </c>
      <c r="E214" s="4">
        <v>1980</v>
      </c>
      <c r="F214" s="5" t="s">
        <v>14</v>
      </c>
      <c r="G214" s="4">
        <v>1800</v>
      </c>
      <c r="H214" s="3" t="s">
        <v>40</v>
      </c>
      <c r="I214" s="3" t="s">
        <v>229</v>
      </c>
    </row>
    <row r="215" spans="1:9" ht="19.95" customHeight="1" x14ac:dyDescent="0.2">
      <c r="A215" s="3" t="s">
        <v>436</v>
      </c>
      <c r="B215" s="3" t="s">
        <v>45</v>
      </c>
      <c r="C215" s="3" t="s">
        <v>308</v>
      </c>
      <c r="D215" s="3" t="s">
        <v>262</v>
      </c>
      <c r="E215" s="4">
        <v>12500</v>
      </c>
      <c r="F215" s="5" t="s">
        <v>39</v>
      </c>
      <c r="G215" s="4">
        <v>10750</v>
      </c>
      <c r="H215" s="3" t="s">
        <v>40</v>
      </c>
      <c r="I215" s="3" t="s">
        <v>229</v>
      </c>
    </row>
    <row r="216" spans="1:9" ht="19.95" customHeight="1" x14ac:dyDescent="0.2">
      <c r="A216" s="3" t="s">
        <v>437</v>
      </c>
      <c r="B216" s="3" t="s">
        <v>45</v>
      </c>
      <c r="C216" s="3" t="s">
        <v>37</v>
      </c>
      <c r="D216" s="3" t="s">
        <v>262</v>
      </c>
      <c r="E216" s="4">
        <v>1610</v>
      </c>
      <c r="F216" s="5" t="s">
        <v>39</v>
      </c>
      <c r="G216" s="4">
        <v>1385</v>
      </c>
      <c r="H216" s="3" t="s">
        <v>40</v>
      </c>
      <c r="I216" s="3" t="s">
        <v>229</v>
      </c>
    </row>
    <row r="217" spans="1:9" ht="19.95" customHeight="1" x14ac:dyDescent="0.2">
      <c r="A217" s="3" t="s">
        <v>438</v>
      </c>
      <c r="B217" s="3" t="s">
        <v>10</v>
      </c>
      <c r="C217" s="3" t="s">
        <v>69</v>
      </c>
      <c r="D217" s="3" t="s">
        <v>439</v>
      </c>
      <c r="E217" s="4">
        <v>2490</v>
      </c>
      <c r="F217" s="5" t="s">
        <v>39</v>
      </c>
      <c r="G217" s="4">
        <v>2263</v>
      </c>
      <c r="H217" s="3" t="s">
        <v>40</v>
      </c>
      <c r="I217" s="3" t="s">
        <v>116</v>
      </c>
    </row>
    <row r="218" spans="1:9" ht="19.95" customHeight="1" x14ac:dyDescent="0.2">
      <c r="A218" s="3" t="s">
        <v>440</v>
      </c>
      <c r="B218" s="3" t="s">
        <v>45</v>
      </c>
      <c r="C218" s="3" t="s">
        <v>37</v>
      </c>
      <c r="D218" s="3" t="s">
        <v>164</v>
      </c>
      <c r="E218" s="4">
        <v>3170</v>
      </c>
      <c r="F218" s="5" t="s">
        <v>39</v>
      </c>
      <c r="G218" s="4">
        <v>2710</v>
      </c>
      <c r="H218" s="3" t="s">
        <v>40</v>
      </c>
      <c r="I218" s="3" t="s">
        <v>325</v>
      </c>
    </row>
    <row r="219" spans="1:9" ht="19.95" customHeight="1" x14ac:dyDescent="0.2">
      <c r="A219" s="3" t="s">
        <v>441</v>
      </c>
      <c r="B219" s="3" t="s">
        <v>45</v>
      </c>
      <c r="C219" s="3" t="s">
        <v>69</v>
      </c>
      <c r="D219" s="3" t="s">
        <v>424</v>
      </c>
      <c r="E219" s="4">
        <v>820</v>
      </c>
      <c r="F219" s="5" t="s">
        <v>39</v>
      </c>
      <c r="G219" s="4">
        <v>730</v>
      </c>
      <c r="H219" s="3" t="s">
        <v>40</v>
      </c>
      <c r="I219" s="3" t="s">
        <v>314</v>
      </c>
    </row>
    <row r="220" spans="1:9" ht="19.95" customHeight="1" x14ac:dyDescent="0.2">
      <c r="A220" s="3" t="s">
        <v>442</v>
      </c>
      <c r="B220" s="3" t="s">
        <v>11</v>
      </c>
      <c r="C220" s="3" t="s">
        <v>443</v>
      </c>
      <c r="D220" s="3" t="s">
        <v>295</v>
      </c>
      <c r="E220" s="4">
        <v>3020</v>
      </c>
      <c r="F220" s="5" t="s">
        <v>98</v>
      </c>
      <c r="G220" s="3"/>
      <c r="H220" s="3" t="s">
        <v>81</v>
      </c>
      <c r="I220" s="3" t="s">
        <v>275</v>
      </c>
    </row>
    <row r="221" spans="1:9" ht="19.95" customHeight="1" x14ac:dyDescent="0.2">
      <c r="A221" s="3" t="s">
        <v>444</v>
      </c>
      <c r="B221" s="3" t="s">
        <v>10</v>
      </c>
      <c r="C221" s="3" t="s">
        <v>445</v>
      </c>
      <c r="D221" s="3" t="s">
        <v>446</v>
      </c>
      <c r="E221" s="4">
        <v>1242</v>
      </c>
      <c r="F221" s="5" t="s">
        <v>249</v>
      </c>
      <c r="G221" s="4">
        <v>1096</v>
      </c>
      <c r="H221" s="3" t="s">
        <v>63</v>
      </c>
      <c r="I221" s="3" t="s">
        <v>217</v>
      </c>
    </row>
    <row r="222" spans="1:9" ht="19.95" customHeight="1" x14ac:dyDescent="0.2">
      <c r="A222" s="3" t="s">
        <v>447</v>
      </c>
      <c r="B222" s="3" t="s">
        <v>10</v>
      </c>
      <c r="C222" s="3" t="s">
        <v>140</v>
      </c>
      <c r="D222" s="3" t="s">
        <v>448</v>
      </c>
      <c r="E222" s="4">
        <v>5900</v>
      </c>
      <c r="F222" s="5" t="s">
        <v>39</v>
      </c>
      <c r="G222" s="7">
        <v>5363</v>
      </c>
      <c r="H222" s="3" t="s">
        <v>40</v>
      </c>
      <c r="I222" s="3" t="s">
        <v>449</v>
      </c>
    </row>
    <row r="223" spans="1:9" ht="19.95" customHeight="1" x14ac:dyDescent="0.2">
      <c r="A223" s="3" t="s">
        <v>450</v>
      </c>
      <c r="B223" s="3" t="s">
        <v>115</v>
      </c>
      <c r="C223" s="3" t="s">
        <v>451</v>
      </c>
      <c r="D223" s="3" t="s">
        <v>115</v>
      </c>
      <c r="E223" s="4">
        <v>3120</v>
      </c>
      <c r="F223" s="5" t="s">
        <v>39</v>
      </c>
      <c r="G223" s="4">
        <v>2715</v>
      </c>
      <c r="H223" s="3" t="s">
        <v>40</v>
      </c>
      <c r="I223" s="3" t="s">
        <v>433</v>
      </c>
    </row>
    <row r="224" spans="1:9" ht="19.95" customHeight="1" x14ac:dyDescent="0.2">
      <c r="A224" s="3" t="s">
        <v>452</v>
      </c>
      <c r="B224" s="3" t="s">
        <v>11</v>
      </c>
      <c r="C224" s="3" t="s">
        <v>453</v>
      </c>
      <c r="D224" s="3" t="s">
        <v>115</v>
      </c>
      <c r="E224" s="4">
        <v>3460</v>
      </c>
      <c r="F224" s="5" t="s">
        <v>89</v>
      </c>
      <c r="G224" s="3"/>
      <c r="H224" s="3" t="s">
        <v>81</v>
      </c>
      <c r="I224" s="3" t="s">
        <v>454</v>
      </c>
    </row>
    <row r="225" spans="1:9" ht="19.95" customHeight="1" x14ac:dyDescent="0.2">
      <c r="A225" s="3" t="s">
        <v>455</v>
      </c>
      <c r="B225" s="3" t="s">
        <v>45</v>
      </c>
      <c r="C225" s="3" t="s">
        <v>456</v>
      </c>
      <c r="D225" s="3" t="s">
        <v>182</v>
      </c>
      <c r="E225" s="4">
        <v>24863.040000000001</v>
      </c>
      <c r="F225" s="5" t="s">
        <v>14</v>
      </c>
      <c r="G225" s="4">
        <v>21879</v>
      </c>
      <c r="H225" s="3" t="s">
        <v>63</v>
      </c>
      <c r="I225" s="3" t="s">
        <v>346</v>
      </c>
    </row>
    <row r="226" spans="1:9" ht="19.95" customHeight="1" x14ac:dyDescent="0.2">
      <c r="A226" s="3" t="s">
        <v>457</v>
      </c>
      <c r="B226" s="3" t="s">
        <v>45</v>
      </c>
      <c r="C226" s="3" t="s">
        <v>458</v>
      </c>
      <c r="D226" s="3" t="s">
        <v>459</v>
      </c>
      <c r="E226" s="4">
        <v>8114.4</v>
      </c>
      <c r="F226" s="5" t="s">
        <v>14</v>
      </c>
      <c r="G226" s="4">
        <v>7229</v>
      </c>
      <c r="H226" s="3" t="s">
        <v>40</v>
      </c>
      <c r="I226" s="3" t="s">
        <v>460</v>
      </c>
    </row>
    <row r="227" spans="1:9" ht="19.95" customHeight="1" x14ac:dyDescent="0.2">
      <c r="A227" s="3" t="s">
        <v>461</v>
      </c>
      <c r="B227" s="3" t="s">
        <v>10</v>
      </c>
      <c r="C227" s="3" t="s">
        <v>37</v>
      </c>
      <c r="D227" s="3" t="s">
        <v>378</v>
      </c>
      <c r="E227" s="4">
        <v>1270</v>
      </c>
      <c r="F227" s="5" t="s">
        <v>39</v>
      </c>
      <c r="G227" s="4">
        <v>910</v>
      </c>
      <c r="H227" s="3" t="s">
        <v>40</v>
      </c>
      <c r="I227" s="3" t="s">
        <v>263</v>
      </c>
    </row>
    <row r="228" spans="1:9" ht="19.95" customHeight="1" x14ac:dyDescent="0.2">
      <c r="A228" s="3" t="s">
        <v>462</v>
      </c>
      <c r="B228" s="3" t="s">
        <v>11</v>
      </c>
      <c r="C228" s="3" t="s">
        <v>37</v>
      </c>
      <c r="D228" s="3" t="s">
        <v>115</v>
      </c>
      <c r="E228" s="4">
        <v>1270</v>
      </c>
      <c r="F228" s="5" t="s">
        <v>39</v>
      </c>
      <c r="G228" s="3"/>
      <c r="H228" s="3" t="s">
        <v>40</v>
      </c>
      <c r="I228" s="3" t="s">
        <v>263</v>
      </c>
    </row>
    <row r="229" spans="1:9" ht="19.95" customHeight="1" x14ac:dyDescent="0.2">
      <c r="A229" s="3" t="s">
        <v>463</v>
      </c>
      <c r="B229" s="3" t="s">
        <v>10</v>
      </c>
      <c r="C229" s="3" t="s">
        <v>37</v>
      </c>
      <c r="D229" s="3" t="s">
        <v>378</v>
      </c>
      <c r="E229" s="4">
        <v>3190</v>
      </c>
      <c r="F229" s="5" t="s">
        <v>39</v>
      </c>
      <c r="G229" s="7">
        <v>2280</v>
      </c>
      <c r="H229" s="3" t="s">
        <v>40</v>
      </c>
      <c r="I229" s="3" t="s">
        <v>263</v>
      </c>
    </row>
    <row r="230" spans="1:9" ht="19.95" customHeight="1" x14ac:dyDescent="0.2">
      <c r="A230" s="3" t="s">
        <v>463</v>
      </c>
      <c r="B230" s="3" t="s">
        <v>10</v>
      </c>
      <c r="C230" s="3" t="s">
        <v>133</v>
      </c>
      <c r="D230" s="3" t="s">
        <v>378</v>
      </c>
      <c r="E230" s="4">
        <v>15950</v>
      </c>
      <c r="F230" s="5" t="s">
        <v>39</v>
      </c>
      <c r="G230" s="4">
        <v>11400</v>
      </c>
      <c r="H230" s="3" t="s">
        <v>40</v>
      </c>
      <c r="I230" s="3" t="s">
        <v>263</v>
      </c>
    </row>
    <row r="231" spans="1:9" ht="19.95" customHeight="1" x14ac:dyDescent="0.2">
      <c r="A231" s="3" t="s">
        <v>464</v>
      </c>
      <c r="B231" s="3" t="s">
        <v>11</v>
      </c>
      <c r="C231" s="3" t="s">
        <v>451</v>
      </c>
      <c r="D231" s="3" t="s">
        <v>115</v>
      </c>
      <c r="E231" s="4">
        <v>9570</v>
      </c>
      <c r="F231" s="5" t="s">
        <v>39</v>
      </c>
      <c r="G231" s="3"/>
      <c r="H231" s="3" t="s">
        <v>40</v>
      </c>
      <c r="I231" s="3" t="s">
        <v>263</v>
      </c>
    </row>
    <row r="232" spans="1:9" ht="19.95" customHeight="1" x14ac:dyDescent="0.2">
      <c r="A232" s="3" t="s">
        <v>465</v>
      </c>
      <c r="B232" s="3" t="s">
        <v>11</v>
      </c>
      <c r="C232" s="3" t="s">
        <v>37</v>
      </c>
      <c r="D232" s="3" t="s">
        <v>115</v>
      </c>
      <c r="E232" s="4">
        <v>3190</v>
      </c>
      <c r="F232" s="5" t="s">
        <v>39</v>
      </c>
      <c r="G232" s="3"/>
      <c r="H232" s="3" t="s">
        <v>40</v>
      </c>
      <c r="I232" s="3" t="s">
        <v>263</v>
      </c>
    </row>
    <row r="233" spans="1:9" ht="19.95" customHeight="1" x14ac:dyDescent="0.2">
      <c r="A233" s="3" t="s">
        <v>466</v>
      </c>
      <c r="B233" s="3" t="s">
        <v>45</v>
      </c>
      <c r="C233" s="3" t="s">
        <v>69</v>
      </c>
      <c r="D233" s="3" t="s">
        <v>459</v>
      </c>
      <c r="E233" s="4">
        <v>1610</v>
      </c>
      <c r="F233" s="5" t="s">
        <v>39</v>
      </c>
      <c r="G233" s="7">
        <v>1434</v>
      </c>
      <c r="H233" s="3" t="s">
        <v>40</v>
      </c>
      <c r="I233" s="3" t="s">
        <v>167</v>
      </c>
    </row>
    <row r="234" spans="1:9" ht="19.95" customHeight="1" x14ac:dyDescent="0.2">
      <c r="A234" s="3" t="s">
        <v>467</v>
      </c>
      <c r="B234" s="3" t="s">
        <v>45</v>
      </c>
      <c r="C234" s="3" t="s">
        <v>245</v>
      </c>
      <c r="D234" s="3" t="s">
        <v>468</v>
      </c>
      <c r="E234" s="4">
        <v>585</v>
      </c>
      <c r="F234" s="5" t="s">
        <v>14</v>
      </c>
      <c r="G234" s="4">
        <v>521</v>
      </c>
      <c r="H234" s="3" t="s">
        <v>63</v>
      </c>
      <c r="I234" s="3" t="s">
        <v>129</v>
      </c>
    </row>
    <row r="235" spans="1:9" ht="19.95" customHeight="1" x14ac:dyDescent="0.2">
      <c r="A235" s="3" t="s">
        <v>469</v>
      </c>
      <c r="B235" s="3" t="s">
        <v>11</v>
      </c>
      <c r="C235" s="3" t="s">
        <v>37</v>
      </c>
      <c r="D235" s="3" t="s">
        <v>470</v>
      </c>
      <c r="E235" s="4">
        <v>7170</v>
      </c>
      <c r="F235" s="5" t="s">
        <v>39</v>
      </c>
      <c r="G235" s="3"/>
      <c r="H235" s="3" t="s">
        <v>63</v>
      </c>
      <c r="I235" s="3" t="s">
        <v>471</v>
      </c>
    </row>
    <row r="236" spans="1:9" ht="19.95" customHeight="1" x14ac:dyDescent="0.2">
      <c r="A236" s="3" t="s">
        <v>472</v>
      </c>
      <c r="B236" s="3" t="s">
        <v>45</v>
      </c>
      <c r="C236" s="3" t="s">
        <v>473</v>
      </c>
      <c r="D236" s="3" t="s">
        <v>147</v>
      </c>
      <c r="E236" s="4">
        <v>1878</v>
      </c>
      <c r="F236" s="5" t="s">
        <v>148</v>
      </c>
      <c r="G236" s="4">
        <v>1673</v>
      </c>
      <c r="H236" s="3" t="s">
        <v>63</v>
      </c>
      <c r="I236" s="3" t="s">
        <v>76</v>
      </c>
    </row>
    <row r="237" spans="1:9" ht="19.95" customHeight="1" x14ac:dyDescent="0.2">
      <c r="A237" s="3" t="s">
        <v>472</v>
      </c>
      <c r="B237" s="3" t="s">
        <v>11</v>
      </c>
      <c r="C237" s="3" t="s">
        <v>474</v>
      </c>
      <c r="D237" s="3" t="s">
        <v>147</v>
      </c>
      <c r="E237" s="4">
        <v>939</v>
      </c>
      <c r="F237" s="5" t="s">
        <v>148</v>
      </c>
      <c r="G237" s="6"/>
      <c r="H237" s="3" t="s">
        <v>63</v>
      </c>
      <c r="I237" s="3" t="s">
        <v>76</v>
      </c>
    </row>
    <row r="238" spans="1:9" ht="19.95" customHeight="1" x14ac:dyDescent="0.2">
      <c r="A238" s="3" t="s">
        <v>475</v>
      </c>
      <c r="B238" s="3" t="s">
        <v>11</v>
      </c>
      <c r="C238" s="3" t="s">
        <v>476</v>
      </c>
      <c r="D238" s="3" t="s">
        <v>477</v>
      </c>
      <c r="E238" s="4">
        <v>610</v>
      </c>
      <c r="F238" s="5" t="s">
        <v>89</v>
      </c>
      <c r="G238" s="3"/>
      <c r="H238" s="3" t="s">
        <v>81</v>
      </c>
      <c r="I238" s="3" t="s">
        <v>478</v>
      </c>
    </row>
    <row r="239" spans="1:9" ht="19.95" customHeight="1" x14ac:dyDescent="0.2">
      <c r="A239" s="3" t="s">
        <v>479</v>
      </c>
      <c r="B239" s="3" t="s">
        <v>10</v>
      </c>
      <c r="C239" s="3" t="s">
        <v>480</v>
      </c>
      <c r="D239" s="3" t="s">
        <v>459</v>
      </c>
      <c r="E239" s="4">
        <v>1280</v>
      </c>
      <c r="F239" s="5" t="s">
        <v>14</v>
      </c>
      <c r="G239" s="4">
        <v>1140</v>
      </c>
      <c r="H239" s="3" t="s">
        <v>63</v>
      </c>
      <c r="I239" s="3" t="s">
        <v>94</v>
      </c>
    </row>
    <row r="240" spans="1:9" ht="19.95" customHeight="1" x14ac:dyDescent="0.2">
      <c r="A240" s="3" t="s">
        <v>481</v>
      </c>
      <c r="B240" s="3" t="s">
        <v>11</v>
      </c>
      <c r="C240" s="3" t="s">
        <v>482</v>
      </c>
      <c r="D240" s="3" t="s">
        <v>109</v>
      </c>
      <c r="E240" s="4">
        <v>2310</v>
      </c>
      <c r="F240" s="5" t="s">
        <v>148</v>
      </c>
      <c r="G240" s="6"/>
      <c r="H240" s="3" t="s">
        <v>63</v>
      </c>
      <c r="I240" s="3" t="s">
        <v>483</v>
      </c>
    </row>
    <row r="241" spans="1:9" ht="19.95" customHeight="1" x14ac:dyDescent="0.2">
      <c r="A241" s="3" t="s">
        <v>484</v>
      </c>
      <c r="B241" s="3" t="s">
        <v>91</v>
      </c>
      <c r="C241" s="3" t="s">
        <v>485</v>
      </c>
      <c r="D241" s="3" t="s">
        <v>349</v>
      </c>
      <c r="E241" s="4">
        <v>8610</v>
      </c>
      <c r="F241" s="5" t="s">
        <v>183</v>
      </c>
      <c r="G241" s="7">
        <v>7766</v>
      </c>
      <c r="H241" s="3" t="s">
        <v>63</v>
      </c>
      <c r="I241" s="3" t="s">
        <v>129</v>
      </c>
    </row>
    <row r="242" spans="1:9" ht="19.95" customHeight="1" x14ac:dyDescent="0.2">
      <c r="A242" s="3" t="s">
        <v>486</v>
      </c>
      <c r="B242" s="3" t="s">
        <v>10</v>
      </c>
      <c r="C242" s="3" t="s">
        <v>487</v>
      </c>
      <c r="D242" s="3" t="s">
        <v>319</v>
      </c>
      <c r="E242" s="4">
        <v>5470</v>
      </c>
      <c r="F242" s="5" t="s">
        <v>58</v>
      </c>
      <c r="G242" s="4">
        <v>4972</v>
      </c>
      <c r="H242" s="3" t="s">
        <v>40</v>
      </c>
      <c r="I242" s="3" t="s">
        <v>369</v>
      </c>
    </row>
    <row r="243" spans="1:9" ht="19.95" customHeight="1" x14ac:dyDescent="0.2">
      <c r="A243" s="3" t="s">
        <v>488</v>
      </c>
      <c r="B243" s="3" t="s">
        <v>10</v>
      </c>
      <c r="C243" s="3" t="s">
        <v>69</v>
      </c>
      <c r="D243" s="3" t="s">
        <v>319</v>
      </c>
      <c r="E243" s="4">
        <v>3150</v>
      </c>
      <c r="F243" s="5" t="s">
        <v>58</v>
      </c>
      <c r="G243" s="4">
        <v>2863</v>
      </c>
      <c r="H243" s="3" t="s">
        <v>40</v>
      </c>
      <c r="I243" s="3" t="s">
        <v>369</v>
      </c>
    </row>
    <row r="244" spans="1:9" ht="19.95" customHeight="1" x14ac:dyDescent="0.2">
      <c r="A244" s="3" t="s">
        <v>489</v>
      </c>
      <c r="B244" s="3" t="s">
        <v>45</v>
      </c>
      <c r="C244" s="3" t="s">
        <v>37</v>
      </c>
      <c r="D244" s="3" t="s">
        <v>490</v>
      </c>
      <c r="E244" s="4">
        <v>4590</v>
      </c>
      <c r="F244" s="5" t="s">
        <v>39</v>
      </c>
      <c r="G244" s="7">
        <v>4049</v>
      </c>
      <c r="H244" s="3" t="s">
        <v>40</v>
      </c>
      <c r="I244" s="3" t="s">
        <v>72</v>
      </c>
    </row>
    <row r="245" spans="1:9" ht="19.95" customHeight="1" x14ac:dyDescent="0.2">
      <c r="A245" s="3" t="s">
        <v>491</v>
      </c>
      <c r="B245" s="3" t="s">
        <v>71</v>
      </c>
      <c r="C245" s="3" t="s">
        <v>92</v>
      </c>
      <c r="D245" s="3" t="s">
        <v>492</v>
      </c>
      <c r="E245" s="4">
        <v>870</v>
      </c>
      <c r="F245" s="5" t="s">
        <v>14</v>
      </c>
      <c r="G245" s="4">
        <v>775</v>
      </c>
      <c r="H245" s="3" t="s">
        <v>63</v>
      </c>
      <c r="I245" s="3" t="s">
        <v>103</v>
      </c>
    </row>
    <row r="246" spans="1:9" ht="19.95" customHeight="1" x14ac:dyDescent="0.2">
      <c r="A246" s="3" t="s">
        <v>493</v>
      </c>
      <c r="B246" s="3" t="s">
        <v>11</v>
      </c>
      <c r="C246" s="3" t="s">
        <v>69</v>
      </c>
      <c r="D246" s="3" t="s">
        <v>105</v>
      </c>
      <c r="E246" s="4">
        <v>740</v>
      </c>
      <c r="F246" s="5" t="s">
        <v>39</v>
      </c>
      <c r="G246" s="7">
        <v>0</v>
      </c>
      <c r="H246" s="3" t="s">
        <v>40</v>
      </c>
      <c r="I246" s="3" t="s">
        <v>334</v>
      </c>
    </row>
    <row r="247" spans="1:9" ht="19.95" customHeight="1" x14ac:dyDescent="0.2">
      <c r="A247" s="3" t="s">
        <v>494</v>
      </c>
      <c r="B247" s="3" t="s">
        <v>10</v>
      </c>
      <c r="C247" s="3" t="s">
        <v>495</v>
      </c>
      <c r="D247" s="3" t="s">
        <v>496</v>
      </c>
      <c r="E247" s="4">
        <v>1125</v>
      </c>
      <c r="F247" s="5" t="s">
        <v>75</v>
      </c>
      <c r="G247" s="7">
        <v>1023</v>
      </c>
      <c r="H247" s="3" t="s">
        <v>63</v>
      </c>
      <c r="I247" s="3" t="s">
        <v>483</v>
      </c>
    </row>
    <row r="248" spans="1:9" ht="19.95" customHeight="1" x14ac:dyDescent="0.2">
      <c r="A248" s="3" t="s">
        <v>497</v>
      </c>
      <c r="B248" s="3" t="s">
        <v>45</v>
      </c>
      <c r="C248" s="3" t="s">
        <v>146</v>
      </c>
      <c r="D248" s="3" t="s">
        <v>248</v>
      </c>
      <c r="E248" s="4">
        <v>16300</v>
      </c>
      <c r="F248" s="5" t="s">
        <v>75</v>
      </c>
      <c r="G248" s="4">
        <v>14263</v>
      </c>
      <c r="H248" s="3" t="s">
        <v>63</v>
      </c>
      <c r="I248" s="3" t="s">
        <v>76</v>
      </c>
    </row>
    <row r="249" spans="1:9" ht="19.95" customHeight="1" x14ac:dyDescent="0.2">
      <c r="A249" s="3" t="s">
        <v>498</v>
      </c>
      <c r="B249" s="3" t="s">
        <v>10</v>
      </c>
      <c r="C249" s="3" t="s">
        <v>136</v>
      </c>
      <c r="D249" s="3" t="s">
        <v>186</v>
      </c>
      <c r="E249" s="4">
        <v>4250</v>
      </c>
      <c r="F249" s="5" t="s">
        <v>14</v>
      </c>
      <c r="G249" s="6"/>
      <c r="H249" s="3" t="s">
        <v>40</v>
      </c>
      <c r="I249" s="3" t="s">
        <v>499</v>
      </c>
    </row>
    <row r="250" spans="1:9" ht="19.95" customHeight="1" x14ac:dyDescent="0.2">
      <c r="A250" s="3" t="s">
        <v>500</v>
      </c>
      <c r="B250" s="3" t="s">
        <v>45</v>
      </c>
      <c r="C250" s="3" t="s">
        <v>276</v>
      </c>
      <c r="D250" s="3" t="s">
        <v>105</v>
      </c>
      <c r="E250" s="3"/>
      <c r="F250" s="5" t="s">
        <v>501</v>
      </c>
      <c r="G250" s="4">
        <v>10450</v>
      </c>
      <c r="H250" s="3" t="s">
        <v>81</v>
      </c>
      <c r="I250" s="3" t="s">
        <v>303</v>
      </c>
    </row>
    <row r="251" spans="1:9" ht="19.95" customHeight="1" x14ac:dyDescent="0.2">
      <c r="A251" s="3" t="s">
        <v>502</v>
      </c>
      <c r="B251" s="3" t="s">
        <v>45</v>
      </c>
      <c r="C251" s="3" t="s">
        <v>69</v>
      </c>
      <c r="D251" s="3" t="s">
        <v>284</v>
      </c>
      <c r="E251" s="4">
        <v>23580</v>
      </c>
      <c r="F251" s="5" t="s">
        <v>39</v>
      </c>
      <c r="G251" s="4">
        <v>20562</v>
      </c>
      <c r="H251" s="3" t="s">
        <v>40</v>
      </c>
      <c r="I251" s="3" t="s">
        <v>187</v>
      </c>
    </row>
    <row r="252" spans="1:9" ht="19.95" customHeight="1" x14ac:dyDescent="0.2">
      <c r="A252" s="3" t="s">
        <v>503</v>
      </c>
      <c r="B252" s="3" t="s">
        <v>10</v>
      </c>
      <c r="C252" s="3" t="s">
        <v>37</v>
      </c>
      <c r="D252" s="3" t="s">
        <v>459</v>
      </c>
      <c r="E252" s="4">
        <v>970</v>
      </c>
      <c r="F252" s="5" t="s">
        <v>39</v>
      </c>
      <c r="G252" s="4">
        <v>816</v>
      </c>
      <c r="H252" s="3" t="s">
        <v>40</v>
      </c>
      <c r="I252" s="3" t="s">
        <v>167</v>
      </c>
    </row>
    <row r="253" spans="1:9" ht="19.95" customHeight="1" x14ac:dyDescent="0.2">
      <c r="A253" s="3" t="s">
        <v>504</v>
      </c>
      <c r="B253" s="3" t="s">
        <v>11</v>
      </c>
      <c r="C253" s="3" t="s">
        <v>308</v>
      </c>
      <c r="D253" s="3" t="s">
        <v>459</v>
      </c>
      <c r="E253" s="4">
        <v>9700</v>
      </c>
      <c r="F253" s="5" t="s">
        <v>39</v>
      </c>
      <c r="G253" s="3"/>
      <c r="H253" s="3" t="s">
        <v>40</v>
      </c>
      <c r="I253" s="3" t="s">
        <v>167</v>
      </c>
    </row>
    <row r="254" spans="1:9" ht="19.95" customHeight="1" x14ac:dyDescent="0.2">
      <c r="A254" s="3" t="s">
        <v>504</v>
      </c>
      <c r="B254" s="3" t="s">
        <v>11</v>
      </c>
      <c r="C254" s="3" t="s">
        <v>37</v>
      </c>
      <c r="D254" s="3" t="s">
        <v>459</v>
      </c>
      <c r="E254" s="4">
        <v>970</v>
      </c>
      <c r="F254" s="5" t="s">
        <v>39</v>
      </c>
      <c r="G254" s="3"/>
      <c r="H254" s="3" t="s">
        <v>40</v>
      </c>
      <c r="I254" s="3" t="s">
        <v>167</v>
      </c>
    </row>
    <row r="255" spans="1:9" ht="19.95" customHeight="1" x14ac:dyDescent="0.2">
      <c r="A255" s="3" t="s">
        <v>504</v>
      </c>
      <c r="B255" s="3" t="s">
        <v>10</v>
      </c>
      <c r="C255" s="3" t="s">
        <v>308</v>
      </c>
      <c r="D255" s="3" t="s">
        <v>459</v>
      </c>
      <c r="E255" s="4">
        <v>9700</v>
      </c>
      <c r="F255" s="5" t="s">
        <v>39</v>
      </c>
      <c r="G255" s="4">
        <v>8160</v>
      </c>
      <c r="H255" s="3" t="s">
        <v>40</v>
      </c>
      <c r="I255" s="3" t="s">
        <v>167</v>
      </c>
    </row>
    <row r="256" spans="1:9" ht="19.95" customHeight="1" x14ac:dyDescent="0.2">
      <c r="A256" s="3" t="s">
        <v>505</v>
      </c>
      <c r="B256" s="3" t="s">
        <v>10</v>
      </c>
      <c r="C256" s="3" t="s">
        <v>308</v>
      </c>
      <c r="D256" s="3" t="s">
        <v>459</v>
      </c>
      <c r="E256" s="4">
        <v>9700</v>
      </c>
      <c r="F256" s="5" t="s">
        <v>39</v>
      </c>
      <c r="G256" s="4">
        <v>8160</v>
      </c>
      <c r="H256" s="3" t="s">
        <v>40</v>
      </c>
      <c r="I256" s="3" t="s">
        <v>167</v>
      </c>
    </row>
    <row r="257" spans="1:9" ht="19.95" customHeight="1" x14ac:dyDescent="0.2">
      <c r="A257" s="3" t="s">
        <v>505</v>
      </c>
      <c r="B257" s="3" t="s">
        <v>11</v>
      </c>
      <c r="C257" s="3" t="s">
        <v>37</v>
      </c>
      <c r="D257" s="3" t="s">
        <v>459</v>
      </c>
      <c r="E257" s="4">
        <v>970</v>
      </c>
      <c r="F257" s="5" t="s">
        <v>39</v>
      </c>
      <c r="G257" s="3"/>
      <c r="H257" s="3" t="s">
        <v>40</v>
      </c>
      <c r="I257" s="3" t="s">
        <v>167</v>
      </c>
    </row>
    <row r="258" spans="1:9" ht="19.95" customHeight="1" x14ac:dyDescent="0.2">
      <c r="A258" s="3" t="s">
        <v>506</v>
      </c>
      <c r="B258" s="3" t="s">
        <v>11</v>
      </c>
      <c r="C258" s="3" t="s">
        <v>507</v>
      </c>
      <c r="D258" s="3" t="s">
        <v>508</v>
      </c>
      <c r="E258" s="4">
        <v>2214.6</v>
      </c>
      <c r="F258" s="5" t="s">
        <v>171</v>
      </c>
      <c r="G258" s="6"/>
      <c r="H258" s="3" t="s">
        <v>63</v>
      </c>
      <c r="I258" s="3" t="s">
        <v>64</v>
      </c>
    </row>
    <row r="259" spans="1:9" ht="19.95" customHeight="1" x14ac:dyDescent="0.2">
      <c r="A259" s="3" t="s">
        <v>509</v>
      </c>
      <c r="B259" s="3" t="s">
        <v>10</v>
      </c>
      <c r="C259" s="3" t="s">
        <v>37</v>
      </c>
      <c r="D259" s="3" t="s">
        <v>510</v>
      </c>
      <c r="E259" s="7">
        <v>1530</v>
      </c>
      <c r="F259" s="5" t="s">
        <v>39</v>
      </c>
      <c r="G259" s="4">
        <v>1363</v>
      </c>
      <c r="H259" s="3" t="s">
        <v>40</v>
      </c>
      <c r="I259" s="3" t="s">
        <v>454</v>
      </c>
    </row>
    <row r="260" spans="1:9" ht="19.95" customHeight="1" x14ac:dyDescent="0.2">
      <c r="A260" s="3" t="s">
        <v>511</v>
      </c>
      <c r="B260" s="3" t="s">
        <v>11</v>
      </c>
      <c r="C260" s="3" t="s">
        <v>512</v>
      </c>
      <c r="D260" s="3" t="s">
        <v>70</v>
      </c>
      <c r="E260" s="4">
        <v>2120</v>
      </c>
      <c r="F260" s="5" t="s">
        <v>58</v>
      </c>
      <c r="G260" s="3"/>
      <c r="H260" s="3" t="s">
        <v>40</v>
      </c>
      <c r="I260" s="3" t="s">
        <v>296</v>
      </c>
    </row>
    <row r="261" spans="1:9" ht="19.95" customHeight="1" x14ac:dyDescent="0.2">
      <c r="A261" s="3" t="s">
        <v>513</v>
      </c>
      <c r="B261" s="3" t="s">
        <v>10</v>
      </c>
      <c r="C261" s="3" t="s">
        <v>69</v>
      </c>
      <c r="D261" s="3" t="s">
        <v>319</v>
      </c>
      <c r="E261" s="4">
        <v>590</v>
      </c>
      <c r="F261" s="5" t="s">
        <v>39</v>
      </c>
      <c r="G261" s="4">
        <v>502</v>
      </c>
      <c r="H261" s="3" t="s">
        <v>40</v>
      </c>
      <c r="I261" s="3" t="s">
        <v>314</v>
      </c>
    </row>
    <row r="262" spans="1:9" ht="19.95" customHeight="1" x14ac:dyDescent="0.2">
      <c r="A262" s="3" t="s">
        <v>514</v>
      </c>
      <c r="B262" s="3" t="s">
        <v>10</v>
      </c>
      <c r="C262" s="3" t="s">
        <v>37</v>
      </c>
      <c r="D262" s="3" t="s">
        <v>319</v>
      </c>
      <c r="E262" s="4">
        <v>600</v>
      </c>
      <c r="F262" s="5" t="s">
        <v>39</v>
      </c>
      <c r="G262" s="7">
        <v>515</v>
      </c>
      <c r="H262" s="3" t="s">
        <v>40</v>
      </c>
      <c r="I262" s="3" t="s">
        <v>314</v>
      </c>
    </row>
    <row r="263" spans="1:9" ht="19.95" customHeight="1" x14ac:dyDescent="0.2">
      <c r="A263" s="3" t="s">
        <v>515</v>
      </c>
      <c r="B263" s="3" t="s">
        <v>11</v>
      </c>
      <c r="C263" s="3" t="s">
        <v>194</v>
      </c>
      <c r="D263" s="3" t="s">
        <v>38</v>
      </c>
      <c r="E263" s="4">
        <v>1200</v>
      </c>
      <c r="F263" s="5" t="s">
        <v>516</v>
      </c>
      <c r="G263" s="6"/>
      <c r="H263" s="3" t="s">
        <v>81</v>
      </c>
      <c r="I263" s="3" t="s">
        <v>314</v>
      </c>
    </row>
    <row r="264" spans="1:9" ht="19.95" customHeight="1" x14ac:dyDescent="0.2">
      <c r="A264" s="3" t="s">
        <v>517</v>
      </c>
      <c r="B264" s="3" t="s">
        <v>45</v>
      </c>
      <c r="C264" s="3" t="s">
        <v>299</v>
      </c>
      <c r="D264" s="3" t="s">
        <v>459</v>
      </c>
      <c r="E264" s="4">
        <v>510</v>
      </c>
      <c r="F264" s="5" t="s">
        <v>75</v>
      </c>
      <c r="G264" s="4">
        <v>454</v>
      </c>
      <c r="H264" s="3" t="s">
        <v>40</v>
      </c>
      <c r="I264" s="3" t="s">
        <v>518</v>
      </c>
    </row>
    <row r="265" spans="1:9" ht="19.95" customHeight="1" x14ac:dyDescent="0.2">
      <c r="A265" s="3" t="s">
        <v>519</v>
      </c>
      <c r="B265" s="3" t="s">
        <v>10</v>
      </c>
      <c r="C265" s="3" t="s">
        <v>520</v>
      </c>
      <c r="D265" s="3" t="s">
        <v>521</v>
      </c>
      <c r="E265" s="4">
        <v>892</v>
      </c>
      <c r="F265" s="5" t="s">
        <v>249</v>
      </c>
      <c r="G265" s="4">
        <v>795</v>
      </c>
      <c r="H265" s="3" t="s">
        <v>63</v>
      </c>
      <c r="I265" s="3" t="s">
        <v>76</v>
      </c>
    </row>
    <row r="266" spans="1:9" ht="19.95" customHeight="1" x14ac:dyDescent="0.2">
      <c r="A266" s="3" t="s">
        <v>522</v>
      </c>
      <c r="B266" s="3" t="s">
        <v>115</v>
      </c>
      <c r="C266" s="3" t="s">
        <v>523</v>
      </c>
      <c r="D266" s="3" t="s">
        <v>115</v>
      </c>
      <c r="E266" s="4">
        <v>6825</v>
      </c>
      <c r="F266" s="5" t="s">
        <v>14</v>
      </c>
      <c r="G266" s="7">
        <v>6090</v>
      </c>
      <c r="H266" s="3" t="s">
        <v>40</v>
      </c>
      <c r="I266" s="3" t="s">
        <v>524</v>
      </c>
    </row>
    <row r="267" spans="1:9" ht="19.95" customHeight="1" x14ac:dyDescent="0.2">
      <c r="A267" s="3" t="s">
        <v>525</v>
      </c>
      <c r="B267" s="3" t="s">
        <v>11</v>
      </c>
      <c r="C267" s="3" t="s">
        <v>69</v>
      </c>
      <c r="D267" s="3" t="s">
        <v>205</v>
      </c>
      <c r="E267" s="4">
        <v>13940</v>
      </c>
      <c r="F267" s="5" t="s">
        <v>39</v>
      </c>
      <c r="G267" s="6"/>
      <c r="H267" s="3" t="s">
        <v>40</v>
      </c>
      <c r="I267" s="3" t="s">
        <v>116</v>
      </c>
    </row>
    <row r="268" spans="1:9" ht="19.95" customHeight="1" x14ac:dyDescent="0.2">
      <c r="A268" s="3" t="s">
        <v>526</v>
      </c>
      <c r="B268" s="3" t="s">
        <v>11</v>
      </c>
      <c r="C268" s="3" t="s">
        <v>527</v>
      </c>
      <c r="D268" s="3" t="s">
        <v>528</v>
      </c>
      <c r="E268" s="4">
        <v>1390</v>
      </c>
      <c r="F268" s="5" t="s">
        <v>89</v>
      </c>
      <c r="G268" s="3"/>
      <c r="H268" s="3" t="s">
        <v>81</v>
      </c>
      <c r="I268" s="3" t="s">
        <v>356</v>
      </c>
    </row>
    <row r="269" spans="1:9" ht="19.95" customHeight="1" x14ac:dyDescent="0.2">
      <c r="A269" s="3" t="s">
        <v>529</v>
      </c>
      <c r="B269" s="3" t="s">
        <v>110</v>
      </c>
      <c r="C269" s="3" t="s">
        <v>146</v>
      </c>
      <c r="D269" s="3" t="s">
        <v>248</v>
      </c>
      <c r="E269" s="4">
        <v>3435</v>
      </c>
      <c r="F269" s="5" t="s">
        <v>249</v>
      </c>
      <c r="G269" s="7">
        <v>3050</v>
      </c>
      <c r="H269" s="3" t="s">
        <v>63</v>
      </c>
      <c r="I269" s="3" t="s">
        <v>76</v>
      </c>
    </row>
    <row r="270" spans="1:9" ht="19.95" customHeight="1" x14ac:dyDescent="0.2">
      <c r="A270" s="3" t="s">
        <v>530</v>
      </c>
      <c r="B270" s="3" t="s">
        <v>45</v>
      </c>
      <c r="C270" s="3" t="s">
        <v>69</v>
      </c>
      <c r="D270" s="3" t="s">
        <v>531</v>
      </c>
      <c r="E270" s="4">
        <v>30700</v>
      </c>
      <c r="F270" s="5" t="s">
        <v>39</v>
      </c>
      <c r="G270" s="4">
        <v>27016</v>
      </c>
      <c r="H270" s="3" t="s">
        <v>40</v>
      </c>
      <c r="I270" s="3" t="s">
        <v>232</v>
      </c>
    </row>
    <row r="271" spans="1:9" ht="19.95" customHeight="1" x14ac:dyDescent="0.2">
      <c r="A271" s="3" t="s">
        <v>532</v>
      </c>
      <c r="B271" s="3" t="s">
        <v>45</v>
      </c>
      <c r="C271" s="3" t="s">
        <v>69</v>
      </c>
      <c r="D271" s="3" t="s">
        <v>531</v>
      </c>
      <c r="E271" s="4">
        <v>19960</v>
      </c>
      <c r="F271" s="5" t="s">
        <v>39</v>
      </c>
      <c r="G271" s="4">
        <v>17565</v>
      </c>
      <c r="H271" s="3" t="s">
        <v>40</v>
      </c>
      <c r="I271" s="3" t="s">
        <v>232</v>
      </c>
    </row>
    <row r="272" spans="1:9" ht="19.95" customHeight="1" x14ac:dyDescent="0.2">
      <c r="A272" s="3" t="s">
        <v>533</v>
      </c>
      <c r="B272" s="3" t="s">
        <v>11</v>
      </c>
      <c r="C272" s="3" t="s">
        <v>534</v>
      </c>
      <c r="D272" s="3" t="s">
        <v>115</v>
      </c>
      <c r="E272" s="4">
        <v>7600</v>
      </c>
      <c r="F272" s="5" t="s">
        <v>58</v>
      </c>
      <c r="G272" s="6"/>
      <c r="H272" s="3" t="s">
        <v>40</v>
      </c>
      <c r="I272" s="3" t="s">
        <v>275</v>
      </c>
    </row>
    <row r="273" spans="1:9" ht="19.95" customHeight="1" x14ac:dyDescent="0.2">
      <c r="A273" s="3" t="s">
        <v>535</v>
      </c>
      <c r="B273" s="3" t="s">
        <v>45</v>
      </c>
      <c r="C273" s="3" t="s">
        <v>536</v>
      </c>
      <c r="D273" s="3" t="s">
        <v>378</v>
      </c>
      <c r="E273" s="4">
        <v>1045</v>
      </c>
      <c r="F273" s="5" t="s">
        <v>171</v>
      </c>
      <c r="G273" s="4">
        <v>950</v>
      </c>
      <c r="H273" s="3" t="s">
        <v>63</v>
      </c>
      <c r="I273" s="3" t="s">
        <v>156</v>
      </c>
    </row>
    <row r="274" spans="1:9" ht="19.95" customHeight="1" x14ac:dyDescent="0.2">
      <c r="A274" s="3" t="s">
        <v>537</v>
      </c>
      <c r="B274" s="3" t="s">
        <v>10</v>
      </c>
      <c r="C274" s="3" t="s">
        <v>37</v>
      </c>
      <c r="D274" s="3" t="s">
        <v>38</v>
      </c>
      <c r="E274" s="4">
        <v>1040</v>
      </c>
      <c r="F274" s="5" t="s">
        <v>39</v>
      </c>
      <c r="G274" s="4">
        <v>945</v>
      </c>
      <c r="H274" s="3" t="s">
        <v>40</v>
      </c>
      <c r="I274" s="3" t="s">
        <v>538</v>
      </c>
    </row>
    <row r="275" spans="1:9" ht="19.95" customHeight="1" x14ac:dyDescent="0.2">
      <c r="A275" s="3" t="s">
        <v>539</v>
      </c>
      <c r="B275" s="3" t="s">
        <v>11</v>
      </c>
      <c r="C275" s="3" t="s">
        <v>37</v>
      </c>
      <c r="D275" s="3" t="s">
        <v>284</v>
      </c>
      <c r="E275" s="4">
        <v>229790</v>
      </c>
      <c r="F275" s="5" t="s">
        <v>39</v>
      </c>
      <c r="G275" s="3"/>
      <c r="H275" s="3" t="s">
        <v>40</v>
      </c>
      <c r="I275" s="3" t="s">
        <v>229</v>
      </c>
    </row>
    <row r="276" spans="1:9" ht="19.95" customHeight="1" x14ac:dyDescent="0.2">
      <c r="A276" s="3" t="s">
        <v>540</v>
      </c>
      <c r="B276" s="3" t="s">
        <v>10</v>
      </c>
      <c r="C276" s="3" t="s">
        <v>140</v>
      </c>
      <c r="D276" s="3" t="s">
        <v>38</v>
      </c>
      <c r="E276" s="4">
        <v>5900</v>
      </c>
      <c r="F276" s="5" t="s">
        <v>39</v>
      </c>
      <c r="G276" s="7">
        <v>5070</v>
      </c>
      <c r="H276" s="3" t="s">
        <v>40</v>
      </c>
      <c r="I276" s="3" t="s">
        <v>541</v>
      </c>
    </row>
    <row r="277" spans="1:9" ht="19.95" customHeight="1" x14ac:dyDescent="0.2">
      <c r="A277" s="3" t="s">
        <v>542</v>
      </c>
      <c r="B277" s="3" t="s">
        <v>45</v>
      </c>
      <c r="C277" s="3" t="s">
        <v>543</v>
      </c>
      <c r="D277" s="3" t="s">
        <v>490</v>
      </c>
      <c r="E277" s="4">
        <v>62475</v>
      </c>
      <c r="F277" s="5" t="s">
        <v>39</v>
      </c>
      <c r="G277" s="7">
        <v>51479</v>
      </c>
      <c r="H277" s="3" t="s">
        <v>40</v>
      </c>
      <c r="I277" s="3" t="s">
        <v>232</v>
      </c>
    </row>
    <row r="278" spans="1:9" ht="19.95" customHeight="1" x14ac:dyDescent="0.2">
      <c r="A278" s="3" t="s">
        <v>544</v>
      </c>
      <c r="B278" s="3" t="s">
        <v>45</v>
      </c>
      <c r="C278" s="3" t="s">
        <v>545</v>
      </c>
      <c r="D278" s="3" t="s">
        <v>490</v>
      </c>
      <c r="E278" s="4">
        <v>3108</v>
      </c>
      <c r="F278" s="5" t="s">
        <v>39</v>
      </c>
      <c r="G278" s="4">
        <v>2561</v>
      </c>
      <c r="H278" s="3" t="s">
        <v>40</v>
      </c>
      <c r="I278" s="3" t="s">
        <v>232</v>
      </c>
    </row>
    <row r="279" spans="1:9" ht="19.95" customHeight="1" x14ac:dyDescent="0.2">
      <c r="A279" s="3" t="s">
        <v>546</v>
      </c>
      <c r="B279" s="3" t="s">
        <v>45</v>
      </c>
      <c r="C279" s="3" t="s">
        <v>543</v>
      </c>
      <c r="D279" s="3" t="s">
        <v>490</v>
      </c>
      <c r="E279" s="4">
        <v>31185</v>
      </c>
      <c r="F279" s="5" t="s">
        <v>39</v>
      </c>
      <c r="G279" s="4">
        <v>25695</v>
      </c>
      <c r="H279" s="3" t="s">
        <v>40</v>
      </c>
      <c r="I279" s="3" t="s">
        <v>232</v>
      </c>
    </row>
    <row r="280" spans="1:9" ht="19.95" customHeight="1" x14ac:dyDescent="0.2">
      <c r="A280" s="3" t="s">
        <v>547</v>
      </c>
      <c r="B280" s="3" t="s">
        <v>45</v>
      </c>
      <c r="C280" s="3" t="s">
        <v>69</v>
      </c>
      <c r="D280" s="3" t="s">
        <v>109</v>
      </c>
      <c r="E280" s="4">
        <v>1590</v>
      </c>
      <c r="F280" s="5" t="s">
        <v>39</v>
      </c>
      <c r="G280" s="4">
        <v>1383</v>
      </c>
      <c r="H280" s="3" t="s">
        <v>40</v>
      </c>
      <c r="I280" s="3" t="s">
        <v>296</v>
      </c>
    </row>
    <row r="281" spans="1:9" ht="19.95" customHeight="1" x14ac:dyDescent="0.2">
      <c r="A281" s="3" t="s">
        <v>548</v>
      </c>
      <c r="B281" s="3" t="s">
        <v>10</v>
      </c>
      <c r="C281" s="3" t="s">
        <v>140</v>
      </c>
      <c r="D281" s="3" t="s">
        <v>496</v>
      </c>
      <c r="E281" s="4">
        <v>5900</v>
      </c>
      <c r="F281" s="5" t="s">
        <v>39</v>
      </c>
      <c r="G281" s="7">
        <v>5049</v>
      </c>
      <c r="H281" s="3" t="s">
        <v>40</v>
      </c>
      <c r="I281" s="3" t="s">
        <v>549</v>
      </c>
    </row>
    <row r="282" spans="1:9" ht="19.95" customHeight="1" x14ac:dyDescent="0.2">
      <c r="A282" s="3" t="s">
        <v>548</v>
      </c>
      <c r="B282" s="3" t="s">
        <v>10</v>
      </c>
      <c r="C282" s="3" t="s">
        <v>69</v>
      </c>
      <c r="D282" s="3" t="s">
        <v>496</v>
      </c>
      <c r="E282" s="4">
        <v>590</v>
      </c>
      <c r="F282" s="5" t="s">
        <v>39</v>
      </c>
      <c r="G282" s="4">
        <v>506</v>
      </c>
      <c r="H282" s="3" t="s">
        <v>40</v>
      </c>
      <c r="I282" s="3" t="s">
        <v>549</v>
      </c>
    </row>
    <row r="283" spans="1:9" ht="19.95" customHeight="1" x14ac:dyDescent="0.2">
      <c r="A283" s="3" t="s">
        <v>550</v>
      </c>
      <c r="B283" s="3" t="s">
        <v>10</v>
      </c>
      <c r="C283" s="3" t="s">
        <v>69</v>
      </c>
      <c r="D283" s="3" t="s">
        <v>551</v>
      </c>
      <c r="E283" s="4">
        <v>2440</v>
      </c>
      <c r="F283" s="5" t="s">
        <v>39</v>
      </c>
      <c r="G283" s="4">
        <v>1800</v>
      </c>
      <c r="H283" s="3" t="s">
        <v>40</v>
      </c>
      <c r="I283" s="3" t="s">
        <v>263</v>
      </c>
    </row>
    <row r="284" spans="1:9" ht="19.95" customHeight="1" x14ac:dyDescent="0.2">
      <c r="A284" s="3" t="s">
        <v>552</v>
      </c>
      <c r="B284" s="3" t="s">
        <v>10</v>
      </c>
      <c r="C284" s="3" t="s">
        <v>176</v>
      </c>
      <c r="D284" s="3" t="s">
        <v>551</v>
      </c>
      <c r="E284" s="4">
        <v>12200</v>
      </c>
      <c r="F284" s="5" t="s">
        <v>39</v>
      </c>
      <c r="G284" s="7">
        <v>9000</v>
      </c>
      <c r="H284" s="3" t="s">
        <v>40</v>
      </c>
      <c r="I284" s="3" t="s">
        <v>263</v>
      </c>
    </row>
    <row r="285" spans="1:9" ht="19.95" customHeight="1" x14ac:dyDescent="0.2">
      <c r="A285" s="3" t="s">
        <v>553</v>
      </c>
      <c r="B285" s="3" t="s">
        <v>11</v>
      </c>
      <c r="C285" s="3" t="s">
        <v>192</v>
      </c>
      <c r="D285" s="3" t="s">
        <v>115</v>
      </c>
      <c r="E285" s="4">
        <v>3780</v>
      </c>
      <c r="F285" s="5" t="s">
        <v>39</v>
      </c>
      <c r="G285" s="3"/>
      <c r="H285" s="3" t="s">
        <v>40</v>
      </c>
      <c r="I285" s="3" t="s">
        <v>263</v>
      </c>
    </row>
    <row r="286" spans="1:9" ht="19.95" customHeight="1" x14ac:dyDescent="0.2">
      <c r="A286" s="3" t="s">
        <v>554</v>
      </c>
      <c r="B286" s="3" t="s">
        <v>11</v>
      </c>
      <c r="C286" s="3" t="s">
        <v>69</v>
      </c>
      <c r="D286" s="3" t="s">
        <v>115</v>
      </c>
      <c r="E286" s="4">
        <v>1260</v>
      </c>
      <c r="F286" s="5" t="s">
        <v>39</v>
      </c>
      <c r="G286" s="3"/>
      <c r="H286" s="3" t="s">
        <v>40</v>
      </c>
      <c r="I286" s="3" t="s">
        <v>263</v>
      </c>
    </row>
    <row r="287" spans="1:9" ht="19.95" customHeight="1" x14ac:dyDescent="0.2">
      <c r="A287" s="3" t="s">
        <v>555</v>
      </c>
      <c r="B287" s="3" t="s">
        <v>110</v>
      </c>
      <c r="C287" s="3" t="s">
        <v>69</v>
      </c>
      <c r="D287" s="3" t="s">
        <v>556</v>
      </c>
      <c r="E287" s="4">
        <v>1320</v>
      </c>
      <c r="F287" s="5" t="s">
        <v>39</v>
      </c>
      <c r="G287" s="4">
        <v>1198</v>
      </c>
      <c r="H287" s="3" t="s">
        <v>40</v>
      </c>
      <c r="I287" s="3" t="s">
        <v>557</v>
      </c>
    </row>
    <row r="288" spans="1:9" ht="19.95" customHeight="1" x14ac:dyDescent="0.2">
      <c r="A288" s="3" t="s">
        <v>558</v>
      </c>
      <c r="B288" s="3" t="s">
        <v>45</v>
      </c>
      <c r="C288" s="3" t="s">
        <v>69</v>
      </c>
      <c r="D288" s="3" t="s">
        <v>559</v>
      </c>
      <c r="E288" s="4">
        <v>6090</v>
      </c>
      <c r="F288" s="5" t="s">
        <v>39</v>
      </c>
      <c r="G288" s="4">
        <v>5237</v>
      </c>
      <c r="H288" s="3" t="s">
        <v>40</v>
      </c>
      <c r="I288" s="3" t="s">
        <v>325</v>
      </c>
    </row>
    <row r="289" spans="1:9" ht="19.95" customHeight="1" x14ac:dyDescent="0.2">
      <c r="A289" s="3" t="s">
        <v>560</v>
      </c>
      <c r="B289" s="3" t="s">
        <v>45</v>
      </c>
      <c r="C289" s="3" t="s">
        <v>84</v>
      </c>
      <c r="D289" s="3" t="s">
        <v>446</v>
      </c>
      <c r="E289" s="4">
        <v>970</v>
      </c>
      <c r="F289" s="5" t="s">
        <v>14</v>
      </c>
      <c r="G289" s="4">
        <v>864</v>
      </c>
      <c r="H289" s="3" t="s">
        <v>63</v>
      </c>
      <c r="I289" s="3" t="s">
        <v>103</v>
      </c>
    </row>
    <row r="290" spans="1:9" ht="19.95" customHeight="1" x14ac:dyDescent="0.2">
      <c r="A290" s="3" t="s">
        <v>561</v>
      </c>
      <c r="B290" s="3" t="s">
        <v>45</v>
      </c>
      <c r="C290" s="3" t="s">
        <v>562</v>
      </c>
      <c r="D290" s="3" t="s">
        <v>102</v>
      </c>
      <c r="E290" s="4">
        <v>5748</v>
      </c>
      <c r="F290" s="5" t="s">
        <v>39</v>
      </c>
      <c r="G290" s="4">
        <v>5058</v>
      </c>
      <c r="H290" s="3" t="s">
        <v>40</v>
      </c>
      <c r="I290" s="3" t="s">
        <v>563</v>
      </c>
    </row>
    <row r="291" spans="1:9" ht="19.95" customHeight="1" x14ac:dyDescent="0.2">
      <c r="A291" s="3" t="s">
        <v>564</v>
      </c>
      <c r="B291" s="3" t="s">
        <v>45</v>
      </c>
      <c r="C291" s="3" t="s">
        <v>565</v>
      </c>
      <c r="D291" s="3" t="s">
        <v>566</v>
      </c>
      <c r="E291" s="4">
        <v>423.6</v>
      </c>
      <c r="F291" s="5" t="s">
        <v>183</v>
      </c>
      <c r="G291" s="4">
        <v>388</v>
      </c>
      <c r="H291" s="3" t="s">
        <v>63</v>
      </c>
      <c r="I291" s="3" t="s">
        <v>567</v>
      </c>
    </row>
    <row r="292" spans="1:9" ht="19.95" customHeight="1" x14ac:dyDescent="0.2">
      <c r="A292" s="3" t="s">
        <v>568</v>
      </c>
      <c r="B292" s="3" t="s">
        <v>11</v>
      </c>
      <c r="C292" s="3" t="s">
        <v>569</v>
      </c>
      <c r="D292" s="3" t="s">
        <v>570</v>
      </c>
      <c r="E292" s="4">
        <v>3100.9</v>
      </c>
      <c r="F292" s="5" t="s">
        <v>171</v>
      </c>
      <c r="G292" s="3"/>
      <c r="H292" s="3" t="s">
        <v>63</v>
      </c>
      <c r="I292" s="3" t="s">
        <v>210</v>
      </c>
    </row>
    <row r="293" spans="1:9" ht="19.95" customHeight="1" x14ac:dyDescent="0.2">
      <c r="A293" s="3" t="s">
        <v>571</v>
      </c>
      <c r="B293" s="3" t="s">
        <v>45</v>
      </c>
      <c r="C293" s="3" t="s">
        <v>37</v>
      </c>
      <c r="D293" s="3" t="s">
        <v>508</v>
      </c>
      <c r="E293" s="4">
        <v>730</v>
      </c>
      <c r="F293" s="5" t="s">
        <v>39</v>
      </c>
      <c r="G293" s="4">
        <v>644</v>
      </c>
      <c r="H293" s="3" t="s">
        <v>40</v>
      </c>
      <c r="I293" s="3" t="s">
        <v>210</v>
      </c>
    </row>
    <row r="294" spans="1:9" ht="19.95" customHeight="1" x14ac:dyDescent="0.2">
      <c r="A294" s="3" t="s">
        <v>572</v>
      </c>
      <c r="B294" s="3" t="s">
        <v>10</v>
      </c>
      <c r="C294" s="3" t="s">
        <v>573</v>
      </c>
      <c r="D294" s="3" t="s">
        <v>44</v>
      </c>
      <c r="E294" s="4">
        <v>4236</v>
      </c>
      <c r="F294" s="5" t="s">
        <v>14</v>
      </c>
      <c r="G294" s="7">
        <v>3850</v>
      </c>
      <c r="H294" s="3" t="s">
        <v>63</v>
      </c>
      <c r="I294" s="3" t="s">
        <v>563</v>
      </c>
    </row>
    <row r="295" spans="1:9" ht="19.95" customHeight="1" x14ac:dyDescent="0.2">
      <c r="A295" s="3" t="s">
        <v>574</v>
      </c>
      <c r="B295" s="3" t="s">
        <v>71</v>
      </c>
      <c r="C295" s="3" t="s">
        <v>575</v>
      </c>
      <c r="D295" s="3" t="s">
        <v>62</v>
      </c>
      <c r="E295" s="4">
        <v>5970</v>
      </c>
      <c r="F295" s="5" t="s">
        <v>111</v>
      </c>
      <c r="G295" s="7">
        <v>5383</v>
      </c>
      <c r="H295" s="3" t="s">
        <v>81</v>
      </c>
      <c r="I295" s="3" t="s">
        <v>369</v>
      </c>
    </row>
    <row r="296" spans="1:9" ht="19.95" customHeight="1" x14ac:dyDescent="0.2">
      <c r="A296" s="3" t="s">
        <v>576</v>
      </c>
      <c r="B296" s="3" t="s">
        <v>10</v>
      </c>
      <c r="C296" s="3" t="s">
        <v>69</v>
      </c>
      <c r="D296" s="3" t="s">
        <v>319</v>
      </c>
      <c r="E296" s="4">
        <v>660</v>
      </c>
      <c r="F296" s="5" t="s">
        <v>39</v>
      </c>
      <c r="G296" s="4">
        <v>561</v>
      </c>
      <c r="H296" s="3" t="s">
        <v>40</v>
      </c>
      <c r="I296" s="3" t="s">
        <v>167</v>
      </c>
    </row>
    <row r="297" spans="1:9" ht="19.95" customHeight="1" x14ac:dyDescent="0.2">
      <c r="A297" s="3" t="s">
        <v>577</v>
      </c>
      <c r="B297" s="3" t="s">
        <v>10</v>
      </c>
      <c r="C297" s="3" t="s">
        <v>37</v>
      </c>
      <c r="D297" s="3" t="s">
        <v>319</v>
      </c>
      <c r="E297" s="4">
        <v>830</v>
      </c>
      <c r="F297" s="5" t="s">
        <v>39</v>
      </c>
      <c r="G297" s="4">
        <v>706</v>
      </c>
      <c r="H297" s="3" t="s">
        <v>40</v>
      </c>
      <c r="I297" s="3" t="s">
        <v>167</v>
      </c>
    </row>
    <row r="298" spans="1:9" ht="19.95" customHeight="1" x14ac:dyDescent="0.2">
      <c r="A298" s="3" t="s">
        <v>578</v>
      </c>
      <c r="B298" s="3" t="s">
        <v>10</v>
      </c>
      <c r="C298" s="3" t="s">
        <v>308</v>
      </c>
      <c r="D298" s="3" t="s">
        <v>319</v>
      </c>
      <c r="E298" s="4">
        <v>6600</v>
      </c>
      <c r="F298" s="5" t="s">
        <v>39</v>
      </c>
      <c r="G298" s="4">
        <v>5610</v>
      </c>
      <c r="H298" s="3" t="s">
        <v>40</v>
      </c>
      <c r="I298" s="3" t="s">
        <v>167</v>
      </c>
    </row>
    <row r="299" spans="1:9" ht="19.95" customHeight="1" x14ac:dyDescent="0.2">
      <c r="A299" s="3" t="s">
        <v>578</v>
      </c>
      <c r="B299" s="3" t="s">
        <v>10</v>
      </c>
      <c r="C299" s="3" t="s">
        <v>37</v>
      </c>
      <c r="D299" s="3" t="s">
        <v>319</v>
      </c>
      <c r="E299" s="4">
        <v>660</v>
      </c>
      <c r="F299" s="5" t="s">
        <v>39</v>
      </c>
      <c r="G299" s="4">
        <v>561</v>
      </c>
      <c r="H299" s="3" t="s">
        <v>40</v>
      </c>
      <c r="I299" s="3" t="s">
        <v>167</v>
      </c>
    </row>
    <row r="300" spans="1:9" ht="19.95" customHeight="1" x14ac:dyDescent="0.2">
      <c r="A300" s="3" t="s">
        <v>579</v>
      </c>
      <c r="B300" s="3" t="s">
        <v>91</v>
      </c>
      <c r="C300" s="3" t="s">
        <v>580</v>
      </c>
      <c r="D300" s="3" t="s">
        <v>581</v>
      </c>
      <c r="E300" s="3"/>
      <c r="F300" s="5" t="s">
        <v>11</v>
      </c>
      <c r="G300" s="4">
        <v>2930</v>
      </c>
      <c r="H300" s="3" t="s">
        <v>582</v>
      </c>
      <c r="I300" s="3" t="s">
        <v>153</v>
      </c>
    </row>
    <row r="301" spans="1:9" ht="19.95" customHeight="1" x14ac:dyDescent="0.2">
      <c r="A301" s="3" t="s">
        <v>583</v>
      </c>
      <c r="B301" s="3" t="s">
        <v>91</v>
      </c>
      <c r="C301" s="3" t="s">
        <v>584</v>
      </c>
      <c r="D301" s="3" t="s">
        <v>91</v>
      </c>
      <c r="E301" s="3"/>
      <c r="F301" s="5" t="s">
        <v>585</v>
      </c>
      <c r="G301" s="7">
        <v>2930</v>
      </c>
      <c r="H301" s="3" t="s">
        <v>582</v>
      </c>
      <c r="I301" s="3" t="s">
        <v>153</v>
      </c>
    </row>
    <row r="302" spans="1:9" ht="19.95" customHeight="1" x14ac:dyDescent="0.2">
      <c r="A302" s="3" t="s">
        <v>586</v>
      </c>
      <c r="B302" s="3" t="s">
        <v>10</v>
      </c>
      <c r="C302" s="3" t="s">
        <v>69</v>
      </c>
      <c r="D302" s="3" t="s">
        <v>85</v>
      </c>
      <c r="E302" s="4">
        <v>1550</v>
      </c>
      <c r="F302" s="5" t="s">
        <v>39</v>
      </c>
      <c r="G302" s="4">
        <v>1345</v>
      </c>
      <c r="H302" s="3" t="s">
        <v>40</v>
      </c>
      <c r="I302" s="3" t="s">
        <v>314</v>
      </c>
    </row>
    <row r="303" spans="1:9" ht="19.95" customHeight="1" x14ac:dyDescent="0.2">
      <c r="A303" s="3" t="s">
        <v>586</v>
      </c>
      <c r="B303" s="3" t="s">
        <v>10</v>
      </c>
      <c r="C303" s="3" t="s">
        <v>587</v>
      </c>
      <c r="D303" s="3" t="s">
        <v>85</v>
      </c>
      <c r="E303" s="4">
        <v>7750</v>
      </c>
      <c r="F303" s="5" t="s">
        <v>39</v>
      </c>
      <c r="G303" s="4">
        <v>6725</v>
      </c>
      <c r="H303" s="3" t="s">
        <v>40</v>
      </c>
      <c r="I303" s="3" t="s">
        <v>314</v>
      </c>
    </row>
    <row r="304" spans="1:9" ht="19.95" customHeight="1" x14ac:dyDescent="0.2">
      <c r="A304" s="3" t="s">
        <v>588</v>
      </c>
      <c r="B304" s="3" t="s">
        <v>45</v>
      </c>
      <c r="C304" s="3" t="s">
        <v>308</v>
      </c>
      <c r="D304" s="3" t="s">
        <v>70</v>
      </c>
      <c r="E304" s="4">
        <v>5900</v>
      </c>
      <c r="F304" s="5" t="s">
        <v>39</v>
      </c>
      <c r="G304" s="4">
        <v>5363</v>
      </c>
      <c r="H304" s="3" t="s">
        <v>40</v>
      </c>
      <c r="I304" s="3" t="s">
        <v>314</v>
      </c>
    </row>
    <row r="305" spans="1:9" ht="19.95" customHeight="1" x14ac:dyDescent="0.2">
      <c r="A305" s="3" t="s">
        <v>588</v>
      </c>
      <c r="B305" s="3" t="s">
        <v>11</v>
      </c>
      <c r="C305" s="3" t="s">
        <v>37</v>
      </c>
      <c r="D305" s="3" t="s">
        <v>70</v>
      </c>
      <c r="E305" s="4">
        <v>590</v>
      </c>
      <c r="F305" s="5" t="s">
        <v>39</v>
      </c>
      <c r="G305" s="3"/>
      <c r="H305" s="3" t="s">
        <v>40</v>
      </c>
      <c r="I305" s="3" t="s">
        <v>314</v>
      </c>
    </row>
    <row r="306" spans="1:9" ht="19.95" customHeight="1" x14ac:dyDescent="0.2">
      <c r="A306" s="3" t="s">
        <v>589</v>
      </c>
      <c r="B306" s="3" t="s">
        <v>45</v>
      </c>
      <c r="C306" s="3" t="s">
        <v>37</v>
      </c>
      <c r="D306" s="3" t="s">
        <v>70</v>
      </c>
      <c r="E306" s="4">
        <v>600</v>
      </c>
      <c r="F306" s="5" t="s">
        <v>39</v>
      </c>
      <c r="G306" s="4">
        <v>545</v>
      </c>
      <c r="H306" s="3" t="s">
        <v>40</v>
      </c>
      <c r="I306" s="3" t="s">
        <v>314</v>
      </c>
    </row>
    <row r="307" spans="1:9" ht="19.95" customHeight="1" x14ac:dyDescent="0.2">
      <c r="A307" s="3" t="s">
        <v>590</v>
      </c>
      <c r="B307" s="3" t="s">
        <v>45</v>
      </c>
      <c r="C307" s="3" t="s">
        <v>591</v>
      </c>
      <c r="D307" s="3" t="s">
        <v>378</v>
      </c>
      <c r="E307" s="4">
        <v>4020</v>
      </c>
      <c r="F307" s="5" t="s">
        <v>14</v>
      </c>
      <c r="G307" s="4">
        <v>3654</v>
      </c>
      <c r="H307" s="3" t="s">
        <v>40</v>
      </c>
      <c r="I307" s="3" t="s">
        <v>165</v>
      </c>
    </row>
    <row r="308" spans="1:9" ht="19.95" customHeight="1" x14ac:dyDescent="0.2">
      <c r="A308" s="3" t="s">
        <v>592</v>
      </c>
      <c r="B308" s="3" t="s">
        <v>11</v>
      </c>
      <c r="C308" s="3" t="s">
        <v>108</v>
      </c>
      <c r="D308" s="3" t="s">
        <v>411</v>
      </c>
      <c r="E308" s="4">
        <v>5220</v>
      </c>
      <c r="F308" s="5" t="s">
        <v>148</v>
      </c>
      <c r="G308" s="3"/>
      <c r="H308" s="3" t="s">
        <v>81</v>
      </c>
      <c r="I308" s="3" t="s">
        <v>369</v>
      </c>
    </row>
    <row r="309" spans="1:9" ht="19.95" customHeight="1" x14ac:dyDescent="0.2">
      <c r="A309" s="3" t="s">
        <v>593</v>
      </c>
      <c r="B309" s="3" t="s">
        <v>10</v>
      </c>
      <c r="C309" s="3" t="s">
        <v>108</v>
      </c>
      <c r="D309" s="3" t="s">
        <v>216</v>
      </c>
      <c r="E309" s="7">
        <v>6860</v>
      </c>
      <c r="F309" s="5" t="s">
        <v>111</v>
      </c>
      <c r="G309" s="4">
        <v>6111</v>
      </c>
      <c r="H309" s="3" t="s">
        <v>81</v>
      </c>
      <c r="I309" s="3" t="s">
        <v>369</v>
      </c>
    </row>
    <row r="310" spans="1:9" ht="19.95" customHeight="1" x14ac:dyDescent="0.2">
      <c r="A310" s="3" t="s">
        <v>594</v>
      </c>
      <c r="B310" s="3" t="s">
        <v>10</v>
      </c>
      <c r="C310" s="3" t="s">
        <v>595</v>
      </c>
      <c r="D310" s="3" t="s">
        <v>262</v>
      </c>
      <c r="E310" s="7">
        <v>4220</v>
      </c>
      <c r="F310" s="5" t="s">
        <v>111</v>
      </c>
      <c r="G310" s="4">
        <v>3835</v>
      </c>
      <c r="H310" s="3" t="s">
        <v>81</v>
      </c>
      <c r="I310" s="3" t="s">
        <v>454</v>
      </c>
    </row>
    <row r="311" spans="1:9" ht="19.95" customHeight="1" x14ac:dyDescent="0.2">
      <c r="A311" s="3" t="s">
        <v>596</v>
      </c>
      <c r="B311" s="3" t="s">
        <v>45</v>
      </c>
      <c r="C311" s="3" t="s">
        <v>597</v>
      </c>
      <c r="D311" s="3" t="s">
        <v>284</v>
      </c>
      <c r="E311" s="4">
        <v>44680</v>
      </c>
      <c r="F311" s="5" t="s">
        <v>274</v>
      </c>
      <c r="G311" s="4">
        <v>38961</v>
      </c>
      <c r="H311" s="3" t="s">
        <v>81</v>
      </c>
      <c r="I311" s="3" t="s">
        <v>232</v>
      </c>
    </row>
    <row r="312" spans="1:9" ht="19.95" customHeight="1" x14ac:dyDescent="0.2">
      <c r="A312" s="3" t="s">
        <v>598</v>
      </c>
      <c r="B312" s="3" t="s">
        <v>45</v>
      </c>
      <c r="C312" s="3" t="s">
        <v>597</v>
      </c>
      <c r="D312" s="3" t="s">
        <v>284</v>
      </c>
      <c r="E312" s="4">
        <v>57335</v>
      </c>
      <c r="F312" s="5" t="s">
        <v>274</v>
      </c>
      <c r="G312" s="4">
        <v>49996</v>
      </c>
      <c r="H312" s="3" t="s">
        <v>81</v>
      </c>
      <c r="I312" s="3" t="s">
        <v>232</v>
      </c>
    </row>
    <row r="313" spans="1:9" ht="19.95" customHeight="1" x14ac:dyDescent="0.2">
      <c r="A313" s="3" t="s">
        <v>599</v>
      </c>
      <c r="B313" s="3" t="s">
        <v>11</v>
      </c>
      <c r="C313" s="3" t="s">
        <v>600</v>
      </c>
      <c r="D313" s="3" t="s">
        <v>284</v>
      </c>
      <c r="E313" s="4">
        <v>27994</v>
      </c>
      <c r="F313" s="5" t="s">
        <v>80</v>
      </c>
      <c r="G313" s="3"/>
      <c r="H313" s="3" t="s">
        <v>81</v>
      </c>
      <c r="I313" s="3" t="s">
        <v>232</v>
      </c>
    </row>
    <row r="314" spans="1:9" ht="19.95" customHeight="1" x14ac:dyDescent="0.2">
      <c r="A314" s="3" t="s">
        <v>601</v>
      </c>
      <c r="B314" s="3" t="s">
        <v>45</v>
      </c>
      <c r="C314" s="3" t="s">
        <v>602</v>
      </c>
      <c r="D314" s="3" t="s">
        <v>284</v>
      </c>
      <c r="E314" s="4">
        <v>36826</v>
      </c>
      <c r="F314" s="5" t="s">
        <v>80</v>
      </c>
      <c r="G314" s="7">
        <v>32112</v>
      </c>
      <c r="H314" s="3" t="s">
        <v>81</v>
      </c>
      <c r="I314" s="3" t="s">
        <v>232</v>
      </c>
    </row>
    <row r="315" spans="1:9" ht="19.95" customHeight="1" x14ac:dyDescent="0.2">
      <c r="A315" s="3" t="s">
        <v>603</v>
      </c>
      <c r="B315" s="3" t="s">
        <v>45</v>
      </c>
      <c r="C315" s="3" t="s">
        <v>69</v>
      </c>
      <c r="D315" s="3" t="s">
        <v>216</v>
      </c>
      <c r="E315" s="4">
        <v>4020</v>
      </c>
      <c r="F315" s="5" t="s">
        <v>39</v>
      </c>
      <c r="G315" s="4">
        <v>3581</v>
      </c>
      <c r="H315" s="3" t="s">
        <v>40</v>
      </c>
      <c r="I315" s="3" t="s">
        <v>72</v>
      </c>
    </row>
    <row r="316" spans="1:9" ht="19.95" customHeight="1" x14ac:dyDescent="0.2">
      <c r="A316" s="3" t="s">
        <v>604</v>
      </c>
      <c r="B316" s="3" t="s">
        <v>10</v>
      </c>
      <c r="C316" s="3" t="s">
        <v>176</v>
      </c>
      <c r="D316" s="3" t="s">
        <v>62</v>
      </c>
      <c r="E316" s="4">
        <v>7200</v>
      </c>
      <c r="F316" s="5" t="s">
        <v>39</v>
      </c>
      <c r="G316" s="4">
        <v>6250</v>
      </c>
      <c r="H316" s="3" t="s">
        <v>40</v>
      </c>
      <c r="I316" s="3" t="s">
        <v>187</v>
      </c>
    </row>
    <row r="317" spans="1:9" ht="19.95" customHeight="1" x14ac:dyDescent="0.2">
      <c r="A317" s="3" t="s">
        <v>604</v>
      </c>
      <c r="B317" s="3" t="s">
        <v>10</v>
      </c>
      <c r="C317" s="3" t="s">
        <v>69</v>
      </c>
      <c r="D317" s="3" t="s">
        <v>62</v>
      </c>
      <c r="E317" s="4">
        <v>1440</v>
      </c>
      <c r="F317" s="5" t="s">
        <v>39</v>
      </c>
      <c r="G317" s="7">
        <v>1250</v>
      </c>
      <c r="H317" s="3" t="s">
        <v>40</v>
      </c>
      <c r="I317" s="3" t="s">
        <v>187</v>
      </c>
    </row>
    <row r="318" spans="1:9" ht="19.95" customHeight="1" x14ac:dyDescent="0.2">
      <c r="A318" s="3" t="s">
        <v>605</v>
      </c>
      <c r="B318" s="3" t="s">
        <v>10</v>
      </c>
      <c r="C318" s="3" t="s">
        <v>176</v>
      </c>
      <c r="D318" s="3" t="s">
        <v>70</v>
      </c>
      <c r="E318" s="4">
        <v>3050</v>
      </c>
      <c r="F318" s="5" t="s">
        <v>39</v>
      </c>
      <c r="G318" s="4">
        <v>2714</v>
      </c>
      <c r="H318" s="3" t="s">
        <v>40</v>
      </c>
      <c r="I318" s="3" t="s">
        <v>156</v>
      </c>
    </row>
    <row r="319" spans="1:9" ht="19.95" customHeight="1" x14ac:dyDescent="0.2">
      <c r="A319" s="3" t="s">
        <v>605</v>
      </c>
      <c r="B319" s="3" t="s">
        <v>10</v>
      </c>
      <c r="C319" s="3" t="s">
        <v>69</v>
      </c>
      <c r="D319" s="3" t="s">
        <v>70</v>
      </c>
      <c r="E319" s="4">
        <v>610</v>
      </c>
      <c r="F319" s="5" t="s">
        <v>39</v>
      </c>
      <c r="G319" s="4">
        <v>543</v>
      </c>
      <c r="H319" s="3" t="s">
        <v>40</v>
      </c>
      <c r="I319" s="3" t="s">
        <v>156</v>
      </c>
    </row>
    <row r="320" spans="1:9" ht="19.95" customHeight="1" x14ac:dyDescent="0.2">
      <c r="A320" s="3" t="s">
        <v>606</v>
      </c>
      <c r="B320" s="3" t="s">
        <v>11</v>
      </c>
      <c r="C320" s="3" t="s">
        <v>37</v>
      </c>
      <c r="D320" s="3" t="s">
        <v>607</v>
      </c>
      <c r="E320" s="4">
        <v>800</v>
      </c>
      <c r="F320" s="5" t="s">
        <v>39</v>
      </c>
      <c r="G320" s="3"/>
      <c r="H320" s="3" t="s">
        <v>40</v>
      </c>
      <c r="I320" s="3" t="s">
        <v>334</v>
      </c>
    </row>
    <row r="321" spans="1:9" ht="19.95" customHeight="1" x14ac:dyDescent="0.2">
      <c r="A321" s="3" t="s">
        <v>608</v>
      </c>
      <c r="B321" s="3" t="s">
        <v>45</v>
      </c>
      <c r="C321" s="3" t="s">
        <v>136</v>
      </c>
      <c r="D321" s="3" t="s">
        <v>228</v>
      </c>
      <c r="E321" s="4">
        <v>18350</v>
      </c>
      <c r="F321" s="5" t="s">
        <v>14</v>
      </c>
      <c r="G321" s="4">
        <v>16348</v>
      </c>
      <c r="H321" s="3" t="s">
        <v>40</v>
      </c>
      <c r="I321" s="3" t="s">
        <v>251</v>
      </c>
    </row>
    <row r="322" spans="1:9" ht="19.95" customHeight="1" x14ac:dyDescent="0.2">
      <c r="A322" s="3" t="s">
        <v>609</v>
      </c>
      <c r="B322" s="3" t="s">
        <v>10</v>
      </c>
      <c r="C322" s="3" t="s">
        <v>610</v>
      </c>
      <c r="D322" s="3" t="s">
        <v>85</v>
      </c>
      <c r="E322" s="4">
        <v>5000</v>
      </c>
      <c r="F322" s="5" t="s">
        <v>89</v>
      </c>
      <c r="G322" s="7">
        <v>4454</v>
      </c>
      <c r="H322" s="3" t="s">
        <v>81</v>
      </c>
      <c r="I322" s="3" t="s">
        <v>167</v>
      </c>
    </row>
    <row r="323" spans="1:9" ht="19.95" customHeight="1" x14ac:dyDescent="0.2">
      <c r="A323" s="3" t="s">
        <v>611</v>
      </c>
      <c r="B323" s="3" t="s">
        <v>91</v>
      </c>
      <c r="C323" s="3" t="s">
        <v>612</v>
      </c>
      <c r="D323" s="3" t="s">
        <v>85</v>
      </c>
      <c r="E323" s="4">
        <v>7550</v>
      </c>
      <c r="F323" s="5" t="s">
        <v>75</v>
      </c>
      <c r="G323" s="4">
        <v>6569</v>
      </c>
      <c r="H323" s="3" t="s">
        <v>40</v>
      </c>
      <c r="I323" s="3" t="s">
        <v>167</v>
      </c>
    </row>
    <row r="324" spans="1:9" ht="19.95" customHeight="1" x14ac:dyDescent="0.2">
      <c r="A324" s="3" t="s">
        <v>613</v>
      </c>
      <c r="B324" s="3" t="s">
        <v>10</v>
      </c>
      <c r="C324" s="3" t="s">
        <v>140</v>
      </c>
      <c r="D324" s="3" t="s">
        <v>614</v>
      </c>
      <c r="E324" s="4">
        <v>5300</v>
      </c>
      <c r="F324" s="5" t="s">
        <v>39</v>
      </c>
      <c r="G324" s="4">
        <v>2494</v>
      </c>
      <c r="H324" s="3" t="s">
        <v>40</v>
      </c>
      <c r="I324" s="3" t="s">
        <v>217</v>
      </c>
    </row>
    <row r="325" spans="1:9" ht="19.95" customHeight="1" x14ac:dyDescent="0.2">
      <c r="A325" s="3" t="s">
        <v>615</v>
      </c>
      <c r="B325" s="3" t="s">
        <v>11</v>
      </c>
      <c r="C325" s="3" t="s">
        <v>140</v>
      </c>
      <c r="D325" s="3" t="s">
        <v>115</v>
      </c>
      <c r="E325" s="4">
        <v>5300</v>
      </c>
      <c r="F325" s="5" t="s">
        <v>39</v>
      </c>
      <c r="G325" s="3"/>
      <c r="H325" s="3" t="s">
        <v>40</v>
      </c>
      <c r="I325" s="3" t="s">
        <v>217</v>
      </c>
    </row>
    <row r="326" spans="1:9" ht="19.95" customHeight="1" x14ac:dyDescent="0.2">
      <c r="A326" s="3" t="s">
        <v>616</v>
      </c>
      <c r="B326" s="3" t="s">
        <v>11</v>
      </c>
      <c r="C326" s="3" t="s">
        <v>136</v>
      </c>
      <c r="D326" s="3" t="s">
        <v>266</v>
      </c>
      <c r="E326" s="4">
        <v>3850</v>
      </c>
      <c r="F326" s="5" t="s">
        <v>14</v>
      </c>
      <c r="G326" s="3"/>
      <c r="H326" s="3" t="s">
        <v>40</v>
      </c>
      <c r="I326" s="3" t="s">
        <v>617</v>
      </c>
    </row>
    <row r="327" spans="1:9" ht="19.95" customHeight="1" x14ac:dyDescent="0.2">
      <c r="A327" s="3" t="s">
        <v>618</v>
      </c>
      <c r="B327" s="3" t="s">
        <v>10</v>
      </c>
      <c r="C327" s="3" t="s">
        <v>619</v>
      </c>
      <c r="D327" s="3" t="s">
        <v>620</v>
      </c>
      <c r="E327" s="4">
        <v>11440</v>
      </c>
      <c r="F327" s="5" t="s">
        <v>111</v>
      </c>
      <c r="G327" s="4">
        <v>10191</v>
      </c>
      <c r="H327" s="3" t="s">
        <v>81</v>
      </c>
      <c r="I327" s="3" t="s">
        <v>369</v>
      </c>
    </row>
    <row r="328" spans="1:9" ht="19.95" customHeight="1" x14ac:dyDescent="0.2">
      <c r="A328" s="3" t="s">
        <v>621</v>
      </c>
      <c r="B328" s="3" t="s">
        <v>11</v>
      </c>
      <c r="C328" s="3" t="s">
        <v>622</v>
      </c>
      <c r="D328" s="3" t="s">
        <v>623</v>
      </c>
      <c r="E328" s="4">
        <v>8442</v>
      </c>
      <c r="F328" s="5" t="s">
        <v>39</v>
      </c>
      <c r="G328" s="3"/>
      <c r="H328" s="3" t="s">
        <v>40</v>
      </c>
      <c r="I328" s="3" t="s">
        <v>296</v>
      </c>
    </row>
    <row r="329" spans="1:9" ht="19.95" customHeight="1" x14ac:dyDescent="0.2">
      <c r="A329" s="3" t="s">
        <v>624</v>
      </c>
      <c r="B329" s="3" t="s">
        <v>10</v>
      </c>
      <c r="C329" s="3" t="s">
        <v>69</v>
      </c>
      <c r="D329" s="3" t="s">
        <v>70</v>
      </c>
      <c r="E329" s="4">
        <v>27500</v>
      </c>
      <c r="F329" s="5" t="s">
        <v>39</v>
      </c>
      <c r="G329" s="7">
        <v>22013</v>
      </c>
      <c r="H329" s="3" t="s">
        <v>40</v>
      </c>
      <c r="I329" s="3" t="s">
        <v>86</v>
      </c>
    </row>
    <row r="330" spans="1:9" ht="19.95" customHeight="1" x14ac:dyDescent="0.2">
      <c r="A330" s="3" t="s">
        <v>625</v>
      </c>
      <c r="B330" s="3" t="s">
        <v>11</v>
      </c>
      <c r="C330" s="3" t="s">
        <v>140</v>
      </c>
      <c r="D330" s="3" t="s">
        <v>319</v>
      </c>
      <c r="E330" s="4">
        <v>11700</v>
      </c>
      <c r="F330" s="5" t="s">
        <v>39</v>
      </c>
      <c r="G330" s="3"/>
      <c r="H330" s="3" t="s">
        <v>40</v>
      </c>
      <c r="I330" s="3" t="s">
        <v>251</v>
      </c>
    </row>
    <row r="331" spans="1:9" ht="19.95" customHeight="1" x14ac:dyDescent="0.2">
      <c r="A331" s="3" t="s">
        <v>626</v>
      </c>
      <c r="B331" s="3" t="s">
        <v>115</v>
      </c>
      <c r="C331" s="3" t="s">
        <v>140</v>
      </c>
      <c r="D331" s="3" t="s">
        <v>115</v>
      </c>
      <c r="E331" s="4">
        <v>6700</v>
      </c>
      <c r="F331" s="5" t="s">
        <v>39</v>
      </c>
      <c r="G331" s="4">
        <v>5970</v>
      </c>
      <c r="H331" s="3" t="s">
        <v>40</v>
      </c>
      <c r="I331" s="3" t="s">
        <v>314</v>
      </c>
    </row>
    <row r="332" spans="1:9" ht="19.95" customHeight="1" x14ac:dyDescent="0.2">
      <c r="A332" s="3" t="s">
        <v>626</v>
      </c>
      <c r="B332" s="3" t="s">
        <v>115</v>
      </c>
      <c r="C332" s="3" t="s">
        <v>69</v>
      </c>
      <c r="D332" s="3" t="s">
        <v>115</v>
      </c>
      <c r="E332" s="4">
        <v>670</v>
      </c>
      <c r="F332" s="5" t="s">
        <v>39</v>
      </c>
      <c r="G332" s="4">
        <v>597</v>
      </c>
      <c r="H332" s="3" t="s">
        <v>40</v>
      </c>
      <c r="I332" s="3" t="s">
        <v>314</v>
      </c>
    </row>
    <row r="333" spans="1:9" ht="19.95" customHeight="1" x14ac:dyDescent="0.2">
      <c r="A333" s="3" t="s">
        <v>627</v>
      </c>
      <c r="B333" s="3" t="s">
        <v>11</v>
      </c>
      <c r="C333" s="3" t="s">
        <v>562</v>
      </c>
      <c r="D333" s="3" t="s">
        <v>246</v>
      </c>
      <c r="E333" s="4">
        <v>24388</v>
      </c>
      <c r="F333" s="5" t="s">
        <v>39</v>
      </c>
      <c r="G333" s="3"/>
      <c r="H333" s="3" t="s">
        <v>40</v>
      </c>
      <c r="I333" s="3" t="s">
        <v>112</v>
      </c>
    </row>
    <row r="334" spans="1:9" ht="19.95" customHeight="1" x14ac:dyDescent="0.2">
      <c r="A334" s="3" t="s">
        <v>628</v>
      </c>
      <c r="B334" s="3" t="s">
        <v>45</v>
      </c>
      <c r="C334" s="3" t="s">
        <v>133</v>
      </c>
      <c r="D334" s="3" t="s">
        <v>216</v>
      </c>
      <c r="E334" s="4">
        <v>3050</v>
      </c>
      <c r="F334" s="5" t="s">
        <v>39</v>
      </c>
      <c r="G334" s="4">
        <v>2715</v>
      </c>
      <c r="H334" s="3" t="s">
        <v>40</v>
      </c>
      <c r="I334" s="3" t="s">
        <v>314</v>
      </c>
    </row>
    <row r="335" spans="1:9" ht="19.95" customHeight="1" x14ac:dyDescent="0.2">
      <c r="A335" s="3" t="s">
        <v>628</v>
      </c>
      <c r="B335" s="3" t="s">
        <v>45</v>
      </c>
      <c r="C335" s="3" t="s">
        <v>308</v>
      </c>
      <c r="D335" s="3" t="s">
        <v>216</v>
      </c>
      <c r="E335" s="4">
        <v>6100</v>
      </c>
      <c r="F335" s="5" t="s">
        <v>39</v>
      </c>
      <c r="G335" s="7">
        <v>5429</v>
      </c>
      <c r="H335" s="3" t="s">
        <v>40</v>
      </c>
      <c r="I335" s="3" t="s">
        <v>314</v>
      </c>
    </row>
    <row r="336" spans="1:9" ht="19.95" customHeight="1" x14ac:dyDescent="0.2">
      <c r="A336" s="3" t="s">
        <v>629</v>
      </c>
      <c r="B336" s="3" t="s">
        <v>45</v>
      </c>
      <c r="C336" s="3" t="s">
        <v>133</v>
      </c>
      <c r="D336" s="3" t="s">
        <v>216</v>
      </c>
      <c r="E336" s="4">
        <v>3800</v>
      </c>
      <c r="F336" s="5" t="s">
        <v>39</v>
      </c>
      <c r="G336" s="7">
        <v>3385</v>
      </c>
      <c r="H336" s="3" t="s">
        <v>40</v>
      </c>
      <c r="I336" s="3" t="s">
        <v>314</v>
      </c>
    </row>
    <row r="337" spans="1:9" ht="19.95" customHeight="1" x14ac:dyDescent="0.2">
      <c r="A337" s="3" t="s">
        <v>629</v>
      </c>
      <c r="B337" s="3" t="s">
        <v>45</v>
      </c>
      <c r="C337" s="3" t="s">
        <v>133</v>
      </c>
      <c r="D337" s="3" t="s">
        <v>216</v>
      </c>
      <c r="E337" s="4">
        <v>3800</v>
      </c>
      <c r="F337" s="5" t="s">
        <v>39</v>
      </c>
      <c r="G337" s="7">
        <v>3382</v>
      </c>
      <c r="H337" s="3" t="s">
        <v>40</v>
      </c>
      <c r="I337" s="3" t="s">
        <v>314</v>
      </c>
    </row>
    <row r="338" spans="1:9" ht="19.95" customHeight="1" x14ac:dyDescent="0.2">
      <c r="A338" s="3" t="s">
        <v>630</v>
      </c>
      <c r="B338" s="3" t="s">
        <v>115</v>
      </c>
      <c r="C338" s="3" t="s">
        <v>69</v>
      </c>
      <c r="D338" s="3" t="s">
        <v>115</v>
      </c>
      <c r="E338" s="4">
        <v>3300</v>
      </c>
      <c r="F338" s="5" t="s">
        <v>39</v>
      </c>
      <c r="G338" s="4">
        <v>2540</v>
      </c>
      <c r="H338" s="3" t="s">
        <v>40</v>
      </c>
      <c r="I338" s="3" t="s">
        <v>557</v>
      </c>
    </row>
    <row r="339" spans="1:9" ht="19.95" customHeight="1" x14ac:dyDescent="0.2">
      <c r="A339" s="3" t="s">
        <v>631</v>
      </c>
      <c r="B339" s="3" t="s">
        <v>11</v>
      </c>
      <c r="C339" s="3" t="s">
        <v>632</v>
      </c>
      <c r="D339" s="3" t="s">
        <v>105</v>
      </c>
      <c r="E339" s="4">
        <v>2160</v>
      </c>
      <c r="F339" s="5" t="s">
        <v>516</v>
      </c>
      <c r="G339" s="6"/>
      <c r="H339" s="3" t="s">
        <v>81</v>
      </c>
      <c r="I339" s="3" t="s">
        <v>161</v>
      </c>
    </row>
    <row r="340" spans="1:9" ht="19.95" customHeight="1" x14ac:dyDescent="0.2">
      <c r="A340" s="3" t="s">
        <v>633</v>
      </c>
      <c r="B340" s="3" t="s">
        <v>10</v>
      </c>
      <c r="C340" s="3" t="s">
        <v>634</v>
      </c>
      <c r="D340" s="3" t="s">
        <v>143</v>
      </c>
      <c r="E340" s="4">
        <v>4350</v>
      </c>
      <c r="F340" s="5" t="s">
        <v>98</v>
      </c>
      <c r="G340" s="4">
        <v>3876</v>
      </c>
      <c r="H340" s="3" t="s">
        <v>81</v>
      </c>
      <c r="I340" s="3" t="s">
        <v>99</v>
      </c>
    </row>
    <row r="341" spans="1:9" ht="19.95" customHeight="1" x14ac:dyDescent="0.2">
      <c r="A341" s="3" t="s">
        <v>635</v>
      </c>
      <c r="B341" s="3" t="s">
        <v>10</v>
      </c>
      <c r="C341" s="3" t="s">
        <v>636</v>
      </c>
      <c r="D341" s="3" t="s">
        <v>143</v>
      </c>
      <c r="E341" s="4">
        <v>3680</v>
      </c>
      <c r="F341" s="5" t="s">
        <v>98</v>
      </c>
      <c r="G341" s="7">
        <v>3280</v>
      </c>
      <c r="H341" s="3" t="s">
        <v>81</v>
      </c>
      <c r="I341" s="3" t="s">
        <v>99</v>
      </c>
    </row>
    <row r="342" spans="1:9" ht="19.95" customHeight="1" x14ac:dyDescent="0.2">
      <c r="A342" s="3" t="s">
        <v>637</v>
      </c>
      <c r="B342" s="3" t="s">
        <v>91</v>
      </c>
      <c r="C342" s="3" t="s">
        <v>69</v>
      </c>
      <c r="D342" s="3" t="s">
        <v>638</v>
      </c>
      <c r="E342" s="4">
        <v>15740</v>
      </c>
      <c r="F342" s="5" t="s">
        <v>39</v>
      </c>
      <c r="G342" s="4">
        <v>13617</v>
      </c>
      <c r="H342" s="3" t="s">
        <v>40</v>
      </c>
      <c r="I342" s="3" t="s">
        <v>275</v>
      </c>
    </row>
    <row r="343" spans="1:9" ht="19.95" customHeight="1" x14ac:dyDescent="0.2">
      <c r="A343" s="3" t="s">
        <v>639</v>
      </c>
      <c r="B343" s="3" t="s">
        <v>10</v>
      </c>
      <c r="C343" s="3" t="s">
        <v>640</v>
      </c>
      <c r="D343" s="3" t="s">
        <v>551</v>
      </c>
      <c r="E343" s="4">
        <v>2535</v>
      </c>
      <c r="F343" s="5" t="s">
        <v>171</v>
      </c>
      <c r="G343" s="4">
        <v>2304</v>
      </c>
      <c r="H343" s="3" t="s">
        <v>63</v>
      </c>
      <c r="I343" s="3" t="s">
        <v>251</v>
      </c>
    </row>
    <row r="344" spans="1:9" ht="19.95" customHeight="1" x14ac:dyDescent="0.2">
      <c r="A344" s="3" t="s">
        <v>641</v>
      </c>
      <c r="B344" s="3" t="s">
        <v>45</v>
      </c>
      <c r="C344" s="3" t="s">
        <v>642</v>
      </c>
      <c r="D344" s="3" t="s">
        <v>643</v>
      </c>
      <c r="E344" s="4">
        <v>3050</v>
      </c>
      <c r="F344" s="5" t="s">
        <v>516</v>
      </c>
      <c r="G344" s="7">
        <v>2772</v>
      </c>
      <c r="H344" s="3" t="s">
        <v>81</v>
      </c>
      <c r="I344" s="3" t="s">
        <v>524</v>
      </c>
    </row>
    <row r="345" spans="1:9" ht="19.95" customHeight="1" x14ac:dyDescent="0.2">
      <c r="A345" s="3" t="s">
        <v>644</v>
      </c>
      <c r="B345" s="3" t="s">
        <v>11</v>
      </c>
      <c r="C345" s="3" t="s">
        <v>69</v>
      </c>
      <c r="D345" s="3" t="s">
        <v>645</v>
      </c>
      <c r="E345" s="4">
        <v>1510</v>
      </c>
      <c r="F345" s="5" t="s">
        <v>39</v>
      </c>
      <c r="G345" s="3"/>
      <c r="H345" s="3" t="s">
        <v>40</v>
      </c>
      <c r="I345" s="3" t="s">
        <v>346</v>
      </c>
    </row>
    <row r="346" spans="1:9" ht="19.95" customHeight="1" x14ac:dyDescent="0.2">
      <c r="A346" s="3" t="s">
        <v>646</v>
      </c>
      <c r="B346" s="3" t="s">
        <v>11</v>
      </c>
      <c r="C346" s="3" t="s">
        <v>534</v>
      </c>
      <c r="D346" s="3" t="s">
        <v>139</v>
      </c>
      <c r="E346" s="4">
        <v>15350</v>
      </c>
      <c r="F346" s="5" t="s">
        <v>58</v>
      </c>
      <c r="G346" s="3"/>
      <c r="H346" s="3" t="s">
        <v>40</v>
      </c>
      <c r="I346" s="3" t="s">
        <v>275</v>
      </c>
    </row>
    <row r="347" spans="1:9" ht="19.95" customHeight="1" x14ac:dyDescent="0.2">
      <c r="A347" s="3" t="s">
        <v>647</v>
      </c>
      <c r="B347" s="3" t="s">
        <v>10</v>
      </c>
      <c r="C347" s="3" t="s">
        <v>648</v>
      </c>
      <c r="D347" s="3" t="s">
        <v>38</v>
      </c>
      <c r="E347" s="4">
        <v>18860</v>
      </c>
      <c r="F347" s="5" t="s">
        <v>39</v>
      </c>
      <c r="G347" s="4">
        <v>16710</v>
      </c>
      <c r="H347" s="3" t="s">
        <v>40</v>
      </c>
      <c r="I347" s="3" t="s">
        <v>317</v>
      </c>
    </row>
    <row r="348" spans="1:9" ht="19.95" customHeight="1" x14ac:dyDescent="0.2">
      <c r="A348" s="3" t="s">
        <v>647</v>
      </c>
      <c r="B348" s="3" t="s">
        <v>10</v>
      </c>
      <c r="C348" s="3" t="s">
        <v>37</v>
      </c>
      <c r="D348" s="3" t="s">
        <v>38</v>
      </c>
      <c r="E348" s="4">
        <v>9430</v>
      </c>
      <c r="F348" s="5" t="s">
        <v>39</v>
      </c>
      <c r="G348" s="4">
        <v>8355</v>
      </c>
      <c r="H348" s="3" t="s">
        <v>40</v>
      </c>
      <c r="I348" s="3" t="s">
        <v>317</v>
      </c>
    </row>
    <row r="349" spans="1:9" ht="19.95" customHeight="1" x14ac:dyDescent="0.2">
      <c r="A349" s="3" t="s">
        <v>649</v>
      </c>
      <c r="B349" s="3" t="s">
        <v>10</v>
      </c>
      <c r="C349" s="3" t="s">
        <v>37</v>
      </c>
      <c r="D349" s="3" t="s">
        <v>38</v>
      </c>
      <c r="E349" s="4">
        <v>14100</v>
      </c>
      <c r="F349" s="5" t="s">
        <v>39</v>
      </c>
      <c r="G349" s="4">
        <v>12490</v>
      </c>
      <c r="H349" s="3" t="s">
        <v>40</v>
      </c>
      <c r="I349" s="3" t="s">
        <v>317</v>
      </c>
    </row>
    <row r="350" spans="1:9" ht="19.95" customHeight="1" x14ac:dyDescent="0.2">
      <c r="A350" s="3" t="s">
        <v>650</v>
      </c>
      <c r="B350" s="3" t="s">
        <v>10</v>
      </c>
      <c r="C350" s="3" t="s">
        <v>651</v>
      </c>
      <c r="D350" s="3" t="s">
        <v>38</v>
      </c>
      <c r="E350" s="4">
        <v>4520</v>
      </c>
      <c r="F350" s="5" t="s">
        <v>111</v>
      </c>
      <c r="G350" s="4">
        <v>4026</v>
      </c>
      <c r="H350" s="3" t="s">
        <v>81</v>
      </c>
      <c r="I350" s="3" t="s">
        <v>317</v>
      </c>
    </row>
    <row r="351" spans="1:9" ht="19.95" customHeight="1" x14ac:dyDescent="0.2">
      <c r="A351" s="3" t="s">
        <v>652</v>
      </c>
      <c r="B351" s="3" t="s">
        <v>10</v>
      </c>
      <c r="C351" s="3" t="s">
        <v>653</v>
      </c>
      <c r="D351" s="3" t="s">
        <v>378</v>
      </c>
      <c r="E351" s="4">
        <v>864</v>
      </c>
      <c r="F351" s="5" t="s">
        <v>39</v>
      </c>
      <c r="G351" s="7">
        <v>785</v>
      </c>
      <c r="H351" s="3" t="s">
        <v>40</v>
      </c>
      <c r="I351" s="3" t="s">
        <v>460</v>
      </c>
    </row>
    <row r="352" spans="1:9" ht="19.95" customHeight="1" x14ac:dyDescent="0.2">
      <c r="A352" s="3" t="s">
        <v>654</v>
      </c>
      <c r="B352" s="3" t="s">
        <v>11</v>
      </c>
      <c r="C352" s="3" t="s">
        <v>108</v>
      </c>
      <c r="D352" s="3" t="s">
        <v>109</v>
      </c>
      <c r="E352" s="4">
        <v>44460</v>
      </c>
      <c r="F352" s="5" t="s">
        <v>111</v>
      </c>
      <c r="G352" s="4">
        <v>0</v>
      </c>
      <c r="H352" s="3" t="s">
        <v>81</v>
      </c>
      <c r="I352" s="3" t="s">
        <v>454</v>
      </c>
    </row>
    <row r="353" spans="1:9" ht="19.95" customHeight="1" x14ac:dyDescent="0.2">
      <c r="A353" s="3" t="s">
        <v>655</v>
      </c>
      <c r="B353" s="3" t="s">
        <v>11</v>
      </c>
      <c r="C353" s="3" t="s">
        <v>622</v>
      </c>
      <c r="D353" s="3" t="s">
        <v>109</v>
      </c>
      <c r="E353" s="4">
        <v>2590</v>
      </c>
      <c r="F353" s="5" t="s">
        <v>39</v>
      </c>
      <c r="G353" s="3"/>
      <c r="H353" s="3" t="s">
        <v>40</v>
      </c>
      <c r="I353" s="3" t="s">
        <v>557</v>
      </c>
    </row>
    <row r="354" spans="1:9" ht="19.95" customHeight="1" x14ac:dyDescent="0.2">
      <c r="A354" s="3" t="s">
        <v>655</v>
      </c>
      <c r="B354" s="3" t="s">
        <v>45</v>
      </c>
      <c r="C354" s="3" t="s">
        <v>192</v>
      </c>
      <c r="D354" s="3" t="s">
        <v>109</v>
      </c>
      <c r="E354" s="4">
        <v>5550</v>
      </c>
      <c r="F354" s="5" t="s">
        <v>39</v>
      </c>
      <c r="G354" s="4">
        <v>4412</v>
      </c>
      <c r="H354" s="3" t="s">
        <v>40</v>
      </c>
      <c r="I354" s="3" t="s">
        <v>557</v>
      </c>
    </row>
    <row r="355" spans="1:9" ht="19.95" customHeight="1" x14ac:dyDescent="0.2">
      <c r="A355" s="3" t="s">
        <v>656</v>
      </c>
      <c r="B355" s="3" t="s">
        <v>11</v>
      </c>
      <c r="C355" s="3" t="s">
        <v>69</v>
      </c>
      <c r="D355" s="3" t="s">
        <v>105</v>
      </c>
      <c r="E355" s="4">
        <v>2380</v>
      </c>
      <c r="F355" s="5" t="s">
        <v>58</v>
      </c>
      <c r="G355" s="4">
        <v>0</v>
      </c>
      <c r="H355" s="3" t="s">
        <v>40</v>
      </c>
      <c r="I355" s="3" t="s">
        <v>454</v>
      </c>
    </row>
    <row r="356" spans="1:9" ht="19.95" customHeight="1" x14ac:dyDescent="0.2">
      <c r="A356" s="3" t="s">
        <v>657</v>
      </c>
      <c r="B356" s="3" t="s">
        <v>10</v>
      </c>
      <c r="C356" s="3" t="s">
        <v>69</v>
      </c>
      <c r="D356" s="3" t="s">
        <v>70</v>
      </c>
      <c r="E356" s="4">
        <v>9250</v>
      </c>
      <c r="F356" s="5" t="s">
        <v>39</v>
      </c>
      <c r="G356" s="4">
        <v>8000</v>
      </c>
      <c r="H356" s="3" t="s">
        <v>40</v>
      </c>
      <c r="I356" s="3" t="s">
        <v>229</v>
      </c>
    </row>
    <row r="357" spans="1:9" ht="19.95" customHeight="1" x14ac:dyDescent="0.2">
      <c r="A357" s="3" t="s">
        <v>658</v>
      </c>
      <c r="B357" s="3" t="s">
        <v>45</v>
      </c>
      <c r="C357" s="3" t="s">
        <v>659</v>
      </c>
      <c r="D357" s="3" t="s">
        <v>248</v>
      </c>
      <c r="E357" s="4">
        <v>3972.5</v>
      </c>
      <c r="F357" s="5" t="s">
        <v>14</v>
      </c>
      <c r="G357" s="7">
        <v>3541</v>
      </c>
      <c r="H357" s="3" t="s">
        <v>63</v>
      </c>
      <c r="I357" s="3" t="s">
        <v>76</v>
      </c>
    </row>
    <row r="358" spans="1:9" ht="19.95" customHeight="1" x14ac:dyDescent="0.2">
      <c r="A358" s="3" t="s">
        <v>660</v>
      </c>
      <c r="B358" s="3" t="s">
        <v>11</v>
      </c>
      <c r="C358" s="3" t="s">
        <v>661</v>
      </c>
      <c r="D358" s="3" t="s">
        <v>70</v>
      </c>
      <c r="E358" s="4">
        <v>2780</v>
      </c>
      <c r="F358" s="5" t="s">
        <v>75</v>
      </c>
      <c r="G358" s="6"/>
      <c r="H358" s="3" t="s">
        <v>63</v>
      </c>
      <c r="I358" s="3" t="s">
        <v>483</v>
      </c>
    </row>
    <row r="359" spans="1:9" ht="19.95" customHeight="1" x14ac:dyDescent="0.2">
      <c r="A359" s="3" t="s">
        <v>662</v>
      </c>
      <c r="B359" s="3" t="s">
        <v>91</v>
      </c>
      <c r="C359" s="3" t="s">
        <v>276</v>
      </c>
      <c r="D359" s="3" t="s">
        <v>349</v>
      </c>
      <c r="E359" s="4">
        <v>6155</v>
      </c>
      <c r="F359" s="5" t="s">
        <v>501</v>
      </c>
      <c r="G359" s="4">
        <v>5430</v>
      </c>
      <c r="H359" s="3" t="s">
        <v>81</v>
      </c>
      <c r="I359" s="3" t="s">
        <v>275</v>
      </c>
    </row>
    <row r="360" spans="1:9" ht="19.95" customHeight="1" x14ac:dyDescent="0.2">
      <c r="A360" s="3" t="s">
        <v>663</v>
      </c>
      <c r="B360" s="3" t="s">
        <v>91</v>
      </c>
      <c r="C360" s="3" t="s">
        <v>276</v>
      </c>
      <c r="D360" s="3" t="s">
        <v>349</v>
      </c>
      <c r="E360" s="4">
        <v>1976</v>
      </c>
      <c r="F360" s="5" t="s">
        <v>501</v>
      </c>
      <c r="G360" s="4">
        <v>1621</v>
      </c>
      <c r="H360" s="3" t="s">
        <v>81</v>
      </c>
      <c r="I360" s="3" t="s">
        <v>275</v>
      </c>
    </row>
    <row r="361" spans="1:9" ht="19.95" customHeight="1" x14ac:dyDescent="0.2">
      <c r="A361" s="3" t="s">
        <v>664</v>
      </c>
      <c r="B361" s="3" t="s">
        <v>91</v>
      </c>
      <c r="C361" s="3" t="s">
        <v>276</v>
      </c>
      <c r="D361" s="3" t="s">
        <v>349</v>
      </c>
      <c r="E361" s="4">
        <v>3424</v>
      </c>
      <c r="F361" s="5" t="s">
        <v>501</v>
      </c>
      <c r="G361" s="4">
        <v>2809</v>
      </c>
      <c r="H361" s="3" t="s">
        <v>81</v>
      </c>
      <c r="I361" s="3" t="s">
        <v>275</v>
      </c>
    </row>
    <row r="362" spans="1:9" ht="19.95" customHeight="1" x14ac:dyDescent="0.2">
      <c r="A362" s="3" t="s">
        <v>665</v>
      </c>
      <c r="B362" s="3" t="s">
        <v>11</v>
      </c>
      <c r="C362" s="3" t="s">
        <v>512</v>
      </c>
      <c r="D362" s="3" t="s">
        <v>205</v>
      </c>
      <c r="E362" s="4">
        <v>1760</v>
      </c>
      <c r="F362" s="5" t="s">
        <v>58</v>
      </c>
      <c r="G362" s="3"/>
      <c r="H362" s="3" t="s">
        <v>40</v>
      </c>
      <c r="I362" s="3" t="s">
        <v>666</v>
      </c>
    </row>
    <row r="363" spans="1:9" ht="19.95" customHeight="1" x14ac:dyDescent="0.2">
      <c r="A363" s="3" t="s">
        <v>667</v>
      </c>
      <c r="B363" s="3" t="s">
        <v>11</v>
      </c>
      <c r="C363" s="3" t="s">
        <v>668</v>
      </c>
      <c r="D363" s="3" t="s">
        <v>205</v>
      </c>
      <c r="E363" s="4">
        <v>45195</v>
      </c>
      <c r="F363" s="5" t="s">
        <v>111</v>
      </c>
      <c r="G363" s="3"/>
      <c r="H363" s="3" t="s">
        <v>81</v>
      </c>
      <c r="I363" s="3" t="s">
        <v>666</v>
      </c>
    </row>
    <row r="364" spans="1:9" ht="19.95" customHeight="1" x14ac:dyDescent="0.2">
      <c r="A364" s="3" t="s">
        <v>669</v>
      </c>
      <c r="B364" s="3" t="s">
        <v>10</v>
      </c>
      <c r="C364" s="3" t="s">
        <v>136</v>
      </c>
      <c r="D364" s="3" t="s">
        <v>216</v>
      </c>
      <c r="E364" s="4">
        <v>3600</v>
      </c>
      <c r="F364" s="5" t="s">
        <v>14</v>
      </c>
      <c r="G364" s="4">
        <v>3207</v>
      </c>
      <c r="H364" s="3" t="s">
        <v>40</v>
      </c>
      <c r="I364" s="3" t="s">
        <v>549</v>
      </c>
    </row>
    <row r="365" spans="1:9" ht="19.95" customHeight="1" x14ac:dyDescent="0.2">
      <c r="A365" s="3" t="s">
        <v>670</v>
      </c>
      <c r="B365" s="3" t="s">
        <v>91</v>
      </c>
      <c r="C365" s="3" t="s">
        <v>69</v>
      </c>
      <c r="D365" s="3" t="s">
        <v>477</v>
      </c>
      <c r="E365" s="4">
        <v>4050</v>
      </c>
      <c r="F365" s="5" t="s">
        <v>39</v>
      </c>
      <c r="G365" s="7">
        <v>3550</v>
      </c>
      <c r="H365" s="3" t="s">
        <v>40</v>
      </c>
      <c r="I365" s="3" t="s">
        <v>296</v>
      </c>
    </row>
    <row r="366" spans="1:9" ht="19.95" customHeight="1" x14ac:dyDescent="0.2">
      <c r="A366" s="3" t="s">
        <v>671</v>
      </c>
      <c r="B366" s="3" t="s">
        <v>11</v>
      </c>
      <c r="C366" s="3" t="s">
        <v>575</v>
      </c>
      <c r="D366" s="3" t="s">
        <v>672</v>
      </c>
      <c r="E366" s="4">
        <v>9600</v>
      </c>
      <c r="F366" s="5" t="s">
        <v>148</v>
      </c>
      <c r="G366" s="3"/>
      <c r="H366" s="3" t="s">
        <v>81</v>
      </c>
      <c r="I366" s="3" t="s">
        <v>369</v>
      </c>
    </row>
    <row r="367" spans="1:9" ht="19.95" customHeight="1" x14ac:dyDescent="0.2">
      <c r="A367" s="3" t="s">
        <v>673</v>
      </c>
      <c r="B367" s="3" t="s">
        <v>115</v>
      </c>
      <c r="C367" s="3" t="s">
        <v>37</v>
      </c>
      <c r="D367" s="3" t="s">
        <v>115</v>
      </c>
      <c r="E367" s="4">
        <v>610</v>
      </c>
      <c r="F367" s="5" t="s">
        <v>39</v>
      </c>
      <c r="G367" s="4">
        <v>544</v>
      </c>
      <c r="H367" s="3" t="s">
        <v>40</v>
      </c>
      <c r="I367" s="3" t="s">
        <v>195</v>
      </c>
    </row>
    <row r="368" spans="1:9" ht="19.95" customHeight="1" x14ac:dyDescent="0.2">
      <c r="A368" s="3" t="s">
        <v>673</v>
      </c>
      <c r="B368" s="3" t="s">
        <v>11</v>
      </c>
      <c r="C368" s="3" t="s">
        <v>308</v>
      </c>
      <c r="D368" s="3" t="s">
        <v>115</v>
      </c>
      <c r="E368" s="4">
        <v>6100</v>
      </c>
      <c r="F368" s="5" t="s">
        <v>39</v>
      </c>
      <c r="G368" s="3"/>
      <c r="H368" s="3" t="s">
        <v>40</v>
      </c>
      <c r="I368" s="3" t="s">
        <v>195</v>
      </c>
    </row>
    <row r="369" spans="1:9" ht="19.95" customHeight="1" x14ac:dyDescent="0.2">
      <c r="A369" s="3" t="s">
        <v>674</v>
      </c>
      <c r="B369" s="3" t="s">
        <v>11</v>
      </c>
      <c r="C369" s="3" t="s">
        <v>675</v>
      </c>
      <c r="D369" s="3" t="s">
        <v>521</v>
      </c>
      <c r="E369" s="4">
        <v>2615</v>
      </c>
      <c r="F369" s="5" t="s">
        <v>75</v>
      </c>
      <c r="G369" s="3"/>
      <c r="H369" s="3" t="s">
        <v>63</v>
      </c>
      <c r="I369" s="3" t="s">
        <v>76</v>
      </c>
    </row>
    <row r="370" spans="1:9" ht="19.95" customHeight="1" x14ac:dyDescent="0.2">
      <c r="A370" s="3" t="s">
        <v>676</v>
      </c>
      <c r="B370" s="3" t="s">
        <v>45</v>
      </c>
      <c r="C370" s="3" t="s">
        <v>176</v>
      </c>
      <c r="D370" s="3" t="s">
        <v>38</v>
      </c>
      <c r="E370" s="4">
        <v>5200</v>
      </c>
      <c r="F370" s="5" t="s">
        <v>39</v>
      </c>
      <c r="G370" s="7">
        <v>4632</v>
      </c>
      <c r="H370" s="3" t="s">
        <v>40</v>
      </c>
      <c r="I370" s="3" t="s">
        <v>677</v>
      </c>
    </row>
    <row r="371" spans="1:9" ht="19.95" customHeight="1" x14ac:dyDescent="0.2">
      <c r="A371" s="3" t="s">
        <v>678</v>
      </c>
      <c r="B371" s="3" t="s">
        <v>45</v>
      </c>
      <c r="C371" s="3" t="s">
        <v>176</v>
      </c>
      <c r="D371" s="3" t="s">
        <v>38</v>
      </c>
      <c r="E371" s="4">
        <v>5200</v>
      </c>
      <c r="F371" s="5" t="s">
        <v>39</v>
      </c>
      <c r="G371" s="4">
        <v>4632</v>
      </c>
      <c r="H371" s="3" t="s">
        <v>40</v>
      </c>
      <c r="I371" s="3" t="s">
        <v>677</v>
      </c>
    </row>
    <row r="372" spans="1:9" ht="19.95" customHeight="1" x14ac:dyDescent="0.2">
      <c r="A372" s="3" t="s">
        <v>679</v>
      </c>
      <c r="B372" s="3" t="s">
        <v>11</v>
      </c>
      <c r="C372" s="3" t="s">
        <v>680</v>
      </c>
      <c r="D372" s="3" t="s">
        <v>38</v>
      </c>
      <c r="E372" s="4">
        <v>40384</v>
      </c>
      <c r="F372" s="5" t="s">
        <v>89</v>
      </c>
      <c r="G372" s="3"/>
      <c r="H372" s="3" t="s">
        <v>81</v>
      </c>
      <c r="I372" s="3" t="s">
        <v>677</v>
      </c>
    </row>
    <row r="373" spans="1:9" ht="19.95" customHeight="1" x14ac:dyDescent="0.2">
      <c r="A373" s="3" t="s">
        <v>681</v>
      </c>
      <c r="B373" s="3" t="s">
        <v>91</v>
      </c>
      <c r="C373" s="3" t="s">
        <v>37</v>
      </c>
      <c r="D373" s="3" t="s">
        <v>85</v>
      </c>
      <c r="E373" s="4">
        <v>3410</v>
      </c>
      <c r="F373" s="5" t="s">
        <v>11</v>
      </c>
      <c r="G373" s="4">
        <v>3007</v>
      </c>
      <c r="H373" s="3" t="s">
        <v>40</v>
      </c>
      <c r="I373" s="3" t="s">
        <v>433</v>
      </c>
    </row>
    <row r="374" spans="1:9" ht="19.95" customHeight="1" x14ac:dyDescent="0.2">
      <c r="A374" s="3" t="s">
        <v>682</v>
      </c>
      <c r="B374" s="3" t="s">
        <v>110</v>
      </c>
      <c r="C374" s="3" t="s">
        <v>683</v>
      </c>
      <c r="D374" s="3" t="s">
        <v>109</v>
      </c>
      <c r="E374" s="4">
        <v>1596</v>
      </c>
      <c r="F374" s="5" t="s">
        <v>183</v>
      </c>
      <c r="G374" s="7">
        <v>1440</v>
      </c>
      <c r="H374" s="3" t="s">
        <v>63</v>
      </c>
      <c r="I374" s="3" t="s">
        <v>210</v>
      </c>
    </row>
    <row r="375" spans="1:9" ht="19.95" customHeight="1" x14ac:dyDescent="0.2">
      <c r="A375" s="3" t="s">
        <v>684</v>
      </c>
      <c r="B375" s="3" t="s">
        <v>10</v>
      </c>
      <c r="C375" s="3" t="s">
        <v>69</v>
      </c>
      <c r="D375" s="3" t="s">
        <v>477</v>
      </c>
      <c r="E375" s="4">
        <v>4490</v>
      </c>
      <c r="F375" s="5" t="s">
        <v>39</v>
      </c>
      <c r="G375" s="7">
        <v>3860</v>
      </c>
      <c r="H375" s="3" t="s">
        <v>40</v>
      </c>
      <c r="I375" s="3" t="s">
        <v>229</v>
      </c>
    </row>
    <row r="376" spans="1:9" ht="19.95" customHeight="1" x14ac:dyDescent="0.2">
      <c r="A376" s="3" t="s">
        <v>685</v>
      </c>
      <c r="B376" s="3" t="s">
        <v>10</v>
      </c>
      <c r="C376" s="3" t="s">
        <v>69</v>
      </c>
      <c r="D376" s="3" t="s">
        <v>477</v>
      </c>
      <c r="E376" s="4">
        <v>7130</v>
      </c>
      <c r="F376" s="5" t="s">
        <v>39</v>
      </c>
      <c r="G376" s="4">
        <v>6130</v>
      </c>
      <c r="H376" s="3" t="s">
        <v>40</v>
      </c>
      <c r="I376" s="3" t="s">
        <v>229</v>
      </c>
    </row>
    <row r="377" spans="1:9" ht="19.95" customHeight="1" x14ac:dyDescent="0.2">
      <c r="A377" s="3" t="s">
        <v>685</v>
      </c>
      <c r="B377" s="3" t="s">
        <v>10</v>
      </c>
      <c r="C377" s="3" t="s">
        <v>176</v>
      </c>
      <c r="D377" s="3" t="s">
        <v>477</v>
      </c>
      <c r="E377" s="4">
        <v>35650</v>
      </c>
      <c r="F377" s="5" t="s">
        <v>39</v>
      </c>
      <c r="G377" s="4">
        <v>30650</v>
      </c>
      <c r="H377" s="3" t="s">
        <v>40</v>
      </c>
      <c r="I377" s="3" t="s">
        <v>229</v>
      </c>
    </row>
    <row r="378" spans="1:9" ht="19.95" customHeight="1" x14ac:dyDescent="0.2">
      <c r="A378" s="3" t="s">
        <v>686</v>
      </c>
      <c r="B378" s="3" t="s">
        <v>115</v>
      </c>
      <c r="C378" s="3" t="s">
        <v>37</v>
      </c>
      <c r="D378" s="3" t="s">
        <v>115</v>
      </c>
      <c r="E378" s="4">
        <v>610</v>
      </c>
      <c r="F378" s="5" t="s">
        <v>39</v>
      </c>
      <c r="G378" s="7">
        <v>544</v>
      </c>
      <c r="H378" s="3" t="s">
        <v>40</v>
      </c>
      <c r="I378" s="3" t="s">
        <v>210</v>
      </c>
    </row>
    <row r="379" spans="1:9" ht="19.95" customHeight="1" x14ac:dyDescent="0.2">
      <c r="A379" s="3" t="s">
        <v>687</v>
      </c>
      <c r="B379" s="3" t="s">
        <v>11</v>
      </c>
      <c r="C379" s="3" t="s">
        <v>69</v>
      </c>
      <c r="D379" s="3" t="s">
        <v>262</v>
      </c>
      <c r="E379" s="4">
        <v>610</v>
      </c>
      <c r="F379" s="5" t="s">
        <v>39</v>
      </c>
      <c r="G379" s="3"/>
      <c r="H379" s="3" t="s">
        <v>40</v>
      </c>
      <c r="I379" s="3" t="s">
        <v>334</v>
      </c>
    </row>
    <row r="380" spans="1:9" ht="19.95" customHeight="1" x14ac:dyDescent="0.2">
      <c r="A380" s="3" t="s">
        <v>688</v>
      </c>
      <c r="B380" s="3" t="s">
        <v>11</v>
      </c>
      <c r="C380" s="3" t="s">
        <v>194</v>
      </c>
      <c r="D380" s="3" t="s">
        <v>411</v>
      </c>
      <c r="E380" s="4">
        <v>1730</v>
      </c>
      <c r="F380" s="5" t="s">
        <v>516</v>
      </c>
      <c r="G380" s="6"/>
      <c r="H380" s="3" t="s">
        <v>81</v>
      </c>
      <c r="I380" s="3" t="s">
        <v>334</v>
      </c>
    </row>
    <row r="381" spans="1:9" ht="19.95" customHeight="1" x14ac:dyDescent="0.2">
      <c r="A381" s="3" t="s">
        <v>689</v>
      </c>
      <c r="B381" s="3" t="s">
        <v>11</v>
      </c>
      <c r="C381" s="3" t="s">
        <v>690</v>
      </c>
      <c r="D381" s="3" t="s">
        <v>691</v>
      </c>
      <c r="E381" s="4">
        <v>1940</v>
      </c>
      <c r="F381" s="5" t="s">
        <v>89</v>
      </c>
      <c r="G381" s="6"/>
      <c r="H381" s="3" t="s">
        <v>81</v>
      </c>
      <c r="I381" s="3" t="s">
        <v>334</v>
      </c>
    </row>
    <row r="382" spans="1:9" ht="19.95" customHeight="1" x14ac:dyDescent="0.2">
      <c r="A382" s="3" t="s">
        <v>692</v>
      </c>
      <c r="B382" s="3" t="s">
        <v>10</v>
      </c>
      <c r="C382" s="3" t="s">
        <v>693</v>
      </c>
      <c r="D382" s="3" t="s">
        <v>262</v>
      </c>
      <c r="E382" s="4">
        <v>1950</v>
      </c>
      <c r="F382" s="5" t="s">
        <v>14</v>
      </c>
      <c r="G382" s="4">
        <v>1772</v>
      </c>
      <c r="H382" s="3" t="s">
        <v>63</v>
      </c>
      <c r="I382" s="3" t="s">
        <v>64</v>
      </c>
    </row>
    <row r="383" spans="1:9" ht="19.95" customHeight="1" x14ac:dyDescent="0.2">
      <c r="A383" s="3" t="s">
        <v>694</v>
      </c>
      <c r="B383" s="3" t="s">
        <v>115</v>
      </c>
      <c r="C383" s="3" t="s">
        <v>308</v>
      </c>
      <c r="D383" s="3" t="s">
        <v>115</v>
      </c>
      <c r="E383" s="4">
        <v>5900</v>
      </c>
      <c r="F383" s="5" t="s">
        <v>39</v>
      </c>
      <c r="G383" s="4">
        <v>5260</v>
      </c>
      <c r="H383" s="3" t="s">
        <v>40</v>
      </c>
      <c r="I383" s="3" t="s">
        <v>695</v>
      </c>
    </row>
    <row r="384" spans="1:9" ht="19.95" customHeight="1" x14ac:dyDescent="0.2">
      <c r="A384" s="3" t="s">
        <v>696</v>
      </c>
      <c r="B384" s="3" t="s">
        <v>45</v>
      </c>
      <c r="C384" s="3" t="s">
        <v>258</v>
      </c>
      <c r="D384" s="3" t="s">
        <v>697</v>
      </c>
      <c r="E384" s="4">
        <v>1920</v>
      </c>
      <c r="F384" s="5" t="s">
        <v>14</v>
      </c>
      <c r="G384" s="7">
        <v>1728</v>
      </c>
      <c r="H384" s="3" t="s">
        <v>63</v>
      </c>
      <c r="I384" s="3" t="s">
        <v>129</v>
      </c>
    </row>
    <row r="385" spans="1:9" ht="19.95" customHeight="1" x14ac:dyDescent="0.2">
      <c r="A385" s="3" t="s">
        <v>698</v>
      </c>
      <c r="B385" s="3" t="s">
        <v>11</v>
      </c>
      <c r="C385" s="3" t="s">
        <v>146</v>
      </c>
      <c r="D385" s="3" t="s">
        <v>248</v>
      </c>
      <c r="E385" s="4">
        <v>8630</v>
      </c>
      <c r="F385" s="5" t="s">
        <v>75</v>
      </c>
      <c r="G385" s="3"/>
      <c r="H385" s="3" t="s">
        <v>63</v>
      </c>
      <c r="I385" s="3" t="s">
        <v>76</v>
      </c>
    </row>
    <row r="386" spans="1:9" ht="19.95" customHeight="1" x14ac:dyDescent="0.2">
      <c r="A386" s="3" t="s">
        <v>699</v>
      </c>
      <c r="B386" s="3" t="s">
        <v>45</v>
      </c>
      <c r="C386" s="3" t="s">
        <v>700</v>
      </c>
      <c r="D386" s="3" t="s">
        <v>559</v>
      </c>
      <c r="E386" s="4">
        <v>955.5</v>
      </c>
      <c r="F386" s="5" t="s">
        <v>39</v>
      </c>
      <c r="G386" s="4">
        <v>836</v>
      </c>
      <c r="H386" s="3" t="s">
        <v>40</v>
      </c>
      <c r="I386" s="3" t="s">
        <v>187</v>
      </c>
    </row>
    <row r="387" spans="1:9" ht="19.95" customHeight="1" x14ac:dyDescent="0.2">
      <c r="A387" s="3" t="s">
        <v>701</v>
      </c>
      <c r="B387" s="3" t="s">
        <v>45</v>
      </c>
      <c r="C387" s="3" t="s">
        <v>69</v>
      </c>
      <c r="D387" s="3" t="s">
        <v>559</v>
      </c>
      <c r="E387" s="4">
        <v>2500</v>
      </c>
      <c r="F387" s="5" t="s">
        <v>39</v>
      </c>
      <c r="G387" s="4">
        <v>2188</v>
      </c>
      <c r="H387" s="3" t="s">
        <v>40</v>
      </c>
      <c r="I387" s="3" t="s">
        <v>187</v>
      </c>
    </row>
    <row r="388" spans="1:9" ht="19.95" customHeight="1" x14ac:dyDescent="0.2">
      <c r="A388" s="3" t="s">
        <v>702</v>
      </c>
      <c r="B388" s="3" t="s">
        <v>91</v>
      </c>
      <c r="C388" s="3" t="s">
        <v>703</v>
      </c>
      <c r="D388" s="3" t="s">
        <v>70</v>
      </c>
      <c r="E388" s="4">
        <v>678</v>
      </c>
      <c r="F388" s="5" t="s">
        <v>39</v>
      </c>
      <c r="G388" s="4">
        <v>610</v>
      </c>
      <c r="H388" s="3" t="s">
        <v>40</v>
      </c>
      <c r="I388" s="3" t="s">
        <v>132</v>
      </c>
    </row>
    <row r="389" spans="1:9" ht="19.95" customHeight="1" x14ac:dyDescent="0.2">
      <c r="A389" s="3" t="s">
        <v>704</v>
      </c>
      <c r="B389" s="3" t="s">
        <v>45</v>
      </c>
      <c r="C389" s="3" t="s">
        <v>37</v>
      </c>
      <c r="D389" s="3" t="s">
        <v>638</v>
      </c>
      <c r="E389" s="4">
        <v>1130</v>
      </c>
      <c r="F389" s="5" t="s">
        <v>39</v>
      </c>
      <c r="G389" s="4">
        <v>961</v>
      </c>
      <c r="H389" s="3" t="s">
        <v>40</v>
      </c>
      <c r="I389" s="3" t="s">
        <v>251</v>
      </c>
    </row>
    <row r="390" spans="1:9" ht="19.95" customHeight="1" x14ac:dyDescent="0.2">
      <c r="A390" s="3" t="s">
        <v>705</v>
      </c>
      <c r="B390" s="3" t="s">
        <v>45</v>
      </c>
      <c r="C390" s="3" t="s">
        <v>308</v>
      </c>
      <c r="D390" s="3" t="s">
        <v>262</v>
      </c>
      <c r="E390" s="4">
        <v>11300</v>
      </c>
      <c r="F390" s="5" t="s">
        <v>39</v>
      </c>
      <c r="G390" s="4">
        <v>9605</v>
      </c>
      <c r="H390" s="3" t="s">
        <v>40</v>
      </c>
      <c r="I390" s="3" t="s">
        <v>251</v>
      </c>
    </row>
    <row r="391" spans="1:9" ht="19.95" customHeight="1" x14ac:dyDescent="0.2">
      <c r="A391" s="3" t="s">
        <v>706</v>
      </c>
      <c r="B391" s="3" t="s">
        <v>11</v>
      </c>
      <c r="C391" s="3" t="s">
        <v>84</v>
      </c>
      <c r="D391" s="3" t="s">
        <v>459</v>
      </c>
      <c r="E391" s="4">
        <v>3400</v>
      </c>
      <c r="F391" s="5" t="s">
        <v>14</v>
      </c>
      <c r="G391" s="3"/>
      <c r="H391" s="3" t="s">
        <v>40</v>
      </c>
      <c r="I391" s="3" t="s">
        <v>314</v>
      </c>
    </row>
    <row r="392" spans="1:9" ht="19.95" customHeight="1" x14ac:dyDescent="0.2">
      <c r="A392" s="3" t="s">
        <v>707</v>
      </c>
      <c r="B392" s="3" t="s">
        <v>10</v>
      </c>
      <c r="C392" s="3" t="s">
        <v>308</v>
      </c>
      <c r="D392" s="3" t="s">
        <v>496</v>
      </c>
      <c r="E392" s="4">
        <v>6500</v>
      </c>
      <c r="F392" s="5" t="s">
        <v>39</v>
      </c>
      <c r="G392" s="7">
        <v>5909</v>
      </c>
      <c r="H392" s="3" t="s">
        <v>40</v>
      </c>
      <c r="I392" s="3" t="s">
        <v>317</v>
      </c>
    </row>
    <row r="393" spans="1:9" ht="19.95" customHeight="1" x14ac:dyDescent="0.2">
      <c r="A393" s="3" t="s">
        <v>708</v>
      </c>
      <c r="B393" s="3" t="s">
        <v>10</v>
      </c>
      <c r="C393" s="3" t="s">
        <v>84</v>
      </c>
      <c r="D393" s="3" t="s">
        <v>496</v>
      </c>
      <c r="E393" s="4">
        <v>940</v>
      </c>
      <c r="F393" s="5" t="s">
        <v>14</v>
      </c>
      <c r="G393" s="7">
        <v>854</v>
      </c>
      <c r="H393" s="3" t="s">
        <v>40</v>
      </c>
      <c r="I393" s="3" t="s">
        <v>317</v>
      </c>
    </row>
    <row r="394" spans="1:9" ht="19.95" customHeight="1" x14ac:dyDescent="0.2">
      <c r="A394" s="3" t="s">
        <v>709</v>
      </c>
      <c r="B394" s="3" t="s">
        <v>45</v>
      </c>
      <c r="C394" s="3" t="s">
        <v>140</v>
      </c>
      <c r="D394" s="3" t="s">
        <v>62</v>
      </c>
      <c r="E394" s="4">
        <v>18300</v>
      </c>
      <c r="F394" s="5" t="s">
        <v>39</v>
      </c>
      <c r="G394" s="7">
        <v>16287</v>
      </c>
      <c r="H394" s="3" t="s">
        <v>40</v>
      </c>
      <c r="I394" s="3" t="s">
        <v>187</v>
      </c>
    </row>
    <row r="395" spans="1:9" ht="19.95" customHeight="1" x14ac:dyDescent="0.2">
      <c r="A395" s="3" t="s">
        <v>709</v>
      </c>
      <c r="B395" s="3" t="s">
        <v>45</v>
      </c>
      <c r="C395" s="3" t="s">
        <v>176</v>
      </c>
      <c r="D395" s="3" t="s">
        <v>62</v>
      </c>
      <c r="E395" s="4">
        <v>9150</v>
      </c>
      <c r="F395" s="5" t="s">
        <v>39</v>
      </c>
      <c r="G395" s="4">
        <v>8144</v>
      </c>
      <c r="H395" s="3" t="s">
        <v>40</v>
      </c>
      <c r="I395" s="3" t="s">
        <v>187</v>
      </c>
    </row>
    <row r="396" spans="1:9" ht="19.95" customHeight="1" x14ac:dyDescent="0.2">
      <c r="A396" s="3" t="s">
        <v>710</v>
      </c>
      <c r="B396" s="3" t="s">
        <v>10</v>
      </c>
      <c r="C396" s="3" t="s">
        <v>711</v>
      </c>
      <c r="D396" s="3" t="s">
        <v>109</v>
      </c>
      <c r="E396" s="4">
        <v>804</v>
      </c>
      <c r="F396" s="5" t="s">
        <v>58</v>
      </c>
      <c r="G396" s="4">
        <v>710</v>
      </c>
      <c r="H396" s="3" t="s">
        <v>40</v>
      </c>
      <c r="I396" s="3" t="s">
        <v>82</v>
      </c>
    </row>
    <row r="397" spans="1:9" ht="19.95" customHeight="1" x14ac:dyDescent="0.2">
      <c r="A397" s="3" t="s">
        <v>712</v>
      </c>
      <c r="B397" s="3" t="s">
        <v>45</v>
      </c>
      <c r="C397" s="3" t="s">
        <v>215</v>
      </c>
      <c r="D397" s="3" t="s">
        <v>402</v>
      </c>
      <c r="E397" s="4">
        <v>12850</v>
      </c>
      <c r="F397" s="5" t="s">
        <v>58</v>
      </c>
      <c r="G397" s="4">
        <v>10280</v>
      </c>
      <c r="H397" s="3" t="s">
        <v>40</v>
      </c>
      <c r="I397" s="3" t="s">
        <v>187</v>
      </c>
    </row>
    <row r="398" spans="1:9" ht="19.95" customHeight="1" x14ac:dyDescent="0.2">
      <c r="A398" s="3" t="s">
        <v>712</v>
      </c>
      <c r="B398" s="3" t="s">
        <v>45</v>
      </c>
      <c r="C398" s="3" t="s">
        <v>512</v>
      </c>
      <c r="D398" s="3" t="s">
        <v>402</v>
      </c>
      <c r="E398" s="4">
        <v>2570</v>
      </c>
      <c r="F398" s="5" t="s">
        <v>58</v>
      </c>
      <c r="G398" s="7">
        <v>2056</v>
      </c>
      <c r="H398" s="3" t="s">
        <v>40</v>
      </c>
      <c r="I398" s="3" t="s">
        <v>187</v>
      </c>
    </row>
    <row r="399" spans="1:9" ht="19.95" customHeight="1" x14ac:dyDescent="0.2">
      <c r="A399" s="3" t="s">
        <v>713</v>
      </c>
      <c r="B399" s="3" t="s">
        <v>11</v>
      </c>
      <c r="C399" s="3" t="s">
        <v>714</v>
      </c>
      <c r="D399" s="3" t="s">
        <v>715</v>
      </c>
      <c r="E399" s="4">
        <v>10045</v>
      </c>
      <c r="F399" s="5" t="s">
        <v>148</v>
      </c>
      <c r="G399" s="3"/>
      <c r="H399" s="3" t="s">
        <v>81</v>
      </c>
      <c r="I399" s="3" t="s">
        <v>677</v>
      </c>
    </row>
    <row r="400" spans="1:9" ht="19.95" customHeight="1" x14ac:dyDescent="0.2">
      <c r="A400" s="3" t="s">
        <v>716</v>
      </c>
      <c r="B400" s="3" t="s">
        <v>11</v>
      </c>
      <c r="C400" s="3" t="s">
        <v>717</v>
      </c>
      <c r="D400" s="3" t="s">
        <v>492</v>
      </c>
      <c r="E400" s="4">
        <v>4750</v>
      </c>
      <c r="F400" s="5" t="s">
        <v>14</v>
      </c>
      <c r="G400" s="3"/>
      <c r="H400" s="3" t="s">
        <v>63</v>
      </c>
      <c r="I400" s="3" t="s">
        <v>718</v>
      </c>
    </row>
    <row r="401" spans="1:9" ht="19.95" customHeight="1" x14ac:dyDescent="0.2">
      <c r="A401" s="3" t="s">
        <v>719</v>
      </c>
      <c r="B401" s="3" t="s">
        <v>110</v>
      </c>
      <c r="C401" s="3" t="s">
        <v>92</v>
      </c>
      <c r="D401" s="3" t="s">
        <v>109</v>
      </c>
      <c r="E401" s="4">
        <v>950</v>
      </c>
      <c r="F401" s="5" t="s">
        <v>14</v>
      </c>
      <c r="G401" s="4">
        <v>857</v>
      </c>
      <c r="H401" s="3" t="s">
        <v>63</v>
      </c>
      <c r="I401" s="3" t="s">
        <v>718</v>
      </c>
    </row>
    <row r="402" spans="1:9" ht="19.95" customHeight="1" x14ac:dyDescent="0.2">
      <c r="A402" s="3" t="s">
        <v>720</v>
      </c>
      <c r="B402" s="3" t="s">
        <v>110</v>
      </c>
      <c r="C402" s="3" t="s">
        <v>92</v>
      </c>
      <c r="D402" s="3" t="s">
        <v>109</v>
      </c>
      <c r="E402" s="4">
        <v>950</v>
      </c>
      <c r="F402" s="5" t="s">
        <v>14</v>
      </c>
      <c r="G402" s="4">
        <v>857</v>
      </c>
      <c r="H402" s="3" t="s">
        <v>63</v>
      </c>
      <c r="I402" s="3" t="s">
        <v>718</v>
      </c>
    </row>
    <row r="403" spans="1:9" ht="19.95" customHeight="1" x14ac:dyDescent="0.2">
      <c r="A403" s="3" t="s">
        <v>721</v>
      </c>
      <c r="B403" s="3" t="s">
        <v>115</v>
      </c>
      <c r="C403" s="3" t="s">
        <v>451</v>
      </c>
      <c r="D403" s="3" t="s">
        <v>115</v>
      </c>
      <c r="E403" s="4">
        <v>3120</v>
      </c>
      <c r="F403" s="5" t="s">
        <v>39</v>
      </c>
      <c r="G403" s="4">
        <v>2715</v>
      </c>
      <c r="H403" s="3" t="s">
        <v>40</v>
      </c>
      <c r="I403" s="3" t="s">
        <v>72</v>
      </c>
    </row>
    <row r="404" spans="1:9" ht="19.95" customHeight="1" x14ac:dyDescent="0.2">
      <c r="A404" s="3" t="s">
        <v>721</v>
      </c>
      <c r="B404" s="3" t="s">
        <v>115</v>
      </c>
      <c r="C404" s="3" t="s">
        <v>37</v>
      </c>
      <c r="D404" s="3" t="s">
        <v>115</v>
      </c>
      <c r="E404" s="4">
        <v>1040</v>
      </c>
      <c r="F404" s="5" t="s">
        <v>39</v>
      </c>
      <c r="G404" s="7">
        <v>905</v>
      </c>
      <c r="H404" s="3" t="s">
        <v>40</v>
      </c>
      <c r="I404" s="3" t="s">
        <v>72</v>
      </c>
    </row>
    <row r="405" spans="1:9" ht="19.95" customHeight="1" x14ac:dyDescent="0.2">
      <c r="A405" s="3" t="s">
        <v>722</v>
      </c>
      <c r="B405" s="3" t="s">
        <v>10</v>
      </c>
      <c r="C405" s="3" t="s">
        <v>136</v>
      </c>
      <c r="D405" s="3" t="s">
        <v>492</v>
      </c>
      <c r="E405" s="4">
        <v>13850</v>
      </c>
      <c r="F405" s="5" t="s">
        <v>14</v>
      </c>
      <c r="G405" s="4">
        <v>12338</v>
      </c>
      <c r="H405" s="3" t="s">
        <v>63</v>
      </c>
      <c r="I405" s="3" t="s">
        <v>129</v>
      </c>
    </row>
    <row r="406" spans="1:9" ht="19.95" customHeight="1" x14ac:dyDescent="0.2">
      <c r="A406" s="3" t="s">
        <v>722</v>
      </c>
      <c r="B406" s="3" t="s">
        <v>10</v>
      </c>
      <c r="C406" s="3" t="s">
        <v>723</v>
      </c>
      <c r="D406" s="3" t="s">
        <v>492</v>
      </c>
      <c r="E406" s="4">
        <v>6925</v>
      </c>
      <c r="F406" s="5" t="s">
        <v>14</v>
      </c>
      <c r="G406" s="4">
        <v>6169</v>
      </c>
      <c r="H406" s="3" t="s">
        <v>63</v>
      </c>
      <c r="I406" s="3" t="s">
        <v>129</v>
      </c>
    </row>
    <row r="407" spans="1:9" ht="19.95" customHeight="1" x14ac:dyDescent="0.2">
      <c r="A407" s="3" t="s">
        <v>724</v>
      </c>
      <c r="B407" s="3" t="s">
        <v>11</v>
      </c>
      <c r="C407" s="3" t="s">
        <v>725</v>
      </c>
      <c r="D407" s="3" t="s">
        <v>170</v>
      </c>
      <c r="E407" s="4">
        <v>730</v>
      </c>
      <c r="F407" s="5" t="s">
        <v>14</v>
      </c>
      <c r="G407" s="3"/>
      <c r="H407" s="3" t="s">
        <v>63</v>
      </c>
      <c r="I407" s="3" t="s">
        <v>129</v>
      </c>
    </row>
    <row r="408" spans="1:9" ht="19.95" customHeight="1" x14ac:dyDescent="0.2">
      <c r="A408" s="3" t="s">
        <v>726</v>
      </c>
      <c r="B408" s="3" t="s">
        <v>10</v>
      </c>
      <c r="C408" s="3" t="s">
        <v>69</v>
      </c>
      <c r="D408" s="3" t="s">
        <v>727</v>
      </c>
      <c r="E408" s="4">
        <v>720</v>
      </c>
      <c r="F408" s="5" t="s">
        <v>39</v>
      </c>
      <c r="G408" s="4">
        <v>648</v>
      </c>
      <c r="H408" s="3" t="s">
        <v>40</v>
      </c>
      <c r="I408" s="3" t="s">
        <v>156</v>
      </c>
    </row>
    <row r="409" spans="1:9" ht="19.95" customHeight="1" x14ac:dyDescent="0.2">
      <c r="A409" s="3" t="s">
        <v>728</v>
      </c>
      <c r="B409" s="3" t="s">
        <v>115</v>
      </c>
      <c r="C409" s="3" t="s">
        <v>729</v>
      </c>
      <c r="D409" s="3" t="s">
        <v>115</v>
      </c>
      <c r="E409" s="4">
        <v>5200</v>
      </c>
      <c r="F409" s="5" t="s">
        <v>14</v>
      </c>
      <c r="G409" s="4">
        <v>4630</v>
      </c>
      <c r="H409" s="3" t="s">
        <v>40</v>
      </c>
      <c r="I409" s="3" t="s">
        <v>730</v>
      </c>
    </row>
    <row r="410" spans="1:9" ht="19.95" customHeight="1" x14ac:dyDescent="0.2">
      <c r="A410" s="3" t="s">
        <v>731</v>
      </c>
      <c r="B410" s="3" t="s">
        <v>11</v>
      </c>
      <c r="C410" s="3" t="s">
        <v>69</v>
      </c>
      <c r="D410" s="3" t="s">
        <v>216</v>
      </c>
      <c r="E410" s="4">
        <v>5040</v>
      </c>
      <c r="F410" s="5" t="s">
        <v>39</v>
      </c>
      <c r="G410" s="3"/>
      <c r="H410" s="3" t="s">
        <v>40</v>
      </c>
      <c r="I410" s="3" t="s">
        <v>732</v>
      </c>
    </row>
    <row r="411" spans="1:9" ht="19.95" customHeight="1" x14ac:dyDescent="0.2">
      <c r="A411" s="3" t="s">
        <v>733</v>
      </c>
      <c r="B411" s="3" t="s">
        <v>115</v>
      </c>
      <c r="C411" s="3" t="s">
        <v>622</v>
      </c>
      <c r="D411" s="3" t="s">
        <v>115</v>
      </c>
      <c r="E411" s="4">
        <v>10234</v>
      </c>
      <c r="F411" s="5" t="s">
        <v>39</v>
      </c>
      <c r="G411" s="4">
        <v>7770</v>
      </c>
      <c r="H411" s="3" t="s">
        <v>40</v>
      </c>
      <c r="I411" s="3" t="s">
        <v>229</v>
      </c>
    </row>
    <row r="412" spans="1:9" ht="19.95" customHeight="1" x14ac:dyDescent="0.2">
      <c r="A412" s="3" t="s">
        <v>733</v>
      </c>
      <c r="B412" s="3" t="s">
        <v>115</v>
      </c>
      <c r="C412" s="3" t="s">
        <v>69</v>
      </c>
      <c r="D412" s="3" t="s">
        <v>115</v>
      </c>
      <c r="E412" s="4">
        <v>7310</v>
      </c>
      <c r="F412" s="5" t="s">
        <v>39</v>
      </c>
      <c r="G412" s="7">
        <v>5550</v>
      </c>
      <c r="H412" s="3" t="s">
        <v>40</v>
      </c>
      <c r="I412" s="3" t="s">
        <v>229</v>
      </c>
    </row>
    <row r="413" spans="1:9" ht="19.95" customHeight="1" x14ac:dyDescent="0.2">
      <c r="A413" s="3" t="s">
        <v>734</v>
      </c>
      <c r="B413" s="3" t="s">
        <v>11</v>
      </c>
      <c r="C413" s="3" t="s">
        <v>375</v>
      </c>
      <c r="D413" s="3" t="s">
        <v>62</v>
      </c>
      <c r="E413" s="4">
        <v>4093.6</v>
      </c>
      <c r="F413" s="5" t="s">
        <v>39</v>
      </c>
      <c r="G413" s="6"/>
      <c r="H413" s="3" t="s">
        <v>40</v>
      </c>
      <c r="I413" s="3" t="s">
        <v>229</v>
      </c>
    </row>
    <row r="414" spans="1:9" ht="19.95" customHeight="1" x14ac:dyDescent="0.2">
      <c r="A414" s="3" t="s">
        <v>735</v>
      </c>
      <c r="B414" s="3" t="s">
        <v>115</v>
      </c>
      <c r="C414" s="3" t="s">
        <v>736</v>
      </c>
      <c r="D414" s="3" t="s">
        <v>115</v>
      </c>
      <c r="E414" s="4">
        <v>814.8</v>
      </c>
      <c r="F414" s="5" t="s">
        <v>39</v>
      </c>
      <c r="G414" s="4">
        <v>616</v>
      </c>
      <c r="H414" s="3" t="s">
        <v>40</v>
      </c>
      <c r="I414" s="3" t="s">
        <v>229</v>
      </c>
    </row>
    <row r="415" spans="1:9" ht="19.95" customHeight="1" x14ac:dyDescent="0.2">
      <c r="A415" s="3" t="s">
        <v>735</v>
      </c>
      <c r="B415" s="3" t="s">
        <v>115</v>
      </c>
      <c r="C415" s="3" t="s">
        <v>69</v>
      </c>
      <c r="D415" s="3" t="s">
        <v>115</v>
      </c>
      <c r="E415" s="4">
        <v>2910</v>
      </c>
      <c r="F415" s="5" t="s">
        <v>39</v>
      </c>
      <c r="G415" s="4">
        <v>2207</v>
      </c>
      <c r="H415" s="3" t="s">
        <v>40</v>
      </c>
      <c r="I415" s="3" t="s">
        <v>229</v>
      </c>
    </row>
    <row r="416" spans="1:9" ht="19.95" customHeight="1" x14ac:dyDescent="0.2">
      <c r="A416" s="3" t="s">
        <v>737</v>
      </c>
      <c r="B416" s="3" t="s">
        <v>11</v>
      </c>
      <c r="C416" s="3" t="s">
        <v>738</v>
      </c>
      <c r="D416" s="3" t="s">
        <v>62</v>
      </c>
      <c r="E416" s="4">
        <v>814.8</v>
      </c>
      <c r="F416" s="5" t="s">
        <v>39</v>
      </c>
      <c r="G416" s="3"/>
      <c r="H416" s="3" t="s">
        <v>40</v>
      </c>
      <c r="I416" s="3" t="s">
        <v>229</v>
      </c>
    </row>
    <row r="417" spans="1:9" ht="19.95" customHeight="1" x14ac:dyDescent="0.2">
      <c r="A417" s="3" t="s">
        <v>739</v>
      </c>
      <c r="B417" s="3" t="s">
        <v>11</v>
      </c>
      <c r="C417" s="3" t="s">
        <v>37</v>
      </c>
      <c r="D417" s="3" t="s">
        <v>62</v>
      </c>
      <c r="E417" s="4">
        <v>2910</v>
      </c>
      <c r="F417" s="5" t="s">
        <v>39</v>
      </c>
      <c r="G417" s="3"/>
      <c r="H417" s="3" t="s">
        <v>40</v>
      </c>
      <c r="I417" s="3" t="s">
        <v>229</v>
      </c>
    </row>
    <row r="418" spans="1:9" ht="19.95" customHeight="1" x14ac:dyDescent="0.2">
      <c r="A418" s="3" t="s">
        <v>740</v>
      </c>
      <c r="B418" s="3" t="s">
        <v>115</v>
      </c>
      <c r="C418" s="3" t="s">
        <v>69</v>
      </c>
      <c r="D418" s="3" t="s">
        <v>115</v>
      </c>
      <c r="E418" s="4">
        <v>4340</v>
      </c>
      <c r="F418" s="5" t="s">
        <v>39</v>
      </c>
      <c r="G418" s="4">
        <v>3275</v>
      </c>
      <c r="H418" s="3" t="s">
        <v>40</v>
      </c>
      <c r="I418" s="3" t="s">
        <v>229</v>
      </c>
    </row>
    <row r="419" spans="1:9" ht="19.95" customHeight="1" x14ac:dyDescent="0.2">
      <c r="A419" s="3" t="s">
        <v>740</v>
      </c>
      <c r="B419" s="3" t="s">
        <v>115</v>
      </c>
      <c r="C419" s="3" t="s">
        <v>622</v>
      </c>
      <c r="D419" s="3" t="s">
        <v>115</v>
      </c>
      <c r="E419" s="4">
        <v>6076</v>
      </c>
      <c r="F419" s="5" t="s">
        <v>39</v>
      </c>
      <c r="G419" s="4">
        <v>4585</v>
      </c>
      <c r="H419" s="3" t="s">
        <v>40</v>
      </c>
      <c r="I419" s="3" t="s">
        <v>229</v>
      </c>
    </row>
    <row r="420" spans="1:9" ht="19.95" customHeight="1" x14ac:dyDescent="0.2">
      <c r="A420" s="3" t="s">
        <v>741</v>
      </c>
      <c r="B420" s="3" t="s">
        <v>11</v>
      </c>
      <c r="C420" s="3" t="s">
        <v>37</v>
      </c>
      <c r="D420" s="3" t="s">
        <v>62</v>
      </c>
      <c r="E420" s="4">
        <v>4340</v>
      </c>
      <c r="F420" s="5" t="s">
        <v>39</v>
      </c>
      <c r="G420" s="6"/>
      <c r="H420" s="3" t="s">
        <v>40</v>
      </c>
      <c r="I420" s="3" t="s">
        <v>229</v>
      </c>
    </row>
    <row r="421" spans="1:9" ht="19.95" customHeight="1" x14ac:dyDescent="0.2">
      <c r="A421" s="3" t="s">
        <v>741</v>
      </c>
      <c r="B421" s="3" t="s">
        <v>11</v>
      </c>
      <c r="C421" s="3" t="s">
        <v>375</v>
      </c>
      <c r="D421" s="3" t="s">
        <v>62</v>
      </c>
      <c r="E421" s="4">
        <v>2430.4</v>
      </c>
      <c r="F421" s="5" t="s">
        <v>39</v>
      </c>
      <c r="G421" s="3"/>
      <c r="H421" s="3" t="s">
        <v>40</v>
      </c>
      <c r="I421" s="3" t="s">
        <v>229</v>
      </c>
    </row>
    <row r="422" spans="1:9" ht="19.95" customHeight="1" x14ac:dyDescent="0.2">
      <c r="A422" s="3" t="s">
        <v>742</v>
      </c>
      <c r="B422" s="3" t="s">
        <v>11</v>
      </c>
      <c r="C422" s="3" t="s">
        <v>743</v>
      </c>
      <c r="D422" s="3" t="s">
        <v>727</v>
      </c>
      <c r="E422" s="4">
        <v>3390</v>
      </c>
      <c r="F422" s="5" t="s">
        <v>89</v>
      </c>
      <c r="G422" s="3"/>
      <c r="H422" s="3" t="s">
        <v>81</v>
      </c>
      <c r="I422" s="3" t="s">
        <v>86</v>
      </c>
    </row>
    <row r="423" spans="1:9" ht="19.95" customHeight="1" x14ac:dyDescent="0.2">
      <c r="A423" s="3" t="s">
        <v>744</v>
      </c>
      <c r="B423" s="3" t="s">
        <v>11</v>
      </c>
      <c r="C423" s="3" t="s">
        <v>745</v>
      </c>
      <c r="D423" s="3" t="s">
        <v>139</v>
      </c>
      <c r="E423" s="4">
        <v>1460</v>
      </c>
      <c r="F423" s="5" t="s">
        <v>89</v>
      </c>
      <c r="G423" s="6"/>
      <c r="H423" s="3" t="s">
        <v>81</v>
      </c>
      <c r="I423" s="3" t="s">
        <v>356</v>
      </c>
    </row>
    <row r="424" spans="1:9" ht="19.95" customHeight="1" x14ac:dyDescent="0.2">
      <c r="A424" s="3" t="s">
        <v>746</v>
      </c>
      <c r="B424" s="3" t="s">
        <v>10</v>
      </c>
      <c r="C424" s="3" t="s">
        <v>37</v>
      </c>
      <c r="D424" s="3" t="s">
        <v>747</v>
      </c>
      <c r="E424" s="4">
        <v>2970</v>
      </c>
      <c r="F424" s="5" t="s">
        <v>39</v>
      </c>
      <c r="G424" s="4">
        <v>2600</v>
      </c>
      <c r="H424" s="3" t="s">
        <v>40</v>
      </c>
      <c r="I424" s="3" t="s">
        <v>256</v>
      </c>
    </row>
    <row r="425" spans="1:9" ht="19.95" customHeight="1" x14ac:dyDescent="0.2">
      <c r="A425" s="3" t="s">
        <v>748</v>
      </c>
      <c r="B425" s="3" t="s">
        <v>10</v>
      </c>
      <c r="C425" s="3" t="s">
        <v>69</v>
      </c>
      <c r="D425" s="3" t="s">
        <v>85</v>
      </c>
      <c r="E425" s="4">
        <v>3270</v>
      </c>
      <c r="F425" s="5" t="s">
        <v>39</v>
      </c>
      <c r="G425" s="4">
        <v>2913</v>
      </c>
      <c r="H425" s="3" t="s">
        <v>40</v>
      </c>
      <c r="I425" s="3" t="s">
        <v>86</v>
      </c>
    </row>
    <row r="426" spans="1:9" ht="19.95" customHeight="1" x14ac:dyDescent="0.2">
      <c r="A426" s="3" t="s">
        <v>749</v>
      </c>
      <c r="B426" s="3" t="s">
        <v>45</v>
      </c>
      <c r="C426" s="3" t="s">
        <v>192</v>
      </c>
      <c r="D426" s="3" t="s">
        <v>57</v>
      </c>
      <c r="E426" s="4">
        <v>3030</v>
      </c>
      <c r="F426" s="5" t="s">
        <v>39</v>
      </c>
      <c r="G426" s="7">
        <v>2636</v>
      </c>
      <c r="H426" s="3" t="s">
        <v>40</v>
      </c>
      <c r="I426" s="3" t="s">
        <v>187</v>
      </c>
    </row>
    <row r="427" spans="1:9" ht="19.95" customHeight="1" x14ac:dyDescent="0.2">
      <c r="A427" s="3" t="s">
        <v>750</v>
      </c>
      <c r="B427" s="3" t="s">
        <v>11</v>
      </c>
      <c r="C427" s="3" t="s">
        <v>37</v>
      </c>
      <c r="D427" s="3" t="s">
        <v>751</v>
      </c>
      <c r="E427" s="4">
        <v>610</v>
      </c>
      <c r="F427" s="5" t="s">
        <v>39</v>
      </c>
      <c r="G427" s="4">
        <v>0</v>
      </c>
      <c r="H427" s="3" t="s">
        <v>40</v>
      </c>
      <c r="I427" s="3" t="s">
        <v>161</v>
      </c>
    </row>
    <row r="428" spans="1:9" ht="19.95" customHeight="1" x14ac:dyDescent="0.2">
      <c r="A428" s="3" t="s">
        <v>752</v>
      </c>
      <c r="B428" s="3" t="s">
        <v>10</v>
      </c>
      <c r="C428" s="3" t="s">
        <v>37</v>
      </c>
      <c r="D428" s="3" t="s">
        <v>570</v>
      </c>
      <c r="E428" s="4">
        <v>11890</v>
      </c>
      <c r="F428" s="5" t="s">
        <v>39</v>
      </c>
      <c r="G428" s="4">
        <v>10255</v>
      </c>
      <c r="H428" s="3" t="s">
        <v>40</v>
      </c>
      <c r="I428" s="3" t="s">
        <v>433</v>
      </c>
    </row>
    <row r="429" spans="1:9" ht="19.95" customHeight="1" x14ac:dyDescent="0.2">
      <c r="A429" s="3" t="s">
        <v>753</v>
      </c>
      <c r="B429" s="3" t="s">
        <v>10</v>
      </c>
      <c r="C429" s="3" t="s">
        <v>308</v>
      </c>
      <c r="D429" s="3" t="s">
        <v>319</v>
      </c>
      <c r="E429" s="4">
        <v>6100</v>
      </c>
      <c r="F429" s="5" t="s">
        <v>39</v>
      </c>
      <c r="G429" s="7">
        <v>5425</v>
      </c>
      <c r="H429" s="3" t="s">
        <v>40</v>
      </c>
      <c r="I429" s="3" t="s">
        <v>187</v>
      </c>
    </row>
    <row r="430" spans="1:9" ht="19.95" customHeight="1" x14ac:dyDescent="0.2">
      <c r="A430" s="3" t="s">
        <v>753</v>
      </c>
      <c r="B430" s="3" t="s">
        <v>10</v>
      </c>
      <c r="C430" s="3" t="s">
        <v>37</v>
      </c>
      <c r="D430" s="3" t="s">
        <v>319</v>
      </c>
      <c r="E430" s="4">
        <v>610</v>
      </c>
      <c r="F430" s="5" t="s">
        <v>39</v>
      </c>
      <c r="G430" s="7">
        <v>543</v>
      </c>
      <c r="H430" s="3" t="s">
        <v>40</v>
      </c>
      <c r="I430" s="3" t="s">
        <v>187</v>
      </c>
    </row>
    <row r="431" spans="1:9" ht="19.95" customHeight="1" x14ac:dyDescent="0.2">
      <c r="A431" s="3" t="s">
        <v>754</v>
      </c>
      <c r="B431" s="3" t="s">
        <v>10</v>
      </c>
      <c r="C431" s="3" t="s">
        <v>69</v>
      </c>
      <c r="D431" s="3" t="s">
        <v>127</v>
      </c>
      <c r="E431" s="4">
        <v>1700</v>
      </c>
      <c r="F431" s="5" t="s">
        <v>39</v>
      </c>
      <c r="G431" s="4">
        <v>1386</v>
      </c>
      <c r="H431" s="3" t="s">
        <v>40</v>
      </c>
      <c r="I431" s="3" t="s">
        <v>156</v>
      </c>
    </row>
    <row r="432" spans="1:9" ht="19.95" customHeight="1" x14ac:dyDescent="0.2">
      <c r="A432" s="3" t="s">
        <v>755</v>
      </c>
      <c r="B432" s="3" t="s">
        <v>10</v>
      </c>
      <c r="C432" s="3" t="s">
        <v>756</v>
      </c>
      <c r="D432" s="3" t="s">
        <v>70</v>
      </c>
      <c r="E432" s="4">
        <v>1040</v>
      </c>
      <c r="F432" s="5" t="s">
        <v>58</v>
      </c>
      <c r="G432" s="4">
        <v>927</v>
      </c>
      <c r="H432" s="3" t="s">
        <v>40</v>
      </c>
      <c r="I432" s="3" t="s">
        <v>174</v>
      </c>
    </row>
    <row r="433" spans="1:9" ht="19.95" customHeight="1" x14ac:dyDescent="0.2">
      <c r="A433" s="3" t="s">
        <v>757</v>
      </c>
      <c r="B433" s="3" t="s">
        <v>10</v>
      </c>
      <c r="C433" s="3" t="s">
        <v>758</v>
      </c>
      <c r="D433" s="3" t="s">
        <v>70</v>
      </c>
      <c r="E433" s="4">
        <v>1000</v>
      </c>
      <c r="F433" s="5" t="s">
        <v>89</v>
      </c>
      <c r="G433" s="7">
        <v>891</v>
      </c>
      <c r="H433" s="3" t="s">
        <v>81</v>
      </c>
      <c r="I433" s="3" t="s">
        <v>174</v>
      </c>
    </row>
    <row r="434" spans="1:9" ht="19.95" customHeight="1" x14ac:dyDescent="0.2">
      <c r="A434" s="3" t="s">
        <v>759</v>
      </c>
      <c r="B434" s="3" t="s">
        <v>10</v>
      </c>
      <c r="C434" s="3" t="s">
        <v>69</v>
      </c>
      <c r="D434" s="3" t="s">
        <v>378</v>
      </c>
      <c r="E434" s="4">
        <v>590</v>
      </c>
      <c r="F434" s="5" t="s">
        <v>39</v>
      </c>
      <c r="G434" s="7">
        <v>536</v>
      </c>
      <c r="H434" s="3" t="s">
        <v>40</v>
      </c>
      <c r="I434" s="3" t="s">
        <v>314</v>
      </c>
    </row>
    <row r="435" spans="1:9" ht="19.95" customHeight="1" x14ac:dyDescent="0.2">
      <c r="A435" s="3" t="s">
        <v>760</v>
      </c>
      <c r="B435" s="3" t="s">
        <v>10</v>
      </c>
      <c r="C435" s="3" t="s">
        <v>69</v>
      </c>
      <c r="D435" s="3" t="s">
        <v>378</v>
      </c>
      <c r="E435" s="4">
        <v>610</v>
      </c>
      <c r="F435" s="5" t="s">
        <v>39</v>
      </c>
      <c r="G435" s="7">
        <v>554</v>
      </c>
      <c r="H435" s="3" t="s">
        <v>40</v>
      </c>
      <c r="I435" s="3" t="s">
        <v>314</v>
      </c>
    </row>
    <row r="436" spans="1:9" ht="19.95" customHeight="1" x14ac:dyDescent="0.2">
      <c r="A436" s="3" t="s">
        <v>761</v>
      </c>
      <c r="B436" s="3" t="s">
        <v>10</v>
      </c>
      <c r="C436" s="3" t="s">
        <v>69</v>
      </c>
      <c r="D436" s="3" t="s">
        <v>262</v>
      </c>
      <c r="E436" s="4">
        <v>610</v>
      </c>
      <c r="F436" s="5" t="s">
        <v>39</v>
      </c>
      <c r="G436" s="7">
        <v>543</v>
      </c>
      <c r="H436" s="3" t="s">
        <v>40</v>
      </c>
      <c r="I436" s="3" t="s">
        <v>314</v>
      </c>
    </row>
    <row r="437" spans="1:9" ht="19.95" customHeight="1" x14ac:dyDescent="0.2">
      <c r="A437" s="3" t="s">
        <v>762</v>
      </c>
      <c r="B437" s="3" t="s">
        <v>10</v>
      </c>
      <c r="C437" s="3" t="s">
        <v>37</v>
      </c>
      <c r="D437" s="3" t="s">
        <v>262</v>
      </c>
      <c r="E437" s="4">
        <v>1010</v>
      </c>
      <c r="F437" s="5" t="s">
        <v>39</v>
      </c>
      <c r="G437" s="4">
        <v>900</v>
      </c>
      <c r="H437" s="3" t="s">
        <v>40</v>
      </c>
      <c r="I437" s="3" t="s">
        <v>187</v>
      </c>
    </row>
    <row r="438" spans="1:9" ht="19.95" customHeight="1" x14ac:dyDescent="0.2">
      <c r="A438" s="3" t="s">
        <v>763</v>
      </c>
      <c r="B438" s="3" t="s">
        <v>91</v>
      </c>
      <c r="C438" s="3" t="s">
        <v>222</v>
      </c>
      <c r="D438" s="3" t="s">
        <v>93</v>
      </c>
      <c r="E438" s="4">
        <v>5120</v>
      </c>
      <c r="F438" s="5" t="s">
        <v>98</v>
      </c>
      <c r="G438" s="4">
        <v>4560</v>
      </c>
      <c r="H438" s="3" t="s">
        <v>81</v>
      </c>
      <c r="I438" s="3" t="s">
        <v>99</v>
      </c>
    </row>
    <row r="439" spans="1:9" ht="19.95" customHeight="1" x14ac:dyDescent="0.2">
      <c r="A439" s="3" t="s">
        <v>764</v>
      </c>
      <c r="B439" s="3" t="s">
        <v>91</v>
      </c>
      <c r="C439" s="3" t="s">
        <v>222</v>
      </c>
      <c r="D439" s="3" t="s">
        <v>93</v>
      </c>
      <c r="E439" s="4">
        <v>5120</v>
      </c>
      <c r="F439" s="5" t="s">
        <v>98</v>
      </c>
      <c r="G439" s="4">
        <v>4560</v>
      </c>
      <c r="H439" s="3" t="s">
        <v>81</v>
      </c>
      <c r="I439" s="3" t="s">
        <v>99</v>
      </c>
    </row>
    <row r="440" spans="1:9" ht="19.95" customHeight="1" x14ac:dyDescent="0.2">
      <c r="A440" s="3" t="s">
        <v>765</v>
      </c>
      <c r="B440" s="3" t="s">
        <v>11</v>
      </c>
      <c r="C440" s="3" t="s">
        <v>308</v>
      </c>
      <c r="D440" s="3" t="s">
        <v>551</v>
      </c>
      <c r="E440" s="4">
        <v>9000</v>
      </c>
      <c r="F440" s="5" t="s">
        <v>39</v>
      </c>
      <c r="G440" s="3"/>
      <c r="H440" s="3" t="s">
        <v>40</v>
      </c>
      <c r="I440" s="3" t="s">
        <v>86</v>
      </c>
    </row>
    <row r="441" spans="1:9" ht="19.95" customHeight="1" x14ac:dyDescent="0.2">
      <c r="A441" s="3" t="s">
        <v>766</v>
      </c>
      <c r="B441" s="3" t="s">
        <v>10</v>
      </c>
      <c r="C441" s="3" t="s">
        <v>37</v>
      </c>
      <c r="D441" s="3" t="s">
        <v>767</v>
      </c>
      <c r="E441" s="4">
        <v>900</v>
      </c>
      <c r="F441" s="5" t="s">
        <v>39</v>
      </c>
      <c r="G441" s="4">
        <v>802</v>
      </c>
      <c r="H441" s="3" t="s">
        <v>40</v>
      </c>
      <c r="I441" s="3" t="s">
        <v>86</v>
      </c>
    </row>
    <row r="442" spans="1:9" ht="19.95" customHeight="1" x14ac:dyDescent="0.2">
      <c r="A442" s="3" t="s">
        <v>766</v>
      </c>
      <c r="B442" s="3" t="s">
        <v>10</v>
      </c>
      <c r="C442" s="3" t="s">
        <v>768</v>
      </c>
      <c r="D442" s="3" t="s">
        <v>767</v>
      </c>
      <c r="E442" s="4">
        <v>10800</v>
      </c>
      <c r="F442" s="5" t="s">
        <v>39</v>
      </c>
      <c r="G442" s="4">
        <v>9621</v>
      </c>
      <c r="H442" s="3" t="s">
        <v>40</v>
      </c>
      <c r="I442" s="3" t="s">
        <v>86</v>
      </c>
    </row>
    <row r="443" spans="1:9" ht="19.95" customHeight="1" x14ac:dyDescent="0.2">
      <c r="A443" s="3" t="s">
        <v>769</v>
      </c>
      <c r="B443" s="3" t="s">
        <v>115</v>
      </c>
      <c r="C443" s="3" t="s">
        <v>308</v>
      </c>
      <c r="D443" s="3" t="s">
        <v>115</v>
      </c>
      <c r="E443" s="4">
        <v>6100</v>
      </c>
      <c r="F443" s="5" t="s">
        <v>39</v>
      </c>
      <c r="G443" s="4">
        <v>5440</v>
      </c>
      <c r="H443" s="3" t="s">
        <v>40</v>
      </c>
      <c r="I443" s="3" t="s">
        <v>64</v>
      </c>
    </row>
    <row r="444" spans="1:9" ht="19.95" customHeight="1" x14ac:dyDescent="0.2">
      <c r="A444" s="3" t="s">
        <v>770</v>
      </c>
      <c r="B444" s="3" t="s">
        <v>10</v>
      </c>
      <c r="C444" s="3" t="s">
        <v>37</v>
      </c>
      <c r="D444" s="3" t="s">
        <v>38</v>
      </c>
      <c r="E444" s="4">
        <v>16170</v>
      </c>
      <c r="F444" s="5" t="s">
        <v>39</v>
      </c>
      <c r="G444" s="4">
        <v>14387</v>
      </c>
      <c r="H444" s="3" t="s">
        <v>40</v>
      </c>
      <c r="I444" s="3" t="s">
        <v>187</v>
      </c>
    </row>
    <row r="445" spans="1:9" ht="19.95" customHeight="1" x14ac:dyDescent="0.2">
      <c r="A445" s="3" t="s">
        <v>771</v>
      </c>
      <c r="B445" s="3" t="s">
        <v>45</v>
      </c>
      <c r="C445" s="3" t="s">
        <v>772</v>
      </c>
      <c r="D445" s="3" t="s">
        <v>623</v>
      </c>
      <c r="E445" s="4">
        <v>6180</v>
      </c>
      <c r="F445" s="5" t="s">
        <v>39</v>
      </c>
      <c r="G445" s="4">
        <v>4388</v>
      </c>
      <c r="H445" s="3" t="s">
        <v>40</v>
      </c>
      <c r="I445" s="3" t="s">
        <v>161</v>
      </c>
    </row>
    <row r="446" spans="1:9" ht="19.95" customHeight="1" x14ac:dyDescent="0.2">
      <c r="A446" s="3" t="s">
        <v>773</v>
      </c>
      <c r="B446" s="3" t="s">
        <v>11</v>
      </c>
      <c r="C446" s="3" t="s">
        <v>158</v>
      </c>
      <c r="D446" s="3" t="s">
        <v>446</v>
      </c>
      <c r="E446" s="4">
        <v>1150</v>
      </c>
      <c r="F446" s="5" t="s">
        <v>89</v>
      </c>
      <c r="G446" s="3"/>
      <c r="H446" s="3" t="s">
        <v>81</v>
      </c>
      <c r="I446" s="3" t="s">
        <v>314</v>
      </c>
    </row>
    <row r="447" spans="1:9" ht="19.95" customHeight="1" x14ac:dyDescent="0.2">
      <c r="A447" s="3" t="s">
        <v>774</v>
      </c>
      <c r="B447" s="3" t="s">
        <v>10</v>
      </c>
      <c r="C447" s="3" t="s">
        <v>775</v>
      </c>
      <c r="D447" s="3" t="s">
        <v>329</v>
      </c>
      <c r="E447" s="4">
        <v>5498</v>
      </c>
      <c r="F447" s="5" t="s">
        <v>80</v>
      </c>
      <c r="G447" s="4">
        <v>4874</v>
      </c>
      <c r="H447" s="3" t="s">
        <v>81</v>
      </c>
      <c r="I447" s="3" t="s">
        <v>82</v>
      </c>
    </row>
    <row r="448" spans="1:9" ht="19.95" customHeight="1" x14ac:dyDescent="0.2">
      <c r="A448" s="3" t="s">
        <v>776</v>
      </c>
      <c r="B448" s="3" t="s">
        <v>45</v>
      </c>
      <c r="C448" s="3" t="s">
        <v>777</v>
      </c>
      <c r="D448" s="3" t="s">
        <v>79</v>
      </c>
      <c r="E448" s="4">
        <v>3682</v>
      </c>
      <c r="F448" s="5" t="s">
        <v>209</v>
      </c>
      <c r="G448" s="4">
        <v>3263</v>
      </c>
      <c r="H448" s="3" t="s">
        <v>81</v>
      </c>
      <c r="I448" s="3" t="s">
        <v>82</v>
      </c>
    </row>
    <row r="449" spans="1:9" ht="19.95" customHeight="1" x14ac:dyDescent="0.2">
      <c r="A449" s="3" t="s">
        <v>778</v>
      </c>
      <c r="B449" s="3" t="s">
        <v>45</v>
      </c>
      <c r="C449" s="3" t="s">
        <v>37</v>
      </c>
      <c r="D449" s="3" t="s">
        <v>715</v>
      </c>
      <c r="E449" s="4">
        <v>920</v>
      </c>
      <c r="F449" s="5" t="s">
        <v>39</v>
      </c>
      <c r="G449" s="4">
        <v>793</v>
      </c>
      <c r="H449" s="3" t="s">
        <v>40</v>
      </c>
      <c r="I449" s="3" t="s">
        <v>187</v>
      </c>
    </row>
    <row r="450" spans="1:9" ht="19.95" customHeight="1" x14ac:dyDescent="0.2">
      <c r="A450" s="3" t="s">
        <v>779</v>
      </c>
      <c r="B450" s="3" t="s">
        <v>45</v>
      </c>
      <c r="C450" s="3" t="s">
        <v>37</v>
      </c>
      <c r="D450" s="3" t="s">
        <v>715</v>
      </c>
      <c r="E450" s="4">
        <v>1280</v>
      </c>
      <c r="F450" s="5" t="s">
        <v>39</v>
      </c>
      <c r="G450" s="4">
        <v>1105</v>
      </c>
      <c r="H450" s="3" t="s">
        <v>40</v>
      </c>
      <c r="I450" s="3" t="s">
        <v>187</v>
      </c>
    </row>
    <row r="451" spans="1:9" ht="19.95" customHeight="1" x14ac:dyDescent="0.2">
      <c r="A451" s="3" t="s">
        <v>780</v>
      </c>
      <c r="B451" s="3" t="s">
        <v>11</v>
      </c>
      <c r="C451" s="3" t="s">
        <v>37</v>
      </c>
      <c r="D451" s="3" t="s">
        <v>319</v>
      </c>
      <c r="E451" s="4">
        <v>4970</v>
      </c>
      <c r="F451" s="5" t="s">
        <v>39</v>
      </c>
      <c r="G451" s="3"/>
      <c r="H451" s="3" t="s">
        <v>40</v>
      </c>
      <c r="I451" s="3" t="s">
        <v>86</v>
      </c>
    </row>
    <row r="452" spans="1:9" ht="19.95" customHeight="1" x14ac:dyDescent="0.2">
      <c r="A452" s="3" t="s">
        <v>781</v>
      </c>
      <c r="B452" s="3" t="s">
        <v>11</v>
      </c>
      <c r="C452" s="3" t="s">
        <v>84</v>
      </c>
      <c r="D452" s="3" t="s">
        <v>57</v>
      </c>
      <c r="E452" s="4">
        <v>7420</v>
      </c>
      <c r="F452" s="5" t="s">
        <v>14</v>
      </c>
      <c r="G452" s="3"/>
      <c r="H452" s="3" t="s">
        <v>40</v>
      </c>
      <c r="I452" s="3" t="s">
        <v>167</v>
      </c>
    </row>
    <row r="453" spans="1:9" ht="19.95" customHeight="1" x14ac:dyDescent="0.2">
      <c r="A453" s="3" t="s">
        <v>782</v>
      </c>
      <c r="B453" s="3" t="s">
        <v>11</v>
      </c>
      <c r="C453" s="3" t="s">
        <v>308</v>
      </c>
      <c r="D453" s="3" t="s">
        <v>57</v>
      </c>
      <c r="E453" s="4">
        <v>8900</v>
      </c>
      <c r="F453" s="5" t="s">
        <v>39</v>
      </c>
      <c r="G453" s="6"/>
      <c r="H453" s="3" t="s">
        <v>81</v>
      </c>
      <c r="I453" s="3" t="s">
        <v>167</v>
      </c>
    </row>
    <row r="454" spans="1:9" ht="19.95" customHeight="1" x14ac:dyDescent="0.2">
      <c r="A454" s="3" t="s">
        <v>783</v>
      </c>
      <c r="B454" s="3" t="s">
        <v>11</v>
      </c>
      <c r="C454" s="3" t="s">
        <v>37</v>
      </c>
      <c r="D454" s="3" t="s">
        <v>57</v>
      </c>
      <c r="E454" s="4">
        <v>2450</v>
      </c>
      <c r="F454" s="5" t="s">
        <v>39</v>
      </c>
      <c r="G454" s="3"/>
      <c r="H454" s="3" t="s">
        <v>81</v>
      </c>
      <c r="I454" s="3" t="s">
        <v>167</v>
      </c>
    </row>
    <row r="455" spans="1:9" ht="19.95" customHeight="1" x14ac:dyDescent="0.2">
      <c r="A455" s="3" t="s">
        <v>784</v>
      </c>
      <c r="B455" s="3" t="s">
        <v>11</v>
      </c>
      <c r="C455" s="3" t="s">
        <v>308</v>
      </c>
      <c r="D455" s="3" t="s">
        <v>57</v>
      </c>
      <c r="E455" s="4">
        <v>24500</v>
      </c>
      <c r="F455" s="5" t="s">
        <v>39</v>
      </c>
      <c r="G455" s="3"/>
      <c r="H455" s="3" t="s">
        <v>40</v>
      </c>
      <c r="I455" s="3" t="s">
        <v>167</v>
      </c>
    </row>
    <row r="456" spans="1:9" ht="19.95" customHeight="1" x14ac:dyDescent="0.2">
      <c r="A456" s="3" t="s">
        <v>785</v>
      </c>
      <c r="B456" s="3" t="s">
        <v>11</v>
      </c>
      <c r="C456" s="3" t="s">
        <v>786</v>
      </c>
      <c r="D456" s="3" t="s">
        <v>57</v>
      </c>
      <c r="E456" s="4">
        <v>1920</v>
      </c>
      <c r="F456" s="5" t="s">
        <v>89</v>
      </c>
      <c r="G456" s="3"/>
      <c r="H456" s="3" t="s">
        <v>81</v>
      </c>
      <c r="I456" s="3" t="s">
        <v>167</v>
      </c>
    </row>
    <row r="457" spans="1:9" ht="19.95" customHeight="1" x14ac:dyDescent="0.2">
      <c r="A457" s="3" t="s">
        <v>787</v>
      </c>
      <c r="B457" s="3" t="s">
        <v>10</v>
      </c>
      <c r="C457" s="3" t="s">
        <v>140</v>
      </c>
      <c r="D457" s="3" t="s">
        <v>378</v>
      </c>
      <c r="E457" s="4">
        <v>6100</v>
      </c>
      <c r="F457" s="5" t="s">
        <v>39</v>
      </c>
      <c r="G457" s="4">
        <v>5190</v>
      </c>
      <c r="H457" s="3" t="s">
        <v>40</v>
      </c>
      <c r="I457" s="3" t="s">
        <v>64</v>
      </c>
    </row>
    <row r="458" spans="1:9" ht="19.95" customHeight="1" x14ac:dyDescent="0.2">
      <c r="A458" s="3" t="s">
        <v>788</v>
      </c>
      <c r="B458" s="3" t="s">
        <v>11</v>
      </c>
      <c r="C458" s="3" t="s">
        <v>140</v>
      </c>
      <c r="D458" s="3" t="s">
        <v>115</v>
      </c>
      <c r="E458" s="4">
        <v>6100</v>
      </c>
      <c r="F458" s="5" t="s">
        <v>39</v>
      </c>
      <c r="G458" s="3"/>
      <c r="H458" s="3" t="s">
        <v>40</v>
      </c>
      <c r="I458" s="3" t="s">
        <v>64</v>
      </c>
    </row>
    <row r="459" spans="1:9" ht="19.95" customHeight="1" x14ac:dyDescent="0.2">
      <c r="A459" s="3" t="s">
        <v>789</v>
      </c>
      <c r="B459" s="3" t="s">
        <v>10</v>
      </c>
      <c r="C459" s="3" t="s">
        <v>790</v>
      </c>
      <c r="D459" s="3" t="s">
        <v>638</v>
      </c>
      <c r="E459" s="4">
        <v>1530</v>
      </c>
      <c r="F459" s="5" t="s">
        <v>171</v>
      </c>
      <c r="G459" s="7">
        <v>1363</v>
      </c>
      <c r="H459" s="3" t="s">
        <v>63</v>
      </c>
      <c r="I459" s="3" t="s">
        <v>64</v>
      </c>
    </row>
    <row r="460" spans="1:9" ht="19.95" customHeight="1" x14ac:dyDescent="0.2">
      <c r="A460" s="3" t="s">
        <v>791</v>
      </c>
      <c r="B460" s="3" t="s">
        <v>91</v>
      </c>
      <c r="C460" s="3" t="s">
        <v>37</v>
      </c>
      <c r="D460" s="3" t="s">
        <v>85</v>
      </c>
      <c r="E460" s="4">
        <v>1040</v>
      </c>
      <c r="F460" s="5" t="s">
        <v>39</v>
      </c>
      <c r="G460" s="4">
        <v>920</v>
      </c>
      <c r="H460" s="3" t="s">
        <v>40</v>
      </c>
      <c r="I460" s="3" t="s">
        <v>72</v>
      </c>
    </row>
    <row r="461" spans="1:9" ht="19.95" customHeight="1" x14ac:dyDescent="0.2">
      <c r="A461" s="3" t="s">
        <v>792</v>
      </c>
      <c r="B461" s="3" t="s">
        <v>11</v>
      </c>
      <c r="C461" s="3" t="s">
        <v>308</v>
      </c>
      <c r="D461" s="3" t="s">
        <v>115</v>
      </c>
      <c r="E461" s="4">
        <v>6100</v>
      </c>
      <c r="F461" s="5" t="s">
        <v>39</v>
      </c>
      <c r="G461" s="3"/>
      <c r="H461" s="3" t="s">
        <v>40</v>
      </c>
      <c r="I461" s="3" t="s">
        <v>165</v>
      </c>
    </row>
    <row r="462" spans="1:9" ht="19.95" customHeight="1" x14ac:dyDescent="0.2">
      <c r="A462" s="3" t="s">
        <v>793</v>
      </c>
      <c r="B462" s="3" t="s">
        <v>115</v>
      </c>
      <c r="C462" s="3" t="s">
        <v>308</v>
      </c>
      <c r="D462" s="3" t="s">
        <v>115</v>
      </c>
      <c r="E462" s="4">
        <v>10100</v>
      </c>
      <c r="F462" s="5" t="s">
        <v>39</v>
      </c>
      <c r="G462" s="4">
        <v>8790</v>
      </c>
      <c r="H462" s="3" t="s">
        <v>40</v>
      </c>
      <c r="I462" s="3" t="s">
        <v>364</v>
      </c>
    </row>
    <row r="463" spans="1:9" ht="19.95" customHeight="1" x14ac:dyDescent="0.2">
      <c r="A463" s="3" t="s">
        <v>794</v>
      </c>
      <c r="B463" s="3" t="s">
        <v>45</v>
      </c>
      <c r="C463" s="3" t="s">
        <v>795</v>
      </c>
      <c r="D463" s="3" t="s">
        <v>289</v>
      </c>
      <c r="E463" s="4">
        <v>3200</v>
      </c>
      <c r="F463" s="5" t="s">
        <v>14</v>
      </c>
      <c r="G463" s="4">
        <v>2905</v>
      </c>
      <c r="H463" s="3" t="s">
        <v>63</v>
      </c>
      <c r="I463" s="3" t="s">
        <v>718</v>
      </c>
    </row>
    <row r="464" spans="1:9" ht="19.95" customHeight="1" x14ac:dyDescent="0.2">
      <c r="A464" s="3" t="s">
        <v>796</v>
      </c>
      <c r="B464" s="3" t="s">
        <v>10</v>
      </c>
      <c r="C464" s="3" t="s">
        <v>797</v>
      </c>
      <c r="D464" s="3" t="s">
        <v>284</v>
      </c>
      <c r="E464" s="4">
        <v>2210</v>
      </c>
      <c r="F464" s="5" t="s">
        <v>14</v>
      </c>
      <c r="G464" s="7">
        <v>2009</v>
      </c>
      <c r="H464" s="3" t="s">
        <v>63</v>
      </c>
      <c r="I464" s="3" t="s">
        <v>718</v>
      </c>
    </row>
    <row r="465" spans="1:9" ht="19.95" customHeight="1" x14ac:dyDescent="0.2">
      <c r="A465" s="3" t="s">
        <v>798</v>
      </c>
      <c r="B465" s="3" t="s">
        <v>11</v>
      </c>
      <c r="C465" s="3" t="s">
        <v>37</v>
      </c>
      <c r="D465" s="3" t="s">
        <v>198</v>
      </c>
      <c r="E465" s="4">
        <v>1000</v>
      </c>
      <c r="F465" s="5" t="s">
        <v>39</v>
      </c>
      <c r="G465" s="6"/>
      <c r="H465" s="3" t="s">
        <v>40</v>
      </c>
      <c r="I465" s="3" t="s">
        <v>165</v>
      </c>
    </row>
    <row r="466" spans="1:9" ht="19.95" customHeight="1" x14ac:dyDescent="0.2">
      <c r="A466" s="3" t="s">
        <v>799</v>
      </c>
      <c r="B466" s="3" t="s">
        <v>11</v>
      </c>
      <c r="C466" s="3" t="s">
        <v>534</v>
      </c>
      <c r="D466" s="3" t="s">
        <v>109</v>
      </c>
      <c r="E466" s="4">
        <v>800</v>
      </c>
      <c r="F466" s="5" t="s">
        <v>58</v>
      </c>
      <c r="G466" s="6"/>
      <c r="H466" s="3" t="s">
        <v>40</v>
      </c>
      <c r="I466" s="3" t="s">
        <v>165</v>
      </c>
    </row>
    <row r="467" spans="1:9" ht="19.95" customHeight="1" x14ac:dyDescent="0.2">
      <c r="A467" s="3" t="s">
        <v>800</v>
      </c>
      <c r="B467" s="3" t="s">
        <v>10</v>
      </c>
      <c r="C467" s="3" t="s">
        <v>227</v>
      </c>
      <c r="D467" s="3" t="s">
        <v>93</v>
      </c>
      <c r="E467" s="4">
        <v>8290.7999999999993</v>
      </c>
      <c r="F467" s="5" t="s">
        <v>183</v>
      </c>
      <c r="G467" s="7">
        <v>7289</v>
      </c>
      <c r="H467" s="3" t="s">
        <v>63</v>
      </c>
      <c r="I467" s="3" t="s">
        <v>86</v>
      </c>
    </row>
    <row r="468" spans="1:9" ht="19.95" customHeight="1" x14ac:dyDescent="0.2">
      <c r="A468" s="3" t="s">
        <v>801</v>
      </c>
      <c r="B468" s="3" t="s">
        <v>11</v>
      </c>
      <c r="C468" s="3" t="s">
        <v>227</v>
      </c>
      <c r="D468" s="3" t="s">
        <v>93</v>
      </c>
      <c r="E468" s="4">
        <v>12731.6</v>
      </c>
      <c r="F468" s="5" t="s">
        <v>183</v>
      </c>
      <c r="G468" s="6"/>
      <c r="H468" s="3" t="s">
        <v>63</v>
      </c>
      <c r="I468" s="3" t="s">
        <v>86</v>
      </c>
    </row>
    <row r="469" spans="1:9" ht="19.95" customHeight="1" x14ac:dyDescent="0.2">
      <c r="A469" s="3" t="s">
        <v>802</v>
      </c>
      <c r="B469" s="3" t="s">
        <v>11</v>
      </c>
      <c r="C469" s="3" t="s">
        <v>803</v>
      </c>
      <c r="D469" s="3" t="s">
        <v>607</v>
      </c>
      <c r="E469" s="4">
        <v>4735</v>
      </c>
      <c r="F469" s="5" t="s">
        <v>80</v>
      </c>
      <c r="G469" s="6"/>
      <c r="H469" s="3" t="s">
        <v>81</v>
      </c>
      <c r="I469" s="3" t="s">
        <v>303</v>
      </c>
    </row>
    <row r="470" spans="1:9" ht="19.95" customHeight="1" x14ac:dyDescent="0.2">
      <c r="A470" s="3" t="s">
        <v>804</v>
      </c>
      <c r="B470" s="3" t="s">
        <v>10</v>
      </c>
      <c r="C470" s="3" t="s">
        <v>308</v>
      </c>
      <c r="D470" s="3" t="s">
        <v>551</v>
      </c>
      <c r="E470" s="4">
        <v>6700</v>
      </c>
      <c r="F470" s="5" t="s">
        <v>39</v>
      </c>
      <c r="G470" s="4">
        <v>6090</v>
      </c>
      <c r="H470" s="3" t="s">
        <v>40</v>
      </c>
      <c r="I470" s="3" t="s">
        <v>167</v>
      </c>
    </row>
    <row r="471" spans="1:9" ht="19.95" customHeight="1" x14ac:dyDescent="0.2">
      <c r="A471" s="3" t="s">
        <v>805</v>
      </c>
      <c r="B471" s="3" t="s">
        <v>11</v>
      </c>
      <c r="C471" s="3" t="s">
        <v>140</v>
      </c>
      <c r="D471" s="3" t="s">
        <v>551</v>
      </c>
      <c r="E471" s="4">
        <v>6100</v>
      </c>
      <c r="F471" s="5" t="s">
        <v>39</v>
      </c>
      <c r="G471" s="6"/>
      <c r="H471" s="3" t="s">
        <v>40</v>
      </c>
      <c r="I471" s="3" t="s">
        <v>167</v>
      </c>
    </row>
    <row r="472" spans="1:9" ht="19.95" customHeight="1" x14ac:dyDescent="0.2">
      <c r="A472" s="3" t="s">
        <v>806</v>
      </c>
      <c r="B472" s="3" t="s">
        <v>11</v>
      </c>
      <c r="C472" s="3" t="s">
        <v>176</v>
      </c>
      <c r="D472" s="3" t="s">
        <v>109</v>
      </c>
      <c r="E472" s="4">
        <v>5050</v>
      </c>
      <c r="F472" s="5" t="s">
        <v>39</v>
      </c>
      <c r="G472" s="3"/>
      <c r="H472" s="3" t="s">
        <v>40</v>
      </c>
      <c r="I472" s="3" t="s">
        <v>165</v>
      </c>
    </row>
    <row r="473" spans="1:9" ht="19.95" customHeight="1" x14ac:dyDescent="0.2">
      <c r="A473" s="3" t="s">
        <v>807</v>
      </c>
      <c r="B473" s="3" t="s">
        <v>110</v>
      </c>
      <c r="C473" s="3" t="s">
        <v>69</v>
      </c>
      <c r="D473" s="3" t="s">
        <v>109</v>
      </c>
      <c r="E473" s="4">
        <v>1040</v>
      </c>
      <c r="F473" s="5" t="s">
        <v>39</v>
      </c>
      <c r="G473" s="4">
        <v>936</v>
      </c>
      <c r="H473" s="3" t="s">
        <v>40</v>
      </c>
      <c r="I473" s="3" t="s">
        <v>165</v>
      </c>
    </row>
    <row r="474" spans="1:9" ht="19.95" customHeight="1" x14ac:dyDescent="0.2">
      <c r="A474" s="3" t="s">
        <v>808</v>
      </c>
      <c r="B474" s="3" t="s">
        <v>71</v>
      </c>
      <c r="C474" s="3" t="s">
        <v>809</v>
      </c>
      <c r="D474" s="3" t="s">
        <v>697</v>
      </c>
      <c r="E474" s="4">
        <v>68443.199999999997</v>
      </c>
      <c r="F474" s="5" t="s">
        <v>58</v>
      </c>
      <c r="G474" s="7">
        <v>60976</v>
      </c>
      <c r="H474" s="3" t="s">
        <v>40</v>
      </c>
      <c r="I474" s="3" t="s">
        <v>346</v>
      </c>
    </row>
    <row r="475" spans="1:9" ht="19.95" customHeight="1" x14ac:dyDescent="0.2">
      <c r="A475" s="3" t="s">
        <v>810</v>
      </c>
      <c r="B475" s="3" t="s">
        <v>45</v>
      </c>
      <c r="C475" s="3" t="s">
        <v>140</v>
      </c>
      <c r="D475" s="3" t="s">
        <v>727</v>
      </c>
      <c r="E475" s="4">
        <v>14700</v>
      </c>
      <c r="F475" s="5" t="s">
        <v>39</v>
      </c>
      <c r="G475" s="4">
        <v>12789</v>
      </c>
      <c r="H475" s="3" t="s">
        <v>40</v>
      </c>
      <c r="I475" s="3" t="s">
        <v>86</v>
      </c>
    </row>
    <row r="476" spans="1:9" ht="19.95" customHeight="1" x14ac:dyDescent="0.2">
      <c r="A476" s="3" t="s">
        <v>811</v>
      </c>
      <c r="B476" s="3" t="s">
        <v>10</v>
      </c>
      <c r="C476" s="3" t="s">
        <v>812</v>
      </c>
      <c r="D476" s="3" t="s">
        <v>93</v>
      </c>
      <c r="E476" s="4">
        <v>3050</v>
      </c>
      <c r="F476" s="5" t="s">
        <v>89</v>
      </c>
      <c r="G476" s="4">
        <v>2717</v>
      </c>
      <c r="H476" s="3" t="s">
        <v>81</v>
      </c>
      <c r="I476" s="3" t="s">
        <v>449</v>
      </c>
    </row>
    <row r="477" spans="1:9" ht="19.95" customHeight="1" x14ac:dyDescent="0.2">
      <c r="A477" s="3" t="s">
        <v>813</v>
      </c>
      <c r="B477" s="3" t="s">
        <v>11</v>
      </c>
      <c r="C477" s="3" t="s">
        <v>142</v>
      </c>
      <c r="D477" s="3" t="s">
        <v>477</v>
      </c>
      <c r="E477" s="4">
        <v>1000</v>
      </c>
      <c r="F477" s="5" t="s">
        <v>516</v>
      </c>
      <c r="G477" s="3"/>
      <c r="H477" s="3" t="s">
        <v>81</v>
      </c>
      <c r="I477" s="3" t="s">
        <v>356</v>
      </c>
    </row>
    <row r="478" spans="1:9" ht="19.95" customHeight="1" x14ac:dyDescent="0.2">
      <c r="A478" s="3" t="s">
        <v>814</v>
      </c>
      <c r="B478" s="3" t="s">
        <v>45</v>
      </c>
      <c r="C478" s="3" t="s">
        <v>815</v>
      </c>
      <c r="D478" s="3" t="s">
        <v>105</v>
      </c>
      <c r="E478" s="4">
        <v>1230</v>
      </c>
      <c r="F478" s="5" t="s">
        <v>14</v>
      </c>
      <c r="G478" s="7">
        <v>1066</v>
      </c>
      <c r="H478" s="3" t="s">
        <v>63</v>
      </c>
      <c r="I478" s="3" t="s">
        <v>76</v>
      </c>
    </row>
    <row r="479" spans="1:9" ht="19.95" customHeight="1" x14ac:dyDescent="0.2">
      <c r="A479" s="3" t="s">
        <v>816</v>
      </c>
      <c r="B479" s="3" t="s">
        <v>10</v>
      </c>
      <c r="C479" s="3" t="s">
        <v>140</v>
      </c>
      <c r="D479" s="3" t="s">
        <v>817</v>
      </c>
      <c r="E479" s="4">
        <v>28500</v>
      </c>
      <c r="F479" s="5" t="s">
        <v>39</v>
      </c>
      <c r="G479" s="7">
        <v>25390</v>
      </c>
      <c r="H479" s="3" t="s">
        <v>40</v>
      </c>
      <c r="I479" s="3" t="s">
        <v>156</v>
      </c>
    </row>
    <row r="480" spans="1:9" ht="19.95" customHeight="1" x14ac:dyDescent="0.2">
      <c r="A480" s="3" t="s">
        <v>818</v>
      </c>
      <c r="B480" s="3" t="s">
        <v>45</v>
      </c>
      <c r="C480" s="3" t="s">
        <v>140</v>
      </c>
      <c r="D480" s="3" t="s">
        <v>510</v>
      </c>
      <c r="E480" s="4">
        <v>6000</v>
      </c>
      <c r="F480" s="5" t="s">
        <v>39</v>
      </c>
      <c r="G480" s="4">
        <v>5250</v>
      </c>
      <c r="H480" s="3" t="s">
        <v>40</v>
      </c>
      <c r="I480" s="3" t="s">
        <v>524</v>
      </c>
    </row>
    <row r="481" spans="1:9" ht="19.95" customHeight="1" x14ac:dyDescent="0.2">
      <c r="A481" s="3" t="s">
        <v>818</v>
      </c>
      <c r="B481" s="3" t="s">
        <v>45</v>
      </c>
      <c r="C481" s="3" t="s">
        <v>176</v>
      </c>
      <c r="D481" s="3" t="s">
        <v>510</v>
      </c>
      <c r="E481" s="4">
        <v>3000</v>
      </c>
      <c r="F481" s="5" t="s">
        <v>39</v>
      </c>
      <c r="G481" s="7">
        <v>2625</v>
      </c>
      <c r="H481" s="3" t="s">
        <v>40</v>
      </c>
      <c r="I481" s="3" t="s">
        <v>524</v>
      </c>
    </row>
    <row r="482" spans="1:9" ht="19.95" customHeight="1" x14ac:dyDescent="0.2">
      <c r="A482" s="3" t="s">
        <v>819</v>
      </c>
      <c r="B482" s="3" t="s">
        <v>10</v>
      </c>
      <c r="C482" s="3" t="s">
        <v>69</v>
      </c>
      <c r="D482" s="3" t="s">
        <v>638</v>
      </c>
      <c r="E482" s="4">
        <v>77060</v>
      </c>
      <c r="F482" s="5" t="s">
        <v>39</v>
      </c>
      <c r="G482" s="7">
        <v>68652</v>
      </c>
      <c r="H482" s="3" t="s">
        <v>40</v>
      </c>
      <c r="I482" s="3" t="s">
        <v>86</v>
      </c>
    </row>
    <row r="483" spans="1:9" ht="19.95" customHeight="1" x14ac:dyDescent="0.2">
      <c r="A483" s="3" t="s">
        <v>820</v>
      </c>
      <c r="B483" s="3" t="s">
        <v>10</v>
      </c>
      <c r="C483" s="3" t="s">
        <v>69</v>
      </c>
      <c r="D483" s="3" t="s">
        <v>821</v>
      </c>
      <c r="E483" s="4">
        <v>20110</v>
      </c>
      <c r="F483" s="5" t="s">
        <v>39</v>
      </c>
      <c r="G483" s="4">
        <v>18279</v>
      </c>
      <c r="H483" s="3" t="s">
        <v>40</v>
      </c>
      <c r="I483" s="3" t="s">
        <v>460</v>
      </c>
    </row>
    <row r="484" spans="1:9" ht="19.95" customHeight="1" x14ac:dyDescent="0.2">
      <c r="A484" s="3" t="s">
        <v>822</v>
      </c>
      <c r="B484" s="3" t="s">
        <v>11</v>
      </c>
      <c r="C484" s="3" t="s">
        <v>823</v>
      </c>
      <c r="D484" s="3" t="s">
        <v>57</v>
      </c>
      <c r="E484" s="4">
        <v>1000</v>
      </c>
      <c r="F484" s="5" t="s">
        <v>89</v>
      </c>
      <c r="G484" s="6"/>
      <c r="H484" s="3" t="s">
        <v>81</v>
      </c>
      <c r="I484" s="3" t="s">
        <v>334</v>
      </c>
    </row>
    <row r="485" spans="1:9" ht="19.95" customHeight="1" x14ac:dyDescent="0.2">
      <c r="A485" s="3" t="s">
        <v>824</v>
      </c>
      <c r="B485" s="3" t="s">
        <v>11</v>
      </c>
      <c r="C485" s="3" t="s">
        <v>37</v>
      </c>
      <c r="D485" s="3" t="s">
        <v>623</v>
      </c>
      <c r="E485" s="4">
        <v>1010</v>
      </c>
      <c r="F485" s="5" t="s">
        <v>39</v>
      </c>
      <c r="G485" s="6"/>
      <c r="H485" s="3" t="s">
        <v>40</v>
      </c>
      <c r="I485" s="3" t="s">
        <v>356</v>
      </c>
    </row>
    <row r="486" spans="1:9" ht="19.95" customHeight="1" x14ac:dyDescent="0.2">
      <c r="A486" s="3" t="s">
        <v>825</v>
      </c>
      <c r="B486" s="3" t="s">
        <v>45</v>
      </c>
      <c r="C486" s="3" t="s">
        <v>69</v>
      </c>
      <c r="D486" s="3" t="s">
        <v>127</v>
      </c>
      <c r="E486" s="4">
        <v>1230</v>
      </c>
      <c r="F486" s="5" t="s">
        <v>39</v>
      </c>
      <c r="G486" s="4">
        <v>1041</v>
      </c>
      <c r="H486" s="3" t="s">
        <v>40</v>
      </c>
      <c r="I486" s="3" t="s">
        <v>156</v>
      </c>
    </row>
    <row r="487" spans="1:9" ht="19.95" customHeight="1" x14ac:dyDescent="0.2">
      <c r="A487" s="3" t="s">
        <v>826</v>
      </c>
      <c r="B487" s="3" t="s">
        <v>45</v>
      </c>
      <c r="C487" s="3" t="s">
        <v>395</v>
      </c>
      <c r="D487" s="3" t="s">
        <v>170</v>
      </c>
      <c r="E487" s="4">
        <v>4718</v>
      </c>
      <c r="F487" s="5" t="s">
        <v>39</v>
      </c>
      <c r="G487" s="4">
        <v>3774</v>
      </c>
      <c r="H487" s="3" t="s">
        <v>40</v>
      </c>
      <c r="I487" s="3" t="s">
        <v>187</v>
      </c>
    </row>
    <row r="488" spans="1:9" ht="19.95" customHeight="1" x14ac:dyDescent="0.2">
      <c r="A488" s="3" t="s">
        <v>826</v>
      </c>
      <c r="B488" s="3" t="s">
        <v>45</v>
      </c>
      <c r="C488" s="3" t="s">
        <v>133</v>
      </c>
      <c r="D488" s="3" t="s">
        <v>170</v>
      </c>
      <c r="E488" s="4">
        <v>16850</v>
      </c>
      <c r="F488" s="5" t="s">
        <v>39</v>
      </c>
      <c r="G488" s="4">
        <v>13480</v>
      </c>
      <c r="H488" s="3" t="s">
        <v>40</v>
      </c>
      <c r="I488" s="3" t="s">
        <v>187</v>
      </c>
    </row>
    <row r="489" spans="1:9" ht="19.95" customHeight="1" x14ac:dyDescent="0.2">
      <c r="A489" s="3" t="s">
        <v>827</v>
      </c>
      <c r="B489" s="3" t="s">
        <v>11</v>
      </c>
      <c r="C489" s="3" t="s">
        <v>828</v>
      </c>
      <c r="D489" s="3" t="s">
        <v>105</v>
      </c>
      <c r="E489" s="4">
        <v>62693</v>
      </c>
      <c r="F489" s="5" t="s">
        <v>829</v>
      </c>
      <c r="G489" s="3"/>
      <c r="H489" s="3" t="s">
        <v>40</v>
      </c>
      <c r="I489" s="3" t="s">
        <v>112</v>
      </c>
    </row>
    <row r="490" spans="1:9" ht="19.95" customHeight="1" x14ac:dyDescent="0.2">
      <c r="A490" s="3" t="s">
        <v>830</v>
      </c>
      <c r="B490" s="3" t="s">
        <v>11</v>
      </c>
      <c r="C490" s="3" t="s">
        <v>828</v>
      </c>
      <c r="D490" s="3" t="s">
        <v>105</v>
      </c>
      <c r="E490" s="4">
        <v>99027.5</v>
      </c>
      <c r="F490" s="5" t="s">
        <v>829</v>
      </c>
      <c r="G490" s="6"/>
      <c r="H490" s="3" t="s">
        <v>40</v>
      </c>
      <c r="I490" s="3" t="s">
        <v>112</v>
      </c>
    </row>
    <row r="491" spans="1:9" ht="19.95" customHeight="1" x14ac:dyDescent="0.2">
      <c r="A491" s="3" t="s">
        <v>831</v>
      </c>
      <c r="B491" s="3" t="s">
        <v>45</v>
      </c>
      <c r="C491" s="3" t="s">
        <v>140</v>
      </c>
      <c r="D491" s="3" t="s">
        <v>38</v>
      </c>
      <c r="E491" s="4">
        <v>5900</v>
      </c>
      <c r="F491" s="5" t="s">
        <v>39</v>
      </c>
      <c r="G491" s="4">
        <v>5251</v>
      </c>
      <c r="H491" s="3" t="s">
        <v>40</v>
      </c>
      <c r="I491" s="3" t="s">
        <v>263</v>
      </c>
    </row>
    <row r="492" spans="1:9" ht="19.95" customHeight="1" x14ac:dyDescent="0.2">
      <c r="A492" s="3" t="s">
        <v>832</v>
      </c>
      <c r="B492" s="3" t="s">
        <v>10</v>
      </c>
      <c r="C492" s="3" t="s">
        <v>37</v>
      </c>
      <c r="D492" s="3" t="s">
        <v>70</v>
      </c>
      <c r="E492" s="4">
        <v>4260</v>
      </c>
      <c r="F492" s="5" t="s">
        <v>39</v>
      </c>
      <c r="G492" s="4">
        <v>3795</v>
      </c>
      <c r="H492" s="3" t="s">
        <v>40</v>
      </c>
      <c r="I492" s="3" t="s">
        <v>369</v>
      </c>
    </row>
    <row r="493" spans="1:9" ht="19.95" customHeight="1" x14ac:dyDescent="0.2">
      <c r="A493" s="3" t="s">
        <v>833</v>
      </c>
      <c r="B493" s="3" t="s">
        <v>45</v>
      </c>
      <c r="C493" s="3" t="s">
        <v>834</v>
      </c>
      <c r="D493" s="3" t="s">
        <v>62</v>
      </c>
      <c r="E493" s="4">
        <v>46910</v>
      </c>
      <c r="F493" s="5" t="s">
        <v>835</v>
      </c>
      <c r="G493" s="4">
        <v>42420</v>
      </c>
      <c r="H493" s="3" t="s">
        <v>81</v>
      </c>
      <c r="I493" s="3" t="s">
        <v>454</v>
      </c>
    </row>
    <row r="494" spans="1:9" ht="19.95" customHeight="1" x14ac:dyDescent="0.2">
      <c r="A494" s="3" t="s">
        <v>836</v>
      </c>
      <c r="B494" s="3" t="s">
        <v>45</v>
      </c>
      <c r="C494" s="3" t="s">
        <v>837</v>
      </c>
      <c r="D494" s="3" t="s">
        <v>411</v>
      </c>
      <c r="E494" s="4">
        <v>2835</v>
      </c>
      <c r="F494" s="5" t="s">
        <v>39</v>
      </c>
      <c r="G494" s="4">
        <v>2552</v>
      </c>
      <c r="H494" s="3" t="s">
        <v>40</v>
      </c>
      <c r="I494" s="3" t="s">
        <v>112</v>
      </c>
    </row>
    <row r="495" spans="1:9" ht="19.95" customHeight="1" x14ac:dyDescent="0.2">
      <c r="A495" s="3" t="s">
        <v>838</v>
      </c>
      <c r="B495" s="3" t="s">
        <v>11</v>
      </c>
      <c r="C495" s="3" t="s">
        <v>136</v>
      </c>
      <c r="D495" s="3" t="s">
        <v>70</v>
      </c>
      <c r="E495" s="4">
        <v>13150</v>
      </c>
      <c r="F495" s="5" t="s">
        <v>14</v>
      </c>
      <c r="G495" s="3"/>
      <c r="H495" s="3" t="s">
        <v>40</v>
      </c>
      <c r="I495" s="3" t="s">
        <v>251</v>
      </c>
    </row>
    <row r="496" spans="1:9" ht="19.95" customHeight="1" x14ac:dyDescent="0.2">
      <c r="A496" s="3" t="s">
        <v>839</v>
      </c>
      <c r="B496" s="3" t="s">
        <v>11</v>
      </c>
      <c r="C496" s="3" t="s">
        <v>840</v>
      </c>
      <c r="D496" s="3" t="s">
        <v>85</v>
      </c>
      <c r="E496" s="4">
        <v>840</v>
      </c>
      <c r="F496" s="5" t="s">
        <v>75</v>
      </c>
      <c r="G496" s="3"/>
      <c r="H496" s="3" t="s">
        <v>40</v>
      </c>
      <c r="I496" s="3" t="s">
        <v>251</v>
      </c>
    </row>
    <row r="497" spans="1:9" ht="19.95" customHeight="1" x14ac:dyDescent="0.2">
      <c r="A497" s="3" t="s">
        <v>841</v>
      </c>
      <c r="B497" s="3" t="s">
        <v>45</v>
      </c>
      <c r="C497" s="3" t="s">
        <v>133</v>
      </c>
      <c r="D497" s="3" t="s">
        <v>85</v>
      </c>
      <c r="E497" s="4">
        <v>7150</v>
      </c>
      <c r="F497" s="5" t="s">
        <v>39</v>
      </c>
      <c r="G497" s="7">
        <v>6343</v>
      </c>
      <c r="H497" s="3" t="s">
        <v>40</v>
      </c>
      <c r="I497" s="3" t="s">
        <v>251</v>
      </c>
    </row>
    <row r="498" spans="1:9" ht="19.95" customHeight="1" x14ac:dyDescent="0.2">
      <c r="A498" s="3" t="s">
        <v>842</v>
      </c>
      <c r="B498" s="3" t="s">
        <v>10</v>
      </c>
      <c r="C498" s="3" t="s">
        <v>222</v>
      </c>
      <c r="D498" s="3" t="s">
        <v>496</v>
      </c>
      <c r="E498" s="4">
        <v>11080</v>
      </c>
      <c r="F498" s="5" t="s">
        <v>98</v>
      </c>
      <c r="G498" s="7">
        <v>9870</v>
      </c>
      <c r="H498" s="3" t="s">
        <v>81</v>
      </c>
      <c r="I498" s="3" t="s">
        <v>220</v>
      </c>
    </row>
    <row r="499" spans="1:9" ht="19.95" customHeight="1" x14ac:dyDescent="0.2">
      <c r="A499" s="3" t="s">
        <v>843</v>
      </c>
      <c r="B499" s="3" t="s">
        <v>115</v>
      </c>
      <c r="C499" s="3" t="s">
        <v>69</v>
      </c>
      <c r="D499" s="3" t="s">
        <v>115</v>
      </c>
      <c r="E499" s="4">
        <v>1460</v>
      </c>
      <c r="F499" s="5" t="s">
        <v>39</v>
      </c>
      <c r="G499" s="4">
        <v>1305</v>
      </c>
      <c r="H499" s="3" t="s">
        <v>40</v>
      </c>
      <c r="I499" s="3" t="s">
        <v>187</v>
      </c>
    </row>
    <row r="500" spans="1:9" ht="19.95" customHeight="1" x14ac:dyDescent="0.2">
      <c r="A500" s="3" t="s">
        <v>843</v>
      </c>
      <c r="B500" s="3" t="s">
        <v>115</v>
      </c>
      <c r="C500" s="3" t="s">
        <v>192</v>
      </c>
      <c r="D500" s="3" t="s">
        <v>115</v>
      </c>
      <c r="E500" s="4">
        <v>4380</v>
      </c>
      <c r="F500" s="5" t="s">
        <v>39</v>
      </c>
      <c r="G500" s="4">
        <v>3915</v>
      </c>
      <c r="H500" s="3" t="s">
        <v>40</v>
      </c>
      <c r="I500" s="3" t="s">
        <v>187</v>
      </c>
    </row>
    <row r="501" spans="1:9" ht="19.95" customHeight="1" x14ac:dyDescent="0.2">
      <c r="A501" s="3" t="s">
        <v>844</v>
      </c>
      <c r="B501" s="3" t="s">
        <v>10</v>
      </c>
      <c r="C501" s="3" t="s">
        <v>84</v>
      </c>
      <c r="D501" s="3" t="s">
        <v>459</v>
      </c>
      <c r="E501" s="4">
        <v>1010</v>
      </c>
      <c r="F501" s="5" t="s">
        <v>14</v>
      </c>
      <c r="G501" s="4">
        <v>899</v>
      </c>
      <c r="H501" s="3" t="s">
        <v>40</v>
      </c>
      <c r="I501" s="3" t="s">
        <v>167</v>
      </c>
    </row>
    <row r="502" spans="1:9" ht="19.95" customHeight="1" x14ac:dyDescent="0.2">
      <c r="A502" s="3" t="s">
        <v>845</v>
      </c>
      <c r="B502" s="3" t="s">
        <v>11</v>
      </c>
      <c r="C502" s="3" t="s">
        <v>140</v>
      </c>
      <c r="D502" s="3" t="s">
        <v>319</v>
      </c>
      <c r="E502" s="4">
        <v>6200</v>
      </c>
      <c r="F502" s="5" t="s">
        <v>39</v>
      </c>
      <c r="G502" s="6"/>
      <c r="H502" s="3" t="s">
        <v>40</v>
      </c>
      <c r="I502" s="3" t="s">
        <v>167</v>
      </c>
    </row>
    <row r="503" spans="1:9" ht="19.95" customHeight="1" x14ac:dyDescent="0.2">
      <c r="A503" s="3" t="s">
        <v>846</v>
      </c>
      <c r="B503" s="3" t="s">
        <v>11</v>
      </c>
      <c r="C503" s="3" t="s">
        <v>308</v>
      </c>
      <c r="D503" s="3" t="s">
        <v>319</v>
      </c>
      <c r="E503" s="4">
        <v>6300</v>
      </c>
      <c r="F503" s="5" t="s">
        <v>39</v>
      </c>
      <c r="G503" s="6"/>
      <c r="H503" s="3" t="s">
        <v>40</v>
      </c>
      <c r="I503" s="3" t="s">
        <v>167</v>
      </c>
    </row>
    <row r="504" spans="1:9" ht="19.95" customHeight="1" x14ac:dyDescent="0.2">
      <c r="A504" s="3" t="s">
        <v>847</v>
      </c>
      <c r="B504" s="3" t="s">
        <v>11</v>
      </c>
      <c r="C504" s="3" t="s">
        <v>37</v>
      </c>
      <c r="D504" s="3" t="s">
        <v>319</v>
      </c>
      <c r="E504" s="4">
        <v>630</v>
      </c>
      <c r="F504" s="5" t="s">
        <v>39</v>
      </c>
      <c r="G504" s="3"/>
      <c r="H504" s="3" t="s">
        <v>40</v>
      </c>
      <c r="I504" s="3" t="s">
        <v>167</v>
      </c>
    </row>
    <row r="505" spans="1:9" ht="19.95" customHeight="1" x14ac:dyDescent="0.2">
      <c r="A505" s="3" t="s">
        <v>848</v>
      </c>
      <c r="B505" s="3" t="s">
        <v>10</v>
      </c>
      <c r="C505" s="3" t="s">
        <v>140</v>
      </c>
      <c r="D505" s="3" t="s">
        <v>319</v>
      </c>
      <c r="E505" s="4">
        <v>6300</v>
      </c>
      <c r="F505" s="5" t="s">
        <v>39</v>
      </c>
      <c r="G505" s="4">
        <v>5360</v>
      </c>
      <c r="H505" s="3" t="s">
        <v>40</v>
      </c>
      <c r="I505" s="3" t="s">
        <v>167</v>
      </c>
    </row>
    <row r="506" spans="1:9" ht="19.95" customHeight="1" x14ac:dyDescent="0.2">
      <c r="A506" s="3" t="s">
        <v>849</v>
      </c>
      <c r="B506" s="3" t="s">
        <v>10</v>
      </c>
      <c r="C506" s="3" t="s">
        <v>308</v>
      </c>
      <c r="D506" s="3" t="s">
        <v>319</v>
      </c>
      <c r="E506" s="4">
        <v>6600</v>
      </c>
      <c r="F506" s="5" t="s">
        <v>39</v>
      </c>
      <c r="G506" s="4">
        <v>5610</v>
      </c>
      <c r="H506" s="3" t="s">
        <v>40</v>
      </c>
      <c r="I506" s="3" t="s">
        <v>167</v>
      </c>
    </row>
    <row r="507" spans="1:9" ht="19.95" customHeight="1" x14ac:dyDescent="0.2">
      <c r="A507" s="3" t="s">
        <v>850</v>
      </c>
      <c r="B507" s="3" t="s">
        <v>110</v>
      </c>
      <c r="C507" s="3" t="s">
        <v>851</v>
      </c>
      <c r="D507" s="3" t="s">
        <v>852</v>
      </c>
      <c r="E507" s="4">
        <v>22630</v>
      </c>
      <c r="F507" s="5" t="s">
        <v>89</v>
      </c>
      <c r="G507" s="4">
        <v>20387</v>
      </c>
      <c r="H507" s="3" t="s">
        <v>81</v>
      </c>
      <c r="I507" s="3" t="s">
        <v>167</v>
      </c>
    </row>
    <row r="508" spans="1:9" ht="19.95" customHeight="1" x14ac:dyDescent="0.2">
      <c r="A508" s="3" t="s">
        <v>853</v>
      </c>
      <c r="B508" s="3" t="s">
        <v>11</v>
      </c>
      <c r="C508" s="3" t="s">
        <v>851</v>
      </c>
      <c r="D508" s="3" t="s">
        <v>85</v>
      </c>
      <c r="E508" s="4">
        <v>14430</v>
      </c>
      <c r="F508" s="5" t="s">
        <v>89</v>
      </c>
      <c r="G508" s="6"/>
      <c r="H508" s="3" t="s">
        <v>81</v>
      </c>
      <c r="I508" s="3" t="s">
        <v>167</v>
      </c>
    </row>
    <row r="509" spans="1:9" ht="19.95" customHeight="1" x14ac:dyDescent="0.2">
      <c r="A509" s="3" t="s">
        <v>854</v>
      </c>
      <c r="B509" s="3" t="s">
        <v>11</v>
      </c>
      <c r="C509" s="3" t="s">
        <v>108</v>
      </c>
      <c r="D509" s="3" t="s">
        <v>216</v>
      </c>
      <c r="E509" s="4">
        <v>7540</v>
      </c>
      <c r="F509" s="5" t="s">
        <v>111</v>
      </c>
      <c r="G509" s="6"/>
      <c r="H509" s="3" t="s">
        <v>81</v>
      </c>
      <c r="I509" s="3" t="s">
        <v>454</v>
      </c>
    </row>
    <row r="510" spans="1:9" ht="19.95" customHeight="1" x14ac:dyDescent="0.2">
      <c r="A510" s="3" t="s">
        <v>855</v>
      </c>
      <c r="B510" s="3" t="s">
        <v>11</v>
      </c>
      <c r="C510" s="3" t="s">
        <v>856</v>
      </c>
      <c r="D510" s="3" t="s">
        <v>205</v>
      </c>
      <c r="E510" s="4">
        <v>3050</v>
      </c>
      <c r="F510" s="5" t="s">
        <v>89</v>
      </c>
      <c r="G510" s="3"/>
      <c r="H510" s="3" t="s">
        <v>81</v>
      </c>
      <c r="I510" s="3" t="s">
        <v>857</v>
      </c>
    </row>
    <row r="511" spans="1:9" ht="19.95" customHeight="1" x14ac:dyDescent="0.2">
      <c r="A511" s="3" t="s">
        <v>858</v>
      </c>
      <c r="B511" s="3" t="s">
        <v>45</v>
      </c>
      <c r="C511" s="3" t="s">
        <v>84</v>
      </c>
      <c r="D511" s="3" t="s">
        <v>470</v>
      </c>
      <c r="E511" s="4">
        <v>1110</v>
      </c>
      <c r="F511" s="5" t="s">
        <v>14</v>
      </c>
      <c r="G511" s="4">
        <v>999</v>
      </c>
      <c r="H511" s="3" t="s">
        <v>40</v>
      </c>
      <c r="I511" s="3" t="s">
        <v>857</v>
      </c>
    </row>
    <row r="512" spans="1:9" ht="19.95" customHeight="1" x14ac:dyDescent="0.2">
      <c r="A512" s="3" t="s">
        <v>859</v>
      </c>
      <c r="B512" s="3" t="s">
        <v>45</v>
      </c>
      <c r="C512" s="3" t="s">
        <v>69</v>
      </c>
      <c r="D512" s="3" t="s">
        <v>470</v>
      </c>
      <c r="E512" s="4">
        <v>1080</v>
      </c>
      <c r="F512" s="5" t="s">
        <v>39</v>
      </c>
      <c r="G512" s="4">
        <v>972</v>
      </c>
      <c r="H512" s="3" t="s">
        <v>40</v>
      </c>
      <c r="I512" s="3" t="s">
        <v>857</v>
      </c>
    </row>
    <row r="513" spans="1:9" ht="19.95" customHeight="1" x14ac:dyDescent="0.2">
      <c r="A513" s="3" t="s">
        <v>859</v>
      </c>
      <c r="B513" s="3" t="s">
        <v>45</v>
      </c>
      <c r="C513" s="3" t="s">
        <v>176</v>
      </c>
      <c r="D513" s="3" t="s">
        <v>57</v>
      </c>
      <c r="E513" s="4">
        <v>5400</v>
      </c>
      <c r="F513" s="5" t="s">
        <v>39</v>
      </c>
      <c r="G513" s="4">
        <v>4860</v>
      </c>
      <c r="H513" s="3" t="s">
        <v>40</v>
      </c>
      <c r="I513" s="3" t="s">
        <v>857</v>
      </c>
    </row>
    <row r="514" spans="1:9" ht="19.95" customHeight="1" x14ac:dyDescent="0.2">
      <c r="A514" s="3" t="s">
        <v>860</v>
      </c>
      <c r="B514" s="3" t="s">
        <v>10</v>
      </c>
      <c r="C514" s="3" t="s">
        <v>37</v>
      </c>
      <c r="D514" s="3" t="s">
        <v>570</v>
      </c>
      <c r="E514" s="4">
        <v>1660</v>
      </c>
      <c r="F514" s="5" t="s">
        <v>39</v>
      </c>
      <c r="G514" s="4">
        <v>1464</v>
      </c>
      <c r="H514" s="3" t="s">
        <v>40</v>
      </c>
      <c r="I514" s="3" t="s">
        <v>229</v>
      </c>
    </row>
    <row r="515" spans="1:9" ht="19.95" customHeight="1" x14ac:dyDescent="0.2">
      <c r="A515" s="3" t="s">
        <v>861</v>
      </c>
      <c r="B515" s="3" t="s">
        <v>45</v>
      </c>
      <c r="C515" s="3" t="s">
        <v>146</v>
      </c>
      <c r="D515" s="3" t="s">
        <v>147</v>
      </c>
      <c r="E515" s="4">
        <v>1441</v>
      </c>
      <c r="F515" s="5" t="s">
        <v>148</v>
      </c>
      <c r="G515" s="7">
        <v>1283</v>
      </c>
      <c r="H515" s="3" t="s">
        <v>63</v>
      </c>
      <c r="I515" s="3" t="s">
        <v>76</v>
      </c>
    </row>
    <row r="516" spans="1:9" ht="19.95" customHeight="1" x14ac:dyDescent="0.2">
      <c r="A516" s="3" t="s">
        <v>862</v>
      </c>
      <c r="B516" s="3" t="s">
        <v>10</v>
      </c>
      <c r="C516" s="3" t="s">
        <v>69</v>
      </c>
      <c r="D516" s="3" t="s">
        <v>459</v>
      </c>
      <c r="E516" s="4">
        <v>970</v>
      </c>
      <c r="F516" s="5" t="s">
        <v>39</v>
      </c>
      <c r="G516" s="7">
        <v>864</v>
      </c>
      <c r="H516" s="3" t="s">
        <v>40</v>
      </c>
      <c r="I516" s="3" t="s">
        <v>167</v>
      </c>
    </row>
    <row r="517" spans="1:9" ht="19.95" customHeight="1" x14ac:dyDescent="0.2">
      <c r="A517" s="3" t="s">
        <v>863</v>
      </c>
      <c r="B517" s="3" t="s">
        <v>11</v>
      </c>
      <c r="C517" s="3" t="s">
        <v>69</v>
      </c>
      <c r="D517" s="3" t="s">
        <v>115</v>
      </c>
      <c r="E517" s="4">
        <v>1170</v>
      </c>
      <c r="F517" s="5" t="s">
        <v>39</v>
      </c>
      <c r="G517" s="6"/>
      <c r="H517" s="3" t="s">
        <v>40</v>
      </c>
      <c r="I517" s="3" t="s">
        <v>433</v>
      </c>
    </row>
    <row r="518" spans="1:9" ht="19.95" customHeight="1" x14ac:dyDescent="0.2">
      <c r="A518" s="3" t="s">
        <v>864</v>
      </c>
      <c r="B518" s="3" t="s">
        <v>10</v>
      </c>
      <c r="C518" s="3" t="s">
        <v>865</v>
      </c>
      <c r="D518" s="3" t="s">
        <v>866</v>
      </c>
      <c r="E518" s="4">
        <v>3717</v>
      </c>
      <c r="F518" s="5" t="s">
        <v>39</v>
      </c>
      <c r="G518" s="4">
        <v>3140</v>
      </c>
      <c r="H518" s="3" t="s">
        <v>40</v>
      </c>
      <c r="I518" s="3" t="s">
        <v>549</v>
      </c>
    </row>
    <row r="519" spans="1:9" ht="19.95" customHeight="1" x14ac:dyDescent="0.2">
      <c r="A519" s="3" t="s">
        <v>864</v>
      </c>
      <c r="B519" s="3" t="s">
        <v>10</v>
      </c>
      <c r="C519" s="3" t="s">
        <v>140</v>
      </c>
      <c r="D519" s="3" t="s">
        <v>866</v>
      </c>
      <c r="E519" s="4">
        <v>5900</v>
      </c>
      <c r="F519" s="5" t="s">
        <v>39</v>
      </c>
      <c r="G519" s="4">
        <v>4980</v>
      </c>
      <c r="H519" s="3" t="s">
        <v>40</v>
      </c>
      <c r="I519" s="3" t="s">
        <v>549</v>
      </c>
    </row>
    <row r="520" spans="1:9" ht="19.95" customHeight="1" x14ac:dyDescent="0.2">
      <c r="A520" s="3" t="s">
        <v>867</v>
      </c>
      <c r="B520" s="3" t="s">
        <v>10</v>
      </c>
      <c r="C520" s="3" t="s">
        <v>868</v>
      </c>
      <c r="D520" s="3" t="s">
        <v>866</v>
      </c>
      <c r="E520" s="4">
        <v>6500</v>
      </c>
      <c r="F520" s="5" t="s">
        <v>14</v>
      </c>
      <c r="G520" s="4">
        <v>5490</v>
      </c>
      <c r="H520" s="3" t="s">
        <v>40</v>
      </c>
      <c r="I520" s="3" t="s">
        <v>549</v>
      </c>
    </row>
    <row r="521" spans="1:9" ht="19.95" customHeight="1" x14ac:dyDescent="0.2">
      <c r="A521" s="3" t="s">
        <v>867</v>
      </c>
      <c r="B521" s="3" t="s">
        <v>10</v>
      </c>
      <c r="C521" s="3" t="s">
        <v>869</v>
      </c>
      <c r="D521" s="3" t="s">
        <v>866</v>
      </c>
      <c r="E521" s="4">
        <v>3900</v>
      </c>
      <c r="F521" s="5" t="s">
        <v>14</v>
      </c>
      <c r="G521" s="7">
        <v>3294</v>
      </c>
      <c r="H521" s="3" t="s">
        <v>40</v>
      </c>
      <c r="I521" s="3" t="s">
        <v>549</v>
      </c>
    </row>
    <row r="522" spans="1:9" ht="19.95" customHeight="1" x14ac:dyDescent="0.2">
      <c r="A522" s="3" t="s">
        <v>867</v>
      </c>
      <c r="B522" s="3" t="s">
        <v>10</v>
      </c>
      <c r="C522" s="3" t="s">
        <v>870</v>
      </c>
      <c r="D522" s="3" t="s">
        <v>866</v>
      </c>
      <c r="E522" s="4">
        <v>780</v>
      </c>
      <c r="F522" s="5" t="s">
        <v>14</v>
      </c>
      <c r="G522" s="7">
        <v>658</v>
      </c>
      <c r="H522" s="3" t="s">
        <v>40</v>
      </c>
      <c r="I522" s="3" t="s">
        <v>549</v>
      </c>
    </row>
    <row r="523" spans="1:9" ht="19.95" customHeight="1" x14ac:dyDescent="0.2">
      <c r="A523" s="3" t="s">
        <v>871</v>
      </c>
      <c r="B523" s="3" t="s">
        <v>11</v>
      </c>
      <c r="C523" s="3" t="s">
        <v>872</v>
      </c>
      <c r="D523" s="3" t="s">
        <v>216</v>
      </c>
      <c r="E523" s="4">
        <v>3327</v>
      </c>
      <c r="F523" s="5" t="s">
        <v>39</v>
      </c>
      <c r="G523" s="6"/>
      <c r="H523" s="3" t="s">
        <v>40</v>
      </c>
      <c r="I523" s="3" t="s">
        <v>199</v>
      </c>
    </row>
    <row r="524" spans="1:9" ht="19.95" customHeight="1" x14ac:dyDescent="0.2">
      <c r="A524" s="3" t="s">
        <v>873</v>
      </c>
      <c r="B524" s="3" t="s">
        <v>10</v>
      </c>
      <c r="C524" s="3" t="s">
        <v>872</v>
      </c>
      <c r="D524" s="3" t="s">
        <v>727</v>
      </c>
      <c r="E524" s="4">
        <v>3327</v>
      </c>
      <c r="F524" s="5" t="s">
        <v>39</v>
      </c>
      <c r="G524" s="4">
        <v>2700</v>
      </c>
      <c r="H524" s="3" t="s">
        <v>40</v>
      </c>
      <c r="I524" s="3" t="s">
        <v>199</v>
      </c>
    </row>
    <row r="525" spans="1:9" ht="19.95" customHeight="1" x14ac:dyDescent="0.2">
      <c r="A525" s="3" t="s">
        <v>874</v>
      </c>
      <c r="B525" s="3" t="s">
        <v>10</v>
      </c>
      <c r="C525" s="3" t="s">
        <v>140</v>
      </c>
      <c r="D525" s="3" t="s">
        <v>492</v>
      </c>
      <c r="E525" s="4">
        <v>6100</v>
      </c>
      <c r="F525" s="5" t="s">
        <v>39</v>
      </c>
      <c r="G525" s="4">
        <v>5185</v>
      </c>
      <c r="H525" s="3" t="s">
        <v>40</v>
      </c>
      <c r="I525" s="3" t="s">
        <v>217</v>
      </c>
    </row>
    <row r="526" spans="1:9" ht="19.95" customHeight="1" x14ac:dyDescent="0.2">
      <c r="A526" s="3" t="s">
        <v>875</v>
      </c>
      <c r="B526" s="3" t="s">
        <v>10</v>
      </c>
      <c r="C526" s="3" t="s">
        <v>142</v>
      </c>
      <c r="D526" s="3" t="s">
        <v>492</v>
      </c>
      <c r="E526" s="4">
        <v>750</v>
      </c>
      <c r="F526" s="5" t="s">
        <v>75</v>
      </c>
      <c r="G526" s="4">
        <v>681</v>
      </c>
      <c r="H526" s="3" t="s">
        <v>40</v>
      </c>
      <c r="I526" s="3" t="s">
        <v>217</v>
      </c>
    </row>
    <row r="527" spans="1:9" ht="19.95" customHeight="1" x14ac:dyDescent="0.2">
      <c r="A527" s="3" t="s">
        <v>876</v>
      </c>
      <c r="B527" s="3" t="s">
        <v>45</v>
      </c>
      <c r="C527" s="3" t="s">
        <v>683</v>
      </c>
      <c r="D527" s="3" t="s">
        <v>205</v>
      </c>
      <c r="E527" s="4">
        <v>2905</v>
      </c>
      <c r="F527" s="5" t="s">
        <v>183</v>
      </c>
      <c r="G527" s="4">
        <v>2586</v>
      </c>
      <c r="H527" s="3" t="s">
        <v>63</v>
      </c>
      <c r="I527" s="3" t="s">
        <v>72</v>
      </c>
    </row>
    <row r="528" spans="1:9" ht="19.95" customHeight="1" x14ac:dyDescent="0.2">
      <c r="A528" s="3" t="s">
        <v>877</v>
      </c>
      <c r="B528" s="3" t="s">
        <v>45</v>
      </c>
      <c r="C528" s="3" t="s">
        <v>683</v>
      </c>
      <c r="D528" s="3" t="s">
        <v>205</v>
      </c>
      <c r="E528" s="4">
        <v>3990</v>
      </c>
      <c r="F528" s="5" t="s">
        <v>183</v>
      </c>
      <c r="G528" s="4">
        <v>3551</v>
      </c>
      <c r="H528" s="3" t="s">
        <v>63</v>
      </c>
      <c r="I528" s="3" t="s">
        <v>72</v>
      </c>
    </row>
    <row r="529" spans="1:9" ht="19.95" customHeight="1" x14ac:dyDescent="0.2">
      <c r="A529" s="3" t="s">
        <v>878</v>
      </c>
      <c r="B529" s="3" t="s">
        <v>115</v>
      </c>
      <c r="C529" s="3" t="s">
        <v>69</v>
      </c>
      <c r="D529" s="3" t="s">
        <v>115</v>
      </c>
      <c r="E529" s="4">
        <v>1040</v>
      </c>
      <c r="F529" s="5" t="s">
        <v>39</v>
      </c>
      <c r="G529" s="4">
        <v>905</v>
      </c>
      <c r="H529" s="3" t="s">
        <v>40</v>
      </c>
      <c r="I529" s="3" t="s">
        <v>296</v>
      </c>
    </row>
    <row r="530" spans="1:9" ht="19.95" customHeight="1" x14ac:dyDescent="0.2">
      <c r="A530" s="3" t="s">
        <v>879</v>
      </c>
      <c r="B530" s="3" t="s">
        <v>115</v>
      </c>
      <c r="C530" s="3" t="s">
        <v>69</v>
      </c>
      <c r="D530" s="3" t="s">
        <v>115</v>
      </c>
      <c r="E530" s="4">
        <v>1040</v>
      </c>
      <c r="F530" s="5" t="s">
        <v>39</v>
      </c>
      <c r="G530" s="7">
        <v>905</v>
      </c>
      <c r="H530" s="3" t="s">
        <v>40</v>
      </c>
      <c r="I530" s="3" t="s">
        <v>296</v>
      </c>
    </row>
    <row r="531" spans="1:9" ht="19.95" customHeight="1" x14ac:dyDescent="0.2">
      <c r="A531" s="3" t="s">
        <v>880</v>
      </c>
      <c r="B531" s="3" t="s">
        <v>110</v>
      </c>
      <c r="C531" s="3" t="s">
        <v>881</v>
      </c>
      <c r="D531" s="3" t="s">
        <v>109</v>
      </c>
      <c r="E531" s="4">
        <v>1852.5</v>
      </c>
      <c r="F531" s="5" t="s">
        <v>14</v>
      </c>
      <c r="G531" s="4">
        <v>1671</v>
      </c>
      <c r="H531" s="3" t="s">
        <v>63</v>
      </c>
      <c r="I531" s="3" t="s">
        <v>346</v>
      </c>
    </row>
    <row r="532" spans="1:9" ht="19.95" customHeight="1" x14ac:dyDescent="0.2">
      <c r="A532" s="3" t="s">
        <v>882</v>
      </c>
      <c r="B532" s="3" t="s">
        <v>10</v>
      </c>
      <c r="C532" s="3" t="s">
        <v>69</v>
      </c>
      <c r="D532" s="3" t="s">
        <v>105</v>
      </c>
      <c r="E532" s="4">
        <v>1250</v>
      </c>
      <c r="F532" s="5" t="s">
        <v>39</v>
      </c>
      <c r="G532" s="4">
        <v>1113</v>
      </c>
      <c r="H532" s="3" t="s">
        <v>40</v>
      </c>
      <c r="I532" s="3" t="s">
        <v>883</v>
      </c>
    </row>
    <row r="533" spans="1:9" ht="19.95" customHeight="1" x14ac:dyDescent="0.2">
      <c r="A533" s="3" t="s">
        <v>884</v>
      </c>
      <c r="B533" s="3" t="s">
        <v>45</v>
      </c>
      <c r="C533" s="3" t="s">
        <v>37</v>
      </c>
      <c r="D533" s="3" t="s">
        <v>319</v>
      </c>
      <c r="E533" s="4">
        <v>13130</v>
      </c>
      <c r="F533" s="5" t="s">
        <v>39</v>
      </c>
      <c r="G533" s="4">
        <v>11554</v>
      </c>
      <c r="H533" s="3" t="s">
        <v>40</v>
      </c>
      <c r="I533" s="3" t="s">
        <v>187</v>
      </c>
    </row>
    <row r="534" spans="1:9" ht="19.95" customHeight="1" x14ac:dyDescent="0.2">
      <c r="A534" s="3" t="s">
        <v>884</v>
      </c>
      <c r="B534" s="3" t="s">
        <v>11</v>
      </c>
      <c r="C534" s="3" t="s">
        <v>37</v>
      </c>
      <c r="D534" s="3" t="s">
        <v>319</v>
      </c>
      <c r="E534" s="4">
        <v>13130</v>
      </c>
      <c r="F534" s="5" t="s">
        <v>39</v>
      </c>
      <c r="G534" s="3"/>
      <c r="H534" s="3" t="s">
        <v>40</v>
      </c>
      <c r="I534" s="3" t="s">
        <v>187</v>
      </c>
    </row>
    <row r="535" spans="1:9" ht="19.95" customHeight="1" x14ac:dyDescent="0.2">
      <c r="A535" s="3" t="s">
        <v>885</v>
      </c>
      <c r="B535" s="3" t="s">
        <v>45</v>
      </c>
      <c r="C535" s="3" t="s">
        <v>37</v>
      </c>
      <c r="D535" s="3" t="s">
        <v>319</v>
      </c>
      <c r="E535" s="4">
        <v>4870</v>
      </c>
      <c r="F535" s="5" t="s">
        <v>39</v>
      </c>
      <c r="G535" s="4">
        <v>4286</v>
      </c>
      <c r="H535" s="3" t="s">
        <v>40</v>
      </c>
      <c r="I535" s="3" t="s">
        <v>187</v>
      </c>
    </row>
    <row r="536" spans="1:9" ht="19.95" customHeight="1" x14ac:dyDescent="0.2">
      <c r="A536" s="3" t="s">
        <v>886</v>
      </c>
      <c r="B536" s="3" t="s">
        <v>45</v>
      </c>
      <c r="C536" s="3" t="s">
        <v>308</v>
      </c>
      <c r="D536" s="3" t="s">
        <v>319</v>
      </c>
      <c r="E536" s="4">
        <v>5900</v>
      </c>
      <c r="F536" s="5" t="s">
        <v>39</v>
      </c>
      <c r="G536" s="7">
        <v>5015</v>
      </c>
      <c r="H536" s="3" t="s">
        <v>40</v>
      </c>
      <c r="I536" s="3" t="s">
        <v>86</v>
      </c>
    </row>
    <row r="537" spans="1:9" ht="19.95" customHeight="1" x14ac:dyDescent="0.2">
      <c r="A537" s="3" t="s">
        <v>887</v>
      </c>
      <c r="B537" s="3" t="s">
        <v>11</v>
      </c>
      <c r="C537" s="3" t="s">
        <v>888</v>
      </c>
      <c r="D537" s="3" t="s">
        <v>459</v>
      </c>
      <c r="E537" s="4">
        <v>3050</v>
      </c>
      <c r="F537" s="5" t="s">
        <v>516</v>
      </c>
      <c r="G537" s="3"/>
      <c r="H537" s="3" t="s">
        <v>81</v>
      </c>
      <c r="I537" s="3" t="s">
        <v>889</v>
      </c>
    </row>
    <row r="538" spans="1:9" ht="19.95" customHeight="1" x14ac:dyDescent="0.2">
      <c r="A538" s="3" t="s">
        <v>890</v>
      </c>
      <c r="B538" s="3" t="s">
        <v>45</v>
      </c>
      <c r="C538" s="3" t="s">
        <v>308</v>
      </c>
      <c r="D538" s="3" t="s">
        <v>459</v>
      </c>
      <c r="E538" s="4">
        <v>5900</v>
      </c>
      <c r="F538" s="5" t="s">
        <v>39</v>
      </c>
      <c r="G538" s="4">
        <v>5192</v>
      </c>
      <c r="H538" s="3" t="s">
        <v>40</v>
      </c>
      <c r="I538" s="3" t="s">
        <v>889</v>
      </c>
    </row>
    <row r="539" spans="1:9" ht="19.95" customHeight="1" x14ac:dyDescent="0.2">
      <c r="A539" s="3" t="s">
        <v>890</v>
      </c>
      <c r="B539" s="3" t="s">
        <v>11</v>
      </c>
      <c r="C539" s="3" t="s">
        <v>37</v>
      </c>
      <c r="D539" s="3" t="s">
        <v>459</v>
      </c>
      <c r="E539" s="4">
        <v>590</v>
      </c>
      <c r="F539" s="5" t="s">
        <v>39</v>
      </c>
      <c r="G539" s="3"/>
      <c r="H539" s="3" t="s">
        <v>40</v>
      </c>
      <c r="I539" s="3" t="s">
        <v>889</v>
      </c>
    </row>
    <row r="540" spans="1:9" ht="19.95" customHeight="1" x14ac:dyDescent="0.2">
      <c r="A540" s="3" t="s">
        <v>891</v>
      </c>
      <c r="B540" s="3" t="s">
        <v>11</v>
      </c>
      <c r="C540" s="3" t="s">
        <v>37</v>
      </c>
      <c r="D540" s="3" t="s">
        <v>70</v>
      </c>
      <c r="E540" s="4">
        <v>35550</v>
      </c>
      <c r="F540" s="5" t="s">
        <v>39</v>
      </c>
      <c r="G540" s="3"/>
      <c r="H540" s="3" t="s">
        <v>40</v>
      </c>
      <c r="I540" s="3" t="s">
        <v>251</v>
      </c>
    </row>
    <row r="541" spans="1:9" ht="19.95" customHeight="1" x14ac:dyDescent="0.2">
      <c r="A541" s="3" t="s">
        <v>892</v>
      </c>
      <c r="B541" s="3" t="s">
        <v>10</v>
      </c>
      <c r="C541" s="3" t="s">
        <v>37</v>
      </c>
      <c r="D541" s="3" t="s">
        <v>70</v>
      </c>
      <c r="E541" s="4">
        <v>21780</v>
      </c>
      <c r="F541" s="5" t="s">
        <v>39</v>
      </c>
      <c r="G541" s="4">
        <v>18927</v>
      </c>
      <c r="H541" s="3" t="s">
        <v>40</v>
      </c>
      <c r="I541" s="3" t="s">
        <v>251</v>
      </c>
    </row>
    <row r="542" spans="1:9" ht="19.95" customHeight="1" x14ac:dyDescent="0.2">
      <c r="A542" s="3" t="s">
        <v>893</v>
      </c>
      <c r="B542" s="3" t="s">
        <v>45</v>
      </c>
      <c r="C542" s="3" t="s">
        <v>69</v>
      </c>
      <c r="D542" s="3" t="s">
        <v>105</v>
      </c>
      <c r="E542" s="4">
        <v>3920</v>
      </c>
      <c r="F542" s="5" t="s">
        <v>894</v>
      </c>
      <c r="G542" s="4">
        <v>3293</v>
      </c>
      <c r="H542" s="3" t="s">
        <v>40</v>
      </c>
      <c r="I542" s="3" t="s">
        <v>296</v>
      </c>
    </row>
    <row r="543" spans="1:9" ht="19.95" customHeight="1" x14ac:dyDescent="0.2">
      <c r="A543" s="3" t="s">
        <v>895</v>
      </c>
      <c r="B543" s="3" t="s">
        <v>11</v>
      </c>
      <c r="C543" s="3" t="s">
        <v>69</v>
      </c>
      <c r="D543" s="3" t="s">
        <v>623</v>
      </c>
      <c r="E543" s="4">
        <v>3190</v>
      </c>
      <c r="F543" s="5" t="s">
        <v>39</v>
      </c>
      <c r="G543" s="3"/>
      <c r="H543" s="3" t="s">
        <v>40</v>
      </c>
      <c r="I543" s="3" t="s">
        <v>356</v>
      </c>
    </row>
    <row r="544" spans="1:9" ht="19.95" customHeight="1" x14ac:dyDescent="0.2">
      <c r="A544" s="3" t="s">
        <v>896</v>
      </c>
      <c r="B544" s="3" t="s">
        <v>10</v>
      </c>
      <c r="C544" s="3" t="s">
        <v>897</v>
      </c>
      <c r="D544" s="3" t="s">
        <v>329</v>
      </c>
      <c r="E544" s="4">
        <v>2320</v>
      </c>
      <c r="F544" s="5" t="s">
        <v>111</v>
      </c>
      <c r="G544" s="4">
        <v>2066</v>
      </c>
      <c r="H544" s="3" t="s">
        <v>81</v>
      </c>
      <c r="I544" s="3" t="s">
        <v>82</v>
      </c>
    </row>
    <row r="545" spans="1:9" ht="19.95" customHeight="1" x14ac:dyDescent="0.2">
      <c r="A545" s="3" t="s">
        <v>898</v>
      </c>
      <c r="B545" s="3" t="s">
        <v>11</v>
      </c>
      <c r="C545" s="3" t="s">
        <v>777</v>
      </c>
      <c r="D545" s="3" t="s">
        <v>329</v>
      </c>
      <c r="E545" s="4">
        <v>2348</v>
      </c>
      <c r="F545" s="5" t="s">
        <v>249</v>
      </c>
      <c r="G545" s="3"/>
      <c r="H545" s="3" t="s">
        <v>81</v>
      </c>
      <c r="I545" s="3" t="s">
        <v>82</v>
      </c>
    </row>
    <row r="546" spans="1:9" ht="19.95" customHeight="1" x14ac:dyDescent="0.2">
      <c r="A546" s="3" t="s">
        <v>899</v>
      </c>
      <c r="B546" s="3" t="s">
        <v>11</v>
      </c>
      <c r="C546" s="3" t="s">
        <v>777</v>
      </c>
      <c r="D546" s="3" t="s">
        <v>329</v>
      </c>
      <c r="E546" s="4">
        <v>2452</v>
      </c>
      <c r="F546" s="5" t="s">
        <v>249</v>
      </c>
      <c r="G546" s="3"/>
      <c r="H546" s="3" t="s">
        <v>81</v>
      </c>
      <c r="I546" s="3" t="s">
        <v>82</v>
      </c>
    </row>
    <row r="547" spans="1:9" ht="19.95" customHeight="1" x14ac:dyDescent="0.2">
      <c r="A547" s="3" t="s">
        <v>900</v>
      </c>
      <c r="B547" s="3" t="s">
        <v>11</v>
      </c>
      <c r="C547" s="3" t="s">
        <v>777</v>
      </c>
      <c r="D547" s="3" t="s">
        <v>329</v>
      </c>
      <c r="E547" s="4">
        <v>2380</v>
      </c>
      <c r="F547" s="5" t="s">
        <v>249</v>
      </c>
      <c r="G547" s="3"/>
      <c r="H547" s="3" t="s">
        <v>81</v>
      </c>
      <c r="I547" s="3" t="s">
        <v>82</v>
      </c>
    </row>
    <row r="548" spans="1:9" ht="19.95" customHeight="1" x14ac:dyDescent="0.2">
      <c r="A548" s="3" t="s">
        <v>901</v>
      </c>
      <c r="B548" s="3" t="s">
        <v>91</v>
      </c>
      <c r="C548" s="3" t="s">
        <v>902</v>
      </c>
      <c r="D548" s="3" t="s">
        <v>903</v>
      </c>
      <c r="E548" s="3"/>
      <c r="F548" s="5" t="s">
        <v>11</v>
      </c>
      <c r="G548" s="7">
        <v>394</v>
      </c>
      <c r="H548" s="3" t="s">
        <v>582</v>
      </c>
      <c r="I548" s="3" t="s">
        <v>153</v>
      </c>
    </row>
    <row r="549" spans="1:9" ht="19.95" customHeight="1" x14ac:dyDescent="0.2">
      <c r="A549" s="3" t="s">
        <v>904</v>
      </c>
      <c r="B549" s="3" t="s">
        <v>91</v>
      </c>
      <c r="C549" s="3" t="s">
        <v>69</v>
      </c>
      <c r="D549" s="3" t="s">
        <v>62</v>
      </c>
      <c r="E549" s="4">
        <v>4910</v>
      </c>
      <c r="F549" s="5" t="s">
        <v>39</v>
      </c>
      <c r="G549" s="4">
        <v>4152</v>
      </c>
      <c r="H549" s="3" t="s">
        <v>40</v>
      </c>
      <c r="I549" s="3" t="s">
        <v>325</v>
      </c>
    </row>
    <row r="550" spans="1:9" ht="19.95" customHeight="1" x14ac:dyDescent="0.2">
      <c r="A550" s="3" t="s">
        <v>904</v>
      </c>
      <c r="B550" s="3" t="s">
        <v>91</v>
      </c>
      <c r="C550" s="3" t="s">
        <v>176</v>
      </c>
      <c r="D550" s="3" t="s">
        <v>62</v>
      </c>
      <c r="E550" s="4">
        <v>24550</v>
      </c>
      <c r="F550" s="5" t="s">
        <v>39</v>
      </c>
      <c r="G550" s="4">
        <v>20760</v>
      </c>
      <c r="H550" s="3" t="s">
        <v>40</v>
      </c>
      <c r="I550" s="3" t="s">
        <v>325</v>
      </c>
    </row>
    <row r="551" spans="1:9" ht="19.95" customHeight="1" x14ac:dyDescent="0.2">
      <c r="A551" s="3" t="s">
        <v>905</v>
      </c>
      <c r="B551" s="3" t="s">
        <v>110</v>
      </c>
      <c r="C551" s="3" t="s">
        <v>906</v>
      </c>
      <c r="D551" s="3" t="s">
        <v>102</v>
      </c>
      <c r="E551" s="4">
        <v>4550</v>
      </c>
      <c r="F551" s="5" t="s">
        <v>14</v>
      </c>
      <c r="G551" s="4">
        <v>4053</v>
      </c>
      <c r="H551" s="3" t="s">
        <v>63</v>
      </c>
      <c r="I551" s="3" t="s">
        <v>567</v>
      </c>
    </row>
    <row r="552" spans="1:9" ht="19.95" customHeight="1" x14ac:dyDescent="0.2">
      <c r="A552" s="3" t="s">
        <v>907</v>
      </c>
      <c r="B552" s="3" t="s">
        <v>10</v>
      </c>
      <c r="C552" s="3" t="s">
        <v>136</v>
      </c>
      <c r="D552" s="3" t="s">
        <v>319</v>
      </c>
      <c r="E552" s="4">
        <v>7150</v>
      </c>
      <c r="F552" s="5" t="s">
        <v>14</v>
      </c>
      <c r="G552" s="4">
        <v>6370</v>
      </c>
      <c r="H552" s="3" t="s">
        <v>40</v>
      </c>
      <c r="I552" s="3" t="s">
        <v>167</v>
      </c>
    </row>
    <row r="553" spans="1:9" ht="19.95" customHeight="1" x14ac:dyDescent="0.2">
      <c r="A553" s="3" t="s">
        <v>908</v>
      </c>
      <c r="B553" s="3" t="s">
        <v>10</v>
      </c>
      <c r="C553" s="3" t="s">
        <v>69</v>
      </c>
      <c r="D553" s="3" t="s">
        <v>319</v>
      </c>
      <c r="E553" s="4">
        <v>590</v>
      </c>
      <c r="F553" s="5" t="s">
        <v>39</v>
      </c>
      <c r="G553" s="7">
        <v>526</v>
      </c>
      <c r="H553" s="3" t="s">
        <v>40</v>
      </c>
      <c r="I553" s="3" t="s">
        <v>167</v>
      </c>
    </row>
    <row r="554" spans="1:9" ht="19.95" customHeight="1" x14ac:dyDescent="0.2">
      <c r="A554" s="3" t="s">
        <v>908</v>
      </c>
      <c r="B554" s="3" t="s">
        <v>10</v>
      </c>
      <c r="C554" s="3" t="s">
        <v>140</v>
      </c>
      <c r="D554" s="3" t="s">
        <v>319</v>
      </c>
      <c r="E554" s="4">
        <v>5900</v>
      </c>
      <c r="F554" s="5" t="s">
        <v>39</v>
      </c>
      <c r="G554" s="4">
        <v>5256</v>
      </c>
      <c r="H554" s="3" t="s">
        <v>40</v>
      </c>
      <c r="I554" s="3" t="s">
        <v>167</v>
      </c>
    </row>
    <row r="555" spans="1:9" ht="19.95" customHeight="1" x14ac:dyDescent="0.2">
      <c r="A555" s="3" t="s">
        <v>909</v>
      </c>
      <c r="B555" s="3" t="s">
        <v>10</v>
      </c>
      <c r="C555" s="3" t="s">
        <v>140</v>
      </c>
      <c r="D555" s="3" t="s">
        <v>319</v>
      </c>
      <c r="E555" s="4">
        <v>8900</v>
      </c>
      <c r="F555" s="5" t="s">
        <v>39</v>
      </c>
      <c r="G555" s="7">
        <v>7929</v>
      </c>
      <c r="H555" s="3" t="s">
        <v>40</v>
      </c>
      <c r="I555" s="3" t="s">
        <v>167</v>
      </c>
    </row>
    <row r="556" spans="1:9" ht="19.95" customHeight="1" x14ac:dyDescent="0.2">
      <c r="A556" s="3" t="s">
        <v>910</v>
      </c>
      <c r="B556" s="3" t="s">
        <v>10</v>
      </c>
      <c r="C556" s="3" t="s">
        <v>140</v>
      </c>
      <c r="D556" s="3" t="s">
        <v>319</v>
      </c>
      <c r="E556" s="4">
        <v>5900</v>
      </c>
      <c r="F556" s="5" t="s">
        <v>39</v>
      </c>
      <c r="G556" s="7">
        <v>5256</v>
      </c>
      <c r="H556" s="3" t="s">
        <v>40</v>
      </c>
      <c r="I556" s="3" t="s">
        <v>167</v>
      </c>
    </row>
    <row r="557" spans="1:9" ht="19.95" customHeight="1" x14ac:dyDescent="0.2">
      <c r="A557" s="3" t="s">
        <v>911</v>
      </c>
      <c r="B557" s="3" t="s">
        <v>110</v>
      </c>
      <c r="C557" s="3" t="s">
        <v>146</v>
      </c>
      <c r="D557" s="3" t="s">
        <v>248</v>
      </c>
      <c r="E557" s="4">
        <v>670</v>
      </c>
      <c r="F557" s="5" t="s">
        <v>148</v>
      </c>
      <c r="G557" s="4">
        <v>609</v>
      </c>
      <c r="H557" s="3" t="s">
        <v>63</v>
      </c>
      <c r="I557" s="3" t="s">
        <v>76</v>
      </c>
    </row>
    <row r="558" spans="1:9" ht="19.95" customHeight="1" x14ac:dyDescent="0.2">
      <c r="A558" s="3" t="s">
        <v>912</v>
      </c>
      <c r="B558" s="3" t="s">
        <v>10</v>
      </c>
      <c r="C558" s="3" t="s">
        <v>133</v>
      </c>
      <c r="D558" s="3" t="s">
        <v>109</v>
      </c>
      <c r="E558" s="4">
        <v>5200</v>
      </c>
      <c r="F558" s="5" t="s">
        <v>39</v>
      </c>
      <c r="G558" s="4">
        <v>4600</v>
      </c>
      <c r="H558" s="3" t="s">
        <v>40</v>
      </c>
      <c r="I558" s="3" t="s">
        <v>317</v>
      </c>
    </row>
    <row r="559" spans="1:9" ht="19.95" customHeight="1" x14ac:dyDescent="0.2">
      <c r="A559" s="3" t="s">
        <v>912</v>
      </c>
      <c r="B559" s="3" t="s">
        <v>10</v>
      </c>
      <c r="C559" s="3" t="s">
        <v>37</v>
      </c>
      <c r="D559" s="3" t="s">
        <v>109</v>
      </c>
      <c r="E559" s="4">
        <v>1040</v>
      </c>
      <c r="F559" s="5" t="s">
        <v>39</v>
      </c>
      <c r="G559" s="7">
        <v>920</v>
      </c>
      <c r="H559" s="3" t="s">
        <v>40</v>
      </c>
      <c r="I559" s="3" t="s">
        <v>317</v>
      </c>
    </row>
    <row r="560" spans="1:9" ht="19.95" customHeight="1" x14ac:dyDescent="0.2">
      <c r="A560" s="3" t="s">
        <v>913</v>
      </c>
      <c r="B560" s="3" t="s">
        <v>11</v>
      </c>
      <c r="C560" s="3" t="s">
        <v>914</v>
      </c>
      <c r="D560" s="3" t="s">
        <v>109</v>
      </c>
      <c r="E560" s="4">
        <v>1000</v>
      </c>
      <c r="F560" s="5" t="s">
        <v>89</v>
      </c>
      <c r="G560" s="3"/>
      <c r="H560" s="3" t="s">
        <v>81</v>
      </c>
      <c r="I560" s="3" t="s">
        <v>317</v>
      </c>
    </row>
    <row r="561" spans="1:9" ht="19.95" customHeight="1" x14ac:dyDescent="0.2">
      <c r="A561" s="3" t="s">
        <v>915</v>
      </c>
      <c r="B561" s="3" t="s">
        <v>10</v>
      </c>
      <c r="C561" s="3" t="s">
        <v>69</v>
      </c>
      <c r="D561" s="3" t="s">
        <v>102</v>
      </c>
      <c r="E561" s="4">
        <v>15300</v>
      </c>
      <c r="F561" s="5" t="s">
        <v>39</v>
      </c>
      <c r="G561" s="7">
        <v>13630</v>
      </c>
      <c r="H561" s="3" t="s">
        <v>40</v>
      </c>
      <c r="I561" s="3" t="s">
        <v>369</v>
      </c>
    </row>
    <row r="562" spans="1:9" ht="19.95" customHeight="1" x14ac:dyDescent="0.2">
      <c r="A562" s="3" t="s">
        <v>916</v>
      </c>
      <c r="B562" s="3" t="s">
        <v>45</v>
      </c>
      <c r="C562" s="3" t="s">
        <v>917</v>
      </c>
      <c r="D562" s="3" t="s">
        <v>477</v>
      </c>
      <c r="E562" s="4">
        <v>10959.2</v>
      </c>
      <c r="F562" s="5" t="s">
        <v>39</v>
      </c>
      <c r="G562" s="7">
        <v>9480</v>
      </c>
      <c r="H562" s="3" t="s">
        <v>40</v>
      </c>
      <c r="I562" s="3" t="s">
        <v>251</v>
      </c>
    </row>
    <row r="563" spans="1:9" ht="19.95" customHeight="1" x14ac:dyDescent="0.2">
      <c r="A563" s="3" t="s">
        <v>918</v>
      </c>
      <c r="B563" s="3" t="s">
        <v>10</v>
      </c>
      <c r="C563" s="3" t="s">
        <v>919</v>
      </c>
      <c r="D563" s="3" t="s">
        <v>262</v>
      </c>
      <c r="E563" s="4">
        <v>1270</v>
      </c>
      <c r="F563" s="5" t="s">
        <v>835</v>
      </c>
      <c r="G563" s="7">
        <v>1154</v>
      </c>
      <c r="H563" s="3" t="s">
        <v>81</v>
      </c>
      <c r="I563" s="3" t="s">
        <v>137</v>
      </c>
    </row>
    <row r="564" spans="1:9" ht="19.95" customHeight="1" x14ac:dyDescent="0.2">
      <c r="A564" s="3" t="s">
        <v>920</v>
      </c>
      <c r="B564" s="3" t="s">
        <v>91</v>
      </c>
      <c r="C564" s="3" t="s">
        <v>69</v>
      </c>
      <c r="D564" s="3" t="s">
        <v>70</v>
      </c>
      <c r="E564" s="7">
        <v>1040</v>
      </c>
      <c r="F564" s="5" t="s">
        <v>39</v>
      </c>
      <c r="G564" s="4">
        <v>940</v>
      </c>
      <c r="H564" s="3" t="s">
        <v>40</v>
      </c>
      <c r="I564" s="3" t="s">
        <v>314</v>
      </c>
    </row>
    <row r="565" spans="1:9" ht="19.95" customHeight="1" x14ac:dyDescent="0.2">
      <c r="A565" s="3" t="s">
        <v>921</v>
      </c>
      <c r="B565" s="3" t="s">
        <v>11</v>
      </c>
      <c r="C565" s="3" t="s">
        <v>194</v>
      </c>
      <c r="D565" s="3" t="s">
        <v>70</v>
      </c>
      <c r="E565" s="4">
        <v>700</v>
      </c>
      <c r="F565" s="5" t="s">
        <v>89</v>
      </c>
      <c r="G565" s="3"/>
      <c r="H565" s="3" t="s">
        <v>81</v>
      </c>
      <c r="I565" s="3" t="s">
        <v>314</v>
      </c>
    </row>
    <row r="566" spans="1:9" ht="19.95" customHeight="1" x14ac:dyDescent="0.2">
      <c r="A566" s="3" t="s">
        <v>922</v>
      </c>
      <c r="B566" s="3" t="s">
        <v>91</v>
      </c>
      <c r="C566" s="3" t="s">
        <v>136</v>
      </c>
      <c r="D566" s="3" t="s">
        <v>216</v>
      </c>
      <c r="E566" s="4">
        <v>3750</v>
      </c>
      <c r="F566" s="5" t="s">
        <v>14</v>
      </c>
      <c r="G566" s="4">
        <v>3391</v>
      </c>
      <c r="H566" s="3" t="s">
        <v>40</v>
      </c>
      <c r="I566" s="3" t="s">
        <v>314</v>
      </c>
    </row>
    <row r="567" spans="1:9" ht="19.95" customHeight="1" x14ac:dyDescent="0.2">
      <c r="A567" s="3" t="s">
        <v>923</v>
      </c>
      <c r="B567" s="3" t="s">
        <v>11</v>
      </c>
      <c r="C567" s="3" t="s">
        <v>69</v>
      </c>
      <c r="D567" s="3" t="s">
        <v>57</v>
      </c>
      <c r="E567" s="4">
        <v>610</v>
      </c>
      <c r="F567" s="5" t="s">
        <v>39</v>
      </c>
      <c r="G567" s="3"/>
      <c r="H567" s="3" t="s">
        <v>40</v>
      </c>
      <c r="I567" s="3" t="s">
        <v>256</v>
      </c>
    </row>
    <row r="568" spans="1:9" ht="19.95" customHeight="1" x14ac:dyDescent="0.2">
      <c r="A568" s="3" t="s">
        <v>924</v>
      </c>
      <c r="B568" s="3" t="s">
        <v>10</v>
      </c>
      <c r="C568" s="3" t="s">
        <v>69</v>
      </c>
      <c r="D568" s="3" t="s">
        <v>109</v>
      </c>
      <c r="E568" s="4">
        <v>610</v>
      </c>
      <c r="F568" s="5" t="s">
        <v>39</v>
      </c>
      <c r="G568" s="4">
        <v>530</v>
      </c>
      <c r="H568" s="3" t="s">
        <v>40</v>
      </c>
      <c r="I568" s="3" t="s">
        <v>256</v>
      </c>
    </row>
    <row r="569" spans="1:9" ht="19.95" customHeight="1" x14ac:dyDescent="0.2">
      <c r="A569" s="3" t="s">
        <v>925</v>
      </c>
      <c r="B569" s="3" t="s">
        <v>45</v>
      </c>
      <c r="C569" s="3" t="s">
        <v>69</v>
      </c>
      <c r="D569" s="3" t="s">
        <v>38</v>
      </c>
      <c r="E569" s="4">
        <v>1130</v>
      </c>
      <c r="F569" s="5" t="s">
        <v>39</v>
      </c>
      <c r="G569" s="4">
        <v>1006</v>
      </c>
      <c r="H569" s="3" t="s">
        <v>40</v>
      </c>
      <c r="I569" s="3" t="s">
        <v>72</v>
      </c>
    </row>
    <row r="570" spans="1:9" ht="19.95" customHeight="1" x14ac:dyDescent="0.2">
      <c r="A570" s="3" t="s">
        <v>926</v>
      </c>
      <c r="B570" s="3" t="s">
        <v>45</v>
      </c>
      <c r="C570" s="3" t="s">
        <v>176</v>
      </c>
      <c r="D570" s="3" t="s">
        <v>477</v>
      </c>
      <c r="E570" s="4">
        <v>3050</v>
      </c>
      <c r="F570" s="5" t="s">
        <v>39</v>
      </c>
      <c r="G570" s="4">
        <v>2623</v>
      </c>
      <c r="H570" s="3" t="s">
        <v>40</v>
      </c>
      <c r="I570" s="3" t="s">
        <v>137</v>
      </c>
    </row>
    <row r="571" spans="1:9" ht="19.95" customHeight="1" x14ac:dyDescent="0.2">
      <c r="A571" s="3" t="s">
        <v>927</v>
      </c>
      <c r="B571" s="3" t="s">
        <v>11</v>
      </c>
      <c r="C571" s="3" t="s">
        <v>136</v>
      </c>
      <c r="D571" s="3" t="s">
        <v>477</v>
      </c>
      <c r="E571" s="4">
        <v>4700</v>
      </c>
      <c r="F571" s="5" t="s">
        <v>14</v>
      </c>
      <c r="G571" s="3"/>
      <c r="H571" s="3" t="s">
        <v>40</v>
      </c>
      <c r="I571" s="3" t="s">
        <v>137</v>
      </c>
    </row>
    <row r="572" spans="1:9" ht="19.95" customHeight="1" x14ac:dyDescent="0.2">
      <c r="A572" s="3" t="s">
        <v>928</v>
      </c>
      <c r="B572" s="3" t="s">
        <v>45</v>
      </c>
      <c r="C572" s="3" t="s">
        <v>69</v>
      </c>
      <c r="D572" s="3" t="s">
        <v>432</v>
      </c>
      <c r="E572" s="4">
        <v>14930</v>
      </c>
      <c r="F572" s="5" t="s">
        <v>39</v>
      </c>
      <c r="G572" s="4">
        <v>12765</v>
      </c>
      <c r="H572" s="3" t="s">
        <v>40</v>
      </c>
      <c r="I572" s="3" t="s">
        <v>433</v>
      </c>
    </row>
    <row r="573" spans="1:9" ht="19.95" customHeight="1" x14ac:dyDescent="0.2">
      <c r="A573" s="3" t="s">
        <v>929</v>
      </c>
      <c r="B573" s="3" t="s">
        <v>10</v>
      </c>
      <c r="C573" s="3" t="s">
        <v>37</v>
      </c>
      <c r="D573" s="3" t="s">
        <v>38</v>
      </c>
      <c r="E573" s="4">
        <v>1010</v>
      </c>
      <c r="F573" s="5" t="s">
        <v>39</v>
      </c>
      <c r="G573" s="4">
        <v>900</v>
      </c>
      <c r="H573" s="3" t="s">
        <v>40</v>
      </c>
      <c r="I573" s="3" t="s">
        <v>857</v>
      </c>
    </row>
    <row r="574" spans="1:9" ht="19.95" customHeight="1" x14ac:dyDescent="0.2">
      <c r="A574" s="3" t="s">
        <v>930</v>
      </c>
      <c r="B574" s="3" t="s">
        <v>11</v>
      </c>
      <c r="C574" s="3" t="s">
        <v>194</v>
      </c>
      <c r="D574" s="3" t="s">
        <v>355</v>
      </c>
      <c r="E574" s="4">
        <v>610</v>
      </c>
      <c r="F574" s="5" t="s">
        <v>11</v>
      </c>
      <c r="G574" s="4">
        <v>0</v>
      </c>
      <c r="H574" s="3" t="s">
        <v>81</v>
      </c>
      <c r="I574" s="3" t="s">
        <v>195</v>
      </c>
    </row>
    <row r="575" spans="1:9" ht="19.95" customHeight="1" x14ac:dyDescent="0.2">
      <c r="A575" s="3" t="s">
        <v>931</v>
      </c>
      <c r="B575" s="3" t="s">
        <v>10</v>
      </c>
      <c r="C575" s="3" t="s">
        <v>136</v>
      </c>
      <c r="D575" s="3" t="s">
        <v>97</v>
      </c>
      <c r="E575" s="4">
        <v>385</v>
      </c>
      <c r="F575" s="5" t="s">
        <v>128</v>
      </c>
      <c r="G575" s="4">
        <v>349</v>
      </c>
      <c r="H575" s="3" t="s">
        <v>40</v>
      </c>
      <c r="I575" s="3" t="s">
        <v>932</v>
      </c>
    </row>
    <row r="576" spans="1:9" ht="19.95" customHeight="1" x14ac:dyDescent="0.2">
      <c r="A576" s="3" t="s">
        <v>933</v>
      </c>
      <c r="B576" s="3" t="s">
        <v>10</v>
      </c>
      <c r="C576" s="3" t="s">
        <v>934</v>
      </c>
      <c r="D576" s="3" t="s">
        <v>97</v>
      </c>
      <c r="E576" s="4">
        <v>1000</v>
      </c>
      <c r="F576" s="5" t="s">
        <v>935</v>
      </c>
      <c r="G576" s="4">
        <v>890</v>
      </c>
      <c r="H576" s="3" t="s">
        <v>81</v>
      </c>
      <c r="I576" s="3" t="s">
        <v>932</v>
      </c>
    </row>
    <row r="577" spans="1:9" ht="19.95" customHeight="1" x14ac:dyDescent="0.2">
      <c r="A577" s="3" t="s">
        <v>936</v>
      </c>
      <c r="B577" s="3" t="s">
        <v>10</v>
      </c>
      <c r="C577" s="3" t="s">
        <v>937</v>
      </c>
      <c r="D577" s="3" t="s">
        <v>97</v>
      </c>
      <c r="E577" s="4">
        <v>1510</v>
      </c>
      <c r="F577" s="5" t="s">
        <v>148</v>
      </c>
      <c r="G577" s="7">
        <v>1345</v>
      </c>
      <c r="H577" s="3" t="s">
        <v>81</v>
      </c>
      <c r="I577" s="3" t="s">
        <v>932</v>
      </c>
    </row>
    <row r="578" spans="1:9" ht="19.95" customHeight="1" x14ac:dyDescent="0.2">
      <c r="A578" s="3" t="s">
        <v>938</v>
      </c>
      <c r="B578" s="3" t="s">
        <v>10</v>
      </c>
      <c r="C578" s="3" t="s">
        <v>939</v>
      </c>
      <c r="D578" s="3" t="s">
        <v>97</v>
      </c>
      <c r="E578" s="4">
        <v>1000</v>
      </c>
      <c r="F578" s="5" t="s">
        <v>935</v>
      </c>
      <c r="G578" s="4">
        <v>890</v>
      </c>
      <c r="H578" s="3" t="s">
        <v>81</v>
      </c>
      <c r="I578" s="3" t="s">
        <v>932</v>
      </c>
    </row>
    <row r="579" spans="1:9" ht="19.95" customHeight="1" x14ac:dyDescent="0.2">
      <c r="A579" s="3" t="s">
        <v>940</v>
      </c>
      <c r="B579" s="3" t="s">
        <v>91</v>
      </c>
      <c r="C579" s="3" t="s">
        <v>941</v>
      </c>
      <c r="D579" s="3" t="s">
        <v>246</v>
      </c>
      <c r="E579" s="4">
        <v>3620</v>
      </c>
      <c r="F579" s="5" t="s">
        <v>39</v>
      </c>
      <c r="G579" s="4">
        <v>3221</v>
      </c>
      <c r="H579" s="3" t="s">
        <v>40</v>
      </c>
      <c r="I579" s="3" t="s">
        <v>942</v>
      </c>
    </row>
    <row r="580" spans="1:9" ht="19.95" customHeight="1" x14ac:dyDescent="0.2">
      <c r="A580" s="3" t="s">
        <v>943</v>
      </c>
      <c r="B580" s="3" t="s">
        <v>71</v>
      </c>
      <c r="C580" s="3" t="s">
        <v>114</v>
      </c>
      <c r="D580" s="3" t="s">
        <v>944</v>
      </c>
      <c r="E580" s="4">
        <v>3258</v>
      </c>
      <c r="F580" s="5" t="s">
        <v>39</v>
      </c>
      <c r="G580" s="4">
        <v>2961</v>
      </c>
      <c r="H580" s="3" t="s">
        <v>63</v>
      </c>
      <c r="I580" s="3" t="s">
        <v>471</v>
      </c>
    </row>
    <row r="581" spans="1:9" ht="19.95" customHeight="1" x14ac:dyDescent="0.2">
      <c r="A581" s="3" t="s">
        <v>945</v>
      </c>
      <c r="B581" s="3" t="s">
        <v>10</v>
      </c>
      <c r="C581" s="3" t="s">
        <v>140</v>
      </c>
      <c r="D581" s="3" t="s">
        <v>109</v>
      </c>
      <c r="E581" s="4">
        <v>10400</v>
      </c>
      <c r="F581" s="5" t="s">
        <v>39</v>
      </c>
      <c r="G581" s="4">
        <v>9100</v>
      </c>
      <c r="H581" s="3" t="s">
        <v>40</v>
      </c>
      <c r="I581" s="3" t="s">
        <v>59</v>
      </c>
    </row>
    <row r="582" spans="1:9" ht="19.95" customHeight="1" x14ac:dyDescent="0.2">
      <c r="A582" s="3" t="s">
        <v>945</v>
      </c>
      <c r="B582" s="3" t="s">
        <v>10</v>
      </c>
      <c r="C582" s="3" t="s">
        <v>69</v>
      </c>
      <c r="D582" s="3" t="s">
        <v>109</v>
      </c>
      <c r="E582" s="4">
        <v>1040</v>
      </c>
      <c r="F582" s="5" t="s">
        <v>39</v>
      </c>
      <c r="G582" s="7">
        <v>910</v>
      </c>
      <c r="H582" s="3" t="s">
        <v>40</v>
      </c>
      <c r="I582" s="3" t="s">
        <v>59</v>
      </c>
    </row>
    <row r="583" spans="1:9" ht="19.95" customHeight="1" x14ac:dyDescent="0.2">
      <c r="A583" s="3" t="s">
        <v>946</v>
      </c>
      <c r="B583" s="3" t="s">
        <v>10</v>
      </c>
      <c r="C583" s="3" t="s">
        <v>947</v>
      </c>
      <c r="D583" s="3" t="s">
        <v>70</v>
      </c>
      <c r="E583" s="4">
        <v>24939</v>
      </c>
      <c r="F583" s="5" t="s">
        <v>274</v>
      </c>
      <c r="G583" s="4">
        <v>21600</v>
      </c>
      <c r="H583" s="3" t="s">
        <v>81</v>
      </c>
      <c r="I583" s="3" t="s">
        <v>275</v>
      </c>
    </row>
    <row r="584" spans="1:9" ht="19.95" customHeight="1" x14ac:dyDescent="0.2">
      <c r="A584" s="3" t="s">
        <v>948</v>
      </c>
      <c r="B584" s="3" t="s">
        <v>45</v>
      </c>
      <c r="C584" s="3" t="s">
        <v>949</v>
      </c>
      <c r="D584" s="3" t="s">
        <v>623</v>
      </c>
      <c r="E584" s="4">
        <v>2688</v>
      </c>
      <c r="F584" s="5" t="s">
        <v>183</v>
      </c>
      <c r="G584" s="7">
        <v>2394</v>
      </c>
      <c r="H584" s="3" t="s">
        <v>63</v>
      </c>
      <c r="I584" s="3" t="s">
        <v>165</v>
      </c>
    </row>
    <row r="585" spans="1:9" ht="19.95" customHeight="1" x14ac:dyDescent="0.2">
      <c r="A585" s="3" t="s">
        <v>950</v>
      </c>
      <c r="B585" s="3" t="s">
        <v>10</v>
      </c>
      <c r="C585" s="3" t="s">
        <v>158</v>
      </c>
      <c r="D585" s="3" t="s">
        <v>262</v>
      </c>
      <c r="E585" s="4">
        <v>610</v>
      </c>
      <c r="F585" s="5" t="s">
        <v>89</v>
      </c>
      <c r="G585" s="4">
        <v>544</v>
      </c>
      <c r="H585" s="3" t="s">
        <v>81</v>
      </c>
      <c r="I585" s="3" t="s">
        <v>64</v>
      </c>
    </row>
    <row r="586" spans="1:9" ht="19.95" customHeight="1" x14ac:dyDescent="0.2">
      <c r="A586" s="3" t="s">
        <v>951</v>
      </c>
      <c r="B586" s="3" t="s">
        <v>71</v>
      </c>
      <c r="C586" s="3" t="s">
        <v>69</v>
      </c>
      <c r="D586" s="3" t="s">
        <v>246</v>
      </c>
      <c r="E586" s="4">
        <v>1010</v>
      </c>
      <c r="F586" s="5" t="s">
        <v>39</v>
      </c>
      <c r="G586" s="4">
        <v>899</v>
      </c>
      <c r="H586" s="3" t="s">
        <v>40</v>
      </c>
      <c r="I586" s="3" t="s">
        <v>161</v>
      </c>
    </row>
    <row r="587" spans="1:9" ht="19.95" customHeight="1" x14ac:dyDescent="0.2">
      <c r="A587" s="3" t="s">
        <v>952</v>
      </c>
      <c r="B587" s="3" t="s">
        <v>11</v>
      </c>
      <c r="C587" s="3" t="s">
        <v>146</v>
      </c>
      <c r="D587" s="3" t="s">
        <v>147</v>
      </c>
      <c r="E587" s="4">
        <v>925</v>
      </c>
      <c r="F587" s="5" t="s">
        <v>75</v>
      </c>
      <c r="G587" s="3"/>
      <c r="H587" s="3" t="s">
        <v>63</v>
      </c>
      <c r="I587" s="3" t="s">
        <v>76</v>
      </c>
    </row>
    <row r="588" spans="1:9" ht="19.95" customHeight="1" x14ac:dyDescent="0.2">
      <c r="A588" s="3" t="s">
        <v>953</v>
      </c>
      <c r="B588" s="3" t="s">
        <v>11</v>
      </c>
      <c r="C588" s="3" t="s">
        <v>954</v>
      </c>
      <c r="D588" s="3" t="s">
        <v>459</v>
      </c>
      <c r="E588" s="4">
        <v>7080</v>
      </c>
      <c r="F588" s="5" t="s">
        <v>111</v>
      </c>
      <c r="G588" s="3"/>
      <c r="H588" s="3" t="s">
        <v>81</v>
      </c>
      <c r="I588" s="3" t="s">
        <v>167</v>
      </c>
    </row>
    <row r="589" spans="1:9" ht="19.95" customHeight="1" x14ac:dyDescent="0.2">
      <c r="A589" s="3" t="s">
        <v>955</v>
      </c>
      <c r="B589" s="3" t="s">
        <v>45</v>
      </c>
      <c r="C589" s="3" t="s">
        <v>308</v>
      </c>
      <c r="D589" s="3" t="s">
        <v>319</v>
      </c>
      <c r="E589" s="4">
        <v>5900</v>
      </c>
      <c r="F589" s="5" t="s">
        <v>39</v>
      </c>
      <c r="G589" s="7">
        <v>5180</v>
      </c>
      <c r="H589" s="3" t="s">
        <v>40</v>
      </c>
      <c r="I589" s="3" t="s">
        <v>314</v>
      </c>
    </row>
    <row r="590" spans="1:9" ht="19.95" customHeight="1" x14ac:dyDescent="0.2">
      <c r="A590" s="3" t="s">
        <v>956</v>
      </c>
      <c r="B590" s="3" t="s">
        <v>45</v>
      </c>
      <c r="C590" s="3" t="s">
        <v>308</v>
      </c>
      <c r="D590" s="3" t="s">
        <v>319</v>
      </c>
      <c r="E590" s="4">
        <v>6100</v>
      </c>
      <c r="F590" s="5" t="s">
        <v>39</v>
      </c>
      <c r="G590" s="4">
        <v>5356</v>
      </c>
      <c r="H590" s="3" t="s">
        <v>40</v>
      </c>
      <c r="I590" s="3" t="s">
        <v>314</v>
      </c>
    </row>
    <row r="591" spans="1:9" ht="19.95" customHeight="1" x14ac:dyDescent="0.2">
      <c r="A591" s="3" t="s">
        <v>957</v>
      </c>
      <c r="B591" s="3" t="s">
        <v>45</v>
      </c>
      <c r="C591" s="3" t="s">
        <v>37</v>
      </c>
      <c r="D591" s="3" t="s">
        <v>109</v>
      </c>
      <c r="E591" s="4">
        <v>1140</v>
      </c>
      <c r="F591" s="5" t="s">
        <v>39</v>
      </c>
      <c r="G591" s="4">
        <v>918</v>
      </c>
      <c r="H591" s="3" t="s">
        <v>40</v>
      </c>
      <c r="I591" s="3" t="s">
        <v>229</v>
      </c>
    </row>
    <row r="592" spans="1:9" ht="19.95" customHeight="1" x14ac:dyDescent="0.2">
      <c r="A592" s="3" t="s">
        <v>958</v>
      </c>
      <c r="B592" s="3" t="s">
        <v>45</v>
      </c>
      <c r="C592" s="3" t="s">
        <v>69</v>
      </c>
      <c r="D592" s="3" t="s">
        <v>109</v>
      </c>
      <c r="E592" s="4">
        <v>1830</v>
      </c>
      <c r="F592" s="5" t="s">
        <v>39</v>
      </c>
      <c r="G592" s="4">
        <v>1473</v>
      </c>
      <c r="H592" s="3" t="s">
        <v>40</v>
      </c>
      <c r="I592" s="3" t="s">
        <v>229</v>
      </c>
    </row>
    <row r="593" spans="1:9" ht="19.95" customHeight="1" x14ac:dyDescent="0.2">
      <c r="A593" s="3" t="s">
        <v>959</v>
      </c>
      <c r="B593" s="3" t="s">
        <v>10</v>
      </c>
      <c r="C593" s="3" t="s">
        <v>69</v>
      </c>
      <c r="D593" s="3" t="s">
        <v>216</v>
      </c>
      <c r="E593" s="4">
        <v>860</v>
      </c>
      <c r="F593" s="5" t="s">
        <v>39</v>
      </c>
      <c r="G593" s="4">
        <v>766</v>
      </c>
      <c r="H593" s="3" t="s">
        <v>40</v>
      </c>
      <c r="I593" s="3" t="s">
        <v>334</v>
      </c>
    </row>
    <row r="594" spans="1:9" ht="19.95" customHeight="1" x14ac:dyDescent="0.2">
      <c r="A594" s="3" t="s">
        <v>960</v>
      </c>
      <c r="B594" s="3" t="s">
        <v>10</v>
      </c>
      <c r="C594" s="3" t="s">
        <v>69</v>
      </c>
      <c r="D594" s="3" t="s">
        <v>216</v>
      </c>
      <c r="E594" s="4">
        <v>1010</v>
      </c>
      <c r="F594" s="5" t="s">
        <v>39</v>
      </c>
      <c r="G594" s="4">
        <v>900</v>
      </c>
      <c r="H594" s="3" t="s">
        <v>40</v>
      </c>
      <c r="I594" s="3" t="s">
        <v>334</v>
      </c>
    </row>
    <row r="595" spans="1:9" ht="19.95" customHeight="1" x14ac:dyDescent="0.2">
      <c r="A595" s="3" t="s">
        <v>961</v>
      </c>
      <c r="B595" s="3" t="s">
        <v>45</v>
      </c>
      <c r="C595" s="3" t="s">
        <v>962</v>
      </c>
      <c r="D595" s="3" t="s">
        <v>432</v>
      </c>
      <c r="E595" s="4">
        <v>1029</v>
      </c>
      <c r="F595" s="5" t="s">
        <v>14</v>
      </c>
      <c r="G595" s="4">
        <v>916</v>
      </c>
      <c r="H595" s="3" t="s">
        <v>63</v>
      </c>
      <c r="I595" s="3" t="s">
        <v>103</v>
      </c>
    </row>
    <row r="596" spans="1:9" ht="19.95" customHeight="1" x14ac:dyDescent="0.2">
      <c r="A596" s="3" t="s">
        <v>963</v>
      </c>
      <c r="B596" s="3" t="s">
        <v>71</v>
      </c>
      <c r="C596" s="3" t="s">
        <v>84</v>
      </c>
      <c r="D596" s="3" t="s">
        <v>262</v>
      </c>
      <c r="E596" s="4">
        <v>2740</v>
      </c>
      <c r="F596" s="5" t="s">
        <v>14</v>
      </c>
      <c r="G596" s="4">
        <v>2490</v>
      </c>
      <c r="H596" s="3" t="s">
        <v>40</v>
      </c>
      <c r="I596" s="3" t="s">
        <v>161</v>
      </c>
    </row>
    <row r="597" spans="1:9" ht="19.95" customHeight="1" x14ac:dyDescent="0.2">
      <c r="A597" s="3" t="s">
        <v>964</v>
      </c>
      <c r="B597" s="3" t="s">
        <v>10</v>
      </c>
      <c r="C597" s="3" t="s">
        <v>965</v>
      </c>
      <c r="D597" s="3" t="s">
        <v>262</v>
      </c>
      <c r="E597" s="4">
        <v>7560</v>
      </c>
      <c r="F597" s="5" t="s">
        <v>39</v>
      </c>
      <c r="G597" s="4">
        <v>6432</v>
      </c>
      <c r="H597" s="3" t="s">
        <v>40</v>
      </c>
      <c r="I597" s="3" t="s">
        <v>161</v>
      </c>
    </row>
    <row r="598" spans="1:9" ht="19.95" customHeight="1" x14ac:dyDescent="0.2">
      <c r="A598" s="3" t="s">
        <v>966</v>
      </c>
      <c r="B598" s="3" t="s">
        <v>10</v>
      </c>
      <c r="C598" s="3" t="s">
        <v>642</v>
      </c>
      <c r="D598" s="3" t="s">
        <v>767</v>
      </c>
      <c r="E598" s="4">
        <v>3000</v>
      </c>
      <c r="F598" s="5" t="s">
        <v>89</v>
      </c>
      <c r="G598" s="4">
        <v>2672</v>
      </c>
      <c r="H598" s="3" t="s">
        <v>81</v>
      </c>
      <c r="I598" s="3" t="s">
        <v>161</v>
      </c>
    </row>
    <row r="599" spans="1:9" ht="19.95" customHeight="1" x14ac:dyDescent="0.2">
      <c r="A599" s="3" t="s">
        <v>967</v>
      </c>
      <c r="B599" s="3" t="s">
        <v>115</v>
      </c>
      <c r="C599" s="3" t="s">
        <v>642</v>
      </c>
      <c r="D599" s="3" t="s">
        <v>115</v>
      </c>
      <c r="E599" s="4">
        <v>3000</v>
      </c>
      <c r="F599" s="5" t="s">
        <v>89</v>
      </c>
      <c r="G599" s="4">
        <v>2675</v>
      </c>
      <c r="H599" s="3" t="s">
        <v>81</v>
      </c>
      <c r="I599" s="3" t="s">
        <v>161</v>
      </c>
    </row>
    <row r="600" spans="1:9" ht="19.95" customHeight="1" x14ac:dyDescent="0.2">
      <c r="A600" s="3" t="s">
        <v>968</v>
      </c>
      <c r="B600" s="3" t="s">
        <v>11</v>
      </c>
      <c r="C600" s="3" t="s">
        <v>133</v>
      </c>
      <c r="D600" s="3" t="s">
        <v>115</v>
      </c>
      <c r="E600" s="4">
        <v>5200</v>
      </c>
      <c r="F600" s="5" t="s">
        <v>39</v>
      </c>
      <c r="G600" s="3"/>
      <c r="H600" s="3" t="s">
        <v>40</v>
      </c>
      <c r="I600" s="3" t="s">
        <v>314</v>
      </c>
    </row>
    <row r="601" spans="1:9" ht="19.95" customHeight="1" x14ac:dyDescent="0.2">
      <c r="A601" s="3" t="s">
        <v>969</v>
      </c>
      <c r="B601" s="3" t="s">
        <v>11</v>
      </c>
      <c r="C601" s="3" t="s">
        <v>140</v>
      </c>
      <c r="D601" s="3" t="s">
        <v>115</v>
      </c>
      <c r="E601" s="4">
        <v>10400</v>
      </c>
      <c r="F601" s="5" t="s">
        <v>39</v>
      </c>
      <c r="G601" s="3"/>
      <c r="H601" s="3" t="s">
        <v>40</v>
      </c>
      <c r="I601" s="3" t="s">
        <v>314</v>
      </c>
    </row>
    <row r="602" spans="1:9" ht="19.95" customHeight="1" x14ac:dyDescent="0.2">
      <c r="A602" s="3" t="s">
        <v>970</v>
      </c>
      <c r="B602" s="3" t="s">
        <v>91</v>
      </c>
      <c r="C602" s="3" t="s">
        <v>176</v>
      </c>
      <c r="D602" s="3" t="s">
        <v>459</v>
      </c>
      <c r="E602" s="4">
        <v>5200</v>
      </c>
      <c r="F602" s="5" t="s">
        <v>39</v>
      </c>
      <c r="G602" s="4">
        <v>4395</v>
      </c>
      <c r="H602" s="3" t="s">
        <v>40</v>
      </c>
      <c r="I602" s="3" t="s">
        <v>314</v>
      </c>
    </row>
    <row r="603" spans="1:9" ht="19.95" customHeight="1" x14ac:dyDescent="0.2">
      <c r="A603" s="3" t="s">
        <v>970</v>
      </c>
      <c r="B603" s="3" t="s">
        <v>91</v>
      </c>
      <c r="C603" s="3" t="s">
        <v>140</v>
      </c>
      <c r="D603" s="3" t="s">
        <v>459</v>
      </c>
      <c r="E603" s="4">
        <v>10400</v>
      </c>
      <c r="F603" s="5" t="s">
        <v>39</v>
      </c>
      <c r="G603" s="4">
        <v>8790</v>
      </c>
      <c r="H603" s="3" t="s">
        <v>40</v>
      </c>
      <c r="I603" s="3" t="s">
        <v>314</v>
      </c>
    </row>
    <row r="604" spans="1:9" ht="19.95" customHeight="1" x14ac:dyDescent="0.2">
      <c r="A604" s="3" t="s">
        <v>971</v>
      </c>
      <c r="B604" s="3" t="s">
        <v>11</v>
      </c>
      <c r="C604" s="3" t="s">
        <v>146</v>
      </c>
      <c r="D604" s="3" t="s">
        <v>38</v>
      </c>
      <c r="E604" s="4">
        <v>3215</v>
      </c>
      <c r="F604" s="5" t="s">
        <v>75</v>
      </c>
      <c r="G604" s="3"/>
      <c r="H604" s="3" t="s">
        <v>63</v>
      </c>
      <c r="I604" s="3" t="s">
        <v>76</v>
      </c>
    </row>
    <row r="605" spans="1:9" ht="19.95" customHeight="1" x14ac:dyDescent="0.2">
      <c r="A605" s="3" t="s">
        <v>972</v>
      </c>
      <c r="B605" s="3" t="s">
        <v>45</v>
      </c>
      <c r="C605" s="3" t="s">
        <v>84</v>
      </c>
      <c r="D605" s="3" t="s">
        <v>85</v>
      </c>
      <c r="E605" s="4">
        <v>9920</v>
      </c>
      <c r="F605" s="5" t="s">
        <v>14</v>
      </c>
      <c r="G605" s="7">
        <v>7638</v>
      </c>
      <c r="H605" s="3" t="s">
        <v>40</v>
      </c>
      <c r="I605" s="3" t="s">
        <v>232</v>
      </c>
    </row>
    <row r="606" spans="1:9" ht="19.95" customHeight="1" x14ac:dyDescent="0.2">
      <c r="A606" s="3" t="s">
        <v>973</v>
      </c>
      <c r="B606" s="3" t="s">
        <v>10</v>
      </c>
      <c r="C606" s="3" t="s">
        <v>69</v>
      </c>
      <c r="D606" s="3" t="s">
        <v>85</v>
      </c>
      <c r="E606" s="4">
        <v>930</v>
      </c>
      <c r="F606" s="5" t="s">
        <v>39</v>
      </c>
      <c r="G606" s="7">
        <v>700</v>
      </c>
      <c r="H606" s="3" t="s">
        <v>40</v>
      </c>
      <c r="I606" s="3" t="s">
        <v>232</v>
      </c>
    </row>
    <row r="607" spans="1:9" ht="19.95" customHeight="1" x14ac:dyDescent="0.2">
      <c r="A607" s="3" t="s">
        <v>974</v>
      </c>
      <c r="B607" s="3" t="s">
        <v>10</v>
      </c>
      <c r="C607" s="3" t="s">
        <v>69</v>
      </c>
      <c r="D607" s="3" t="s">
        <v>85</v>
      </c>
      <c r="E607" s="4">
        <v>1800</v>
      </c>
      <c r="F607" s="5" t="s">
        <v>39</v>
      </c>
      <c r="G607" s="4">
        <v>1355</v>
      </c>
      <c r="H607" s="3" t="s">
        <v>40</v>
      </c>
      <c r="I607" s="3" t="s">
        <v>232</v>
      </c>
    </row>
    <row r="608" spans="1:9" ht="19.95" customHeight="1" x14ac:dyDescent="0.2">
      <c r="A608" s="3" t="s">
        <v>974</v>
      </c>
      <c r="B608" s="3" t="s">
        <v>10</v>
      </c>
      <c r="C608" s="3" t="s">
        <v>140</v>
      </c>
      <c r="D608" s="3" t="s">
        <v>85</v>
      </c>
      <c r="E608" s="4">
        <v>18000</v>
      </c>
      <c r="F608" s="5" t="s">
        <v>39</v>
      </c>
      <c r="G608" s="4">
        <v>13550</v>
      </c>
      <c r="H608" s="3" t="s">
        <v>40</v>
      </c>
      <c r="I608" s="3" t="s">
        <v>232</v>
      </c>
    </row>
    <row r="609" spans="1:9" ht="19.95" customHeight="1" x14ac:dyDescent="0.2">
      <c r="A609" s="3" t="s">
        <v>975</v>
      </c>
      <c r="B609" s="3" t="s">
        <v>10</v>
      </c>
      <c r="C609" s="3" t="s">
        <v>140</v>
      </c>
      <c r="D609" s="3" t="s">
        <v>85</v>
      </c>
      <c r="E609" s="4">
        <v>32000</v>
      </c>
      <c r="F609" s="5" t="s">
        <v>39</v>
      </c>
      <c r="G609" s="4">
        <v>24100</v>
      </c>
      <c r="H609" s="3" t="s">
        <v>40</v>
      </c>
      <c r="I609" s="3" t="s">
        <v>232</v>
      </c>
    </row>
    <row r="610" spans="1:9" ht="19.95" customHeight="1" x14ac:dyDescent="0.2">
      <c r="A610" s="3" t="s">
        <v>975</v>
      </c>
      <c r="B610" s="3" t="s">
        <v>10</v>
      </c>
      <c r="C610" s="3" t="s">
        <v>69</v>
      </c>
      <c r="D610" s="3" t="s">
        <v>85</v>
      </c>
      <c r="E610" s="4">
        <v>3200</v>
      </c>
      <c r="F610" s="5" t="s">
        <v>39</v>
      </c>
      <c r="G610" s="4">
        <v>2410</v>
      </c>
      <c r="H610" s="3" t="s">
        <v>40</v>
      </c>
      <c r="I610" s="3" t="s">
        <v>232</v>
      </c>
    </row>
    <row r="611" spans="1:9" ht="19.95" customHeight="1" x14ac:dyDescent="0.2">
      <c r="A611" s="3" t="s">
        <v>976</v>
      </c>
      <c r="B611" s="3" t="s">
        <v>10</v>
      </c>
      <c r="C611" s="3" t="s">
        <v>37</v>
      </c>
      <c r="D611" s="3" t="s">
        <v>38</v>
      </c>
      <c r="E611" s="4">
        <v>1200</v>
      </c>
      <c r="F611" s="5" t="s">
        <v>39</v>
      </c>
      <c r="G611" s="4">
        <v>1060</v>
      </c>
      <c r="H611" s="3" t="s">
        <v>40</v>
      </c>
      <c r="I611" s="3" t="s">
        <v>557</v>
      </c>
    </row>
    <row r="612" spans="1:9" ht="19.95" customHeight="1" x14ac:dyDescent="0.2">
      <c r="A612" s="3" t="s">
        <v>976</v>
      </c>
      <c r="B612" s="3" t="s">
        <v>11</v>
      </c>
      <c r="C612" s="3" t="s">
        <v>133</v>
      </c>
      <c r="D612" s="3" t="s">
        <v>38</v>
      </c>
      <c r="E612" s="4">
        <v>6000</v>
      </c>
      <c r="F612" s="5" t="s">
        <v>39</v>
      </c>
      <c r="G612" s="3"/>
      <c r="H612" s="3" t="s">
        <v>40</v>
      </c>
      <c r="I612" s="3" t="s">
        <v>557</v>
      </c>
    </row>
    <row r="613" spans="1:9" ht="19.95" customHeight="1" x14ac:dyDescent="0.2">
      <c r="A613" s="3" t="s">
        <v>977</v>
      </c>
      <c r="B613" s="3" t="s">
        <v>45</v>
      </c>
      <c r="C613" s="3" t="s">
        <v>622</v>
      </c>
      <c r="D613" s="3" t="s">
        <v>978</v>
      </c>
      <c r="E613" s="4">
        <v>2184</v>
      </c>
      <c r="F613" s="5" t="s">
        <v>39</v>
      </c>
      <c r="G613" s="4">
        <v>1933</v>
      </c>
      <c r="H613" s="3" t="s">
        <v>40</v>
      </c>
      <c r="I613" s="3" t="s">
        <v>317</v>
      </c>
    </row>
    <row r="614" spans="1:9" ht="19.95" customHeight="1" x14ac:dyDescent="0.2">
      <c r="A614" s="3" t="s">
        <v>979</v>
      </c>
      <c r="B614" s="3" t="s">
        <v>10</v>
      </c>
      <c r="C614" s="3" t="s">
        <v>980</v>
      </c>
      <c r="D614" s="3" t="s">
        <v>38</v>
      </c>
      <c r="E614" s="4">
        <v>252</v>
      </c>
      <c r="F614" s="5" t="s">
        <v>75</v>
      </c>
      <c r="G614" s="4">
        <v>225</v>
      </c>
      <c r="H614" s="3" t="s">
        <v>63</v>
      </c>
      <c r="I614" s="3" t="s">
        <v>404</v>
      </c>
    </row>
    <row r="615" spans="1:9" ht="19.95" customHeight="1" x14ac:dyDescent="0.2">
      <c r="A615" s="3" t="s">
        <v>981</v>
      </c>
      <c r="B615" s="3" t="s">
        <v>115</v>
      </c>
      <c r="C615" s="3" t="s">
        <v>308</v>
      </c>
      <c r="D615" s="3" t="s">
        <v>115</v>
      </c>
      <c r="E615" s="4">
        <v>5300</v>
      </c>
      <c r="F615" s="5" t="s">
        <v>39</v>
      </c>
      <c r="G615" s="4">
        <v>4730</v>
      </c>
      <c r="H615" s="3" t="s">
        <v>40</v>
      </c>
      <c r="I615" s="3" t="s">
        <v>499</v>
      </c>
    </row>
    <row r="616" spans="1:9" ht="19.95" customHeight="1" x14ac:dyDescent="0.2">
      <c r="A616" s="3" t="s">
        <v>982</v>
      </c>
      <c r="B616" s="3" t="s">
        <v>10</v>
      </c>
      <c r="C616" s="3" t="s">
        <v>983</v>
      </c>
      <c r="D616" s="3" t="s">
        <v>38</v>
      </c>
      <c r="E616" s="4">
        <v>2950</v>
      </c>
      <c r="F616" s="5" t="s">
        <v>89</v>
      </c>
      <c r="G616" s="4">
        <v>2681</v>
      </c>
      <c r="H616" s="3" t="s">
        <v>81</v>
      </c>
      <c r="I616" s="3" t="s">
        <v>404</v>
      </c>
    </row>
    <row r="617" spans="1:9" ht="19.95" customHeight="1" x14ac:dyDescent="0.2">
      <c r="A617" s="3" t="s">
        <v>984</v>
      </c>
      <c r="B617" s="3" t="s">
        <v>10</v>
      </c>
      <c r="C617" s="3" t="s">
        <v>69</v>
      </c>
      <c r="D617" s="3" t="s">
        <v>319</v>
      </c>
      <c r="E617" s="4">
        <v>670</v>
      </c>
      <c r="F617" s="5" t="s">
        <v>39</v>
      </c>
      <c r="G617" s="4">
        <v>596</v>
      </c>
      <c r="H617" s="3" t="s">
        <v>40</v>
      </c>
      <c r="I617" s="3" t="s">
        <v>167</v>
      </c>
    </row>
    <row r="618" spans="1:9" ht="19.95" customHeight="1" x14ac:dyDescent="0.2">
      <c r="A618" s="3" t="s">
        <v>985</v>
      </c>
      <c r="B618" s="3" t="s">
        <v>91</v>
      </c>
      <c r="C618" s="3" t="s">
        <v>37</v>
      </c>
      <c r="D618" s="3" t="s">
        <v>327</v>
      </c>
      <c r="E618" s="4">
        <v>14610</v>
      </c>
      <c r="F618" s="5" t="s">
        <v>11</v>
      </c>
      <c r="G618" s="4">
        <v>12478</v>
      </c>
      <c r="H618" s="3" t="s">
        <v>40</v>
      </c>
      <c r="I618" s="3" t="s">
        <v>557</v>
      </c>
    </row>
    <row r="619" spans="1:9" ht="19.95" customHeight="1" x14ac:dyDescent="0.2">
      <c r="A619" s="3" t="s">
        <v>986</v>
      </c>
      <c r="B619" s="3" t="s">
        <v>91</v>
      </c>
      <c r="C619" s="3" t="s">
        <v>987</v>
      </c>
      <c r="D619" s="3" t="s">
        <v>988</v>
      </c>
      <c r="E619" s="4">
        <v>46498</v>
      </c>
      <c r="F619" s="5" t="s">
        <v>148</v>
      </c>
      <c r="G619" s="4">
        <v>41108</v>
      </c>
      <c r="H619" s="3" t="s">
        <v>81</v>
      </c>
      <c r="I619" s="3" t="s">
        <v>112</v>
      </c>
    </row>
    <row r="620" spans="1:9" ht="19.95" customHeight="1" x14ac:dyDescent="0.2">
      <c r="A620" s="3" t="s">
        <v>989</v>
      </c>
      <c r="B620" s="3" t="s">
        <v>91</v>
      </c>
      <c r="C620" s="3" t="s">
        <v>84</v>
      </c>
      <c r="D620" s="3" t="s">
        <v>477</v>
      </c>
      <c r="E620" s="4">
        <v>880</v>
      </c>
      <c r="F620" s="5" t="s">
        <v>14</v>
      </c>
      <c r="G620" s="7">
        <v>784</v>
      </c>
      <c r="H620" s="3" t="s">
        <v>40</v>
      </c>
      <c r="I620" s="3" t="s">
        <v>538</v>
      </c>
    </row>
    <row r="621" spans="1:9" ht="19.95" customHeight="1" x14ac:dyDescent="0.2">
      <c r="A621" s="3" t="s">
        <v>990</v>
      </c>
      <c r="B621" s="3" t="s">
        <v>10</v>
      </c>
      <c r="C621" s="3" t="s">
        <v>37</v>
      </c>
      <c r="D621" s="3" t="s">
        <v>262</v>
      </c>
      <c r="E621" s="4">
        <v>1040</v>
      </c>
      <c r="F621" s="5" t="s">
        <v>39</v>
      </c>
      <c r="G621" s="7">
        <v>853</v>
      </c>
      <c r="H621" s="3" t="s">
        <v>40</v>
      </c>
      <c r="I621" s="3" t="s">
        <v>59</v>
      </c>
    </row>
    <row r="622" spans="1:9" ht="19.95" customHeight="1" x14ac:dyDescent="0.2">
      <c r="A622" s="3" t="s">
        <v>991</v>
      </c>
      <c r="B622" s="3" t="s">
        <v>11</v>
      </c>
      <c r="C622" s="3" t="s">
        <v>69</v>
      </c>
      <c r="D622" s="3" t="s">
        <v>349</v>
      </c>
      <c r="E622" s="4">
        <v>680</v>
      </c>
      <c r="F622" s="5" t="s">
        <v>39</v>
      </c>
      <c r="G622" s="3"/>
      <c r="H622" s="3" t="s">
        <v>40</v>
      </c>
      <c r="I622" s="3" t="s">
        <v>187</v>
      </c>
    </row>
    <row r="623" spans="1:9" ht="19.95" customHeight="1" x14ac:dyDescent="0.2">
      <c r="A623" s="3" t="s">
        <v>992</v>
      </c>
      <c r="B623" s="3" t="s">
        <v>91</v>
      </c>
      <c r="C623" s="3" t="s">
        <v>69</v>
      </c>
      <c r="D623" s="3" t="s">
        <v>205</v>
      </c>
      <c r="E623" s="4">
        <v>14170</v>
      </c>
      <c r="F623" s="5" t="s">
        <v>39</v>
      </c>
      <c r="G623" s="4">
        <v>12125</v>
      </c>
      <c r="H623" s="3" t="s">
        <v>40</v>
      </c>
      <c r="I623" s="3" t="s">
        <v>557</v>
      </c>
    </row>
    <row r="624" spans="1:9" ht="19.95" customHeight="1" x14ac:dyDescent="0.2">
      <c r="A624" s="3" t="s">
        <v>993</v>
      </c>
      <c r="B624" s="3" t="s">
        <v>10</v>
      </c>
      <c r="C624" s="3" t="s">
        <v>994</v>
      </c>
      <c r="D624" s="3" t="s">
        <v>492</v>
      </c>
      <c r="E624" s="4">
        <v>850</v>
      </c>
      <c r="F624" s="5" t="s">
        <v>75</v>
      </c>
      <c r="G624" s="7">
        <v>773</v>
      </c>
      <c r="H624" s="3" t="s">
        <v>63</v>
      </c>
      <c r="I624" s="3" t="s">
        <v>129</v>
      </c>
    </row>
    <row r="625" spans="1:9" ht="19.95" customHeight="1" x14ac:dyDescent="0.2">
      <c r="A625" s="3" t="s">
        <v>995</v>
      </c>
      <c r="B625" s="3" t="s">
        <v>10</v>
      </c>
      <c r="C625" s="3" t="s">
        <v>142</v>
      </c>
      <c r="D625" s="3" t="s">
        <v>93</v>
      </c>
      <c r="E625" s="4">
        <v>1260</v>
      </c>
      <c r="F625" s="5" t="s">
        <v>144</v>
      </c>
      <c r="G625" s="4">
        <v>1123</v>
      </c>
      <c r="H625" s="3" t="s">
        <v>81</v>
      </c>
      <c r="I625" s="3" t="s">
        <v>358</v>
      </c>
    </row>
    <row r="626" spans="1:9" ht="19.95" customHeight="1" x14ac:dyDescent="0.2">
      <c r="A626" s="3" t="s">
        <v>996</v>
      </c>
      <c r="B626" s="3" t="s">
        <v>11</v>
      </c>
      <c r="C626" s="3" t="s">
        <v>997</v>
      </c>
      <c r="D626" s="3" t="s">
        <v>424</v>
      </c>
      <c r="E626" s="4">
        <v>825</v>
      </c>
      <c r="F626" s="5" t="s">
        <v>111</v>
      </c>
      <c r="G626" s="3"/>
      <c r="H626" s="3" t="s">
        <v>81</v>
      </c>
      <c r="I626" s="3" t="s">
        <v>358</v>
      </c>
    </row>
    <row r="627" spans="1:9" ht="19.95" customHeight="1" x14ac:dyDescent="0.2">
      <c r="A627" s="3" t="s">
        <v>998</v>
      </c>
      <c r="B627" s="3" t="s">
        <v>45</v>
      </c>
      <c r="C627" s="3" t="s">
        <v>999</v>
      </c>
      <c r="D627" s="3" t="s">
        <v>697</v>
      </c>
      <c r="E627" s="4">
        <v>7400</v>
      </c>
      <c r="F627" s="5" t="s">
        <v>14</v>
      </c>
      <c r="G627" s="4">
        <v>6592</v>
      </c>
      <c r="H627" s="3" t="s">
        <v>63</v>
      </c>
      <c r="I627" s="3" t="s">
        <v>358</v>
      </c>
    </row>
    <row r="628" spans="1:9" ht="19.95" customHeight="1" x14ac:dyDescent="0.2">
      <c r="A628" s="3" t="s">
        <v>1000</v>
      </c>
      <c r="B628" s="3" t="s">
        <v>45</v>
      </c>
      <c r="C628" s="3" t="s">
        <v>999</v>
      </c>
      <c r="D628" s="3" t="s">
        <v>817</v>
      </c>
      <c r="E628" s="4">
        <v>7400</v>
      </c>
      <c r="F628" s="5" t="s">
        <v>14</v>
      </c>
      <c r="G628" s="4">
        <v>6290</v>
      </c>
      <c r="H628" s="3" t="s">
        <v>63</v>
      </c>
      <c r="I628" s="3" t="s">
        <v>358</v>
      </c>
    </row>
    <row r="629" spans="1:9" ht="19.95" customHeight="1" x14ac:dyDescent="0.2">
      <c r="A629" s="3" t="s">
        <v>1001</v>
      </c>
      <c r="B629" s="3" t="s">
        <v>10</v>
      </c>
      <c r="C629" s="3" t="s">
        <v>84</v>
      </c>
      <c r="D629" s="3" t="s">
        <v>262</v>
      </c>
      <c r="E629" s="4">
        <v>370</v>
      </c>
      <c r="F629" s="5" t="s">
        <v>14</v>
      </c>
      <c r="G629" s="4">
        <v>336</v>
      </c>
      <c r="H629" s="3" t="s">
        <v>63</v>
      </c>
      <c r="I629" s="3" t="s">
        <v>358</v>
      </c>
    </row>
    <row r="630" spans="1:9" ht="19.95" customHeight="1" x14ac:dyDescent="0.2">
      <c r="A630" s="3" t="s">
        <v>1002</v>
      </c>
      <c r="B630" s="3" t="s">
        <v>11</v>
      </c>
      <c r="C630" s="3" t="s">
        <v>1003</v>
      </c>
      <c r="D630" s="3" t="s">
        <v>1004</v>
      </c>
      <c r="E630" s="4">
        <v>35976</v>
      </c>
      <c r="F630" s="5" t="s">
        <v>111</v>
      </c>
      <c r="G630" s="3"/>
      <c r="H630" s="3" t="s">
        <v>81</v>
      </c>
      <c r="I630" s="3" t="s">
        <v>243</v>
      </c>
    </row>
    <row r="631" spans="1:9" ht="19.95" customHeight="1" x14ac:dyDescent="0.2">
      <c r="A631" s="3" t="s">
        <v>1005</v>
      </c>
      <c r="B631" s="3" t="s">
        <v>45</v>
      </c>
      <c r="C631" s="3" t="s">
        <v>69</v>
      </c>
      <c r="D631" s="3" t="s">
        <v>559</v>
      </c>
      <c r="E631" s="4">
        <v>3360</v>
      </c>
      <c r="F631" s="5" t="s">
        <v>39</v>
      </c>
      <c r="G631" s="4">
        <v>2993</v>
      </c>
      <c r="H631" s="3" t="s">
        <v>40</v>
      </c>
      <c r="I631" s="3" t="s">
        <v>296</v>
      </c>
    </row>
    <row r="632" spans="1:9" ht="19.95" customHeight="1" x14ac:dyDescent="0.2">
      <c r="A632" s="3" t="s">
        <v>1006</v>
      </c>
      <c r="B632" s="3" t="s">
        <v>91</v>
      </c>
      <c r="C632" s="3" t="s">
        <v>146</v>
      </c>
      <c r="D632" s="3" t="s">
        <v>1007</v>
      </c>
      <c r="E632" s="4">
        <v>2014</v>
      </c>
      <c r="F632" s="5" t="s">
        <v>148</v>
      </c>
      <c r="G632" s="7">
        <v>1785</v>
      </c>
      <c r="H632" s="3" t="s">
        <v>63</v>
      </c>
      <c r="I632" s="3" t="s">
        <v>76</v>
      </c>
    </row>
    <row r="633" spans="1:9" ht="19.95" customHeight="1" x14ac:dyDescent="0.2">
      <c r="A633" s="3" t="s">
        <v>1008</v>
      </c>
      <c r="B633" s="3" t="s">
        <v>45</v>
      </c>
      <c r="C633" s="3" t="s">
        <v>1009</v>
      </c>
      <c r="D633" s="3" t="s">
        <v>1010</v>
      </c>
      <c r="E633" s="4">
        <v>2982</v>
      </c>
      <c r="F633" s="5" t="s">
        <v>14</v>
      </c>
      <c r="G633" s="4">
        <v>2656</v>
      </c>
      <c r="H633" s="3" t="s">
        <v>63</v>
      </c>
      <c r="I633" s="3" t="s">
        <v>1011</v>
      </c>
    </row>
    <row r="634" spans="1:9" ht="19.95" customHeight="1" x14ac:dyDescent="0.2">
      <c r="A634" s="3" t="s">
        <v>1012</v>
      </c>
      <c r="B634" s="3" t="s">
        <v>45</v>
      </c>
      <c r="C634" s="3" t="s">
        <v>176</v>
      </c>
      <c r="D634" s="3" t="s">
        <v>672</v>
      </c>
      <c r="E634" s="4">
        <v>45400</v>
      </c>
      <c r="F634" s="5" t="s">
        <v>39</v>
      </c>
      <c r="G634" s="4">
        <v>38817</v>
      </c>
      <c r="H634" s="3" t="s">
        <v>40</v>
      </c>
      <c r="I634" s="3" t="s">
        <v>229</v>
      </c>
    </row>
    <row r="635" spans="1:9" ht="19.95" customHeight="1" x14ac:dyDescent="0.2">
      <c r="A635" s="3" t="s">
        <v>1013</v>
      </c>
      <c r="B635" s="3" t="s">
        <v>45</v>
      </c>
      <c r="C635" s="3" t="s">
        <v>69</v>
      </c>
      <c r="D635" s="3" t="s">
        <v>70</v>
      </c>
      <c r="E635" s="4">
        <v>10990</v>
      </c>
      <c r="F635" s="5" t="s">
        <v>39</v>
      </c>
      <c r="G635" s="4">
        <v>9396</v>
      </c>
      <c r="H635" s="3" t="s">
        <v>40</v>
      </c>
      <c r="I635" s="3" t="s">
        <v>229</v>
      </c>
    </row>
    <row r="636" spans="1:9" ht="19.95" customHeight="1" x14ac:dyDescent="0.2">
      <c r="A636" s="3" t="s">
        <v>1014</v>
      </c>
      <c r="B636" s="3" t="s">
        <v>45</v>
      </c>
      <c r="C636" s="3" t="s">
        <v>37</v>
      </c>
      <c r="D636" s="3" t="s">
        <v>459</v>
      </c>
      <c r="E636" s="4">
        <v>730</v>
      </c>
      <c r="F636" s="5" t="s">
        <v>39</v>
      </c>
      <c r="G636" s="4">
        <v>650</v>
      </c>
      <c r="H636" s="3" t="s">
        <v>40</v>
      </c>
      <c r="I636" s="3" t="s">
        <v>165</v>
      </c>
    </row>
    <row r="637" spans="1:9" ht="19.95" customHeight="1" x14ac:dyDescent="0.2">
      <c r="A637" s="3" t="s">
        <v>1015</v>
      </c>
      <c r="B637" s="3" t="s">
        <v>45</v>
      </c>
      <c r="C637" s="3" t="s">
        <v>575</v>
      </c>
      <c r="D637" s="3" t="s">
        <v>1016</v>
      </c>
      <c r="E637" s="4">
        <v>5610</v>
      </c>
      <c r="F637" s="5" t="s">
        <v>148</v>
      </c>
      <c r="G637" s="4">
        <v>4914</v>
      </c>
      <c r="H637" s="3" t="s">
        <v>81</v>
      </c>
      <c r="I637" s="3" t="s">
        <v>165</v>
      </c>
    </row>
    <row r="638" spans="1:9" ht="19.95" customHeight="1" x14ac:dyDescent="0.2">
      <c r="A638" s="3" t="s">
        <v>1017</v>
      </c>
      <c r="B638" s="3" t="s">
        <v>45</v>
      </c>
      <c r="C638" s="3" t="s">
        <v>1018</v>
      </c>
      <c r="D638" s="3" t="s">
        <v>319</v>
      </c>
      <c r="E638" s="4">
        <v>1620</v>
      </c>
      <c r="F638" s="5" t="s">
        <v>14</v>
      </c>
      <c r="G638" s="4">
        <v>1443</v>
      </c>
      <c r="H638" s="3" t="s">
        <v>40</v>
      </c>
      <c r="I638" s="3" t="s">
        <v>314</v>
      </c>
    </row>
    <row r="639" spans="1:9" ht="19.95" customHeight="1" x14ac:dyDescent="0.2">
      <c r="A639" s="3" t="s">
        <v>1019</v>
      </c>
      <c r="B639" s="3" t="s">
        <v>45</v>
      </c>
      <c r="C639" s="3" t="s">
        <v>140</v>
      </c>
      <c r="D639" s="3" t="s">
        <v>319</v>
      </c>
      <c r="E639" s="4">
        <v>7800</v>
      </c>
      <c r="F639" s="5" t="s">
        <v>39</v>
      </c>
      <c r="G639" s="4">
        <v>6786</v>
      </c>
      <c r="H639" s="3" t="s">
        <v>40</v>
      </c>
      <c r="I639" s="3" t="s">
        <v>314</v>
      </c>
    </row>
    <row r="640" spans="1:9" ht="19.95" customHeight="1" x14ac:dyDescent="0.2">
      <c r="A640" s="3" t="s">
        <v>1019</v>
      </c>
      <c r="B640" s="3" t="s">
        <v>45</v>
      </c>
      <c r="C640" s="3" t="s">
        <v>69</v>
      </c>
      <c r="D640" s="3" t="s">
        <v>319</v>
      </c>
      <c r="E640" s="4">
        <v>780</v>
      </c>
      <c r="F640" s="5" t="s">
        <v>39</v>
      </c>
      <c r="G640" s="4">
        <v>679</v>
      </c>
      <c r="H640" s="3" t="s">
        <v>40</v>
      </c>
      <c r="I640" s="3" t="s">
        <v>314</v>
      </c>
    </row>
    <row r="641" spans="1:9" ht="19.95" customHeight="1" x14ac:dyDescent="0.2">
      <c r="A641" s="3" t="s">
        <v>1020</v>
      </c>
      <c r="B641" s="3" t="s">
        <v>10</v>
      </c>
      <c r="C641" s="3" t="s">
        <v>1021</v>
      </c>
      <c r="D641" s="3" t="s">
        <v>327</v>
      </c>
      <c r="E641" s="4">
        <v>5305.3</v>
      </c>
      <c r="F641" s="5" t="s">
        <v>14</v>
      </c>
      <c r="G641" s="4">
        <v>4663</v>
      </c>
      <c r="H641" s="3" t="s">
        <v>40</v>
      </c>
      <c r="I641" s="3" t="s">
        <v>64</v>
      </c>
    </row>
    <row r="642" spans="1:9" ht="19.95" customHeight="1" x14ac:dyDescent="0.2">
      <c r="A642" s="3" t="s">
        <v>1022</v>
      </c>
      <c r="B642" s="3" t="s">
        <v>45</v>
      </c>
      <c r="C642" s="3" t="s">
        <v>1023</v>
      </c>
      <c r="D642" s="3" t="s">
        <v>1024</v>
      </c>
      <c r="E642" s="4">
        <v>3290</v>
      </c>
      <c r="F642" s="5" t="s">
        <v>111</v>
      </c>
      <c r="G642" s="7">
        <v>2912</v>
      </c>
      <c r="H642" s="3" t="s">
        <v>81</v>
      </c>
      <c r="I642" s="3" t="s">
        <v>454</v>
      </c>
    </row>
    <row r="643" spans="1:9" ht="19.95" customHeight="1" x14ac:dyDescent="0.2">
      <c r="A643" s="3" t="s">
        <v>1025</v>
      </c>
      <c r="B643" s="3" t="s">
        <v>45</v>
      </c>
      <c r="C643" s="3" t="s">
        <v>84</v>
      </c>
      <c r="D643" s="3" t="s">
        <v>102</v>
      </c>
      <c r="E643" s="4">
        <v>1130</v>
      </c>
      <c r="F643" s="5" t="s">
        <v>14</v>
      </c>
      <c r="G643" s="4">
        <v>942</v>
      </c>
      <c r="H643" s="3" t="s">
        <v>63</v>
      </c>
      <c r="I643" s="3" t="s">
        <v>129</v>
      </c>
    </row>
    <row r="644" spans="1:9" ht="19.95" customHeight="1" x14ac:dyDescent="0.2">
      <c r="A644" s="3" t="s">
        <v>1026</v>
      </c>
      <c r="B644" s="3" t="s">
        <v>11</v>
      </c>
      <c r="C644" s="3" t="s">
        <v>69</v>
      </c>
      <c r="D644" s="3" t="s">
        <v>1027</v>
      </c>
      <c r="E644" s="4">
        <v>2290</v>
      </c>
      <c r="F644" s="5" t="s">
        <v>39</v>
      </c>
      <c r="G644" s="3"/>
      <c r="H644" s="3" t="s">
        <v>63</v>
      </c>
      <c r="I644" s="3" t="s">
        <v>471</v>
      </c>
    </row>
    <row r="645" spans="1:9" ht="19.95" customHeight="1" x14ac:dyDescent="0.2">
      <c r="A645" s="3" t="s">
        <v>1028</v>
      </c>
      <c r="B645" s="3" t="s">
        <v>115</v>
      </c>
      <c r="C645" s="3" t="s">
        <v>37</v>
      </c>
      <c r="D645" s="3" t="s">
        <v>115</v>
      </c>
      <c r="E645" s="4">
        <v>1040</v>
      </c>
      <c r="F645" s="5" t="s">
        <v>39</v>
      </c>
      <c r="G645" s="4">
        <v>875</v>
      </c>
      <c r="H645" s="3" t="s">
        <v>40</v>
      </c>
      <c r="I645" s="3" t="s">
        <v>433</v>
      </c>
    </row>
    <row r="646" spans="1:9" ht="19.95" customHeight="1" x14ac:dyDescent="0.2">
      <c r="A646" s="3" t="s">
        <v>1029</v>
      </c>
      <c r="B646" s="3" t="s">
        <v>115</v>
      </c>
      <c r="C646" s="3" t="s">
        <v>133</v>
      </c>
      <c r="D646" s="3" t="s">
        <v>115</v>
      </c>
      <c r="E646" s="4">
        <v>5200</v>
      </c>
      <c r="F646" s="5" t="s">
        <v>39</v>
      </c>
      <c r="G646" s="7">
        <v>4375</v>
      </c>
      <c r="H646" s="3" t="s">
        <v>40</v>
      </c>
      <c r="I646" s="3" t="s">
        <v>433</v>
      </c>
    </row>
    <row r="647" spans="1:9" ht="19.95" customHeight="1" x14ac:dyDescent="0.2">
      <c r="A647" s="3" t="s">
        <v>1030</v>
      </c>
      <c r="B647" s="3" t="s">
        <v>11</v>
      </c>
      <c r="C647" s="3" t="s">
        <v>1031</v>
      </c>
      <c r="D647" s="3" t="s">
        <v>262</v>
      </c>
      <c r="E647" s="4">
        <v>8630</v>
      </c>
      <c r="F647" s="5" t="s">
        <v>111</v>
      </c>
      <c r="G647" s="3"/>
      <c r="H647" s="3" t="s">
        <v>81</v>
      </c>
      <c r="I647" s="3" t="s">
        <v>369</v>
      </c>
    </row>
    <row r="648" spans="1:9" ht="19.95" customHeight="1" x14ac:dyDescent="0.2">
      <c r="A648" s="3" t="s">
        <v>1032</v>
      </c>
      <c r="B648" s="3" t="s">
        <v>91</v>
      </c>
      <c r="C648" s="3" t="s">
        <v>1033</v>
      </c>
      <c r="D648" s="3" t="s">
        <v>70</v>
      </c>
      <c r="E648" s="4">
        <v>1880</v>
      </c>
      <c r="F648" s="5" t="s">
        <v>89</v>
      </c>
      <c r="G648" s="4">
        <v>1660</v>
      </c>
      <c r="H648" s="3" t="s">
        <v>81</v>
      </c>
      <c r="I648" s="3" t="s">
        <v>334</v>
      </c>
    </row>
    <row r="649" spans="1:9" ht="19.95" customHeight="1" x14ac:dyDescent="0.2">
      <c r="A649" s="3" t="s">
        <v>1034</v>
      </c>
      <c r="B649" s="3" t="s">
        <v>11</v>
      </c>
      <c r="C649" s="3" t="s">
        <v>1035</v>
      </c>
      <c r="D649" s="3" t="s">
        <v>978</v>
      </c>
      <c r="E649" s="4">
        <v>14220</v>
      </c>
      <c r="F649" s="5" t="s">
        <v>585</v>
      </c>
      <c r="G649" s="4">
        <v>0</v>
      </c>
      <c r="H649" s="3" t="s">
        <v>40</v>
      </c>
      <c r="I649" s="3" t="s">
        <v>137</v>
      </c>
    </row>
    <row r="650" spans="1:9" ht="19.95" customHeight="1" x14ac:dyDescent="0.2">
      <c r="A650" s="3" t="s">
        <v>1036</v>
      </c>
      <c r="B650" s="3" t="s">
        <v>91</v>
      </c>
      <c r="C650" s="3" t="s">
        <v>1037</v>
      </c>
      <c r="D650" s="3" t="s">
        <v>93</v>
      </c>
      <c r="E650" s="4">
        <v>5020</v>
      </c>
      <c r="F650" s="5" t="s">
        <v>98</v>
      </c>
      <c r="G650" s="7">
        <v>4460</v>
      </c>
      <c r="H650" s="3" t="s">
        <v>81</v>
      </c>
      <c r="I650" s="3" t="s">
        <v>99</v>
      </c>
    </row>
    <row r="651" spans="1:9" ht="19.95" customHeight="1" x14ac:dyDescent="0.2">
      <c r="A651" s="3" t="s">
        <v>1038</v>
      </c>
      <c r="B651" s="3" t="s">
        <v>91</v>
      </c>
      <c r="C651" s="3" t="s">
        <v>222</v>
      </c>
      <c r="D651" s="3" t="s">
        <v>93</v>
      </c>
      <c r="E651" s="4">
        <v>5580</v>
      </c>
      <c r="F651" s="5" t="s">
        <v>98</v>
      </c>
      <c r="G651" s="4">
        <v>4960</v>
      </c>
      <c r="H651" s="3" t="s">
        <v>81</v>
      </c>
      <c r="I651" s="3" t="s">
        <v>99</v>
      </c>
    </row>
    <row r="652" spans="1:9" ht="19.95" customHeight="1" x14ac:dyDescent="0.2">
      <c r="A652" s="3" t="s">
        <v>1039</v>
      </c>
      <c r="B652" s="3" t="s">
        <v>91</v>
      </c>
      <c r="C652" s="3" t="s">
        <v>1040</v>
      </c>
      <c r="D652" s="3" t="s">
        <v>1041</v>
      </c>
      <c r="E652" s="4">
        <v>4800</v>
      </c>
      <c r="F652" s="5" t="s">
        <v>75</v>
      </c>
      <c r="G652" s="4">
        <v>4233</v>
      </c>
      <c r="H652" s="3" t="s">
        <v>63</v>
      </c>
      <c r="I652" s="3" t="s">
        <v>1042</v>
      </c>
    </row>
    <row r="653" spans="1:9" ht="19.95" customHeight="1" x14ac:dyDescent="0.2">
      <c r="A653" s="3" t="s">
        <v>1043</v>
      </c>
      <c r="B653" s="3" t="s">
        <v>11</v>
      </c>
      <c r="C653" s="3" t="s">
        <v>1044</v>
      </c>
      <c r="D653" s="3" t="s">
        <v>1041</v>
      </c>
      <c r="E653" s="3"/>
      <c r="F653" s="5" t="s">
        <v>11</v>
      </c>
      <c r="G653" s="3"/>
      <c r="H653" s="3" t="s">
        <v>582</v>
      </c>
      <c r="I653" s="3" t="s">
        <v>153</v>
      </c>
    </row>
    <row r="654" spans="1:9" ht="19.95" customHeight="1" x14ac:dyDescent="0.2">
      <c r="A654" s="3" t="s">
        <v>1045</v>
      </c>
      <c r="B654" s="3" t="s">
        <v>11</v>
      </c>
      <c r="C654" s="3" t="s">
        <v>1046</v>
      </c>
      <c r="D654" s="3" t="s">
        <v>551</v>
      </c>
      <c r="E654" s="4">
        <v>690</v>
      </c>
      <c r="F654" s="5" t="s">
        <v>89</v>
      </c>
      <c r="G654" s="3"/>
      <c r="H654" s="3" t="s">
        <v>81</v>
      </c>
      <c r="I654" s="3" t="s">
        <v>889</v>
      </c>
    </row>
    <row r="655" spans="1:9" ht="19.95" customHeight="1" x14ac:dyDescent="0.2">
      <c r="A655" s="3" t="s">
        <v>1047</v>
      </c>
      <c r="B655" s="3" t="s">
        <v>91</v>
      </c>
      <c r="C655" s="3" t="s">
        <v>1048</v>
      </c>
      <c r="D655" s="3" t="s">
        <v>349</v>
      </c>
      <c r="E655" s="4">
        <v>8169</v>
      </c>
      <c r="F655" s="5" t="s">
        <v>171</v>
      </c>
      <c r="G655" s="4">
        <v>7271</v>
      </c>
      <c r="H655" s="3" t="s">
        <v>40</v>
      </c>
      <c r="I655" s="3" t="s">
        <v>557</v>
      </c>
    </row>
    <row r="656" spans="1:9" ht="19.95" customHeight="1" x14ac:dyDescent="0.2">
      <c r="A656" s="3" t="s">
        <v>1049</v>
      </c>
      <c r="B656" s="3" t="s">
        <v>45</v>
      </c>
      <c r="C656" s="3" t="s">
        <v>37</v>
      </c>
      <c r="D656" s="3" t="s">
        <v>311</v>
      </c>
      <c r="E656" s="4">
        <v>730</v>
      </c>
      <c r="F656" s="5" t="s">
        <v>39</v>
      </c>
      <c r="G656" s="4">
        <v>604</v>
      </c>
      <c r="H656" s="3" t="s">
        <v>40</v>
      </c>
      <c r="I656" s="3" t="s">
        <v>156</v>
      </c>
    </row>
    <row r="657" spans="1:9" ht="19.95" customHeight="1" x14ac:dyDescent="0.2">
      <c r="A657" s="3" t="s">
        <v>1050</v>
      </c>
      <c r="B657" s="3" t="s">
        <v>45</v>
      </c>
      <c r="C657" s="3" t="s">
        <v>1051</v>
      </c>
      <c r="D657" s="3" t="s">
        <v>751</v>
      </c>
      <c r="E657" s="4">
        <v>9600</v>
      </c>
      <c r="F657" s="5" t="s">
        <v>14</v>
      </c>
      <c r="G657" s="4">
        <v>8740</v>
      </c>
      <c r="H657" s="3" t="s">
        <v>40</v>
      </c>
      <c r="I657" s="3" t="s">
        <v>317</v>
      </c>
    </row>
    <row r="658" spans="1:9" ht="19.95" customHeight="1" x14ac:dyDescent="0.2">
      <c r="A658" s="3" t="s">
        <v>1050</v>
      </c>
      <c r="B658" s="3" t="s">
        <v>45</v>
      </c>
      <c r="C658" s="3" t="s">
        <v>1052</v>
      </c>
      <c r="D658" s="3" t="s">
        <v>751</v>
      </c>
      <c r="E658" s="4">
        <v>3840</v>
      </c>
      <c r="F658" s="5" t="s">
        <v>14</v>
      </c>
      <c r="G658" s="4">
        <v>3496</v>
      </c>
      <c r="H658" s="3" t="s">
        <v>40</v>
      </c>
      <c r="I658" s="3" t="s">
        <v>317</v>
      </c>
    </row>
    <row r="659" spans="1:9" ht="19.95" customHeight="1" x14ac:dyDescent="0.2">
      <c r="A659" s="3" t="s">
        <v>1053</v>
      </c>
      <c r="B659" s="3" t="s">
        <v>45</v>
      </c>
      <c r="C659" s="3" t="s">
        <v>245</v>
      </c>
      <c r="D659" s="3" t="s">
        <v>459</v>
      </c>
      <c r="E659" s="4">
        <v>555</v>
      </c>
      <c r="F659" s="5" t="s">
        <v>14</v>
      </c>
      <c r="G659" s="4">
        <v>494</v>
      </c>
      <c r="H659" s="3" t="s">
        <v>63</v>
      </c>
      <c r="I659" s="3" t="s">
        <v>129</v>
      </c>
    </row>
    <row r="660" spans="1:9" ht="19.95" customHeight="1" x14ac:dyDescent="0.2">
      <c r="A660" s="3" t="s">
        <v>1054</v>
      </c>
      <c r="B660" s="3" t="s">
        <v>45</v>
      </c>
      <c r="C660" s="3" t="s">
        <v>133</v>
      </c>
      <c r="D660" s="3" t="s">
        <v>85</v>
      </c>
      <c r="E660" s="4">
        <v>7000</v>
      </c>
      <c r="F660" s="5" t="s">
        <v>39</v>
      </c>
      <c r="G660" s="4">
        <v>6236</v>
      </c>
      <c r="H660" s="3" t="s">
        <v>40</v>
      </c>
      <c r="I660" s="3" t="s">
        <v>251</v>
      </c>
    </row>
    <row r="661" spans="1:9" ht="19.95" customHeight="1" x14ac:dyDescent="0.2">
      <c r="A661" s="3" t="s">
        <v>1055</v>
      </c>
      <c r="B661" s="3" t="s">
        <v>11</v>
      </c>
      <c r="C661" s="3" t="s">
        <v>140</v>
      </c>
      <c r="D661" s="3" t="s">
        <v>205</v>
      </c>
      <c r="E661" s="4">
        <v>17500</v>
      </c>
      <c r="F661" s="5" t="s">
        <v>39</v>
      </c>
      <c r="G661" s="3"/>
      <c r="H661" s="3" t="s">
        <v>40</v>
      </c>
      <c r="I661" s="3" t="s">
        <v>314</v>
      </c>
    </row>
    <row r="662" spans="1:9" ht="19.95" customHeight="1" x14ac:dyDescent="0.2">
      <c r="A662" s="3" t="s">
        <v>1055</v>
      </c>
      <c r="B662" s="3" t="s">
        <v>91</v>
      </c>
      <c r="C662" s="3" t="s">
        <v>69</v>
      </c>
      <c r="D662" s="3" t="s">
        <v>205</v>
      </c>
      <c r="E662" s="4">
        <v>1750</v>
      </c>
      <c r="F662" s="5" t="s">
        <v>39</v>
      </c>
      <c r="G662" s="4">
        <v>1417</v>
      </c>
      <c r="H662" s="3" t="s">
        <v>40</v>
      </c>
      <c r="I662" s="3" t="s">
        <v>314</v>
      </c>
    </row>
    <row r="663" spans="1:9" ht="19.95" customHeight="1" x14ac:dyDescent="0.2">
      <c r="A663" s="3" t="s">
        <v>1056</v>
      </c>
      <c r="B663" s="3" t="s">
        <v>45</v>
      </c>
      <c r="C663" s="3" t="s">
        <v>308</v>
      </c>
      <c r="D663" s="3" t="s">
        <v>446</v>
      </c>
      <c r="E663" s="4">
        <v>5900</v>
      </c>
      <c r="F663" s="5" t="s">
        <v>39</v>
      </c>
      <c r="G663" s="4">
        <v>3540</v>
      </c>
      <c r="H663" s="3" t="s">
        <v>40</v>
      </c>
      <c r="I663" s="3" t="s">
        <v>1057</v>
      </c>
    </row>
    <row r="664" spans="1:9" ht="19.95" customHeight="1" x14ac:dyDescent="0.2">
      <c r="A664" s="3" t="s">
        <v>1056</v>
      </c>
      <c r="B664" s="3" t="s">
        <v>45</v>
      </c>
      <c r="C664" s="3" t="s">
        <v>140</v>
      </c>
      <c r="D664" s="3" t="s">
        <v>446</v>
      </c>
      <c r="E664" s="4">
        <v>5900</v>
      </c>
      <c r="F664" s="5" t="s">
        <v>39</v>
      </c>
      <c r="G664" s="7">
        <v>3540</v>
      </c>
      <c r="H664" s="3" t="s">
        <v>40</v>
      </c>
      <c r="I664" s="3" t="s">
        <v>1057</v>
      </c>
    </row>
    <row r="665" spans="1:9" ht="19.95" customHeight="1" x14ac:dyDescent="0.2">
      <c r="A665" s="3" t="s">
        <v>1058</v>
      </c>
      <c r="B665" s="3" t="s">
        <v>45</v>
      </c>
      <c r="C665" s="3" t="s">
        <v>133</v>
      </c>
      <c r="D665" s="3" t="s">
        <v>446</v>
      </c>
      <c r="E665" s="4">
        <v>2950</v>
      </c>
      <c r="F665" s="5" t="s">
        <v>39</v>
      </c>
      <c r="G665" s="4">
        <v>1770</v>
      </c>
      <c r="H665" s="3" t="s">
        <v>40</v>
      </c>
      <c r="I665" s="3" t="s">
        <v>1057</v>
      </c>
    </row>
    <row r="666" spans="1:9" ht="19.95" customHeight="1" x14ac:dyDescent="0.2">
      <c r="A666" s="3" t="s">
        <v>1058</v>
      </c>
      <c r="B666" s="3" t="s">
        <v>45</v>
      </c>
      <c r="C666" s="3" t="s">
        <v>176</v>
      </c>
      <c r="D666" s="3" t="s">
        <v>446</v>
      </c>
      <c r="E666" s="4">
        <v>2950</v>
      </c>
      <c r="F666" s="5" t="s">
        <v>39</v>
      </c>
      <c r="G666" s="4">
        <v>1770</v>
      </c>
      <c r="H666" s="3" t="s">
        <v>40</v>
      </c>
      <c r="I666" s="3" t="s">
        <v>1057</v>
      </c>
    </row>
    <row r="667" spans="1:9" ht="19.95" customHeight="1" x14ac:dyDescent="0.2">
      <c r="A667" s="3" t="s">
        <v>1059</v>
      </c>
      <c r="B667" s="3" t="s">
        <v>11</v>
      </c>
      <c r="C667" s="3" t="s">
        <v>37</v>
      </c>
      <c r="D667" s="3" t="s">
        <v>295</v>
      </c>
      <c r="E667" s="4">
        <v>1700</v>
      </c>
      <c r="F667" s="5" t="s">
        <v>39</v>
      </c>
      <c r="G667" s="6"/>
      <c r="H667" s="3" t="s">
        <v>40</v>
      </c>
      <c r="I667" s="3" t="s">
        <v>86</v>
      </c>
    </row>
    <row r="668" spans="1:9" ht="19.95" customHeight="1" x14ac:dyDescent="0.2">
      <c r="A668" s="3" t="s">
        <v>1060</v>
      </c>
      <c r="B668" s="3" t="s">
        <v>10</v>
      </c>
      <c r="C668" s="3" t="s">
        <v>69</v>
      </c>
      <c r="D668" s="3" t="s">
        <v>319</v>
      </c>
      <c r="E668" s="4">
        <v>610</v>
      </c>
      <c r="F668" s="5" t="s">
        <v>39</v>
      </c>
      <c r="G668" s="4">
        <v>543</v>
      </c>
      <c r="H668" s="3" t="s">
        <v>40</v>
      </c>
      <c r="I668" s="3" t="s">
        <v>187</v>
      </c>
    </row>
    <row r="669" spans="1:9" ht="19.95" customHeight="1" x14ac:dyDescent="0.2">
      <c r="A669" s="3" t="s">
        <v>1061</v>
      </c>
      <c r="B669" s="3" t="s">
        <v>10</v>
      </c>
      <c r="C669" s="3" t="s">
        <v>69</v>
      </c>
      <c r="D669" s="3" t="s">
        <v>319</v>
      </c>
      <c r="E669" s="4">
        <v>870</v>
      </c>
      <c r="F669" s="5" t="s">
        <v>39</v>
      </c>
      <c r="G669" s="4">
        <v>775</v>
      </c>
      <c r="H669" s="3" t="s">
        <v>40</v>
      </c>
      <c r="I669" s="3" t="s">
        <v>187</v>
      </c>
    </row>
    <row r="670" spans="1:9" ht="19.95" customHeight="1" x14ac:dyDescent="0.2">
      <c r="A670" s="3" t="s">
        <v>1062</v>
      </c>
      <c r="B670" s="3" t="s">
        <v>91</v>
      </c>
      <c r="C670" s="3" t="s">
        <v>1063</v>
      </c>
      <c r="D670" s="3" t="s">
        <v>93</v>
      </c>
      <c r="E670" s="4">
        <v>13805</v>
      </c>
      <c r="F670" s="5" t="s">
        <v>75</v>
      </c>
      <c r="G670" s="4">
        <v>12254</v>
      </c>
      <c r="H670" s="3" t="s">
        <v>63</v>
      </c>
      <c r="I670" s="3" t="s">
        <v>76</v>
      </c>
    </row>
    <row r="671" spans="1:9" ht="19.95" customHeight="1" x14ac:dyDescent="0.2">
      <c r="A671" s="3" t="s">
        <v>1064</v>
      </c>
      <c r="B671" s="3" t="s">
        <v>45</v>
      </c>
      <c r="C671" s="3" t="s">
        <v>69</v>
      </c>
      <c r="D671" s="3" t="s">
        <v>349</v>
      </c>
      <c r="E671" s="4">
        <v>830</v>
      </c>
      <c r="F671" s="5" t="s">
        <v>39</v>
      </c>
      <c r="G671" s="4">
        <v>739</v>
      </c>
      <c r="H671" s="3" t="s">
        <v>40</v>
      </c>
      <c r="I671" s="3" t="s">
        <v>433</v>
      </c>
    </row>
    <row r="672" spans="1:9" ht="19.95" customHeight="1" x14ac:dyDescent="0.2">
      <c r="A672" s="3" t="s">
        <v>1065</v>
      </c>
      <c r="B672" s="3" t="s">
        <v>115</v>
      </c>
      <c r="C672" s="3" t="s">
        <v>69</v>
      </c>
      <c r="D672" s="3" t="s">
        <v>115</v>
      </c>
      <c r="E672" s="4">
        <v>810</v>
      </c>
      <c r="F672" s="5" t="s">
        <v>39</v>
      </c>
      <c r="G672" s="4">
        <v>681</v>
      </c>
      <c r="H672" s="3" t="s">
        <v>40</v>
      </c>
      <c r="I672" s="3" t="s">
        <v>1066</v>
      </c>
    </row>
    <row r="673" spans="1:9" ht="19.95" customHeight="1" x14ac:dyDescent="0.2">
      <c r="A673" s="3" t="s">
        <v>1067</v>
      </c>
      <c r="B673" s="3" t="s">
        <v>10</v>
      </c>
      <c r="C673" s="3" t="s">
        <v>619</v>
      </c>
      <c r="D673" s="3" t="s">
        <v>262</v>
      </c>
      <c r="E673" s="7">
        <v>3280</v>
      </c>
      <c r="F673" s="5" t="s">
        <v>111</v>
      </c>
      <c r="G673" s="7">
        <v>2981</v>
      </c>
      <c r="H673" s="3" t="s">
        <v>81</v>
      </c>
      <c r="I673" s="3" t="s">
        <v>883</v>
      </c>
    </row>
    <row r="674" spans="1:9" ht="19.95" customHeight="1" x14ac:dyDescent="0.2">
      <c r="A674" s="3" t="s">
        <v>1068</v>
      </c>
      <c r="B674" s="3" t="s">
        <v>10</v>
      </c>
      <c r="C674" s="3" t="s">
        <v>1069</v>
      </c>
      <c r="D674" s="3" t="s">
        <v>378</v>
      </c>
      <c r="E674" s="4">
        <v>1026.2</v>
      </c>
      <c r="F674" s="5" t="s">
        <v>39</v>
      </c>
      <c r="G674" s="7">
        <v>850</v>
      </c>
      <c r="H674" s="3" t="s">
        <v>40</v>
      </c>
      <c r="I674" s="3" t="s">
        <v>275</v>
      </c>
    </row>
    <row r="675" spans="1:9" ht="19.95" customHeight="1" x14ac:dyDescent="0.2">
      <c r="A675" s="3" t="s">
        <v>1070</v>
      </c>
      <c r="B675" s="3" t="s">
        <v>45</v>
      </c>
      <c r="C675" s="3" t="s">
        <v>648</v>
      </c>
      <c r="D675" s="3" t="s">
        <v>109</v>
      </c>
      <c r="E675" s="4">
        <v>3140</v>
      </c>
      <c r="F675" s="5" t="s">
        <v>39</v>
      </c>
      <c r="G675" s="4">
        <v>2606</v>
      </c>
      <c r="H675" s="3" t="s">
        <v>40</v>
      </c>
      <c r="I675" s="3" t="s">
        <v>187</v>
      </c>
    </row>
    <row r="676" spans="1:9" ht="19.95" customHeight="1" x14ac:dyDescent="0.2">
      <c r="A676" s="3" t="s">
        <v>1070</v>
      </c>
      <c r="B676" s="3" t="s">
        <v>45</v>
      </c>
      <c r="C676" s="3" t="s">
        <v>37</v>
      </c>
      <c r="D676" s="3" t="s">
        <v>109</v>
      </c>
      <c r="E676" s="4">
        <v>1570</v>
      </c>
      <c r="F676" s="5" t="s">
        <v>39</v>
      </c>
      <c r="G676" s="4">
        <v>1303</v>
      </c>
      <c r="H676" s="3" t="s">
        <v>40</v>
      </c>
      <c r="I676" s="3" t="s">
        <v>187</v>
      </c>
    </row>
    <row r="677" spans="1:9" ht="19.95" customHeight="1" x14ac:dyDescent="0.2">
      <c r="A677" s="3" t="s">
        <v>1071</v>
      </c>
      <c r="B677" s="3" t="s">
        <v>91</v>
      </c>
      <c r="C677" s="3" t="s">
        <v>1072</v>
      </c>
      <c r="D677" s="3" t="s">
        <v>93</v>
      </c>
      <c r="E677" s="4">
        <v>1780.8</v>
      </c>
      <c r="F677" s="5" t="s">
        <v>249</v>
      </c>
      <c r="G677" s="4">
        <v>1585</v>
      </c>
      <c r="H677" s="3" t="s">
        <v>63</v>
      </c>
      <c r="I677" s="3" t="s">
        <v>76</v>
      </c>
    </row>
    <row r="678" spans="1:9" ht="19.95" customHeight="1" x14ac:dyDescent="0.2">
      <c r="A678" s="3" t="s">
        <v>1073</v>
      </c>
      <c r="B678" s="3" t="s">
        <v>45</v>
      </c>
      <c r="C678" s="3" t="s">
        <v>133</v>
      </c>
      <c r="D678" s="3" t="s">
        <v>62</v>
      </c>
      <c r="E678" s="4">
        <v>5200</v>
      </c>
      <c r="F678" s="5" t="s">
        <v>39</v>
      </c>
      <c r="G678" s="4">
        <v>4550</v>
      </c>
      <c r="H678" s="3" t="s">
        <v>40</v>
      </c>
      <c r="I678" s="3" t="s">
        <v>314</v>
      </c>
    </row>
    <row r="679" spans="1:9" ht="19.95" customHeight="1" x14ac:dyDescent="0.2">
      <c r="A679" s="3" t="s">
        <v>1074</v>
      </c>
      <c r="B679" s="3" t="s">
        <v>11</v>
      </c>
      <c r="C679" s="3" t="s">
        <v>1075</v>
      </c>
      <c r="D679" s="3" t="s">
        <v>93</v>
      </c>
      <c r="E679" s="4">
        <v>1000</v>
      </c>
      <c r="F679" s="5" t="s">
        <v>89</v>
      </c>
      <c r="G679" s="3"/>
      <c r="H679" s="3" t="s">
        <v>81</v>
      </c>
      <c r="I679" s="3" t="s">
        <v>460</v>
      </c>
    </row>
    <row r="680" spans="1:9" ht="19.95" customHeight="1" x14ac:dyDescent="0.2">
      <c r="A680" s="3" t="s">
        <v>1076</v>
      </c>
      <c r="B680" s="3" t="s">
        <v>11</v>
      </c>
      <c r="C680" s="3" t="s">
        <v>512</v>
      </c>
      <c r="D680" s="3" t="s">
        <v>295</v>
      </c>
      <c r="E680" s="4">
        <v>880</v>
      </c>
      <c r="F680" s="5" t="s">
        <v>58</v>
      </c>
      <c r="G680" s="3"/>
      <c r="H680" s="3" t="s">
        <v>40</v>
      </c>
      <c r="I680" s="3" t="s">
        <v>296</v>
      </c>
    </row>
    <row r="681" spans="1:9" ht="19.95" customHeight="1" x14ac:dyDescent="0.2">
      <c r="A681" s="3" t="s">
        <v>1077</v>
      </c>
      <c r="B681" s="3" t="s">
        <v>115</v>
      </c>
      <c r="C681" s="3" t="s">
        <v>140</v>
      </c>
      <c r="D681" s="3" t="s">
        <v>115</v>
      </c>
      <c r="E681" s="4">
        <v>5900</v>
      </c>
      <c r="F681" s="5" t="s">
        <v>39</v>
      </c>
      <c r="G681" s="7">
        <v>5260</v>
      </c>
      <c r="H681" s="3" t="s">
        <v>40</v>
      </c>
      <c r="I681" s="3" t="s">
        <v>122</v>
      </c>
    </row>
    <row r="682" spans="1:9" ht="19.95" customHeight="1" x14ac:dyDescent="0.2">
      <c r="A682" s="3" t="s">
        <v>1077</v>
      </c>
      <c r="B682" s="3" t="s">
        <v>115</v>
      </c>
      <c r="C682" s="3" t="s">
        <v>308</v>
      </c>
      <c r="D682" s="3" t="s">
        <v>115</v>
      </c>
      <c r="E682" s="4">
        <v>5900</v>
      </c>
      <c r="F682" s="5" t="s">
        <v>39</v>
      </c>
      <c r="G682" s="4">
        <v>5260</v>
      </c>
      <c r="H682" s="3" t="s">
        <v>40</v>
      </c>
      <c r="I682" s="3" t="s">
        <v>122</v>
      </c>
    </row>
    <row r="683" spans="1:9" ht="19.95" customHeight="1" x14ac:dyDescent="0.2">
      <c r="A683" s="3" t="s">
        <v>1078</v>
      </c>
      <c r="B683" s="3" t="s">
        <v>91</v>
      </c>
      <c r="C683" s="3" t="s">
        <v>1079</v>
      </c>
      <c r="D683" s="3" t="s">
        <v>407</v>
      </c>
      <c r="E683" s="4">
        <v>3715.2</v>
      </c>
      <c r="F683" s="5" t="s">
        <v>39</v>
      </c>
      <c r="G683" s="4">
        <v>3307</v>
      </c>
      <c r="H683" s="3" t="s">
        <v>40</v>
      </c>
      <c r="I683" s="3" t="s">
        <v>275</v>
      </c>
    </row>
    <row r="684" spans="1:9" ht="19.95" customHeight="1" x14ac:dyDescent="0.2">
      <c r="A684" s="3" t="s">
        <v>1080</v>
      </c>
      <c r="B684" s="3" t="s">
        <v>10</v>
      </c>
      <c r="C684" s="3" t="s">
        <v>176</v>
      </c>
      <c r="D684" s="3" t="s">
        <v>85</v>
      </c>
      <c r="E684" s="4">
        <v>5200</v>
      </c>
      <c r="F684" s="5" t="s">
        <v>39</v>
      </c>
      <c r="G684" s="4">
        <v>4320</v>
      </c>
      <c r="H684" s="3" t="s">
        <v>40</v>
      </c>
      <c r="I684" s="3" t="s">
        <v>433</v>
      </c>
    </row>
    <row r="685" spans="1:9" ht="19.95" customHeight="1" x14ac:dyDescent="0.2">
      <c r="A685" s="3" t="s">
        <v>1081</v>
      </c>
      <c r="B685" s="3" t="s">
        <v>91</v>
      </c>
      <c r="C685" s="3" t="s">
        <v>146</v>
      </c>
      <c r="D685" s="3" t="s">
        <v>93</v>
      </c>
      <c r="E685" s="4">
        <v>10609</v>
      </c>
      <c r="F685" s="5" t="s">
        <v>249</v>
      </c>
      <c r="G685" s="4">
        <v>9451</v>
      </c>
      <c r="H685" s="3" t="s">
        <v>63</v>
      </c>
      <c r="I685" s="3" t="s">
        <v>210</v>
      </c>
    </row>
    <row r="686" spans="1:9" ht="19.95" customHeight="1" x14ac:dyDescent="0.2">
      <c r="A686" s="3" t="s">
        <v>1082</v>
      </c>
      <c r="B686" s="3" t="s">
        <v>45</v>
      </c>
      <c r="C686" s="3" t="s">
        <v>37</v>
      </c>
      <c r="D686" s="3" t="s">
        <v>402</v>
      </c>
      <c r="E686" s="4">
        <v>6600</v>
      </c>
      <c r="F686" s="5" t="s">
        <v>39</v>
      </c>
      <c r="G686" s="4">
        <v>5676</v>
      </c>
      <c r="H686" s="3" t="s">
        <v>40</v>
      </c>
      <c r="I686" s="3" t="s">
        <v>229</v>
      </c>
    </row>
    <row r="687" spans="1:9" ht="19.95" customHeight="1" x14ac:dyDescent="0.2">
      <c r="A687" s="3" t="s">
        <v>1082</v>
      </c>
      <c r="B687" s="3" t="s">
        <v>45</v>
      </c>
      <c r="C687" s="3" t="s">
        <v>375</v>
      </c>
      <c r="D687" s="3" t="s">
        <v>402</v>
      </c>
      <c r="E687" s="4">
        <v>3696</v>
      </c>
      <c r="F687" s="5" t="s">
        <v>39</v>
      </c>
      <c r="G687" s="7">
        <v>3179</v>
      </c>
      <c r="H687" s="3" t="s">
        <v>40</v>
      </c>
      <c r="I687" s="3" t="s">
        <v>229</v>
      </c>
    </row>
    <row r="688" spans="1:9" ht="19.95" customHeight="1" x14ac:dyDescent="0.2">
      <c r="A688" s="3" t="s">
        <v>1083</v>
      </c>
      <c r="B688" s="3" t="s">
        <v>45</v>
      </c>
      <c r="C688" s="3" t="s">
        <v>37</v>
      </c>
      <c r="D688" s="3" t="s">
        <v>402</v>
      </c>
      <c r="E688" s="4">
        <v>2150</v>
      </c>
      <c r="F688" s="5" t="s">
        <v>39</v>
      </c>
      <c r="G688" s="4">
        <v>1849</v>
      </c>
      <c r="H688" s="3" t="s">
        <v>40</v>
      </c>
      <c r="I688" s="3" t="s">
        <v>229</v>
      </c>
    </row>
    <row r="689" spans="1:9" ht="19.95" customHeight="1" x14ac:dyDescent="0.2">
      <c r="A689" s="3" t="s">
        <v>1083</v>
      </c>
      <c r="B689" s="3" t="s">
        <v>45</v>
      </c>
      <c r="C689" s="3" t="s">
        <v>375</v>
      </c>
      <c r="D689" s="3" t="s">
        <v>402</v>
      </c>
      <c r="E689" s="4">
        <v>1204</v>
      </c>
      <c r="F689" s="5" t="s">
        <v>39</v>
      </c>
      <c r="G689" s="4">
        <v>1035</v>
      </c>
      <c r="H689" s="3" t="s">
        <v>40</v>
      </c>
      <c r="I689" s="3" t="s">
        <v>229</v>
      </c>
    </row>
    <row r="690" spans="1:9" ht="19.95" customHeight="1" x14ac:dyDescent="0.2">
      <c r="A690" s="3" t="s">
        <v>1084</v>
      </c>
      <c r="B690" s="3" t="s">
        <v>91</v>
      </c>
      <c r="C690" s="3" t="s">
        <v>37</v>
      </c>
      <c r="D690" s="3" t="s">
        <v>477</v>
      </c>
      <c r="E690" s="4">
        <v>900</v>
      </c>
      <c r="F690" s="5" t="s">
        <v>39</v>
      </c>
      <c r="G690" s="4">
        <v>802</v>
      </c>
      <c r="H690" s="3" t="s">
        <v>40</v>
      </c>
      <c r="I690" s="3" t="s">
        <v>541</v>
      </c>
    </row>
    <row r="691" spans="1:9" ht="19.95" customHeight="1" x14ac:dyDescent="0.2">
      <c r="A691" s="3" t="s">
        <v>1085</v>
      </c>
      <c r="B691" s="3" t="s">
        <v>10</v>
      </c>
      <c r="C691" s="3" t="s">
        <v>37</v>
      </c>
      <c r="D691" s="3" t="s">
        <v>1027</v>
      </c>
      <c r="E691" s="4">
        <v>1010</v>
      </c>
      <c r="F691" s="5" t="s">
        <v>39</v>
      </c>
      <c r="G691" s="4">
        <v>918</v>
      </c>
      <c r="H691" s="3" t="s">
        <v>40</v>
      </c>
      <c r="I691" s="3" t="s">
        <v>275</v>
      </c>
    </row>
    <row r="692" spans="1:9" ht="19.95" customHeight="1" x14ac:dyDescent="0.2">
      <c r="A692" s="3" t="s">
        <v>1086</v>
      </c>
      <c r="B692" s="3" t="s">
        <v>110</v>
      </c>
      <c r="C692" s="3" t="s">
        <v>1087</v>
      </c>
      <c r="D692" s="3" t="s">
        <v>109</v>
      </c>
      <c r="E692" s="4">
        <v>6560</v>
      </c>
      <c r="F692" s="5" t="s">
        <v>111</v>
      </c>
      <c r="G692" s="4">
        <v>5921</v>
      </c>
      <c r="H692" s="3" t="s">
        <v>81</v>
      </c>
      <c r="I692" s="3" t="s">
        <v>369</v>
      </c>
    </row>
    <row r="693" spans="1:9" ht="19.95" customHeight="1" x14ac:dyDescent="0.2">
      <c r="A693" s="3" t="s">
        <v>1088</v>
      </c>
      <c r="B693" s="3" t="s">
        <v>10</v>
      </c>
      <c r="C693" s="3" t="s">
        <v>84</v>
      </c>
      <c r="D693" s="3" t="s">
        <v>262</v>
      </c>
      <c r="E693" s="4">
        <v>960</v>
      </c>
      <c r="F693" s="5" t="s">
        <v>14</v>
      </c>
      <c r="G693" s="4">
        <v>870</v>
      </c>
      <c r="H693" s="3" t="s">
        <v>40</v>
      </c>
      <c r="I693" s="3" t="s">
        <v>64</v>
      </c>
    </row>
    <row r="694" spans="1:9" ht="19.95" customHeight="1" x14ac:dyDescent="0.2">
      <c r="A694" s="3" t="s">
        <v>1089</v>
      </c>
      <c r="B694" s="3" t="s">
        <v>10</v>
      </c>
      <c r="C694" s="3" t="s">
        <v>69</v>
      </c>
      <c r="D694" s="3" t="s">
        <v>262</v>
      </c>
      <c r="E694" s="4">
        <v>1040</v>
      </c>
      <c r="F694" s="5" t="s">
        <v>39</v>
      </c>
      <c r="G694" s="4">
        <v>840</v>
      </c>
      <c r="H694" s="3" t="s">
        <v>40</v>
      </c>
      <c r="I694" s="3" t="s">
        <v>64</v>
      </c>
    </row>
    <row r="695" spans="1:9" ht="19.95" customHeight="1" x14ac:dyDescent="0.2">
      <c r="A695" s="3" t="s">
        <v>1089</v>
      </c>
      <c r="B695" s="3" t="s">
        <v>10</v>
      </c>
      <c r="C695" s="3" t="s">
        <v>140</v>
      </c>
      <c r="D695" s="3" t="s">
        <v>262</v>
      </c>
      <c r="E695" s="4">
        <v>10400</v>
      </c>
      <c r="F695" s="5" t="s">
        <v>39</v>
      </c>
      <c r="G695" s="4">
        <v>8400</v>
      </c>
      <c r="H695" s="3" t="s">
        <v>40</v>
      </c>
      <c r="I695" s="3" t="s">
        <v>64</v>
      </c>
    </row>
    <row r="696" spans="1:9" ht="19.95" customHeight="1" x14ac:dyDescent="0.2">
      <c r="A696" s="3" t="s">
        <v>1090</v>
      </c>
      <c r="B696" s="3" t="s">
        <v>45</v>
      </c>
      <c r="C696" s="3" t="s">
        <v>69</v>
      </c>
      <c r="D696" s="3" t="s">
        <v>57</v>
      </c>
      <c r="E696" s="4">
        <v>30360</v>
      </c>
      <c r="F696" s="5" t="s">
        <v>39</v>
      </c>
      <c r="G696" s="4">
        <v>26110</v>
      </c>
      <c r="H696" s="3" t="s">
        <v>40</v>
      </c>
      <c r="I696" s="3" t="s">
        <v>1091</v>
      </c>
    </row>
    <row r="697" spans="1:9" ht="19.95" customHeight="1" x14ac:dyDescent="0.2">
      <c r="A697" s="3" t="s">
        <v>1092</v>
      </c>
      <c r="B697" s="3" t="s">
        <v>10</v>
      </c>
      <c r="C697" s="3" t="s">
        <v>1093</v>
      </c>
      <c r="D697" s="3" t="s">
        <v>424</v>
      </c>
      <c r="E697" s="4">
        <v>6140</v>
      </c>
      <c r="F697" s="5" t="s">
        <v>585</v>
      </c>
      <c r="G697" s="4">
        <v>5240</v>
      </c>
      <c r="H697" s="3" t="s">
        <v>40</v>
      </c>
      <c r="I697" s="3" t="s">
        <v>217</v>
      </c>
    </row>
    <row r="698" spans="1:9" ht="19.95" customHeight="1" x14ac:dyDescent="0.2">
      <c r="A698" s="3" t="s">
        <v>1094</v>
      </c>
      <c r="B698" s="3" t="s">
        <v>45</v>
      </c>
      <c r="C698" s="3" t="s">
        <v>37</v>
      </c>
      <c r="D698" s="3" t="s">
        <v>38</v>
      </c>
      <c r="E698" s="4">
        <v>840</v>
      </c>
      <c r="F698" s="5" t="s">
        <v>39</v>
      </c>
      <c r="G698" s="4">
        <v>748</v>
      </c>
      <c r="H698" s="3" t="s">
        <v>40</v>
      </c>
      <c r="I698" s="3" t="s">
        <v>314</v>
      </c>
    </row>
    <row r="699" spans="1:9" ht="19.95" customHeight="1" x14ac:dyDescent="0.2">
      <c r="A699" s="3" t="s">
        <v>1095</v>
      </c>
      <c r="B699" s="3" t="s">
        <v>91</v>
      </c>
      <c r="C699" s="3" t="s">
        <v>1096</v>
      </c>
      <c r="D699" s="3" t="s">
        <v>477</v>
      </c>
      <c r="E699" s="4">
        <v>1428</v>
      </c>
      <c r="F699" s="5" t="s">
        <v>58</v>
      </c>
      <c r="G699" s="7">
        <v>1252</v>
      </c>
      <c r="H699" s="3" t="s">
        <v>40</v>
      </c>
      <c r="I699" s="3" t="s">
        <v>364</v>
      </c>
    </row>
    <row r="700" spans="1:9" ht="19.95" customHeight="1" x14ac:dyDescent="0.2">
      <c r="A700" s="3" t="s">
        <v>1097</v>
      </c>
      <c r="B700" s="3" t="s">
        <v>45</v>
      </c>
      <c r="C700" s="3" t="s">
        <v>69</v>
      </c>
      <c r="D700" s="3" t="s">
        <v>747</v>
      </c>
      <c r="E700" s="4">
        <v>4240</v>
      </c>
      <c r="F700" s="5" t="s">
        <v>39</v>
      </c>
      <c r="G700" s="7">
        <v>3739</v>
      </c>
      <c r="H700" s="3" t="s">
        <v>40</v>
      </c>
      <c r="I700" s="3" t="s">
        <v>256</v>
      </c>
    </row>
    <row r="701" spans="1:9" ht="19.95" customHeight="1" x14ac:dyDescent="0.2">
      <c r="A701" s="3" t="s">
        <v>1098</v>
      </c>
      <c r="B701" s="3" t="s">
        <v>45</v>
      </c>
      <c r="C701" s="3" t="s">
        <v>69</v>
      </c>
      <c r="D701" s="3" t="s">
        <v>424</v>
      </c>
      <c r="E701" s="4">
        <v>7560</v>
      </c>
      <c r="F701" s="5" t="s">
        <v>39</v>
      </c>
      <c r="G701" s="4">
        <v>6666</v>
      </c>
      <c r="H701" s="3" t="s">
        <v>40</v>
      </c>
      <c r="I701" s="3" t="s">
        <v>256</v>
      </c>
    </row>
    <row r="702" spans="1:9" ht="19.95" customHeight="1" x14ac:dyDescent="0.2">
      <c r="A702" s="3" t="s">
        <v>1099</v>
      </c>
      <c r="B702" s="3" t="s">
        <v>10</v>
      </c>
      <c r="C702" s="3" t="s">
        <v>1100</v>
      </c>
      <c r="D702" s="3" t="s">
        <v>262</v>
      </c>
      <c r="E702" s="4">
        <v>5900</v>
      </c>
      <c r="F702" s="5" t="s">
        <v>1101</v>
      </c>
      <c r="G702" s="4">
        <v>5279</v>
      </c>
      <c r="H702" s="3" t="s">
        <v>40</v>
      </c>
      <c r="I702" s="3" t="s">
        <v>137</v>
      </c>
    </row>
    <row r="703" spans="1:9" ht="19.95" customHeight="1" x14ac:dyDescent="0.2">
      <c r="A703" s="3" t="s">
        <v>1102</v>
      </c>
      <c r="B703" s="3" t="s">
        <v>10</v>
      </c>
      <c r="C703" s="3" t="s">
        <v>265</v>
      </c>
      <c r="D703" s="3" t="s">
        <v>198</v>
      </c>
      <c r="E703" s="4">
        <v>3450</v>
      </c>
      <c r="F703" s="5" t="s">
        <v>75</v>
      </c>
      <c r="G703" s="4">
        <v>3136</v>
      </c>
      <c r="H703" s="3" t="s">
        <v>40</v>
      </c>
      <c r="I703" s="3" t="s">
        <v>217</v>
      </c>
    </row>
    <row r="704" spans="1:9" ht="19.95" customHeight="1" x14ac:dyDescent="0.2">
      <c r="A704" s="3" t="s">
        <v>1103</v>
      </c>
      <c r="B704" s="3" t="s">
        <v>91</v>
      </c>
      <c r="C704" s="3" t="s">
        <v>1104</v>
      </c>
      <c r="D704" s="3" t="s">
        <v>672</v>
      </c>
      <c r="E704" s="4">
        <v>86596</v>
      </c>
      <c r="F704" s="5" t="s">
        <v>58</v>
      </c>
      <c r="G704" s="4">
        <v>77149</v>
      </c>
      <c r="H704" s="3" t="s">
        <v>40</v>
      </c>
      <c r="I704" s="3" t="s">
        <v>112</v>
      </c>
    </row>
    <row r="705" spans="1:9" ht="19.95" customHeight="1" x14ac:dyDescent="0.2">
      <c r="A705" s="3" t="s">
        <v>1105</v>
      </c>
      <c r="B705" s="3" t="s">
        <v>91</v>
      </c>
      <c r="C705" s="3" t="s">
        <v>1106</v>
      </c>
      <c r="D705" s="3" t="s">
        <v>93</v>
      </c>
      <c r="E705" s="4">
        <v>5992</v>
      </c>
      <c r="F705" s="5" t="s">
        <v>1107</v>
      </c>
      <c r="G705" s="4">
        <v>5320</v>
      </c>
      <c r="H705" s="3" t="s">
        <v>40</v>
      </c>
      <c r="I705" s="3" t="s">
        <v>220</v>
      </c>
    </row>
    <row r="706" spans="1:9" ht="19.95" customHeight="1" x14ac:dyDescent="0.2">
      <c r="A706" s="3" t="s">
        <v>1108</v>
      </c>
      <c r="B706" s="3" t="s">
        <v>91</v>
      </c>
      <c r="C706" s="3" t="s">
        <v>1106</v>
      </c>
      <c r="D706" s="3" t="s">
        <v>93</v>
      </c>
      <c r="E706" s="4">
        <v>5992</v>
      </c>
      <c r="F706" s="5" t="s">
        <v>1107</v>
      </c>
      <c r="G706" s="4">
        <v>5320</v>
      </c>
      <c r="H706" s="3" t="s">
        <v>81</v>
      </c>
      <c r="I706" s="3" t="s">
        <v>220</v>
      </c>
    </row>
    <row r="707" spans="1:9" ht="19.95" customHeight="1" x14ac:dyDescent="0.2">
      <c r="A707" s="3" t="s">
        <v>1109</v>
      </c>
      <c r="B707" s="3" t="s">
        <v>11</v>
      </c>
      <c r="C707" s="3" t="s">
        <v>1110</v>
      </c>
      <c r="D707" s="3" t="s">
        <v>93</v>
      </c>
      <c r="E707" s="4">
        <v>5778</v>
      </c>
      <c r="F707" s="5" t="s">
        <v>128</v>
      </c>
      <c r="G707" s="3"/>
      <c r="H707" s="3" t="s">
        <v>40</v>
      </c>
      <c r="I707" s="3" t="s">
        <v>220</v>
      </c>
    </row>
    <row r="708" spans="1:9" ht="19.95" customHeight="1" x14ac:dyDescent="0.2">
      <c r="A708" s="3" t="s">
        <v>1111</v>
      </c>
      <c r="B708" s="3" t="s">
        <v>45</v>
      </c>
      <c r="C708" s="3" t="s">
        <v>69</v>
      </c>
      <c r="D708" s="3" t="s">
        <v>378</v>
      </c>
      <c r="E708" s="4">
        <v>7630</v>
      </c>
      <c r="F708" s="5" t="s">
        <v>39</v>
      </c>
      <c r="G708" s="4">
        <v>4999</v>
      </c>
      <c r="H708" s="3" t="s">
        <v>40</v>
      </c>
      <c r="I708" s="3" t="s">
        <v>251</v>
      </c>
    </row>
    <row r="709" spans="1:9" ht="19.95" customHeight="1" x14ac:dyDescent="0.2">
      <c r="A709" s="3" t="s">
        <v>1112</v>
      </c>
      <c r="B709" s="3" t="s">
        <v>11</v>
      </c>
      <c r="C709" s="3" t="s">
        <v>1113</v>
      </c>
      <c r="D709" s="3" t="s">
        <v>459</v>
      </c>
      <c r="E709" s="4">
        <v>96040</v>
      </c>
      <c r="F709" s="5" t="s">
        <v>75</v>
      </c>
      <c r="G709" s="3"/>
      <c r="H709" s="3" t="s">
        <v>40</v>
      </c>
      <c r="I709" s="3" t="s">
        <v>229</v>
      </c>
    </row>
    <row r="710" spans="1:9" ht="19.95" customHeight="1" x14ac:dyDescent="0.2">
      <c r="A710" s="3" t="s">
        <v>1114</v>
      </c>
      <c r="B710" s="3" t="s">
        <v>11</v>
      </c>
      <c r="C710" s="3" t="s">
        <v>1115</v>
      </c>
      <c r="D710" s="3" t="s">
        <v>459</v>
      </c>
      <c r="E710" s="4">
        <v>137200</v>
      </c>
      <c r="F710" s="5" t="s">
        <v>75</v>
      </c>
      <c r="G710" s="3"/>
      <c r="H710" s="3" t="s">
        <v>40</v>
      </c>
      <c r="I710" s="3" t="s">
        <v>229</v>
      </c>
    </row>
    <row r="711" spans="1:9" ht="19.95" customHeight="1" x14ac:dyDescent="0.2">
      <c r="A711" s="3" t="s">
        <v>1116</v>
      </c>
      <c r="B711" s="3" t="s">
        <v>10</v>
      </c>
      <c r="C711" s="3" t="s">
        <v>338</v>
      </c>
      <c r="D711" s="3" t="s">
        <v>327</v>
      </c>
      <c r="E711" s="4">
        <v>3962</v>
      </c>
      <c r="F711" s="5" t="s">
        <v>80</v>
      </c>
      <c r="G711" s="4">
        <v>3500</v>
      </c>
      <c r="H711" s="3" t="s">
        <v>81</v>
      </c>
      <c r="I711" s="3" t="s">
        <v>732</v>
      </c>
    </row>
    <row r="712" spans="1:9" ht="19.95" customHeight="1" x14ac:dyDescent="0.2">
      <c r="A712" s="3" t="s">
        <v>1117</v>
      </c>
      <c r="B712" s="3" t="s">
        <v>10</v>
      </c>
      <c r="C712" s="3" t="s">
        <v>1063</v>
      </c>
      <c r="D712" s="3" t="s">
        <v>767</v>
      </c>
      <c r="E712" s="4">
        <v>3775</v>
      </c>
      <c r="F712" s="5" t="s">
        <v>75</v>
      </c>
      <c r="G712" s="4">
        <v>3160</v>
      </c>
      <c r="H712" s="3" t="s">
        <v>63</v>
      </c>
      <c r="I712" s="3" t="s">
        <v>76</v>
      </c>
    </row>
    <row r="713" spans="1:9" ht="19.95" customHeight="1" x14ac:dyDescent="0.2">
      <c r="A713" s="3" t="s">
        <v>1118</v>
      </c>
      <c r="B713" s="3" t="s">
        <v>11</v>
      </c>
      <c r="C713" s="3" t="s">
        <v>1063</v>
      </c>
      <c r="D713" s="3" t="s">
        <v>147</v>
      </c>
      <c r="E713" s="4">
        <v>3775</v>
      </c>
      <c r="F713" s="5" t="s">
        <v>75</v>
      </c>
      <c r="G713" s="3"/>
      <c r="H713" s="3" t="s">
        <v>63</v>
      </c>
      <c r="I713" s="3" t="s">
        <v>76</v>
      </c>
    </row>
    <row r="714" spans="1:9" ht="19.95" customHeight="1" x14ac:dyDescent="0.2">
      <c r="A714" s="3" t="s">
        <v>1119</v>
      </c>
      <c r="B714" s="3" t="s">
        <v>10</v>
      </c>
      <c r="C714" s="3" t="s">
        <v>69</v>
      </c>
      <c r="D714" s="3" t="s">
        <v>85</v>
      </c>
      <c r="E714" s="4">
        <v>15910</v>
      </c>
      <c r="F714" s="5" t="s">
        <v>39</v>
      </c>
      <c r="G714" s="4">
        <v>13691</v>
      </c>
      <c r="H714" s="3" t="s">
        <v>40</v>
      </c>
      <c r="I714" s="3" t="s">
        <v>232</v>
      </c>
    </row>
    <row r="715" spans="1:9" ht="19.95" customHeight="1" x14ac:dyDescent="0.2">
      <c r="A715" s="3" t="s">
        <v>1119</v>
      </c>
      <c r="B715" s="3" t="s">
        <v>10</v>
      </c>
      <c r="C715" s="3" t="s">
        <v>176</v>
      </c>
      <c r="D715" s="3" t="s">
        <v>85</v>
      </c>
      <c r="E715" s="4">
        <v>79550</v>
      </c>
      <c r="F715" s="5" t="s">
        <v>39</v>
      </c>
      <c r="G715" s="4">
        <v>68456</v>
      </c>
      <c r="H715" s="3" t="s">
        <v>40</v>
      </c>
      <c r="I715" s="3" t="s">
        <v>232</v>
      </c>
    </row>
    <row r="716" spans="1:9" ht="19.95" customHeight="1" x14ac:dyDescent="0.2">
      <c r="A716" s="3" t="s">
        <v>1120</v>
      </c>
      <c r="B716" s="3" t="s">
        <v>10</v>
      </c>
      <c r="C716" s="3" t="s">
        <v>176</v>
      </c>
      <c r="D716" s="3" t="s">
        <v>85</v>
      </c>
      <c r="E716" s="4">
        <v>147900</v>
      </c>
      <c r="F716" s="5" t="s">
        <v>39</v>
      </c>
      <c r="G716" s="4">
        <v>127000</v>
      </c>
      <c r="H716" s="3" t="s">
        <v>40</v>
      </c>
      <c r="I716" s="3" t="s">
        <v>232</v>
      </c>
    </row>
    <row r="717" spans="1:9" ht="19.95" customHeight="1" x14ac:dyDescent="0.2">
      <c r="A717" s="3" t="s">
        <v>1120</v>
      </c>
      <c r="B717" s="3" t="s">
        <v>10</v>
      </c>
      <c r="C717" s="3" t="s">
        <v>69</v>
      </c>
      <c r="D717" s="3" t="s">
        <v>85</v>
      </c>
      <c r="E717" s="4">
        <v>29580</v>
      </c>
      <c r="F717" s="5" t="s">
        <v>39</v>
      </c>
      <c r="G717" s="4">
        <v>25400</v>
      </c>
      <c r="H717" s="3" t="s">
        <v>40</v>
      </c>
      <c r="I717" s="3" t="s">
        <v>232</v>
      </c>
    </row>
    <row r="718" spans="1:9" ht="19.95" customHeight="1" x14ac:dyDescent="0.2">
      <c r="A718" s="3" t="s">
        <v>1121</v>
      </c>
      <c r="B718" s="3" t="s">
        <v>11</v>
      </c>
      <c r="C718" s="3" t="s">
        <v>1122</v>
      </c>
      <c r="D718" s="3" t="s">
        <v>246</v>
      </c>
      <c r="E718" s="4">
        <v>6197</v>
      </c>
      <c r="F718" s="5" t="s">
        <v>98</v>
      </c>
      <c r="G718" s="3"/>
      <c r="H718" s="3" t="s">
        <v>81</v>
      </c>
      <c r="I718" s="3" t="s">
        <v>112</v>
      </c>
    </row>
    <row r="719" spans="1:9" ht="19.95" customHeight="1" x14ac:dyDescent="0.2">
      <c r="A719" s="3" t="s">
        <v>1123</v>
      </c>
      <c r="B719" s="3" t="s">
        <v>115</v>
      </c>
      <c r="C719" s="3" t="s">
        <v>192</v>
      </c>
      <c r="D719" s="3" t="s">
        <v>115</v>
      </c>
      <c r="E719" s="4">
        <v>5670</v>
      </c>
      <c r="F719" s="5" t="s">
        <v>39</v>
      </c>
      <c r="G719" s="4">
        <v>4365</v>
      </c>
      <c r="H719" s="3" t="s">
        <v>40</v>
      </c>
      <c r="I719" s="3" t="s">
        <v>229</v>
      </c>
    </row>
    <row r="720" spans="1:9" ht="19.95" customHeight="1" x14ac:dyDescent="0.2">
      <c r="A720" s="3" t="s">
        <v>1123</v>
      </c>
      <c r="B720" s="3" t="s">
        <v>115</v>
      </c>
      <c r="C720" s="3" t="s">
        <v>69</v>
      </c>
      <c r="D720" s="3" t="s">
        <v>115</v>
      </c>
      <c r="E720" s="4">
        <v>1890</v>
      </c>
      <c r="F720" s="5" t="s">
        <v>39</v>
      </c>
      <c r="G720" s="4">
        <v>1455</v>
      </c>
      <c r="H720" s="3" t="s">
        <v>40</v>
      </c>
      <c r="I720" s="3" t="s">
        <v>229</v>
      </c>
    </row>
    <row r="721" spans="1:9" ht="19.95" customHeight="1" x14ac:dyDescent="0.2">
      <c r="A721" s="3" t="s">
        <v>1124</v>
      </c>
      <c r="B721" s="3" t="s">
        <v>115</v>
      </c>
      <c r="C721" s="3" t="s">
        <v>37</v>
      </c>
      <c r="D721" s="3" t="s">
        <v>115</v>
      </c>
      <c r="E721" s="4">
        <v>2870</v>
      </c>
      <c r="F721" s="5" t="s">
        <v>39</v>
      </c>
      <c r="G721" s="4">
        <v>2382</v>
      </c>
      <c r="H721" s="3" t="s">
        <v>40</v>
      </c>
      <c r="I721" s="3" t="s">
        <v>251</v>
      </c>
    </row>
    <row r="722" spans="1:9" ht="19.95" customHeight="1" x14ac:dyDescent="0.2">
      <c r="A722" s="3" t="s">
        <v>1124</v>
      </c>
      <c r="B722" s="3" t="s">
        <v>115</v>
      </c>
      <c r="C722" s="3" t="s">
        <v>395</v>
      </c>
      <c r="D722" s="3" t="s">
        <v>115</v>
      </c>
      <c r="E722" s="4">
        <v>4018</v>
      </c>
      <c r="F722" s="5" t="s">
        <v>39</v>
      </c>
      <c r="G722" s="4">
        <v>3335</v>
      </c>
      <c r="H722" s="3" t="s">
        <v>40</v>
      </c>
      <c r="I722" s="3" t="s">
        <v>251</v>
      </c>
    </row>
    <row r="723" spans="1:9" ht="19.95" customHeight="1" x14ac:dyDescent="0.2">
      <c r="A723" s="3" t="s">
        <v>1125</v>
      </c>
      <c r="B723" s="3" t="s">
        <v>115</v>
      </c>
      <c r="C723" s="3" t="s">
        <v>69</v>
      </c>
      <c r="D723" s="3" t="s">
        <v>115</v>
      </c>
      <c r="E723" s="4">
        <v>1170</v>
      </c>
      <c r="F723" s="5" t="s">
        <v>39</v>
      </c>
      <c r="G723" s="4">
        <v>971</v>
      </c>
      <c r="H723" s="3" t="s">
        <v>40</v>
      </c>
      <c r="I723" s="3" t="s">
        <v>251</v>
      </c>
    </row>
    <row r="724" spans="1:9" ht="19.95" customHeight="1" x14ac:dyDescent="0.2">
      <c r="A724" s="3" t="s">
        <v>1125</v>
      </c>
      <c r="B724" s="3" t="s">
        <v>115</v>
      </c>
      <c r="C724" s="3" t="s">
        <v>622</v>
      </c>
      <c r="D724" s="3" t="s">
        <v>115</v>
      </c>
      <c r="E724" s="4">
        <v>1638</v>
      </c>
      <c r="F724" s="5" t="s">
        <v>39</v>
      </c>
      <c r="G724" s="4">
        <v>1360</v>
      </c>
      <c r="H724" s="3" t="s">
        <v>40</v>
      </c>
      <c r="I724" s="3" t="s">
        <v>251</v>
      </c>
    </row>
    <row r="725" spans="1:9" ht="19.95" customHeight="1" x14ac:dyDescent="0.2">
      <c r="A725" s="3" t="s">
        <v>1126</v>
      </c>
      <c r="B725" s="3" t="s">
        <v>115</v>
      </c>
      <c r="C725" s="3" t="s">
        <v>133</v>
      </c>
      <c r="D725" s="3" t="s">
        <v>115</v>
      </c>
      <c r="E725" s="4">
        <v>5650</v>
      </c>
      <c r="F725" s="5" t="s">
        <v>39</v>
      </c>
      <c r="G725" s="4">
        <v>4520</v>
      </c>
      <c r="H725" s="3" t="s">
        <v>40</v>
      </c>
      <c r="I725" s="3" t="s">
        <v>317</v>
      </c>
    </row>
    <row r="726" spans="1:9" ht="19.95" customHeight="1" x14ac:dyDescent="0.2">
      <c r="A726" s="3" t="s">
        <v>1127</v>
      </c>
      <c r="B726" s="3" t="s">
        <v>45</v>
      </c>
      <c r="C726" s="3" t="s">
        <v>1128</v>
      </c>
      <c r="D726" s="3" t="s">
        <v>355</v>
      </c>
      <c r="E726" s="4">
        <v>3820</v>
      </c>
      <c r="F726" s="5" t="s">
        <v>80</v>
      </c>
      <c r="G726" s="4">
        <v>3323</v>
      </c>
      <c r="H726" s="3" t="s">
        <v>81</v>
      </c>
      <c r="I726" s="3" t="s">
        <v>82</v>
      </c>
    </row>
    <row r="727" spans="1:9" ht="19.95" customHeight="1" x14ac:dyDescent="0.2">
      <c r="A727" s="3" t="s">
        <v>1129</v>
      </c>
      <c r="B727" s="3" t="s">
        <v>45</v>
      </c>
      <c r="C727" s="3" t="s">
        <v>1130</v>
      </c>
      <c r="D727" s="3" t="s">
        <v>355</v>
      </c>
      <c r="E727" s="4">
        <v>2098</v>
      </c>
      <c r="F727" s="5" t="s">
        <v>249</v>
      </c>
      <c r="G727" s="7">
        <v>1783</v>
      </c>
      <c r="H727" s="3" t="s">
        <v>81</v>
      </c>
      <c r="I727" s="3" t="s">
        <v>82</v>
      </c>
    </row>
    <row r="728" spans="1:9" ht="19.95" customHeight="1" x14ac:dyDescent="0.2">
      <c r="A728" s="3" t="s">
        <v>1131</v>
      </c>
      <c r="B728" s="3" t="s">
        <v>10</v>
      </c>
      <c r="C728" s="3" t="s">
        <v>37</v>
      </c>
      <c r="D728" s="3" t="s">
        <v>459</v>
      </c>
      <c r="E728" s="4">
        <v>660</v>
      </c>
      <c r="F728" s="5" t="s">
        <v>39</v>
      </c>
      <c r="G728" s="4">
        <v>568</v>
      </c>
      <c r="H728" s="3" t="s">
        <v>40</v>
      </c>
      <c r="I728" s="3" t="s">
        <v>314</v>
      </c>
    </row>
    <row r="729" spans="1:9" ht="19.95" customHeight="1" x14ac:dyDescent="0.2">
      <c r="A729" s="3" t="s">
        <v>1132</v>
      </c>
      <c r="B729" s="3" t="s">
        <v>10</v>
      </c>
      <c r="C729" s="3" t="s">
        <v>37</v>
      </c>
      <c r="D729" s="3" t="s">
        <v>1133</v>
      </c>
      <c r="E729" s="4">
        <v>1040</v>
      </c>
      <c r="F729" s="5" t="s">
        <v>39</v>
      </c>
      <c r="G729" s="7">
        <v>945</v>
      </c>
      <c r="H729" s="3" t="s">
        <v>40</v>
      </c>
      <c r="I729" s="3" t="s">
        <v>195</v>
      </c>
    </row>
    <row r="730" spans="1:9" ht="19.95" customHeight="1" x14ac:dyDescent="0.2">
      <c r="A730" s="3" t="s">
        <v>1134</v>
      </c>
      <c r="B730" s="3" t="s">
        <v>10</v>
      </c>
      <c r="C730" s="3" t="s">
        <v>37</v>
      </c>
      <c r="D730" s="3" t="s">
        <v>70</v>
      </c>
      <c r="E730" s="4">
        <v>41130</v>
      </c>
      <c r="F730" s="5" t="s">
        <v>39</v>
      </c>
      <c r="G730" s="7">
        <v>35730</v>
      </c>
      <c r="H730" s="3" t="s">
        <v>40</v>
      </c>
      <c r="I730" s="3" t="s">
        <v>358</v>
      </c>
    </row>
    <row r="731" spans="1:9" ht="19.95" customHeight="1" x14ac:dyDescent="0.2">
      <c r="A731" s="3" t="s">
        <v>1135</v>
      </c>
      <c r="B731" s="3" t="s">
        <v>11</v>
      </c>
      <c r="C731" s="3" t="s">
        <v>1136</v>
      </c>
      <c r="D731" s="3" t="s">
        <v>715</v>
      </c>
      <c r="E731" s="4">
        <v>33070</v>
      </c>
      <c r="F731" s="5" t="s">
        <v>98</v>
      </c>
      <c r="G731" s="3"/>
      <c r="H731" s="3" t="s">
        <v>81</v>
      </c>
      <c r="I731" s="3" t="s">
        <v>275</v>
      </c>
    </row>
    <row r="732" spans="1:9" ht="19.95" customHeight="1" x14ac:dyDescent="0.2">
      <c r="A732" s="3" t="s">
        <v>1137</v>
      </c>
      <c r="B732" s="3" t="s">
        <v>45</v>
      </c>
      <c r="C732" s="3" t="s">
        <v>338</v>
      </c>
      <c r="D732" s="3" t="s">
        <v>284</v>
      </c>
      <c r="E732" s="4">
        <v>13032</v>
      </c>
      <c r="F732" s="5" t="s">
        <v>80</v>
      </c>
      <c r="G732" s="4">
        <v>10895</v>
      </c>
      <c r="H732" s="3" t="s">
        <v>81</v>
      </c>
      <c r="I732" s="3" t="s">
        <v>232</v>
      </c>
    </row>
    <row r="733" spans="1:9" ht="19.95" customHeight="1" x14ac:dyDescent="0.2">
      <c r="A733" s="3" t="s">
        <v>1138</v>
      </c>
      <c r="B733" s="3" t="s">
        <v>11</v>
      </c>
      <c r="C733" s="3" t="s">
        <v>332</v>
      </c>
      <c r="D733" s="3" t="s">
        <v>284</v>
      </c>
      <c r="E733" s="4">
        <v>16654</v>
      </c>
      <c r="F733" s="5" t="s">
        <v>80</v>
      </c>
      <c r="G733" s="6"/>
      <c r="H733" s="3" t="s">
        <v>81</v>
      </c>
      <c r="I733" s="3" t="s">
        <v>232</v>
      </c>
    </row>
    <row r="734" spans="1:9" ht="19.95" customHeight="1" x14ac:dyDescent="0.2">
      <c r="A734" s="3" t="s">
        <v>1139</v>
      </c>
      <c r="B734" s="3" t="s">
        <v>45</v>
      </c>
      <c r="C734" s="3" t="s">
        <v>1140</v>
      </c>
      <c r="D734" s="3" t="s">
        <v>284</v>
      </c>
      <c r="E734" s="4">
        <v>19680</v>
      </c>
      <c r="F734" s="5" t="s">
        <v>80</v>
      </c>
      <c r="G734" s="4">
        <v>16452</v>
      </c>
      <c r="H734" s="3" t="s">
        <v>81</v>
      </c>
      <c r="I734" s="3" t="s">
        <v>232</v>
      </c>
    </row>
    <row r="735" spans="1:9" ht="19.95" customHeight="1" x14ac:dyDescent="0.2">
      <c r="A735" s="3" t="s">
        <v>1141</v>
      </c>
      <c r="B735" s="3" t="s">
        <v>11</v>
      </c>
      <c r="C735" s="3" t="s">
        <v>1140</v>
      </c>
      <c r="D735" s="3" t="s">
        <v>284</v>
      </c>
      <c r="E735" s="4">
        <v>19680</v>
      </c>
      <c r="F735" s="5" t="s">
        <v>80</v>
      </c>
      <c r="G735" s="3"/>
      <c r="H735" s="3" t="s">
        <v>81</v>
      </c>
      <c r="I735" s="3" t="s">
        <v>232</v>
      </c>
    </row>
    <row r="736" spans="1:9" ht="19.95" customHeight="1" x14ac:dyDescent="0.2">
      <c r="A736" s="3" t="s">
        <v>1142</v>
      </c>
      <c r="B736" s="3" t="s">
        <v>45</v>
      </c>
      <c r="C736" s="3" t="s">
        <v>84</v>
      </c>
      <c r="D736" s="3" t="s">
        <v>284</v>
      </c>
      <c r="E736" s="4">
        <v>8420</v>
      </c>
      <c r="F736" s="5" t="s">
        <v>14</v>
      </c>
      <c r="G736" s="4">
        <v>6904</v>
      </c>
      <c r="H736" s="3" t="s">
        <v>40</v>
      </c>
      <c r="I736" s="3" t="s">
        <v>232</v>
      </c>
    </row>
    <row r="737" spans="1:9" ht="19.95" customHeight="1" x14ac:dyDescent="0.2">
      <c r="A737" s="3" t="s">
        <v>1143</v>
      </c>
      <c r="B737" s="3" t="s">
        <v>45</v>
      </c>
      <c r="C737" s="3" t="s">
        <v>308</v>
      </c>
      <c r="D737" s="3" t="s">
        <v>284</v>
      </c>
      <c r="E737" s="4">
        <v>11900</v>
      </c>
      <c r="F737" s="5" t="s">
        <v>39</v>
      </c>
      <c r="G737" s="4">
        <v>9758</v>
      </c>
      <c r="H737" s="3" t="s">
        <v>40</v>
      </c>
      <c r="I737" s="3" t="s">
        <v>232</v>
      </c>
    </row>
    <row r="738" spans="1:9" ht="19.95" customHeight="1" x14ac:dyDescent="0.2">
      <c r="A738" s="3" t="s">
        <v>1143</v>
      </c>
      <c r="B738" s="3" t="s">
        <v>45</v>
      </c>
      <c r="C738" s="3" t="s">
        <v>37</v>
      </c>
      <c r="D738" s="3" t="s">
        <v>284</v>
      </c>
      <c r="E738" s="4">
        <v>1190</v>
      </c>
      <c r="F738" s="5" t="s">
        <v>39</v>
      </c>
      <c r="G738" s="7">
        <v>976</v>
      </c>
      <c r="H738" s="3" t="s">
        <v>40</v>
      </c>
      <c r="I738" s="3" t="s">
        <v>232</v>
      </c>
    </row>
    <row r="739" spans="1:9" ht="19.95" customHeight="1" x14ac:dyDescent="0.2">
      <c r="A739" s="3" t="s">
        <v>1144</v>
      </c>
      <c r="B739" s="3" t="s">
        <v>45</v>
      </c>
      <c r="C739" s="3" t="s">
        <v>37</v>
      </c>
      <c r="D739" s="3" t="s">
        <v>284</v>
      </c>
      <c r="E739" s="4">
        <v>1930</v>
      </c>
      <c r="F739" s="5" t="s">
        <v>39</v>
      </c>
      <c r="G739" s="4">
        <v>1583</v>
      </c>
      <c r="H739" s="3" t="s">
        <v>40</v>
      </c>
      <c r="I739" s="3" t="s">
        <v>232</v>
      </c>
    </row>
    <row r="740" spans="1:9" ht="19.95" customHeight="1" x14ac:dyDescent="0.2">
      <c r="A740" s="3" t="s">
        <v>1144</v>
      </c>
      <c r="B740" s="3" t="s">
        <v>45</v>
      </c>
      <c r="C740" s="3" t="s">
        <v>308</v>
      </c>
      <c r="D740" s="3" t="s">
        <v>284</v>
      </c>
      <c r="E740" s="4">
        <v>19300</v>
      </c>
      <c r="F740" s="5" t="s">
        <v>39</v>
      </c>
      <c r="G740" s="4">
        <v>15826</v>
      </c>
      <c r="H740" s="3" t="s">
        <v>40</v>
      </c>
      <c r="I740" s="3" t="s">
        <v>232</v>
      </c>
    </row>
    <row r="741" spans="1:9" ht="19.95" customHeight="1" x14ac:dyDescent="0.2">
      <c r="A741" s="3" t="s">
        <v>1145</v>
      </c>
      <c r="B741" s="3" t="s">
        <v>45</v>
      </c>
      <c r="C741" s="3" t="s">
        <v>308</v>
      </c>
      <c r="D741" s="3" t="s">
        <v>284</v>
      </c>
      <c r="E741" s="4">
        <v>26200</v>
      </c>
      <c r="F741" s="5" t="s">
        <v>39</v>
      </c>
      <c r="G741" s="4">
        <v>21484</v>
      </c>
      <c r="H741" s="3" t="s">
        <v>40</v>
      </c>
      <c r="I741" s="3" t="s">
        <v>232</v>
      </c>
    </row>
    <row r="742" spans="1:9" ht="19.95" customHeight="1" x14ac:dyDescent="0.2">
      <c r="A742" s="3" t="s">
        <v>1145</v>
      </c>
      <c r="B742" s="3" t="s">
        <v>45</v>
      </c>
      <c r="C742" s="3" t="s">
        <v>37</v>
      </c>
      <c r="D742" s="3" t="s">
        <v>284</v>
      </c>
      <c r="E742" s="4">
        <v>2620</v>
      </c>
      <c r="F742" s="5" t="s">
        <v>39</v>
      </c>
      <c r="G742" s="4">
        <v>2148</v>
      </c>
      <c r="H742" s="3" t="s">
        <v>40</v>
      </c>
      <c r="I742" s="3" t="s">
        <v>232</v>
      </c>
    </row>
    <row r="743" spans="1:9" ht="19.95" customHeight="1" x14ac:dyDescent="0.2">
      <c r="A743" s="3" t="s">
        <v>1146</v>
      </c>
      <c r="B743" s="3" t="s">
        <v>45</v>
      </c>
      <c r="C743" s="3" t="s">
        <v>1147</v>
      </c>
      <c r="D743" s="3" t="s">
        <v>284</v>
      </c>
      <c r="E743" s="4">
        <v>945</v>
      </c>
      <c r="F743" s="5" t="s">
        <v>75</v>
      </c>
      <c r="G743" s="4">
        <v>775</v>
      </c>
      <c r="H743" s="3" t="s">
        <v>40</v>
      </c>
      <c r="I743" s="3" t="s">
        <v>232</v>
      </c>
    </row>
    <row r="744" spans="1:9" ht="19.95" customHeight="1" x14ac:dyDescent="0.2">
      <c r="A744" s="3" t="s">
        <v>1148</v>
      </c>
      <c r="B744" s="3" t="s">
        <v>45</v>
      </c>
      <c r="C744" s="3" t="s">
        <v>1149</v>
      </c>
      <c r="D744" s="3" t="s">
        <v>284</v>
      </c>
      <c r="E744" s="4">
        <v>787.5</v>
      </c>
      <c r="F744" s="5" t="s">
        <v>75</v>
      </c>
      <c r="G744" s="4">
        <v>646</v>
      </c>
      <c r="H744" s="3" t="s">
        <v>40</v>
      </c>
      <c r="I744" s="3" t="s">
        <v>232</v>
      </c>
    </row>
    <row r="745" spans="1:9" ht="19.95" customHeight="1" x14ac:dyDescent="0.2">
      <c r="A745" s="3" t="s">
        <v>1150</v>
      </c>
      <c r="B745" s="3" t="s">
        <v>45</v>
      </c>
      <c r="C745" s="3" t="s">
        <v>1151</v>
      </c>
      <c r="D745" s="3" t="s">
        <v>284</v>
      </c>
      <c r="E745" s="4">
        <v>1575</v>
      </c>
      <c r="F745" s="5" t="s">
        <v>75</v>
      </c>
      <c r="G745" s="4">
        <v>1292</v>
      </c>
      <c r="H745" s="3" t="s">
        <v>40</v>
      </c>
      <c r="I745" s="3" t="s">
        <v>232</v>
      </c>
    </row>
    <row r="746" spans="1:9" ht="19.95" customHeight="1" x14ac:dyDescent="0.2">
      <c r="A746" s="3" t="s">
        <v>1152</v>
      </c>
      <c r="B746" s="3" t="s">
        <v>45</v>
      </c>
      <c r="C746" s="3" t="s">
        <v>69</v>
      </c>
      <c r="D746" s="3" t="s">
        <v>319</v>
      </c>
      <c r="E746" s="4">
        <v>1040</v>
      </c>
      <c r="F746" s="5" t="s">
        <v>11</v>
      </c>
      <c r="G746" s="4">
        <v>676</v>
      </c>
      <c r="H746" s="3" t="s">
        <v>40</v>
      </c>
      <c r="I746" s="3" t="s">
        <v>232</v>
      </c>
    </row>
    <row r="747" spans="1:9" ht="19.95" customHeight="1" x14ac:dyDescent="0.2">
      <c r="A747" s="3" t="s">
        <v>1152</v>
      </c>
      <c r="B747" s="3" t="s">
        <v>45</v>
      </c>
      <c r="C747" s="3" t="s">
        <v>176</v>
      </c>
      <c r="D747" s="3" t="s">
        <v>319</v>
      </c>
      <c r="E747" s="4">
        <v>5200</v>
      </c>
      <c r="F747" s="5" t="s">
        <v>11</v>
      </c>
      <c r="G747" s="4">
        <v>3380</v>
      </c>
      <c r="H747" s="3" t="s">
        <v>40</v>
      </c>
      <c r="I747" s="3" t="s">
        <v>232</v>
      </c>
    </row>
    <row r="748" spans="1:9" ht="19.95" customHeight="1" x14ac:dyDescent="0.2">
      <c r="A748" s="3" t="s">
        <v>1153</v>
      </c>
      <c r="B748" s="3" t="s">
        <v>45</v>
      </c>
      <c r="C748" s="3" t="s">
        <v>176</v>
      </c>
      <c r="D748" s="3" t="s">
        <v>319</v>
      </c>
      <c r="E748" s="4">
        <v>5200</v>
      </c>
      <c r="F748" s="5" t="s">
        <v>11</v>
      </c>
      <c r="G748" s="4">
        <v>3380</v>
      </c>
      <c r="H748" s="3" t="s">
        <v>40</v>
      </c>
      <c r="I748" s="3" t="s">
        <v>232</v>
      </c>
    </row>
    <row r="749" spans="1:9" ht="19.95" customHeight="1" x14ac:dyDescent="0.2">
      <c r="A749" s="3" t="s">
        <v>1153</v>
      </c>
      <c r="B749" s="3" t="s">
        <v>45</v>
      </c>
      <c r="C749" s="3" t="s">
        <v>69</v>
      </c>
      <c r="D749" s="3" t="s">
        <v>319</v>
      </c>
      <c r="E749" s="4">
        <v>1040</v>
      </c>
      <c r="F749" s="5" t="s">
        <v>39</v>
      </c>
      <c r="G749" s="4">
        <v>676</v>
      </c>
      <c r="H749" s="3" t="s">
        <v>40</v>
      </c>
      <c r="I749" s="3" t="s">
        <v>232</v>
      </c>
    </row>
    <row r="750" spans="1:9" ht="19.95" customHeight="1" x14ac:dyDescent="0.2">
      <c r="A750" s="3" t="s">
        <v>1154</v>
      </c>
      <c r="B750" s="3" t="s">
        <v>45</v>
      </c>
      <c r="C750" s="3" t="s">
        <v>176</v>
      </c>
      <c r="D750" s="3" t="s">
        <v>319</v>
      </c>
      <c r="E750" s="4">
        <v>5200</v>
      </c>
      <c r="F750" s="5" t="s">
        <v>11</v>
      </c>
      <c r="G750" s="4">
        <v>4370</v>
      </c>
      <c r="H750" s="3" t="s">
        <v>40</v>
      </c>
      <c r="I750" s="3" t="s">
        <v>232</v>
      </c>
    </row>
    <row r="751" spans="1:9" ht="19.95" customHeight="1" x14ac:dyDescent="0.2">
      <c r="A751" s="3" t="s">
        <v>1154</v>
      </c>
      <c r="B751" s="3" t="s">
        <v>45</v>
      </c>
      <c r="C751" s="3" t="s">
        <v>69</v>
      </c>
      <c r="D751" s="3" t="s">
        <v>319</v>
      </c>
      <c r="E751" s="4">
        <v>1040</v>
      </c>
      <c r="F751" s="5" t="s">
        <v>11</v>
      </c>
      <c r="G751" s="4">
        <v>874</v>
      </c>
      <c r="H751" s="3" t="s">
        <v>40</v>
      </c>
      <c r="I751" s="3" t="s">
        <v>232</v>
      </c>
    </row>
    <row r="752" spans="1:9" ht="19.95" customHeight="1" x14ac:dyDescent="0.2">
      <c r="A752" s="3" t="s">
        <v>1155</v>
      </c>
      <c r="B752" s="3" t="s">
        <v>45</v>
      </c>
      <c r="C752" s="3" t="s">
        <v>69</v>
      </c>
      <c r="D752" s="3" t="s">
        <v>319</v>
      </c>
      <c r="E752" s="4">
        <v>1090</v>
      </c>
      <c r="F752" s="5" t="s">
        <v>11</v>
      </c>
      <c r="G752" s="7">
        <v>927</v>
      </c>
      <c r="H752" s="3" t="s">
        <v>40</v>
      </c>
      <c r="I752" s="3" t="s">
        <v>232</v>
      </c>
    </row>
    <row r="753" spans="1:9" ht="19.95" customHeight="1" x14ac:dyDescent="0.2">
      <c r="A753" s="3" t="s">
        <v>1155</v>
      </c>
      <c r="B753" s="3" t="s">
        <v>45</v>
      </c>
      <c r="C753" s="3" t="s">
        <v>176</v>
      </c>
      <c r="D753" s="3" t="s">
        <v>319</v>
      </c>
      <c r="E753" s="4">
        <v>5450</v>
      </c>
      <c r="F753" s="5" t="s">
        <v>11</v>
      </c>
      <c r="G753" s="4">
        <v>4633</v>
      </c>
      <c r="H753" s="3" t="s">
        <v>40</v>
      </c>
      <c r="I753" s="3" t="s">
        <v>232</v>
      </c>
    </row>
    <row r="754" spans="1:9" ht="19.95" customHeight="1" x14ac:dyDescent="0.2">
      <c r="A754" s="3" t="s">
        <v>1156</v>
      </c>
      <c r="B754" s="3" t="s">
        <v>11</v>
      </c>
      <c r="C754" s="3" t="s">
        <v>84</v>
      </c>
      <c r="D754" s="3" t="s">
        <v>319</v>
      </c>
      <c r="E754" s="4">
        <v>4690</v>
      </c>
      <c r="F754" s="5" t="s">
        <v>14</v>
      </c>
      <c r="G754" s="6"/>
      <c r="H754" s="3" t="s">
        <v>40</v>
      </c>
      <c r="I754" s="3" t="s">
        <v>232</v>
      </c>
    </row>
    <row r="755" spans="1:9" ht="19.95" customHeight="1" x14ac:dyDescent="0.2">
      <c r="A755" s="3" t="s">
        <v>1157</v>
      </c>
      <c r="B755" s="3" t="s">
        <v>11</v>
      </c>
      <c r="C755" s="3" t="s">
        <v>308</v>
      </c>
      <c r="D755" s="3" t="s">
        <v>319</v>
      </c>
      <c r="E755" s="4">
        <v>10400</v>
      </c>
      <c r="F755" s="5" t="s">
        <v>39</v>
      </c>
      <c r="G755" s="3"/>
      <c r="H755" s="3" t="s">
        <v>40</v>
      </c>
      <c r="I755" s="3" t="s">
        <v>232</v>
      </c>
    </row>
    <row r="756" spans="1:9" ht="19.95" customHeight="1" x14ac:dyDescent="0.2">
      <c r="A756" s="3" t="s">
        <v>1157</v>
      </c>
      <c r="B756" s="3" t="s">
        <v>45</v>
      </c>
      <c r="C756" s="3" t="s">
        <v>37</v>
      </c>
      <c r="D756" s="3" t="s">
        <v>319</v>
      </c>
      <c r="E756" s="4">
        <v>1040</v>
      </c>
      <c r="F756" s="5" t="s">
        <v>39</v>
      </c>
      <c r="G756" s="7">
        <v>676</v>
      </c>
      <c r="H756" s="3" t="s">
        <v>40</v>
      </c>
      <c r="I756" s="3" t="s">
        <v>232</v>
      </c>
    </row>
    <row r="757" spans="1:9" ht="19.95" customHeight="1" x14ac:dyDescent="0.2">
      <c r="A757" s="3" t="s">
        <v>1158</v>
      </c>
      <c r="B757" s="3" t="s">
        <v>45</v>
      </c>
      <c r="C757" s="3" t="s">
        <v>69</v>
      </c>
      <c r="D757" s="3" t="s">
        <v>319</v>
      </c>
      <c r="E757" s="4">
        <v>1040</v>
      </c>
      <c r="F757" s="5" t="s">
        <v>39</v>
      </c>
      <c r="G757" s="4">
        <v>945</v>
      </c>
      <c r="H757" s="3" t="s">
        <v>40</v>
      </c>
      <c r="I757" s="3" t="s">
        <v>232</v>
      </c>
    </row>
    <row r="758" spans="1:9" ht="19.95" customHeight="1" x14ac:dyDescent="0.2">
      <c r="A758" s="3" t="s">
        <v>1159</v>
      </c>
      <c r="B758" s="3" t="s">
        <v>11</v>
      </c>
      <c r="C758" s="3" t="s">
        <v>140</v>
      </c>
      <c r="D758" s="3" t="s">
        <v>319</v>
      </c>
      <c r="E758" s="4">
        <v>10400</v>
      </c>
      <c r="F758" s="5" t="s">
        <v>39</v>
      </c>
      <c r="G758" s="3"/>
      <c r="H758" s="3" t="s">
        <v>40</v>
      </c>
      <c r="I758" s="3" t="s">
        <v>232</v>
      </c>
    </row>
    <row r="759" spans="1:9" ht="19.95" customHeight="1" x14ac:dyDescent="0.2">
      <c r="A759" s="3" t="s">
        <v>1160</v>
      </c>
      <c r="B759" s="3" t="s">
        <v>11</v>
      </c>
      <c r="C759" s="3" t="s">
        <v>69</v>
      </c>
      <c r="D759" s="3" t="s">
        <v>319</v>
      </c>
      <c r="E759" s="4">
        <v>1040</v>
      </c>
      <c r="F759" s="5" t="s">
        <v>39</v>
      </c>
      <c r="G759" s="3"/>
      <c r="H759" s="3" t="s">
        <v>40</v>
      </c>
      <c r="I759" s="3" t="s">
        <v>232</v>
      </c>
    </row>
    <row r="760" spans="1:9" ht="19.95" customHeight="1" x14ac:dyDescent="0.2">
      <c r="A760" s="3" t="s">
        <v>1160</v>
      </c>
      <c r="B760" s="3" t="s">
        <v>11</v>
      </c>
      <c r="C760" s="3" t="s">
        <v>308</v>
      </c>
      <c r="D760" s="3" t="s">
        <v>319</v>
      </c>
      <c r="E760" s="4">
        <v>10400</v>
      </c>
      <c r="F760" s="5" t="s">
        <v>39</v>
      </c>
      <c r="G760" s="3"/>
      <c r="H760" s="3" t="s">
        <v>40</v>
      </c>
      <c r="I760" s="3" t="s">
        <v>232</v>
      </c>
    </row>
    <row r="761" spans="1:9" ht="19.95" customHeight="1" x14ac:dyDescent="0.2">
      <c r="A761" s="3" t="s">
        <v>1161</v>
      </c>
      <c r="B761" s="3" t="s">
        <v>11</v>
      </c>
      <c r="C761" s="3" t="s">
        <v>69</v>
      </c>
      <c r="D761" s="3" t="s">
        <v>319</v>
      </c>
      <c r="E761" s="4">
        <v>1090</v>
      </c>
      <c r="F761" s="5" t="s">
        <v>39</v>
      </c>
      <c r="G761" s="3"/>
      <c r="H761" s="3" t="s">
        <v>40</v>
      </c>
      <c r="I761" s="3" t="s">
        <v>232</v>
      </c>
    </row>
    <row r="762" spans="1:9" ht="19.95" customHeight="1" x14ac:dyDescent="0.2">
      <c r="A762" s="3" t="s">
        <v>1161</v>
      </c>
      <c r="B762" s="3" t="s">
        <v>11</v>
      </c>
      <c r="C762" s="3" t="s">
        <v>140</v>
      </c>
      <c r="D762" s="3" t="s">
        <v>319</v>
      </c>
      <c r="E762" s="4">
        <v>10900</v>
      </c>
      <c r="F762" s="5" t="s">
        <v>39</v>
      </c>
      <c r="G762" s="3"/>
      <c r="H762" s="3" t="s">
        <v>40</v>
      </c>
      <c r="I762" s="3" t="s">
        <v>232</v>
      </c>
    </row>
    <row r="763" spans="1:9" ht="19.95" customHeight="1" x14ac:dyDescent="0.2">
      <c r="A763" s="3" t="s">
        <v>1162</v>
      </c>
      <c r="B763" s="3" t="s">
        <v>11</v>
      </c>
      <c r="C763" s="3" t="s">
        <v>299</v>
      </c>
      <c r="D763" s="3" t="s">
        <v>319</v>
      </c>
      <c r="E763" s="4">
        <v>3470</v>
      </c>
      <c r="F763" s="5" t="s">
        <v>585</v>
      </c>
      <c r="G763" s="3"/>
      <c r="H763" s="3" t="s">
        <v>40</v>
      </c>
      <c r="I763" s="3" t="s">
        <v>232</v>
      </c>
    </row>
    <row r="764" spans="1:9" ht="19.95" customHeight="1" x14ac:dyDescent="0.2">
      <c r="A764" s="3" t="s">
        <v>1163</v>
      </c>
      <c r="B764" s="3" t="s">
        <v>45</v>
      </c>
      <c r="C764" s="3" t="s">
        <v>1164</v>
      </c>
      <c r="D764" s="3" t="s">
        <v>319</v>
      </c>
      <c r="E764" s="4">
        <v>750</v>
      </c>
      <c r="F764" s="5" t="s">
        <v>585</v>
      </c>
      <c r="G764" s="4">
        <v>641</v>
      </c>
      <c r="H764" s="3" t="s">
        <v>40</v>
      </c>
      <c r="I764" s="3" t="s">
        <v>232</v>
      </c>
    </row>
    <row r="765" spans="1:9" ht="19.95" customHeight="1" x14ac:dyDescent="0.2">
      <c r="A765" s="3" t="s">
        <v>1165</v>
      </c>
      <c r="B765" s="3" t="s">
        <v>45</v>
      </c>
      <c r="C765" s="3" t="s">
        <v>888</v>
      </c>
      <c r="D765" s="3" t="s">
        <v>319</v>
      </c>
      <c r="E765" s="4">
        <v>1485</v>
      </c>
      <c r="F765" s="5" t="s">
        <v>585</v>
      </c>
      <c r="G765" s="4">
        <v>1270</v>
      </c>
      <c r="H765" s="3" t="s">
        <v>40</v>
      </c>
      <c r="I765" s="3" t="s">
        <v>232</v>
      </c>
    </row>
    <row r="766" spans="1:9" ht="19.95" customHeight="1" x14ac:dyDescent="0.2">
      <c r="A766" s="3" t="s">
        <v>1166</v>
      </c>
      <c r="B766" s="3" t="s">
        <v>45</v>
      </c>
      <c r="C766" s="3" t="s">
        <v>69</v>
      </c>
      <c r="D766" s="3" t="s">
        <v>319</v>
      </c>
      <c r="E766" s="4">
        <v>1620</v>
      </c>
      <c r="F766" s="5" t="s">
        <v>39</v>
      </c>
      <c r="G766" s="4">
        <v>1443</v>
      </c>
      <c r="H766" s="3" t="s">
        <v>40</v>
      </c>
      <c r="I766" s="3" t="s">
        <v>314</v>
      </c>
    </row>
    <row r="767" spans="1:9" ht="19.95" customHeight="1" x14ac:dyDescent="0.2">
      <c r="A767" s="3" t="s">
        <v>1167</v>
      </c>
      <c r="B767" s="3" t="s">
        <v>11</v>
      </c>
      <c r="C767" s="3" t="s">
        <v>258</v>
      </c>
      <c r="D767" s="3" t="s">
        <v>228</v>
      </c>
      <c r="E767" s="4">
        <v>1470</v>
      </c>
      <c r="F767" s="5" t="s">
        <v>14</v>
      </c>
      <c r="G767" s="3"/>
      <c r="H767" s="3" t="s">
        <v>63</v>
      </c>
      <c r="I767" s="3" t="s">
        <v>129</v>
      </c>
    </row>
    <row r="768" spans="1:9" ht="19.95" customHeight="1" x14ac:dyDescent="0.2">
      <c r="A768" s="3" t="s">
        <v>1168</v>
      </c>
      <c r="B768" s="3" t="s">
        <v>11</v>
      </c>
      <c r="C768" s="3" t="s">
        <v>192</v>
      </c>
      <c r="D768" s="3" t="s">
        <v>115</v>
      </c>
      <c r="E768" s="4">
        <v>48390</v>
      </c>
      <c r="F768" s="5" t="s">
        <v>39</v>
      </c>
      <c r="G768" s="3"/>
      <c r="H768" s="3" t="s">
        <v>40</v>
      </c>
      <c r="I768" s="3" t="s">
        <v>358</v>
      </c>
    </row>
    <row r="769" spans="1:9" ht="19.95" customHeight="1" x14ac:dyDescent="0.2">
      <c r="A769" s="3" t="s">
        <v>1169</v>
      </c>
      <c r="B769" s="3" t="s">
        <v>10</v>
      </c>
      <c r="C769" s="3" t="s">
        <v>69</v>
      </c>
      <c r="D769" s="3" t="s">
        <v>70</v>
      </c>
      <c r="E769" s="4">
        <v>16130</v>
      </c>
      <c r="F769" s="5" t="s">
        <v>39</v>
      </c>
      <c r="G769" s="4">
        <v>13480</v>
      </c>
      <c r="H769" s="3" t="s">
        <v>40</v>
      </c>
      <c r="I769" s="3" t="s">
        <v>358</v>
      </c>
    </row>
    <row r="770" spans="1:9" ht="19.95" customHeight="1" x14ac:dyDescent="0.2">
      <c r="A770" s="3" t="s">
        <v>1170</v>
      </c>
      <c r="B770" s="3" t="s">
        <v>115</v>
      </c>
      <c r="C770" s="3" t="s">
        <v>1171</v>
      </c>
      <c r="D770" s="3" t="s">
        <v>115</v>
      </c>
      <c r="E770" s="4">
        <v>1176</v>
      </c>
      <c r="F770" s="5" t="s">
        <v>183</v>
      </c>
      <c r="G770" s="4">
        <v>940</v>
      </c>
      <c r="H770" s="3" t="s">
        <v>63</v>
      </c>
      <c r="I770" s="3" t="s">
        <v>229</v>
      </c>
    </row>
    <row r="771" spans="1:9" ht="19.95" customHeight="1" x14ac:dyDescent="0.2">
      <c r="A771" s="3" t="s">
        <v>1172</v>
      </c>
      <c r="B771" s="3" t="s">
        <v>11</v>
      </c>
      <c r="C771" s="3" t="s">
        <v>1173</v>
      </c>
      <c r="D771" s="3" t="s">
        <v>139</v>
      </c>
      <c r="E771" s="4">
        <v>2352</v>
      </c>
      <c r="F771" s="5" t="s">
        <v>183</v>
      </c>
      <c r="G771" s="3"/>
      <c r="H771" s="3" t="s">
        <v>63</v>
      </c>
      <c r="I771" s="3" t="s">
        <v>229</v>
      </c>
    </row>
    <row r="772" spans="1:9" ht="19.95" customHeight="1" x14ac:dyDescent="0.2">
      <c r="A772" s="3" t="s">
        <v>1174</v>
      </c>
      <c r="B772" s="3" t="s">
        <v>115</v>
      </c>
      <c r="C772" s="3" t="s">
        <v>1171</v>
      </c>
      <c r="D772" s="3" t="s">
        <v>115</v>
      </c>
      <c r="E772" s="4">
        <v>1253</v>
      </c>
      <c r="F772" s="5" t="s">
        <v>183</v>
      </c>
      <c r="G772" s="4">
        <v>1002</v>
      </c>
      <c r="H772" s="3" t="s">
        <v>63</v>
      </c>
      <c r="I772" s="3" t="s">
        <v>229</v>
      </c>
    </row>
    <row r="773" spans="1:9" ht="19.95" customHeight="1" x14ac:dyDescent="0.2">
      <c r="A773" s="3" t="s">
        <v>1175</v>
      </c>
      <c r="B773" s="3" t="s">
        <v>11</v>
      </c>
      <c r="C773" s="3" t="s">
        <v>1173</v>
      </c>
      <c r="D773" s="3" t="s">
        <v>139</v>
      </c>
      <c r="E773" s="4">
        <v>2506</v>
      </c>
      <c r="F773" s="5" t="s">
        <v>183</v>
      </c>
      <c r="G773" s="3"/>
      <c r="H773" s="3" t="s">
        <v>63</v>
      </c>
      <c r="I773" s="3" t="s">
        <v>229</v>
      </c>
    </row>
    <row r="774" spans="1:9" ht="19.95" customHeight="1" x14ac:dyDescent="0.2">
      <c r="A774" s="3" t="s">
        <v>1176</v>
      </c>
      <c r="B774" s="3" t="s">
        <v>115</v>
      </c>
      <c r="C774" s="3" t="s">
        <v>1171</v>
      </c>
      <c r="D774" s="3" t="s">
        <v>115</v>
      </c>
      <c r="E774" s="4">
        <v>996.8</v>
      </c>
      <c r="F774" s="5" t="s">
        <v>183</v>
      </c>
      <c r="G774" s="4">
        <v>797</v>
      </c>
      <c r="H774" s="3" t="s">
        <v>63</v>
      </c>
      <c r="I774" s="3" t="s">
        <v>229</v>
      </c>
    </row>
    <row r="775" spans="1:9" ht="19.95" customHeight="1" x14ac:dyDescent="0.2">
      <c r="A775" s="3" t="s">
        <v>1177</v>
      </c>
      <c r="B775" s="3" t="s">
        <v>11</v>
      </c>
      <c r="C775" s="3" t="s">
        <v>1173</v>
      </c>
      <c r="D775" s="3" t="s">
        <v>139</v>
      </c>
      <c r="E775" s="4">
        <v>1993.6</v>
      </c>
      <c r="F775" s="5" t="s">
        <v>183</v>
      </c>
      <c r="G775" s="6"/>
      <c r="H775" s="3" t="s">
        <v>63</v>
      </c>
      <c r="I775" s="3" t="s">
        <v>229</v>
      </c>
    </row>
    <row r="776" spans="1:9" ht="19.95" customHeight="1" x14ac:dyDescent="0.2">
      <c r="A776" s="3" t="s">
        <v>1178</v>
      </c>
      <c r="B776" s="3" t="s">
        <v>115</v>
      </c>
      <c r="C776" s="3" t="s">
        <v>1171</v>
      </c>
      <c r="D776" s="3" t="s">
        <v>115</v>
      </c>
      <c r="E776" s="4">
        <v>1125.5999999999999</v>
      </c>
      <c r="F776" s="5" t="s">
        <v>183</v>
      </c>
      <c r="G776" s="7">
        <v>900</v>
      </c>
      <c r="H776" s="3" t="s">
        <v>63</v>
      </c>
      <c r="I776" s="3" t="s">
        <v>229</v>
      </c>
    </row>
    <row r="777" spans="1:9" ht="19.95" customHeight="1" x14ac:dyDescent="0.2">
      <c r="A777" s="3" t="s">
        <v>1179</v>
      </c>
      <c r="B777" s="3" t="s">
        <v>11</v>
      </c>
      <c r="C777" s="3" t="s">
        <v>1173</v>
      </c>
      <c r="D777" s="3" t="s">
        <v>139</v>
      </c>
      <c r="E777" s="4">
        <v>2251.1999999999998</v>
      </c>
      <c r="F777" s="5" t="s">
        <v>183</v>
      </c>
      <c r="G777" s="3"/>
      <c r="H777" s="3" t="s">
        <v>63</v>
      </c>
      <c r="I777" s="3" t="s">
        <v>229</v>
      </c>
    </row>
    <row r="778" spans="1:9" ht="19.95" customHeight="1" x14ac:dyDescent="0.2">
      <c r="A778" s="3" t="s">
        <v>1180</v>
      </c>
      <c r="B778" s="3" t="s">
        <v>11</v>
      </c>
      <c r="C778" s="3" t="s">
        <v>69</v>
      </c>
      <c r="D778" s="3" t="s">
        <v>38</v>
      </c>
      <c r="E778" s="4">
        <v>23510</v>
      </c>
      <c r="F778" s="5" t="s">
        <v>39</v>
      </c>
      <c r="G778" s="3"/>
      <c r="H778" s="3" t="s">
        <v>40</v>
      </c>
      <c r="I778" s="3" t="s">
        <v>1181</v>
      </c>
    </row>
    <row r="779" spans="1:9" ht="19.95" customHeight="1" x14ac:dyDescent="0.2">
      <c r="A779" s="3" t="s">
        <v>1182</v>
      </c>
      <c r="B779" s="3" t="s">
        <v>45</v>
      </c>
      <c r="C779" s="3" t="s">
        <v>37</v>
      </c>
      <c r="D779" s="3" t="s">
        <v>295</v>
      </c>
      <c r="E779" s="4">
        <v>960</v>
      </c>
      <c r="F779" s="5" t="s">
        <v>39</v>
      </c>
      <c r="G779" s="7">
        <v>829</v>
      </c>
      <c r="H779" s="3" t="s">
        <v>40</v>
      </c>
      <c r="I779" s="3" t="s">
        <v>251</v>
      </c>
    </row>
    <row r="780" spans="1:9" ht="19.95" customHeight="1" x14ac:dyDescent="0.2">
      <c r="A780" s="3" t="s">
        <v>1182</v>
      </c>
      <c r="B780" s="3" t="s">
        <v>45</v>
      </c>
      <c r="C780" s="3" t="s">
        <v>308</v>
      </c>
      <c r="D780" s="3" t="s">
        <v>295</v>
      </c>
      <c r="E780" s="4">
        <v>9600</v>
      </c>
      <c r="F780" s="5" t="s">
        <v>39</v>
      </c>
      <c r="G780" s="7">
        <v>8290</v>
      </c>
      <c r="H780" s="3" t="s">
        <v>40</v>
      </c>
      <c r="I780" s="3" t="s">
        <v>251</v>
      </c>
    </row>
    <row r="781" spans="1:9" ht="19.95" customHeight="1" x14ac:dyDescent="0.2">
      <c r="A781" s="3" t="s">
        <v>1183</v>
      </c>
      <c r="B781" s="3" t="s">
        <v>45</v>
      </c>
      <c r="C781" s="3" t="s">
        <v>37</v>
      </c>
      <c r="D781" s="3" t="s">
        <v>295</v>
      </c>
      <c r="E781" s="4">
        <v>1040</v>
      </c>
      <c r="F781" s="5" t="s">
        <v>39</v>
      </c>
      <c r="G781" s="7">
        <v>898</v>
      </c>
      <c r="H781" s="3" t="s">
        <v>40</v>
      </c>
      <c r="I781" s="3" t="s">
        <v>251</v>
      </c>
    </row>
    <row r="782" spans="1:9" ht="19.95" customHeight="1" x14ac:dyDescent="0.2">
      <c r="A782" s="3" t="s">
        <v>1183</v>
      </c>
      <c r="B782" s="3" t="s">
        <v>45</v>
      </c>
      <c r="C782" s="3" t="s">
        <v>140</v>
      </c>
      <c r="D782" s="3" t="s">
        <v>295</v>
      </c>
      <c r="E782" s="4">
        <v>10400</v>
      </c>
      <c r="F782" s="5" t="s">
        <v>39</v>
      </c>
      <c r="G782" s="7">
        <v>8980</v>
      </c>
      <c r="H782" s="3" t="s">
        <v>40</v>
      </c>
      <c r="I782" s="3" t="s">
        <v>251</v>
      </c>
    </row>
    <row r="783" spans="1:9" ht="19.95" customHeight="1" x14ac:dyDescent="0.2">
      <c r="A783" s="3" t="s">
        <v>1184</v>
      </c>
      <c r="B783" s="3" t="s">
        <v>11</v>
      </c>
      <c r="C783" s="3" t="s">
        <v>69</v>
      </c>
      <c r="D783" s="3" t="s">
        <v>407</v>
      </c>
      <c r="E783" s="4">
        <v>2900</v>
      </c>
      <c r="F783" s="5" t="s">
        <v>39</v>
      </c>
      <c r="G783" s="6"/>
      <c r="H783" s="3" t="s">
        <v>40</v>
      </c>
      <c r="I783" s="3" t="s">
        <v>1185</v>
      </c>
    </row>
    <row r="784" spans="1:9" ht="19.95" customHeight="1" x14ac:dyDescent="0.2">
      <c r="A784" s="3" t="s">
        <v>1186</v>
      </c>
      <c r="B784" s="3" t="s">
        <v>10</v>
      </c>
      <c r="C784" s="3" t="s">
        <v>648</v>
      </c>
      <c r="D784" s="3" t="s">
        <v>109</v>
      </c>
      <c r="E784" s="4">
        <v>1980</v>
      </c>
      <c r="F784" s="5" t="s">
        <v>39</v>
      </c>
      <c r="G784" s="7">
        <v>1680</v>
      </c>
      <c r="H784" s="3" t="s">
        <v>40</v>
      </c>
      <c r="I784" s="3" t="s">
        <v>263</v>
      </c>
    </row>
    <row r="785" spans="1:9" ht="19.95" customHeight="1" x14ac:dyDescent="0.2">
      <c r="A785" s="3" t="s">
        <v>1187</v>
      </c>
      <c r="B785" s="3" t="s">
        <v>11</v>
      </c>
      <c r="C785" s="3" t="s">
        <v>1188</v>
      </c>
      <c r="D785" s="3" t="s">
        <v>1027</v>
      </c>
      <c r="E785" s="4">
        <v>17611</v>
      </c>
      <c r="F785" s="5" t="s">
        <v>935</v>
      </c>
      <c r="G785" s="3"/>
      <c r="H785" s="3" t="s">
        <v>81</v>
      </c>
      <c r="I785" s="3" t="s">
        <v>82</v>
      </c>
    </row>
    <row r="786" spans="1:9" ht="19.95" customHeight="1" x14ac:dyDescent="0.2">
      <c r="A786" s="3" t="s">
        <v>1189</v>
      </c>
      <c r="B786" s="3" t="s">
        <v>11</v>
      </c>
      <c r="C786" s="3" t="s">
        <v>917</v>
      </c>
      <c r="D786" s="3" t="s">
        <v>139</v>
      </c>
      <c r="E786" s="4">
        <v>21476</v>
      </c>
      <c r="F786" s="5" t="s">
        <v>39</v>
      </c>
      <c r="G786" s="3"/>
      <c r="H786" s="3" t="s">
        <v>40</v>
      </c>
      <c r="I786" s="3" t="s">
        <v>229</v>
      </c>
    </row>
    <row r="787" spans="1:9" ht="19.95" customHeight="1" x14ac:dyDescent="0.2">
      <c r="A787" s="3" t="s">
        <v>1190</v>
      </c>
      <c r="B787" s="3" t="s">
        <v>10</v>
      </c>
      <c r="C787" s="3" t="s">
        <v>37</v>
      </c>
      <c r="D787" s="3" t="s">
        <v>205</v>
      </c>
      <c r="E787" s="4">
        <v>6450</v>
      </c>
      <c r="F787" s="5" t="s">
        <v>39</v>
      </c>
      <c r="G787" s="4">
        <v>5550</v>
      </c>
      <c r="H787" s="3" t="s">
        <v>40</v>
      </c>
      <c r="I787" s="3" t="s">
        <v>64</v>
      </c>
    </row>
    <row r="788" spans="1:9" ht="19.95" customHeight="1" x14ac:dyDescent="0.2">
      <c r="A788" s="3" t="s">
        <v>1191</v>
      </c>
      <c r="B788" s="3" t="s">
        <v>91</v>
      </c>
      <c r="C788" s="3" t="s">
        <v>1192</v>
      </c>
      <c r="D788" s="3" t="s">
        <v>246</v>
      </c>
      <c r="E788" s="4">
        <v>845</v>
      </c>
      <c r="F788" s="5" t="s">
        <v>14</v>
      </c>
      <c r="G788" s="7">
        <v>748</v>
      </c>
      <c r="H788" s="3" t="s">
        <v>63</v>
      </c>
      <c r="I788" s="3" t="s">
        <v>129</v>
      </c>
    </row>
    <row r="789" spans="1:9" ht="19.95" customHeight="1" x14ac:dyDescent="0.2">
      <c r="A789" s="3" t="s">
        <v>1193</v>
      </c>
      <c r="B789" s="3" t="s">
        <v>11</v>
      </c>
      <c r="C789" s="3" t="s">
        <v>1194</v>
      </c>
      <c r="D789" s="3" t="s">
        <v>246</v>
      </c>
      <c r="E789" s="4">
        <v>2080</v>
      </c>
      <c r="F789" s="5" t="s">
        <v>89</v>
      </c>
      <c r="G789" s="6"/>
      <c r="H789" s="3" t="s">
        <v>81</v>
      </c>
      <c r="I789" s="3" t="s">
        <v>334</v>
      </c>
    </row>
    <row r="790" spans="1:9" ht="19.95" customHeight="1" x14ac:dyDescent="0.2">
      <c r="A790" s="3" t="s">
        <v>1195</v>
      </c>
      <c r="B790" s="3" t="s">
        <v>10</v>
      </c>
      <c r="C790" s="3" t="s">
        <v>146</v>
      </c>
      <c r="D790" s="3" t="s">
        <v>246</v>
      </c>
      <c r="E790" s="4">
        <v>2455</v>
      </c>
      <c r="F790" s="5" t="s">
        <v>249</v>
      </c>
      <c r="G790" s="4">
        <v>2187</v>
      </c>
      <c r="H790" s="3" t="s">
        <v>63</v>
      </c>
      <c r="I790" s="3" t="s">
        <v>76</v>
      </c>
    </row>
    <row r="791" spans="1:9" ht="19.95" customHeight="1" x14ac:dyDescent="0.2">
      <c r="A791" s="3" t="s">
        <v>1196</v>
      </c>
      <c r="B791" s="3" t="s">
        <v>10</v>
      </c>
      <c r="C791" s="3" t="s">
        <v>308</v>
      </c>
      <c r="D791" s="3" t="s">
        <v>85</v>
      </c>
      <c r="E791" s="4">
        <v>9600</v>
      </c>
      <c r="F791" s="5" t="s">
        <v>39</v>
      </c>
      <c r="G791" s="4">
        <v>8510</v>
      </c>
      <c r="H791" s="3" t="s">
        <v>40</v>
      </c>
      <c r="I791" s="3" t="s">
        <v>232</v>
      </c>
    </row>
    <row r="792" spans="1:9" ht="19.95" customHeight="1" x14ac:dyDescent="0.2">
      <c r="A792" s="3" t="s">
        <v>1196</v>
      </c>
      <c r="B792" s="3" t="s">
        <v>11</v>
      </c>
      <c r="C792" s="3" t="s">
        <v>1197</v>
      </c>
      <c r="D792" s="3" t="s">
        <v>85</v>
      </c>
      <c r="E792" s="4">
        <v>960</v>
      </c>
      <c r="F792" s="5" t="s">
        <v>39</v>
      </c>
      <c r="G792" s="6"/>
      <c r="H792" s="3" t="s">
        <v>40</v>
      </c>
      <c r="I792" s="3" t="s">
        <v>232</v>
      </c>
    </row>
    <row r="793" spans="1:9" ht="19.95" customHeight="1" x14ac:dyDescent="0.2">
      <c r="A793" s="3" t="s">
        <v>1198</v>
      </c>
      <c r="B793" s="3" t="s">
        <v>10</v>
      </c>
      <c r="C793" s="3" t="s">
        <v>140</v>
      </c>
      <c r="D793" s="3" t="s">
        <v>85</v>
      </c>
      <c r="E793" s="4">
        <v>18700</v>
      </c>
      <c r="F793" s="5" t="s">
        <v>39</v>
      </c>
      <c r="G793" s="4">
        <v>16580</v>
      </c>
      <c r="H793" s="3" t="s">
        <v>40</v>
      </c>
      <c r="I793" s="3" t="s">
        <v>232</v>
      </c>
    </row>
    <row r="794" spans="1:9" ht="19.95" customHeight="1" x14ac:dyDescent="0.2">
      <c r="A794" s="3" t="s">
        <v>1199</v>
      </c>
      <c r="B794" s="3" t="s">
        <v>11</v>
      </c>
      <c r="C794" s="3" t="s">
        <v>37</v>
      </c>
      <c r="D794" s="3" t="s">
        <v>85</v>
      </c>
      <c r="E794" s="4">
        <v>1870</v>
      </c>
      <c r="F794" s="5" t="s">
        <v>39</v>
      </c>
      <c r="G794" s="6"/>
      <c r="H794" s="3" t="s">
        <v>40</v>
      </c>
      <c r="I794" s="3" t="s">
        <v>232</v>
      </c>
    </row>
    <row r="795" spans="1:9" ht="19.95" customHeight="1" x14ac:dyDescent="0.2">
      <c r="A795" s="3" t="s">
        <v>1200</v>
      </c>
      <c r="B795" s="3" t="s">
        <v>11</v>
      </c>
      <c r="C795" s="3" t="s">
        <v>69</v>
      </c>
      <c r="D795" s="3" t="s">
        <v>1024</v>
      </c>
      <c r="E795" s="4">
        <v>1440</v>
      </c>
      <c r="F795" s="5" t="s">
        <v>39</v>
      </c>
      <c r="G795" s="3"/>
      <c r="H795" s="3" t="s">
        <v>40</v>
      </c>
      <c r="I795" s="3" t="s">
        <v>161</v>
      </c>
    </row>
    <row r="796" spans="1:9" ht="19.95" customHeight="1" x14ac:dyDescent="0.2">
      <c r="A796" s="3" t="s">
        <v>1201</v>
      </c>
      <c r="B796" s="3" t="s">
        <v>91</v>
      </c>
      <c r="C796" s="3" t="s">
        <v>69</v>
      </c>
      <c r="D796" s="3" t="s">
        <v>93</v>
      </c>
      <c r="E796" s="4">
        <v>12870</v>
      </c>
      <c r="F796" s="5" t="s">
        <v>39</v>
      </c>
      <c r="G796" s="7">
        <v>11300</v>
      </c>
      <c r="H796" s="3" t="s">
        <v>40</v>
      </c>
      <c r="I796" s="3" t="s">
        <v>232</v>
      </c>
    </row>
    <row r="797" spans="1:9" ht="19.95" customHeight="1" x14ac:dyDescent="0.2">
      <c r="A797" s="3" t="s">
        <v>1201</v>
      </c>
      <c r="B797" s="3" t="s">
        <v>91</v>
      </c>
      <c r="C797" s="3" t="s">
        <v>176</v>
      </c>
      <c r="D797" s="3" t="s">
        <v>93</v>
      </c>
      <c r="E797" s="4">
        <v>64350</v>
      </c>
      <c r="F797" s="5" t="s">
        <v>39</v>
      </c>
      <c r="G797" s="4">
        <v>56499</v>
      </c>
      <c r="H797" s="3" t="s">
        <v>40</v>
      </c>
      <c r="I797" s="3" t="s">
        <v>232</v>
      </c>
    </row>
    <row r="798" spans="1:9" ht="19.95" customHeight="1" x14ac:dyDescent="0.2">
      <c r="A798" s="3" t="s">
        <v>1202</v>
      </c>
      <c r="B798" s="3" t="s">
        <v>91</v>
      </c>
      <c r="C798" s="3" t="s">
        <v>176</v>
      </c>
      <c r="D798" s="3" t="s">
        <v>93</v>
      </c>
      <c r="E798" s="4">
        <v>120900</v>
      </c>
      <c r="F798" s="5" t="s">
        <v>39</v>
      </c>
      <c r="G798" s="7">
        <v>106150</v>
      </c>
      <c r="H798" s="3" t="s">
        <v>40</v>
      </c>
      <c r="I798" s="3" t="s">
        <v>232</v>
      </c>
    </row>
    <row r="799" spans="1:9" ht="19.95" customHeight="1" x14ac:dyDescent="0.2">
      <c r="A799" s="3" t="s">
        <v>1202</v>
      </c>
      <c r="B799" s="3" t="s">
        <v>91</v>
      </c>
      <c r="C799" s="3" t="s">
        <v>69</v>
      </c>
      <c r="D799" s="3" t="s">
        <v>93</v>
      </c>
      <c r="E799" s="4">
        <v>24180</v>
      </c>
      <c r="F799" s="5" t="s">
        <v>39</v>
      </c>
      <c r="G799" s="7">
        <v>21230</v>
      </c>
      <c r="H799" s="3" t="s">
        <v>40</v>
      </c>
      <c r="I799" s="3" t="s">
        <v>232</v>
      </c>
    </row>
    <row r="800" spans="1:9" ht="19.95" customHeight="1" x14ac:dyDescent="0.2">
      <c r="A800" s="3" t="s">
        <v>1203</v>
      </c>
      <c r="B800" s="3" t="s">
        <v>91</v>
      </c>
      <c r="C800" s="3" t="s">
        <v>176</v>
      </c>
      <c r="D800" s="3" t="s">
        <v>93</v>
      </c>
      <c r="E800" s="4">
        <v>230950</v>
      </c>
      <c r="F800" s="5" t="s">
        <v>39</v>
      </c>
      <c r="G800" s="4">
        <v>202774</v>
      </c>
      <c r="H800" s="3" t="s">
        <v>40</v>
      </c>
      <c r="I800" s="3" t="s">
        <v>232</v>
      </c>
    </row>
    <row r="801" spans="1:9" ht="19.95" customHeight="1" x14ac:dyDescent="0.2">
      <c r="A801" s="3" t="s">
        <v>1204</v>
      </c>
      <c r="B801" s="3" t="s">
        <v>91</v>
      </c>
      <c r="C801" s="3" t="s">
        <v>69</v>
      </c>
      <c r="D801" s="3" t="s">
        <v>93</v>
      </c>
      <c r="E801" s="4">
        <v>46190</v>
      </c>
      <c r="F801" s="5" t="s">
        <v>39</v>
      </c>
      <c r="G801" s="4">
        <v>40555</v>
      </c>
      <c r="H801" s="3" t="s">
        <v>40</v>
      </c>
      <c r="I801" s="3" t="s">
        <v>232</v>
      </c>
    </row>
    <row r="802" spans="1:9" ht="19.95" customHeight="1" x14ac:dyDescent="0.2">
      <c r="A802" s="3" t="s">
        <v>1205</v>
      </c>
      <c r="B802" s="3" t="s">
        <v>10</v>
      </c>
      <c r="C802" s="3" t="s">
        <v>37</v>
      </c>
      <c r="D802" s="3" t="s">
        <v>1206</v>
      </c>
      <c r="E802" s="4">
        <v>610</v>
      </c>
      <c r="F802" s="5" t="s">
        <v>39</v>
      </c>
      <c r="G802" s="4">
        <v>554</v>
      </c>
      <c r="H802" s="3" t="s">
        <v>40</v>
      </c>
      <c r="I802" s="3" t="s">
        <v>314</v>
      </c>
    </row>
    <row r="803" spans="1:9" ht="19.95" customHeight="1" x14ac:dyDescent="0.2">
      <c r="A803" s="3" t="s">
        <v>1205</v>
      </c>
      <c r="B803" s="3" t="s">
        <v>10</v>
      </c>
      <c r="C803" s="3" t="s">
        <v>133</v>
      </c>
      <c r="D803" s="3" t="s">
        <v>1206</v>
      </c>
      <c r="E803" s="4">
        <v>3050</v>
      </c>
      <c r="F803" s="5" t="s">
        <v>39</v>
      </c>
      <c r="G803" s="4">
        <v>2770</v>
      </c>
      <c r="H803" s="3" t="s">
        <v>40</v>
      </c>
      <c r="I803" s="3" t="s">
        <v>314</v>
      </c>
    </row>
    <row r="804" spans="1:9" ht="19.95" customHeight="1" x14ac:dyDescent="0.2">
      <c r="A804" s="3" t="s">
        <v>1207</v>
      </c>
      <c r="B804" s="3" t="s">
        <v>11</v>
      </c>
      <c r="C804" s="3" t="s">
        <v>133</v>
      </c>
      <c r="D804" s="3" t="s">
        <v>1206</v>
      </c>
      <c r="E804" s="4">
        <v>3500</v>
      </c>
      <c r="F804" s="5" t="s">
        <v>39</v>
      </c>
      <c r="G804" s="6"/>
      <c r="H804" s="3" t="s">
        <v>40</v>
      </c>
      <c r="I804" s="3" t="s">
        <v>314</v>
      </c>
    </row>
    <row r="805" spans="1:9" ht="19.95" customHeight="1" x14ac:dyDescent="0.2">
      <c r="A805" s="3" t="s">
        <v>1207</v>
      </c>
      <c r="B805" s="3" t="s">
        <v>10</v>
      </c>
      <c r="C805" s="3" t="s">
        <v>37</v>
      </c>
      <c r="D805" s="3" t="s">
        <v>1206</v>
      </c>
      <c r="E805" s="4">
        <v>700</v>
      </c>
      <c r="F805" s="5" t="s">
        <v>39</v>
      </c>
      <c r="G805" s="4">
        <v>636</v>
      </c>
      <c r="H805" s="3" t="s">
        <v>40</v>
      </c>
      <c r="I805" s="3" t="s">
        <v>314</v>
      </c>
    </row>
    <row r="806" spans="1:9" ht="19.95" customHeight="1" x14ac:dyDescent="0.2">
      <c r="A806" s="3" t="s">
        <v>1208</v>
      </c>
      <c r="B806" s="3" t="s">
        <v>10</v>
      </c>
      <c r="C806" s="3" t="s">
        <v>1209</v>
      </c>
      <c r="D806" s="3" t="s">
        <v>127</v>
      </c>
      <c r="E806" s="4">
        <v>3420</v>
      </c>
      <c r="F806" s="5" t="s">
        <v>39</v>
      </c>
      <c r="G806" s="7">
        <v>2970</v>
      </c>
      <c r="H806" s="3" t="s">
        <v>40</v>
      </c>
      <c r="I806" s="3" t="s">
        <v>229</v>
      </c>
    </row>
    <row r="807" spans="1:9" ht="19.95" customHeight="1" x14ac:dyDescent="0.2">
      <c r="A807" s="3" t="s">
        <v>1208</v>
      </c>
      <c r="B807" s="3" t="s">
        <v>10</v>
      </c>
      <c r="C807" s="3" t="s">
        <v>1210</v>
      </c>
      <c r="D807" s="3" t="s">
        <v>127</v>
      </c>
      <c r="E807" s="4">
        <v>17100</v>
      </c>
      <c r="F807" s="5" t="s">
        <v>39</v>
      </c>
      <c r="G807" s="7">
        <v>14850</v>
      </c>
      <c r="H807" s="3" t="s">
        <v>40</v>
      </c>
      <c r="I807" s="3" t="s">
        <v>229</v>
      </c>
    </row>
    <row r="808" spans="1:9" ht="19.95" customHeight="1" x14ac:dyDescent="0.2">
      <c r="A808" s="3" t="s">
        <v>1211</v>
      </c>
      <c r="B808" s="3" t="s">
        <v>45</v>
      </c>
      <c r="C808" s="3" t="s">
        <v>136</v>
      </c>
      <c r="D808" s="3" t="s">
        <v>228</v>
      </c>
      <c r="E808" s="4">
        <v>1065</v>
      </c>
      <c r="F808" s="5" t="s">
        <v>128</v>
      </c>
      <c r="G808" s="4">
        <v>948</v>
      </c>
      <c r="H808" s="3" t="s">
        <v>63</v>
      </c>
      <c r="I808" s="3" t="s">
        <v>129</v>
      </c>
    </row>
    <row r="809" spans="1:9" ht="19.95" customHeight="1" x14ac:dyDescent="0.2">
      <c r="A809" s="3" t="s">
        <v>1212</v>
      </c>
      <c r="B809" s="3" t="s">
        <v>10</v>
      </c>
      <c r="C809" s="3" t="s">
        <v>133</v>
      </c>
      <c r="D809" s="3" t="s">
        <v>353</v>
      </c>
      <c r="E809" s="4">
        <v>5400</v>
      </c>
      <c r="F809" s="5" t="s">
        <v>39</v>
      </c>
      <c r="G809" s="4">
        <v>4908</v>
      </c>
      <c r="H809" s="3" t="s">
        <v>40</v>
      </c>
      <c r="I809" s="3" t="s">
        <v>499</v>
      </c>
    </row>
    <row r="810" spans="1:9" ht="19.95" customHeight="1" x14ac:dyDescent="0.2">
      <c r="A810" s="3" t="s">
        <v>1213</v>
      </c>
      <c r="B810" s="3" t="s">
        <v>10</v>
      </c>
      <c r="C810" s="3" t="s">
        <v>197</v>
      </c>
      <c r="D810" s="3" t="s">
        <v>109</v>
      </c>
      <c r="E810" s="4">
        <v>1572</v>
      </c>
      <c r="F810" s="5" t="s">
        <v>39</v>
      </c>
      <c r="G810" s="7">
        <v>1305</v>
      </c>
      <c r="H810" s="3" t="s">
        <v>40</v>
      </c>
      <c r="I810" s="3" t="s">
        <v>199</v>
      </c>
    </row>
    <row r="811" spans="1:9" ht="19.95" customHeight="1" x14ac:dyDescent="0.2">
      <c r="A811" s="3" t="s">
        <v>1214</v>
      </c>
      <c r="B811" s="3" t="s">
        <v>10</v>
      </c>
      <c r="C811" s="3" t="s">
        <v>133</v>
      </c>
      <c r="D811" s="3" t="s">
        <v>93</v>
      </c>
      <c r="E811" s="4">
        <v>5200</v>
      </c>
      <c r="F811" s="5" t="s">
        <v>39</v>
      </c>
      <c r="G811" s="4">
        <v>4100</v>
      </c>
      <c r="H811" s="3" t="s">
        <v>40</v>
      </c>
      <c r="I811" s="3" t="s">
        <v>317</v>
      </c>
    </row>
    <row r="812" spans="1:9" ht="19.95" customHeight="1" x14ac:dyDescent="0.2">
      <c r="A812" s="3" t="s">
        <v>1215</v>
      </c>
      <c r="B812" s="3" t="s">
        <v>115</v>
      </c>
      <c r="C812" s="3" t="s">
        <v>1216</v>
      </c>
      <c r="D812" s="3" t="s">
        <v>115</v>
      </c>
      <c r="E812" s="4">
        <v>6370</v>
      </c>
      <c r="F812" s="5" t="s">
        <v>14</v>
      </c>
      <c r="G812" s="4">
        <v>5223</v>
      </c>
      <c r="H812" s="3" t="s">
        <v>40</v>
      </c>
      <c r="I812" s="3" t="s">
        <v>251</v>
      </c>
    </row>
    <row r="813" spans="1:9" ht="19.95" customHeight="1" x14ac:dyDescent="0.2">
      <c r="A813" s="3" t="s">
        <v>1217</v>
      </c>
      <c r="B813" s="3" t="s">
        <v>115</v>
      </c>
      <c r="C813" s="3" t="s">
        <v>192</v>
      </c>
      <c r="D813" s="3" t="s">
        <v>115</v>
      </c>
      <c r="E813" s="4">
        <v>7620</v>
      </c>
      <c r="F813" s="5" t="s">
        <v>39</v>
      </c>
      <c r="G813" s="7">
        <v>6246</v>
      </c>
      <c r="H813" s="3" t="s">
        <v>40</v>
      </c>
      <c r="I813" s="3" t="s">
        <v>251</v>
      </c>
    </row>
    <row r="814" spans="1:9" ht="19.95" customHeight="1" x14ac:dyDescent="0.2">
      <c r="A814" s="3" t="s">
        <v>1217</v>
      </c>
      <c r="B814" s="3" t="s">
        <v>115</v>
      </c>
      <c r="C814" s="3" t="s">
        <v>69</v>
      </c>
      <c r="D814" s="3" t="s">
        <v>115</v>
      </c>
      <c r="E814" s="4">
        <v>2540</v>
      </c>
      <c r="F814" s="5" t="s">
        <v>39</v>
      </c>
      <c r="G814" s="4">
        <v>2082</v>
      </c>
      <c r="H814" s="3" t="s">
        <v>40</v>
      </c>
      <c r="I814" s="3" t="s">
        <v>251</v>
      </c>
    </row>
    <row r="815" spans="1:9" ht="19.95" customHeight="1" x14ac:dyDescent="0.2">
      <c r="A815" s="3" t="s">
        <v>1218</v>
      </c>
      <c r="B815" s="3" t="s">
        <v>45</v>
      </c>
      <c r="C815" s="3" t="s">
        <v>415</v>
      </c>
      <c r="D815" s="3" t="s">
        <v>62</v>
      </c>
      <c r="E815" s="4">
        <v>6690</v>
      </c>
      <c r="F815" s="5" t="s">
        <v>89</v>
      </c>
      <c r="G815" s="7">
        <v>5887</v>
      </c>
      <c r="H815" s="3" t="s">
        <v>81</v>
      </c>
      <c r="I815" s="3" t="s">
        <v>251</v>
      </c>
    </row>
    <row r="816" spans="1:9" ht="19.95" customHeight="1" x14ac:dyDescent="0.2">
      <c r="A816" s="3" t="s">
        <v>1219</v>
      </c>
      <c r="B816" s="3" t="s">
        <v>11</v>
      </c>
      <c r="C816" s="3" t="s">
        <v>69</v>
      </c>
      <c r="D816" s="3" t="s">
        <v>319</v>
      </c>
      <c r="E816" s="4">
        <v>7590</v>
      </c>
      <c r="F816" s="5" t="s">
        <v>39</v>
      </c>
      <c r="G816" s="6"/>
      <c r="H816" s="3" t="s">
        <v>40</v>
      </c>
      <c r="I816" s="3" t="s">
        <v>275</v>
      </c>
    </row>
    <row r="817" spans="1:9" ht="19.95" customHeight="1" x14ac:dyDescent="0.2">
      <c r="A817" s="3" t="s">
        <v>1220</v>
      </c>
      <c r="B817" s="3" t="s">
        <v>11</v>
      </c>
      <c r="C817" s="3" t="s">
        <v>1221</v>
      </c>
      <c r="D817" s="3" t="s">
        <v>459</v>
      </c>
      <c r="E817" s="4">
        <v>1430</v>
      </c>
      <c r="F817" s="5" t="s">
        <v>14</v>
      </c>
      <c r="G817" s="3"/>
      <c r="H817" s="3" t="s">
        <v>40</v>
      </c>
      <c r="I817" s="3" t="s">
        <v>167</v>
      </c>
    </row>
    <row r="818" spans="1:9" ht="19.95" customHeight="1" x14ac:dyDescent="0.2">
      <c r="A818" s="3" t="s">
        <v>1222</v>
      </c>
      <c r="B818" s="3" t="s">
        <v>10</v>
      </c>
      <c r="C818" s="3" t="s">
        <v>84</v>
      </c>
      <c r="D818" s="3" t="s">
        <v>70</v>
      </c>
      <c r="E818" s="4">
        <v>2770</v>
      </c>
      <c r="F818" s="5" t="s">
        <v>14</v>
      </c>
      <c r="G818" s="4">
        <v>2467</v>
      </c>
      <c r="H818" s="3" t="s">
        <v>40</v>
      </c>
      <c r="I818" s="3" t="s">
        <v>732</v>
      </c>
    </row>
    <row r="819" spans="1:9" ht="19.95" customHeight="1" x14ac:dyDescent="0.2">
      <c r="A819" s="3" t="s">
        <v>1223</v>
      </c>
      <c r="B819" s="3" t="s">
        <v>10</v>
      </c>
      <c r="C819" s="3" t="s">
        <v>69</v>
      </c>
      <c r="D819" s="3" t="s">
        <v>70</v>
      </c>
      <c r="E819" s="4">
        <v>3290</v>
      </c>
      <c r="F819" s="5" t="s">
        <v>39</v>
      </c>
      <c r="G819" s="4">
        <v>2931</v>
      </c>
      <c r="H819" s="3" t="s">
        <v>40</v>
      </c>
      <c r="I819" s="3" t="s">
        <v>732</v>
      </c>
    </row>
    <row r="820" spans="1:9" ht="19.95" customHeight="1" x14ac:dyDescent="0.2">
      <c r="A820" s="3" t="s">
        <v>1224</v>
      </c>
      <c r="B820" s="3" t="s">
        <v>45</v>
      </c>
      <c r="C820" s="3" t="s">
        <v>146</v>
      </c>
      <c r="D820" s="3" t="s">
        <v>147</v>
      </c>
      <c r="E820" s="4">
        <v>1330</v>
      </c>
      <c r="F820" s="5" t="s">
        <v>75</v>
      </c>
      <c r="G820" s="4">
        <v>1184</v>
      </c>
      <c r="H820" s="3" t="s">
        <v>63</v>
      </c>
      <c r="I820" s="3" t="s">
        <v>76</v>
      </c>
    </row>
    <row r="821" spans="1:9" ht="19.95" customHeight="1" x14ac:dyDescent="0.2">
      <c r="A821" s="3" t="s">
        <v>1225</v>
      </c>
      <c r="B821" s="3" t="s">
        <v>10</v>
      </c>
      <c r="C821" s="3" t="s">
        <v>1226</v>
      </c>
      <c r="D821" s="3" t="s">
        <v>402</v>
      </c>
      <c r="E821" s="4">
        <v>10440</v>
      </c>
      <c r="F821" s="5" t="s">
        <v>98</v>
      </c>
      <c r="G821" s="4">
        <v>9300</v>
      </c>
      <c r="H821" s="3" t="s">
        <v>81</v>
      </c>
      <c r="I821" s="3" t="s">
        <v>732</v>
      </c>
    </row>
    <row r="822" spans="1:9" ht="19.95" customHeight="1" x14ac:dyDescent="0.2">
      <c r="A822" s="3" t="s">
        <v>1227</v>
      </c>
      <c r="B822" s="3" t="s">
        <v>11</v>
      </c>
      <c r="C822" s="3" t="s">
        <v>362</v>
      </c>
      <c r="D822" s="3" t="s">
        <v>311</v>
      </c>
      <c r="E822" s="4">
        <v>166411</v>
      </c>
      <c r="F822" s="5" t="s">
        <v>39</v>
      </c>
      <c r="G822" s="3"/>
      <c r="H822" s="3" t="s">
        <v>40</v>
      </c>
      <c r="I822" s="3" t="s">
        <v>275</v>
      </c>
    </row>
    <row r="823" spans="1:9" ht="19.95" customHeight="1" x14ac:dyDescent="0.2">
      <c r="A823" s="3" t="s">
        <v>1228</v>
      </c>
      <c r="B823" s="3" t="s">
        <v>45</v>
      </c>
      <c r="C823" s="3" t="s">
        <v>562</v>
      </c>
      <c r="D823" s="3" t="s">
        <v>105</v>
      </c>
      <c r="E823" s="4">
        <v>3469</v>
      </c>
      <c r="F823" s="5" t="s">
        <v>39</v>
      </c>
      <c r="G823" s="4">
        <v>3053</v>
      </c>
      <c r="H823" s="3" t="s">
        <v>40</v>
      </c>
      <c r="I823" s="3" t="s">
        <v>1066</v>
      </c>
    </row>
    <row r="824" spans="1:9" ht="19.95" customHeight="1" x14ac:dyDescent="0.2">
      <c r="A824" s="3" t="s">
        <v>1229</v>
      </c>
      <c r="B824" s="3" t="s">
        <v>110</v>
      </c>
      <c r="C824" s="3" t="s">
        <v>208</v>
      </c>
      <c r="D824" s="3" t="s">
        <v>368</v>
      </c>
      <c r="E824" s="4">
        <v>4829.8999999999996</v>
      </c>
      <c r="F824" s="5" t="s">
        <v>171</v>
      </c>
      <c r="G824" s="4">
        <v>4193</v>
      </c>
      <c r="H824" s="3" t="s">
        <v>63</v>
      </c>
      <c r="I824" s="3" t="s">
        <v>172</v>
      </c>
    </row>
    <row r="825" spans="1:9" ht="19.95" customHeight="1" x14ac:dyDescent="0.2">
      <c r="A825" s="3" t="s">
        <v>1230</v>
      </c>
      <c r="B825" s="3" t="s">
        <v>110</v>
      </c>
      <c r="C825" s="3" t="s">
        <v>208</v>
      </c>
      <c r="D825" s="3" t="s">
        <v>368</v>
      </c>
      <c r="E825" s="4">
        <v>5220.8</v>
      </c>
      <c r="F825" s="5" t="s">
        <v>171</v>
      </c>
      <c r="G825" s="7">
        <v>4531</v>
      </c>
      <c r="H825" s="3" t="s">
        <v>63</v>
      </c>
      <c r="I825" s="3" t="s">
        <v>172</v>
      </c>
    </row>
    <row r="826" spans="1:9" ht="19.95" customHeight="1" x14ac:dyDescent="0.2">
      <c r="A826" s="3" t="s">
        <v>1231</v>
      </c>
      <c r="B826" s="3" t="s">
        <v>11</v>
      </c>
      <c r="C826" s="3" t="s">
        <v>194</v>
      </c>
      <c r="D826" s="3" t="s">
        <v>105</v>
      </c>
      <c r="E826" s="4">
        <v>2630</v>
      </c>
      <c r="F826" s="5" t="s">
        <v>89</v>
      </c>
      <c r="G826" s="3"/>
      <c r="H826" s="3" t="s">
        <v>81</v>
      </c>
      <c r="I826" s="3" t="s">
        <v>460</v>
      </c>
    </row>
    <row r="827" spans="1:9" ht="19.95" customHeight="1" x14ac:dyDescent="0.2">
      <c r="A827" s="3" t="s">
        <v>1232</v>
      </c>
      <c r="B827" s="3" t="s">
        <v>11</v>
      </c>
      <c r="C827" s="3" t="s">
        <v>84</v>
      </c>
      <c r="D827" s="3" t="s">
        <v>70</v>
      </c>
      <c r="E827" s="4">
        <v>1380</v>
      </c>
      <c r="F827" s="5" t="s">
        <v>14</v>
      </c>
      <c r="G827" s="3"/>
      <c r="H827" s="3" t="s">
        <v>40</v>
      </c>
      <c r="I827" s="3" t="s">
        <v>156</v>
      </c>
    </row>
    <row r="828" spans="1:9" ht="19.95" customHeight="1" x14ac:dyDescent="0.2">
      <c r="A828" s="3" t="s">
        <v>1233</v>
      </c>
      <c r="B828" s="3" t="s">
        <v>10</v>
      </c>
      <c r="C828" s="3" t="s">
        <v>1234</v>
      </c>
      <c r="D828" s="3" t="s">
        <v>70</v>
      </c>
      <c r="E828" s="4">
        <v>12320</v>
      </c>
      <c r="F828" s="5" t="s">
        <v>183</v>
      </c>
      <c r="G828" s="4">
        <v>10500</v>
      </c>
      <c r="H828" s="3" t="s">
        <v>63</v>
      </c>
      <c r="I828" s="3" t="s">
        <v>129</v>
      </c>
    </row>
    <row r="829" spans="1:9" ht="19.95" customHeight="1" x14ac:dyDescent="0.2">
      <c r="A829" s="3" t="s">
        <v>1235</v>
      </c>
      <c r="B829" s="3" t="s">
        <v>11</v>
      </c>
      <c r="C829" s="3" t="s">
        <v>1234</v>
      </c>
      <c r="D829" s="3" t="s">
        <v>182</v>
      </c>
      <c r="E829" s="4">
        <v>12320</v>
      </c>
      <c r="F829" s="5" t="s">
        <v>183</v>
      </c>
      <c r="G829" s="3"/>
      <c r="H829" s="3" t="s">
        <v>63</v>
      </c>
      <c r="I829" s="3" t="s">
        <v>129</v>
      </c>
    </row>
    <row r="830" spans="1:9" ht="19.95" customHeight="1" x14ac:dyDescent="0.2">
      <c r="A830" s="3" t="s">
        <v>1236</v>
      </c>
      <c r="B830" s="3" t="s">
        <v>10</v>
      </c>
      <c r="C830" s="3" t="s">
        <v>140</v>
      </c>
      <c r="D830" s="3" t="s">
        <v>262</v>
      </c>
      <c r="E830" s="4">
        <v>10100</v>
      </c>
      <c r="F830" s="5" t="s">
        <v>39</v>
      </c>
      <c r="G830" s="4">
        <v>8950</v>
      </c>
      <c r="H830" s="3" t="s">
        <v>40</v>
      </c>
      <c r="I830" s="3" t="s">
        <v>156</v>
      </c>
    </row>
    <row r="831" spans="1:9" ht="19.95" customHeight="1" x14ac:dyDescent="0.2">
      <c r="A831" s="3" t="s">
        <v>1237</v>
      </c>
      <c r="B831" s="3" t="s">
        <v>45</v>
      </c>
      <c r="C831" s="3" t="s">
        <v>1238</v>
      </c>
      <c r="D831" s="3" t="s">
        <v>1239</v>
      </c>
      <c r="E831" s="4">
        <v>28680.400000000001</v>
      </c>
      <c r="F831" s="5" t="s">
        <v>585</v>
      </c>
      <c r="G831" s="4">
        <v>25067</v>
      </c>
      <c r="H831" s="3" t="s">
        <v>40</v>
      </c>
      <c r="I831" s="3" t="s">
        <v>364</v>
      </c>
    </row>
    <row r="832" spans="1:9" ht="19.95" customHeight="1" x14ac:dyDescent="0.2">
      <c r="A832" s="3" t="s">
        <v>1240</v>
      </c>
      <c r="B832" s="3" t="s">
        <v>71</v>
      </c>
      <c r="C832" s="3" t="s">
        <v>245</v>
      </c>
      <c r="D832" s="3" t="s">
        <v>259</v>
      </c>
      <c r="E832" s="4">
        <v>745</v>
      </c>
      <c r="F832" s="5" t="s">
        <v>14</v>
      </c>
      <c r="G832" s="4">
        <v>663</v>
      </c>
      <c r="H832" s="3" t="s">
        <v>63</v>
      </c>
      <c r="I832" s="3" t="s">
        <v>129</v>
      </c>
    </row>
    <row r="833" spans="1:9" ht="19.95" customHeight="1" x14ac:dyDescent="0.2">
      <c r="A833" s="3" t="s">
        <v>1241</v>
      </c>
      <c r="B833" s="3" t="s">
        <v>115</v>
      </c>
      <c r="C833" s="3" t="s">
        <v>69</v>
      </c>
      <c r="D833" s="3" t="s">
        <v>115</v>
      </c>
      <c r="E833" s="4">
        <v>1040</v>
      </c>
      <c r="F833" s="5" t="s">
        <v>39</v>
      </c>
      <c r="G833" s="4">
        <v>830</v>
      </c>
      <c r="H833" s="3" t="s">
        <v>40</v>
      </c>
      <c r="I833" s="3" t="s">
        <v>59</v>
      </c>
    </row>
    <row r="834" spans="1:9" ht="19.95" customHeight="1" x14ac:dyDescent="0.2">
      <c r="A834" s="3" t="s">
        <v>1241</v>
      </c>
      <c r="B834" s="3" t="s">
        <v>115</v>
      </c>
      <c r="C834" s="3" t="s">
        <v>192</v>
      </c>
      <c r="D834" s="3" t="s">
        <v>115</v>
      </c>
      <c r="E834" s="4">
        <v>3120</v>
      </c>
      <c r="F834" s="5" t="s">
        <v>39</v>
      </c>
      <c r="G834" s="4">
        <v>2490</v>
      </c>
      <c r="H834" s="3" t="s">
        <v>40</v>
      </c>
      <c r="I834" s="3" t="s">
        <v>59</v>
      </c>
    </row>
    <row r="835" spans="1:9" ht="19.95" customHeight="1" x14ac:dyDescent="0.2">
      <c r="A835" s="3" t="s">
        <v>1242</v>
      </c>
      <c r="B835" s="3" t="s">
        <v>45</v>
      </c>
      <c r="C835" s="3" t="s">
        <v>69</v>
      </c>
      <c r="D835" s="3" t="s">
        <v>38</v>
      </c>
      <c r="E835" s="4">
        <v>4110</v>
      </c>
      <c r="F835" s="5" t="s">
        <v>39</v>
      </c>
      <c r="G835" s="4">
        <v>3535</v>
      </c>
      <c r="H835" s="3" t="s">
        <v>40</v>
      </c>
      <c r="I835" s="3" t="s">
        <v>229</v>
      </c>
    </row>
    <row r="836" spans="1:9" ht="19.95" customHeight="1" x14ac:dyDescent="0.2">
      <c r="A836" s="3" t="s">
        <v>1243</v>
      </c>
      <c r="B836" s="3" t="s">
        <v>10</v>
      </c>
      <c r="C836" s="3" t="s">
        <v>84</v>
      </c>
      <c r="D836" s="3" t="s">
        <v>510</v>
      </c>
      <c r="E836" s="4">
        <v>20260</v>
      </c>
      <c r="F836" s="5" t="s">
        <v>14</v>
      </c>
      <c r="G836" s="4">
        <v>17728</v>
      </c>
      <c r="H836" s="3" t="s">
        <v>40</v>
      </c>
      <c r="I836" s="3" t="s">
        <v>167</v>
      </c>
    </row>
    <row r="837" spans="1:9" ht="19.95" customHeight="1" x14ac:dyDescent="0.2">
      <c r="A837" s="3" t="s">
        <v>1244</v>
      </c>
      <c r="B837" s="3" t="s">
        <v>10</v>
      </c>
      <c r="C837" s="3" t="s">
        <v>37</v>
      </c>
      <c r="D837" s="3" t="s">
        <v>510</v>
      </c>
      <c r="E837" s="4">
        <v>1020</v>
      </c>
      <c r="F837" s="5" t="s">
        <v>39</v>
      </c>
      <c r="G837" s="4">
        <v>892</v>
      </c>
      <c r="H837" s="3" t="s">
        <v>40</v>
      </c>
      <c r="I837" s="3" t="s">
        <v>167</v>
      </c>
    </row>
    <row r="838" spans="1:9" ht="19.95" customHeight="1" x14ac:dyDescent="0.2">
      <c r="A838" s="3" t="s">
        <v>1244</v>
      </c>
      <c r="B838" s="3" t="s">
        <v>10</v>
      </c>
      <c r="C838" s="3" t="s">
        <v>308</v>
      </c>
      <c r="D838" s="3" t="s">
        <v>510</v>
      </c>
      <c r="E838" s="4">
        <v>10200</v>
      </c>
      <c r="F838" s="5" t="s">
        <v>39</v>
      </c>
      <c r="G838" s="7">
        <v>8925</v>
      </c>
      <c r="H838" s="3" t="s">
        <v>40</v>
      </c>
      <c r="I838" s="3" t="s">
        <v>167</v>
      </c>
    </row>
    <row r="839" spans="1:9" ht="19.95" customHeight="1" x14ac:dyDescent="0.2">
      <c r="A839" s="3" t="s">
        <v>1245</v>
      </c>
      <c r="B839" s="3" t="s">
        <v>11</v>
      </c>
      <c r="C839" s="3" t="s">
        <v>37</v>
      </c>
      <c r="D839" s="3" t="s">
        <v>510</v>
      </c>
      <c r="E839" s="4">
        <v>1890</v>
      </c>
      <c r="F839" s="5" t="s">
        <v>39</v>
      </c>
      <c r="G839" s="6"/>
      <c r="H839" s="3" t="s">
        <v>40</v>
      </c>
      <c r="I839" s="3" t="s">
        <v>167</v>
      </c>
    </row>
    <row r="840" spans="1:9" ht="19.95" customHeight="1" x14ac:dyDescent="0.2">
      <c r="A840" s="3" t="s">
        <v>1245</v>
      </c>
      <c r="B840" s="3" t="s">
        <v>10</v>
      </c>
      <c r="C840" s="3" t="s">
        <v>308</v>
      </c>
      <c r="D840" s="3" t="s">
        <v>510</v>
      </c>
      <c r="E840" s="4">
        <v>18900</v>
      </c>
      <c r="F840" s="5" t="s">
        <v>39</v>
      </c>
      <c r="G840" s="4">
        <v>16538</v>
      </c>
      <c r="H840" s="3" t="s">
        <v>40</v>
      </c>
      <c r="I840" s="3" t="s">
        <v>167</v>
      </c>
    </row>
    <row r="841" spans="1:9" ht="19.95" customHeight="1" x14ac:dyDescent="0.2">
      <c r="A841" s="3" t="s">
        <v>1246</v>
      </c>
      <c r="B841" s="3" t="s">
        <v>10</v>
      </c>
      <c r="C841" s="3" t="s">
        <v>683</v>
      </c>
      <c r="D841" s="3" t="s">
        <v>85</v>
      </c>
      <c r="E841" s="4">
        <v>16030</v>
      </c>
      <c r="F841" s="5" t="s">
        <v>183</v>
      </c>
      <c r="G841" s="4">
        <v>13890</v>
      </c>
      <c r="H841" s="3" t="s">
        <v>63</v>
      </c>
      <c r="I841" s="3" t="s">
        <v>232</v>
      </c>
    </row>
    <row r="842" spans="1:9" ht="19.95" customHeight="1" x14ac:dyDescent="0.2">
      <c r="A842" s="3" t="s">
        <v>1247</v>
      </c>
      <c r="B842" s="3" t="s">
        <v>10</v>
      </c>
      <c r="C842" s="3" t="s">
        <v>683</v>
      </c>
      <c r="D842" s="3" t="s">
        <v>85</v>
      </c>
      <c r="E842" s="4">
        <v>30037</v>
      </c>
      <c r="F842" s="5" t="s">
        <v>183</v>
      </c>
      <c r="G842" s="4">
        <v>25980</v>
      </c>
      <c r="H842" s="3" t="s">
        <v>63</v>
      </c>
      <c r="I842" s="3" t="s">
        <v>232</v>
      </c>
    </row>
    <row r="843" spans="1:9" ht="19.95" customHeight="1" x14ac:dyDescent="0.2">
      <c r="A843" s="3" t="s">
        <v>1248</v>
      </c>
      <c r="B843" s="3" t="s">
        <v>91</v>
      </c>
      <c r="C843" s="3" t="s">
        <v>1249</v>
      </c>
      <c r="D843" s="3" t="s">
        <v>289</v>
      </c>
      <c r="E843" s="4">
        <v>980</v>
      </c>
      <c r="F843" s="5" t="s">
        <v>58</v>
      </c>
      <c r="G843" s="4">
        <v>838</v>
      </c>
      <c r="H843" s="3" t="s">
        <v>40</v>
      </c>
      <c r="I843" s="3" t="s">
        <v>549</v>
      </c>
    </row>
    <row r="844" spans="1:9" ht="19.95" customHeight="1" x14ac:dyDescent="0.2">
      <c r="A844" s="3" t="s">
        <v>1250</v>
      </c>
      <c r="B844" s="3" t="s">
        <v>45</v>
      </c>
      <c r="C844" s="3" t="s">
        <v>308</v>
      </c>
      <c r="D844" s="3" t="s">
        <v>109</v>
      </c>
      <c r="E844" s="4">
        <v>5300</v>
      </c>
      <c r="F844" s="5" t="s">
        <v>39</v>
      </c>
      <c r="G844" s="7">
        <v>4611</v>
      </c>
      <c r="H844" s="3" t="s">
        <v>40</v>
      </c>
      <c r="I844" s="3" t="s">
        <v>314</v>
      </c>
    </row>
    <row r="845" spans="1:9" ht="19.95" customHeight="1" x14ac:dyDescent="0.2">
      <c r="A845" s="3" t="s">
        <v>1251</v>
      </c>
      <c r="B845" s="3" t="s">
        <v>10</v>
      </c>
      <c r="C845" s="3" t="s">
        <v>69</v>
      </c>
      <c r="D845" s="3" t="s">
        <v>38</v>
      </c>
      <c r="E845" s="4">
        <v>1380</v>
      </c>
      <c r="F845" s="5" t="s">
        <v>39</v>
      </c>
      <c r="G845" s="4">
        <v>1230</v>
      </c>
      <c r="H845" s="3" t="s">
        <v>40</v>
      </c>
      <c r="I845" s="3" t="s">
        <v>314</v>
      </c>
    </row>
    <row r="846" spans="1:9" ht="19.95" customHeight="1" x14ac:dyDescent="0.2">
      <c r="A846" s="3" t="s">
        <v>1251</v>
      </c>
      <c r="B846" s="3" t="s">
        <v>10</v>
      </c>
      <c r="C846" s="3" t="s">
        <v>176</v>
      </c>
      <c r="D846" s="3" t="s">
        <v>38</v>
      </c>
      <c r="E846" s="4">
        <v>6900</v>
      </c>
      <c r="F846" s="5" t="s">
        <v>39</v>
      </c>
      <c r="G846" s="4">
        <v>6147</v>
      </c>
      <c r="H846" s="3" t="s">
        <v>40</v>
      </c>
      <c r="I846" s="3" t="s">
        <v>314</v>
      </c>
    </row>
    <row r="847" spans="1:9" ht="19.95" customHeight="1" x14ac:dyDescent="0.2">
      <c r="A847" s="3" t="s">
        <v>1252</v>
      </c>
      <c r="B847" s="3" t="s">
        <v>45</v>
      </c>
      <c r="C847" s="3" t="s">
        <v>37</v>
      </c>
      <c r="D847" s="3" t="s">
        <v>477</v>
      </c>
      <c r="E847" s="4">
        <v>1040</v>
      </c>
      <c r="F847" s="5" t="s">
        <v>39</v>
      </c>
      <c r="G847" s="4">
        <v>926</v>
      </c>
      <c r="H847" s="3" t="s">
        <v>40</v>
      </c>
      <c r="I847" s="3" t="s">
        <v>358</v>
      </c>
    </row>
    <row r="848" spans="1:9" ht="19.95" customHeight="1" x14ac:dyDescent="0.2">
      <c r="A848" s="3" t="s">
        <v>1253</v>
      </c>
      <c r="B848" s="3" t="s">
        <v>11</v>
      </c>
      <c r="C848" s="3" t="s">
        <v>1254</v>
      </c>
      <c r="D848" s="3" t="s">
        <v>246</v>
      </c>
      <c r="E848" s="4">
        <v>1000</v>
      </c>
      <c r="F848" s="5" t="s">
        <v>835</v>
      </c>
      <c r="G848" s="6"/>
      <c r="H848" s="3" t="s">
        <v>81</v>
      </c>
      <c r="I848" s="3" t="s">
        <v>538</v>
      </c>
    </row>
    <row r="849" spans="1:9" ht="19.95" customHeight="1" x14ac:dyDescent="0.2">
      <c r="A849" s="3" t="s">
        <v>1255</v>
      </c>
      <c r="B849" s="3" t="s">
        <v>91</v>
      </c>
      <c r="C849" s="3" t="s">
        <v>37</v>
      </c>
      <c r="D849" s="3" t="s">
        <v>477</v>
      </c>
      <c r="E849" s="4">
        <v>740</v>
      </c>
      <c r="F849" s="5" t="s">
        <v>39</v>
      </c>
      <c r="G849" s="7">
        <v>649</v>
      </c>
      <c r="H849" s="3" t="s">
        <v>40</v>
      </c>
      <c r="I849" s="3" t="s">
        <v>165</v>
      </c>
    </row>
    <row r="850" spans="1:9" ht="19.95" customHeight="1" x14ac:dyDescent="0.2">
      <c r="A850" s="3" t="s">
        <v>1256</v>
      </c>
      <c r="B850" s="3" t="s">
        <v>91</v>
      </c>
      <c r="C850" s="3" t="s">
        <v>1257</v>
      </c>
      <c r="D850" s="3" t="s">
        <v>477</v>
      </c>
      <c r="E850" s="4">
        <v>2060</v>
      </c>
      <c r="F850" s="5" t="s">
        <v>89</v>
      </c>
      <c r="G850" s="4">
        <v>1769</v>
      </c>
      <c r="H850" s="3" t="s">
        <v>81</v>
      </c>
      <c r="I850" s="3" t="s">
        <v>165</v>
      </c>
    </row>
    <row r="851" spans="1:9" ht="19.95" customHeight="1" x14ac:dyDescent="0.2">
      <c r="A851" s="3" t="s">
        <v>1258</v>
      </c>
      <c r="B851" s="3" t="s">
        <v>91</v>
      </c>
      <c r="C851" s="3" t="s">
        <v>1259</v>
      </c>
      <c r="D851" s="3" t="s">
        <v>496</v>
      </c>
      <c r="E851" s="4">
        <v>13990</v>
      </c>
      <c r="F851" s="5" t="s">
        <v>98</v>
      </c>
      <c r="G851" s="7">
        <v>12717</v>
      </c>
      <c r="H851" s="3" t="s">
        <v>81</v>
      </c>
      <c r="I851" s="3" t="s">
        <v>220</v>
      </c>
    </row>
    <row r="852" spans="1:9" ht="19.95" customHeight="1" x14ac:dyDescent="0.2">
      <c r="A852" s="3" t="s">
        <v>1260</v>
      </c>
      <c r="B852" s="3" t="s">
        <v>91</v>
      </c>
      <c r="C852" s="3" t="s">
        <v>1261</v>
      </c>
      <c r="D852" s="3" t="s">
        <v>496</v>
      </c>
      <c r="E852" s="4">
        <v>12775</v>
      </c>
      <c r="F852" s="5" t="s">
        <v>98</v>
      </c>
      <c r="G852" s="4">
        <v>11613</v>
      </c>
      <c r="H852" s="3" t="s">
        <v>81</v>
      </c>
      <c r="I852" s="3" t="s">
        <v>220</v>
      </c>
    </row>
    <row r="853" spans="1:9" ht="19.95" customHeight="1" x14ac:dyDescent="0.2">
      <c r="A853" s="3" t="s">
        <v>1262</v>
      </c>
      <c r="B853" s="3" t="s">
        <v>11</v>
      </c>
      <c r="C853" s="3" t="s">
        <v>136</v>
      </c>
      <c r="D853" s="3" t="s">
        <v>446</v>
      </c>
      <c r="E853" s="4">
        <v>1650</v>
      </c>
      <c r="F853" s="5" t="s">
        <v>128</v>
      </c>
      <c r="G853" s="3"/>
      <c r="H853" s="3" t="s">
        <v>63</v>
      </c>
      <c r="I853" s="3" t="s">
        <v>129</v>
      </c>
    </row>
    <row r="854" spans="1:9" ht="19.95" customHeight="1" x14ac:dyDescent="0.2">
      <c r="A854" s="3" t="s">
        <v>1263</v>
      </c>
      <c r="B854" s="3" t="s">
        <v>10</v>
      </c>
      <c r="C854" s="3" t="s">
        <v>136</v>
      </c>
      <c r="D854" s="3" t="s">
        <v>388</v>
      </c>
      <c r="E854" s="4">
        <v>390</v>
      </c>
      <c r="F854" s="5" t="s">
        <v>128</v>
      </c>
      <c r="G854" s="4">
        <v>1300</v>
      </c>
      <c r="H854" s="3" t="s">
        <v>40</v>
      </c>
      <c r="I854" s="3" t="s">
        <v>137</v>
      </c>
    </row>
    <row r="855" spans="1:9" ht="19.95" customHeight="1" x14ac:dyDescent="0.2">
      <c r="A855" s="3" t="s">
        <v>1264</v>
      </c>
      <c r="B855" s="3" t="s">
        <v>10</v>
      </c>
      <c r="C855" s="3" t="s">
        <v>136</v>
      </c>
      <c r="D855" s="3" t="s">
        <v>388</v>
      </c>
      <c r="E855" s="4">
        <v>455</v>
      </c>
      <c r="F855" s="5" t="s">
        <v>128</v>
      </c>
      <c r="G855" s="4">
        <v>550</v>
      </c>
      <c r="H855" s="3" t="s">
        <v>40</v>
      </c>
      <c r="I855" s="3" t="s">
        <v>137</v>
      </c>
    </row>
    <row r="856" spans="1:9" ht="19.95" customHeight="1" x14ac:dyDescent="0.2">
      <c r="A856" s="3" t="s">
        <v>1265</v>
      </c>
      <c r="B856" s="3" t="s">
        <v>11</v>
      </c>
      <c r="C856" s="3" t="s">
        <v>120</v>
      </c>
      <c r="D856" s="3" t="s">
        <v>551</v>
      </c>
      <c r="E856" s="4">
        <v>3050</v>
      </c>
      <c r="F856" s="5" t="s">
        <v>89</v>
      </c>
      <c r="G856" s="3"/>
      <c r="H856" s="3" t="s">
        <v>81</v>
      </c>
      <c r="I856" s="3" t="s">
        <v>64</v>
      </c>
    </row>
    <row r="857" spans="1:9" ht="19.95" customHeight="1" x14ac:dyDescent="0.2">
      <c r="A857" s="3" t="s">
        <v>1266</v>
      </c>
      <c r="B857" s="3" t="s">
        <v>10</v>
      </c>
      <c r="C857" s="3" t="s">
        <v>1267</v>
      </c>
      <c r="D857" s="3" t="s">
        <v>266</v>
      </c>
      <c r="E857" s="4">
        <v>335</v>
      </c>
      <c r="F857" s="5" t="s">
        <v>144</v>
      </c>
      <c r="G857" s="4">
        <v>298</v>
      </c>
      <c r="H857" s="3" t="s">
        <v>582</v>
      </c>
      <c r="I857" s="3" t="s">
        <v>267</v>
      </c>
    </row>
    <row r="858" spans="1:9" ht="19.95" customHeight="1" x14ac:dyDescent="0.2">
      <c r="A858" s="3" t="s">
        <v>1268</v>
      </c>
      <c r="B858" s="3" t="s">
        <v>11</v>
      </c>
      <c r="C858" s="3" t="s">
        <v>1269</v>
      </c>
      <c r="D858" s="3" t="s">
        <v>508</v>
      </c>
      <c r="E858" s="4">
        <v>28172</v>
      </c>
      <c r="F858" s="5" t="s">
        <v>111</v>
      </c>
      <c r="G858" s="3"/>
      <c r="H858" s="3" t="s">
        <v>81</v>
      </c>
      <c r="I858" s="3" t="s">
        <v>243</v>
      </c>
    </row>
    <row r="859" spans="1:9" ht="19.95" customHeight="1" x14ac:dyDescent="0.2">
      <c r="A859" s="3" t="s">
        <v>1270</v>
      </c>
      <c r="B859" s="3" t="s">
        <v>10</v>
      </c>
      <c r="C859" s="3" t="s">
        <v>868</v>
      </c>
      <c r="D859" s="3" t="s">
        <v>266</v>
      </c>
      <c r="E859" s="4">
        <v>1650</v>
      </c>
      <c r="F859" s="5" t="s">
        <v>128</v>
      </c>
      <c r="G859" s="4">
        <v>1469</v>
      </c>
      <c r="H859" s="3" t="s">
        <v>40</v>
      </c>
      <c r="I859" s="3" t="s">
        <v>217</v>
      </c>
    </row>
    <row r="860" spans="1:9" ht="19.95" customHeight="1" x14ac:dyDescent="0.2">
      <c r="A860" s="3" t="s">
        <v>1271</v>
      </c>
      <c r="B860" s="3" t="s">
        <v>10</v>
      </c>
      <c r="C860" s="3" t="s">
        <v>1272</v>
      </c>
      <c r="D860" s="3" t="s">
        <v>262</v>
      </c>
      <c r="E860" s="4">
        <v>6100</v>
      </c>
      <c r="F860" s="5" t="s">
        <v>58</v>
      </c>
      <c r="G860" s="4">
        <v>5540</v>
      </c>
      <c r="H860" s="3" t="s">
        <v>40</v>
      </c>
      <c r="I860" s="3" t="s">
        <v>165</v>
      </c>
    </row>
    <row r="861" spans="1:9" ht="19.95" customHeight="1" x14ac:dyDescent="0.2">
      <c r="A861" s="3" t="s">
        <v>1273</v>
      </c>
      <c r="B861" s="3" t="s">
        <v>45</v>
      </c>
      <c r="C861" s="3" t="s">
        <v>1274</v>
      </c>
      <c r="D861" s="3" t="s">
        <v>978</v>
      </c>
      <c r="E861" s="4">
        <v>4422</v>
      </c>
      <c r="F861" s="5" t="s">
        <v>171</v>
      </c>
      <c r="G861" s="4">
        <v>3936</v>
      </c>
      <c r="H861" s="3" t="s">
        <v>63</v>
      </c>
      <c r="I861" s="3" t="s">
        <v>217</v>
      </c>
    </row>
    <row r="862" spans="1:9" ht="19.95" customHeight="1" x14ac:dyDescent="0.2">
      <c r="A862" s="3" t="s">
        <v>1275</v>
      </c>
      <c r="B862" s="3" t="s">
        <v>10</v>
      </c>
      <c r="C862" s="3" t="s">
        <v>1276</v>
      </c>
      <c r="D862" s="3" t="s">
        <v>262</v>
      </c>
      <c r="E862" s="4">
        <v>4950</v>
      </c>
      <c r="F862" s="5" t="s">
        <v>89</v>
      </c>
      <c r="G862" s="7">
        <v>4499</v>
      </c>
      <c r="H862" s="3" t="s">
        <v>81</v>
      </c>
      <c r="I862" s="3" t="s">
        <v>1277</v>
      </c>
    </row>
    <row r="863" spans="1:9" ht="19.95" customHeight="1" x14ac:dyDescent="0.2">
      <c r="A863" s="3" t="s">
        <v>1278</v>
      </c>
      <c r="B863" s="3" t="s">
        <v>91</v>
      </c>
      <c r="C863" s="3" t="s">
        <v>453</v>
      </c>
      <c r="D863" s="3" t="s">
        <v>246</v>
      </c>
      <c r="E863" s="4">
        <v>2050</v>
      </c>
      <c r="F863" s="5" t="s">
        <v>89</v>
      </c>
      <c r="G863" s="4">
        <v>1826</v>
      </c>
      <c r="H863" s="3" t="s">
        <v>81</v>
      </c>
      <c r="I863" s="3" t="s">
        <v>334</v>
      </c>
    </row>
    <row r="864" spans="1:9" ht="19.95" customHeight="1" x14ac:dyDescent="0.2">
      <c r="A864" s="3" t="s">
        <v>1279</v>
      </c>
      <c r="B864" s="3" t="s">
        <v>91</v>
      </c>
      <c r="C864" s="3" t="s">
        <v>142</v>
      </c>
      <c r="D864" s="3" t="s">
        <v>139</v>
      </c>
      <c r="E864" s="4">
        <v>1000</v>
      </c>
      <c r="F864" s="5" t="s">
        <v>144</v>
      </c>
      <c r="G864" s="4">
        <v>900</v>
      </c>
      <c r="H864" s="3" t="s">
        <v>81</v>
      </c>
      <c r="I864" s="3" t="s">
        <v>99</v>
      </c>
    </row>
    <row r="865" spans="1:9" ht="19.95" customHeight="1" x14ac:dyDescent="0.2">
      <c r="A865" s="3" t="s">
        <v>1280</v>
      </c>
      <c r="B865" s="3" t="s">
        <v>45</v>
      </c>
      <c r="C865" s="3" t="s">
        <v>298</v>
      </c>
      <c r="D865" s="3" t="s">
        <v>1281</v>
      </c>
      <c r="E865" s="4">
        <v>2120</v>
      </c>
      <c r="F865" s="5" t="s">
        <v>148</v>
      </c>
      <c r="G865" s="4">
        <v>1888</v>
      </c>
      <c r="H865" s="3" t="s">
        <v>81</v>
      </c>
      <c r="I865" s="3" t="s">
        <v>99</v>
      </c>
    </row>
    <row r="866" spans="1:9" ht="19.95" customHeight="1" x14ac:dyDescent="0.2">
      <c r="A866" s="3" t="s">
        <v>1282</v>
      </c>
      <c r="B866" s="3" t="s">
        <v>10</v>
      </c>
      <c r="C866" s="3" t="s">
        <v>1283</v>
      </c>
      <c r="D866" s="3" t="s">
        <v>216</v>
      </c>
      <c r="E866" s="4">
        <v>1470</v>
      </c>
      <c r="F866" s="5" t="s">
        <v>148</v>
      </c>
      <c r="G866" s="4">
        <v>1300</v>
      </c>
      <c r="H866" s="3" t="s">
        <v>81</v>
      </c>
      <c r="I866" s="3" t="s">
        <v>99</v>
      </c>
    </row>
    <row r="867" spans="1:9" ht="19.95" customHeight="1" x14ac:dyDescent="0.2">
      <c r="A867" s="3" t="s">
        <v>1284</v>
      </c>
      <c r="B867" s="3" t="s">
        <v>11</v>
      </c>
      <c r="C867" s="3" t="s">
        <v>1285</v>
      </c>
      <c r="D867" s="3" t="s">
        <v>216</v>
      </c>
      <c r="E867" s="4">
        <v>10000</v>
      </c>
      <c r="F867" s="5" t="s">
        <v>89</v>
      </c>
      <c r="G867" s="3"/>
      <c r="H867" s="3" t="s">
        <v>81</v>
      </c>
      <c r="I867" s="3" t="s">
        <v>99</v>
      </c>
    </row>
    <row r="868" spans="1:9" ht="19.95" customHeight="1" x14ac:dyDescent="0.2">
      <c r="A868" s="3" t="s">
        <v>1286</v>
      </c>
      <c r="B868" s="3" t="s">
        <v>45</v>
      </c>
      <c r="C868" s="3" t="s">
        <v>265</v>
      </c>
      <c r="D868" s="3" t="s">
        <v>1041</v>
      </c>
      <c r="E868" s="4">
        <v>125</v>
      </c>
      <c r="F868" s="5" t="s">
        <v>144</v>
      </c>
      <c r="G868" s="4">
        <v>111</v>
      </c>
      <c r="H868" s="3" t="s">
        <v>582</v>
      </c>
      <c r="I868" s="3" t="s">
        <v>1287</v>
      </c>
    </row>
    <row r="869" spans="1:9" ht="19.95" customHeight="1" x14ac:dyDescent="0.2">
      <c r="A869" s="3" t="s">
        <v>1288</v>
      </c>
      <c r="B869" s="3" t="s">
        <v>11</v>
      </c>
      <c r="C869" s="3" t="s">
        <v>1289</v>
      </c>
      <c r="D869" s="3" t="s">
        <v>1239</v>
      </c>
      <c r="E869" s="4">
        <v>1190</v>
      </c>
      <c r="F869" s="5" t="s">
        <v>89</v>
      </c>
      <c r="G869" s="3"/>
      <c r="H869" s="3" t="s">
        <v>81</v>
      </c>
      <c r="I869" s="3" t="s">
        <v>412</v>
      </c>
    </row>
    <row r="870" spans="1:9" ht="19.95" customHeight="1" x14ac:dyDescent="0.2">
      <c r="A870" s="3" t="s">
        <v>1290</v>
      </c>
      <c r="B870" s="3" t="s">
        <v>11</v>
      </c>
      <c r="C870" s="3" t="s">
        <v>1291</v>
      </c>
      <c r="D870" s="3" t="s">
        <v>93</v>
      </c>
      <c r="E870" s="4">
        <v>4720</v>
      </c>
      <c r="F870" s="5" t="s">
        <v>148</v>
      </c>
      <c r="G870" s="3"/>
      <c r="H870" s="3" t="s">
        <v>81</v>
      </c>
      <c r="I870" s="3" t="s">
        <v>99</v>
      </c>
    </row>
    <row r="871" spans="1:9" ht="19.95" customHeight="1" x14ac:dyDescent="0.2">
      <c r="A871" s="3" t="s">
        <v>1292</v>
      </c>
      <c r="B871" s="3" t="s">
        <v>10</v>
      </c>
      <c r="C871" s="3" t="s">
        <v>1293</v>
      </c>
      <c r="D871" s="3" t="s">
        <v>93</v>
      </c>
      <c r="E871" s="4">
        <v>4720</v>
      </c>
      <c r="F871" s="5" t="s">
        <v>98</v>
      </c>
      <c r="G871" s="7">
        <v>4205</v>
      </c>
      <c r="H871" s="3" t="s">
        <v>81</v>
      </c>
      <c r="I871" s="3" t="s">
        <v>99</v>
      </c>
    </row>
    <row r="872" spans="1:9" ht="19.95" customHeight="1" x14ac:dyDescent="0.2">
      <c r="A872" s="3" t="s">
        <v>1294</v>
      </c>
      <c r="B872" s="3" t="s">
        <v>71</v>
      </c>
      <c r="C872" s="3" t="s">
        <v>1295</v>
      </c>
      <c r="D872" s="3" t="s">
        <v>93</v>
      </c>
      <c r="E872" s="4">
        <v>1510</v>
      </c>
      <c r="F872" s="5" t="s">
        <v>1296</v>
      </c>
      <c r="G872" s="4">
        <v>1345</v>
      </c>
      <c r="H872" s="3" t="s">
        <v>81</v>
      </c>
      <c r="I872" s="3" t="s">
        <v>932</v>
      </c>
    </row>
    <row r="873" spans="1:9" ht="19.95" customHeight="1" x14ac:dyDescent="0.2">
      <c r="A873" s="3" t="s">
        <v>1294</v>
      </c>
      <c r="B873" s="3" t="s">
        <v>45</v>
      </c>
      <c r="C873" s="3" t="s">
        <v>96</v>
      </c>
      <c r="D873" s="3" t="s">
        <v>93</v>
      </c>
      <c r="E873" s="4">
        <v>6640</v>
      </c>
      <c r="F873" s="5" t="s">
        <v>98</v>
      </c>
      <c r="G873" s="4">
        <v>5890</v>
      </c>
      <c r="H873" s="3" t="s">
        <v>81</v>
      </c>
      <c r="I873" s="3" t="s">
        <v>932</v>
      </c>
    </row>
    <row r="874" spans="1:9" ht="19.95" customHeight="1" x14ac:dyDescent="0.2">
      <c r="A874" s="3" t="s">
        <v>1297</v>
      </c>
      <c r="B874" s="3" t="s">
        <v>45</v>
      </c>
      <c r="C874" s="3" t="s">
        <v>1298</v>
      </c>
      <c r="D874" s="3" t="s">
        <v>866</v>
      </c>
      <c r="E874" s="4">
        <v>890</v>
      </c>
      <c r="F874" s="5" t="s">
        <v>39</v>
      </c>
      <c r="G874" s="4">
        <v>791</v>
      </c>
      <c r="H874" s="3" t="s">
        <v>40</v>
      </c>
      <c r="I874" s="3" t="s">
        <v>187</v>
      </c>
    </row>
    <row r="875" spans="1:9" ht="19.95" customHeight="1" x14ac:dyDescent="0.2">
      <c r="A875" s="3" t="s">
        <v>1297</v>
      </c>
      <c r="B875" s="3" t="s">
        <v>11</v>
      </c>
      <c r="C875" s="3" t="s">
        <v>1299</v>
      </c>
      <c r="D875" s="3" t="s">
        <v>866</v>
      </c>
      <c r="E875" s="4">
        <v>8900</v>
      </c>
      <c r="F875" s="5" t="s">
        <v>39</v>
      </c>
      <c r="G875" s="3"/>
      <c r="H875" s="3" t="s">
        <v>40</v>
      </c>
      <c r="I875" s="3" t="s">
        <v>187</v>
      </c>
    </row>
    <row r="876" spans="1:9" ht="19.95" customHeight="1" x14ac:dyDescent="0.2">
      <c r="A876" s="3" t="s">
        <v>1300</v>
      </c>
      <c r="B876" s="3" t="s">
        <v>45</v>
      </c>
      <c r="C876" s="3" t="s">
        <v>69</v>
      </c>
      <c r="D876" s="3" t="s">
        <v>866</v>
      </c>
      <c r="E876" s="4">
        <v>1260</v>
      </c>
      <c r="F876" s="5" t="s">
        <v>39</v>
      </c>
      <c r="G876" s="7">
        <v>1120</v>
      </c>
      <c r="H876" s="3" t="s">
        <v>40</v>
      </c>
      <c r="I876" s="3" t="s">
        <v>187</v>
      </c>
    </row>
    <row r="877" spans="1:9" ht="19.95" customHeight="1" x14ac:dyDescent="0.2">
      <c r="A877" s="3" t="s">
        <v>1300</v>
      </c>
      <c r="B877" s="3" t="s">
        <v>45</v>
      </c>
      <c r="C877" s="3" t="s">
        <v>140</v>
      </c>
      <c r="D877" s="3" t="s">
        <v>866</v>
      </c>
      <c r="E877" s="4">
        <v>12600</v>
      </c>
      <c r="F877" s="5" t="s">
        <v>39</v>
      </c>
      <c r="G877" s="4">
        <v>11201</v>
      </c>
      <c r="H877" s="3" t="s">
        <v>40</v>
      </c>
      <c r="I877" s="3" t="s">
        <v>187</v>
      </c>
    </row>
    <row r="878" spans="1:9" ht="19.95" customHeight="1" x14ac:dyDescent="0.2">
      <c r="A878" s="3" t="s">
        <v>1301</v>
      </c>
      <c r="B878" s="3" t="s">
        <v>11</v>
      </c>
      <c r="C878" s="3" t="s">
        <v>136</v>
      </c>
      <c r="D878" s="3" t="s">
        <v>97</v>
      </c>
      <c r="E878" s="4">
        <v>385</v>
      </c>
      <c r="F878" s="5" t="s">
        <v>128</v>
      </c>
      <c r="G878" s="3"/>
      <c r="H878" s="3" t="s">
        <v>40</v>
      </c>
      <c r="I878" s="3" t="s">
        <v>1057</v>
      </c>
    </row>
    <row r="879" spans="1:9" ht="19.95" customHeight="1" x14ac:dyDescent="0.2">
      <c r="A879" s="3" t="s">
        <v>1302</v>
      </c>
      <c r="B879" s="3" t="s">
        <v>11</v>
      </c>
      <c r="C879" s="3" t="s">
        <v>1303</v>
      </c>
      <c r="D879" s="3" t="s">
        <v>97</v>
      </c>
      <c r="E879" s="4">
        <v>1470</v>
      </c>
      <c r="F879" s="5" t="s">
        <v>935</v>
      </c>
      <c r="G879" s="6"/>
      <c r="H879" s="3" t="s">
        <v>81</v>
      </c>
      <c r="I879" s="3" t="s">
        <v>1287</v>
      </c>
    </row>
    <row r="880" spans="1:9" ht="19.95" customHeight="1" x14ac:dyDescent="0.2">
      <c r="A880" s="3" t="s">
        <v>1304</v>
      </c>
      <c r="B880" s="3" t="s">
        <v>10</v>
      </c>
      <c r="C880" s="3" t="s">
        <v>1305</v>
      </c>
      <c r="D880" s="3" t="s">
        <v>97</v>
      </c>
      <c r="E880" s="4">
        <v>5000</v>
      </c>
      <c r="F880" s="5" t="s">
        <v>935</v>
      </c>
      <c r="G880" s="4">
        <v>4454</v>
      </c>
      <c r="H880" s="3" t="s">
        <v>81</v>
      </c>
      <c r="I880" s="3" t="s">
        <v>1287</v>
      </c>
    </row>
    <row r="881" spans="1:9" ht="19.95" customHeight="1" x14ac:dyDescent="0.2">
      <c r="A881" s="3" t="s">
        <v>1306</v>
      </c>
      <c r="B881" s="3" t="s">
        <v>45</v>
      </c>
      <c r="C881" s="3" t="s">
        <v>136</v>
      </c>
      <c r="D881" s="3" t="s">
        <v>1307</v>
      </c>
      <c r="E881" s="4">
        <v>745</v>
      </c>
      <c r="F881" s="5" t="s">
        <v>128</v>
      </c>
      <c r="G881" s="7">
        <v>663</v>
      </c>
      <c r="H881" s="3" t="s">
        <v>40</v>
      </c>
      <c r="I881" s="3" t="s">
        <v>1308</v>
      </c>
    </row>
    <row r="882" spans="1:9" ht="19.95" customHeight="1" x14ac:dyDescent="0.2">
      <c r="A882" s="3" t="s">
        <v>1309</v>
      </c>
      <c r="B882" s="3" t="s">
        <v>10</v>
      </c>
      <c r="C882" s="3" t="s">
        <v>1310</v>
      </c>
      <c r="D882" s="3" t="s">
        <v>262</v>
      </c>
      <c r="E882" s="4">
        <v>580</v>
      </c>
      <c r="F882" s="5" t="s">
        <v>14</v>
      </c>
      <c r="G882" s="4">
        <v>527</v>
      </c>
      <c r="H882" s="3" t="s">
        <v>63</v>
      </c>
      <c r="I882" s="3" t="s">
        <v>567</v>
      </c>
    </row>
    <row r="883" spans="1:9" ht="19.95" customHeight="1" x14ac:dyDescent="0.2">
      <c r="A883" s="3" t="s">
        <v>1311</v>
      </c>
      <c r="B883" s="3" t="s">
        <v>45</v>
      </c>
      <c r="C883" s="3" t="s">
        <v>136</v>
      </c>
      <c r="D883" s="3" t="s">
        <v>1307</v>
      </c>
      <c r="E883" s="4">
        <v>1215</v>
      </c>
      <c r="F883" s="5" t="s">
        <v>128</v>
      </c>
      <c r="G883" s="4">
        <v>1082</v>
      </c>
      <c r="H883" s="3" t="s">
        <v>63</v>
      </c>
      <c r="I883" s="3" t="s">
        <v>389</v>
      </c>
    </row>
    <row r="884" spans="1:9" ht="19.95" customHeight="1" x14ac:dyDescent="0.2">
      <c r="A884" s="42"/>
      <c r="F884"/>
      <c r="H884" s="42"/>
    </row>
    <row r="885" spans="1:9" ht="19.95" customHeight="1" x14ac:dyDescent="0.2">
      <c r="F885"/>
    </row>
    <row r="886" spans="1:9" ht="19.95" customHeight="1" x14ac:dyDescent="0.2">
      <c r="F886"/>
    </row>
    <row r="887" spans="1:9" ht="19.95" customHeight="1" x14ac:dyDescent="0.2">
      <c r="F887"/>
    </row>
    <row r="888" spans="1:9" ht="19.95" customHeight="1" x14ac:dyDescent="0.2">
      <c r="F888"/>
    </row>
    <row r="889" spans="1:9" ht="19.95" customHeight="1" x14ac:dyDescent="0.2">
      <c r="F889"/>
    </row>
    <row r="890" spans="1:9" ht="19.95" customHeight="1" x14ac:dyDescent="0.2">
      <c r="F890"/>
    </row>
    <row r="891" spans="1:9" ht="19.95" customHeight="1" x14ac:dyDescent="0.2">
      <c r="F891"/>
    </row>
    <row r="892" spans="1:9" ht="19.95" customHeight="1" x14ac:dyDescent="0.2">
      <c r="F892"/>
    </row>
    <row r="893" spans="1:9" ht="19.95" customHeight="1" x14ac:dyDescent="0.2">
      <c r="F893"/>
    </row>
    <row r="894" spans="1:9" ht="19.95" customHeight="1" x14ac:dyDescent="0.2">
      <c r="F894"/>
    </row>
    <row r="895" spans="1:9" ht="19.95" customHeight="1" x14ac:dyDescent="0.2">
      <c r="F895"/>
    </row>
    <row r="896" spans="1:9" ht="19.95" customHeight="1" x14ac:dyDescent="0.2">
      <c r="F896"/>
    </row>
    <row r="897" spans="6:6" ht="19.95" customHeight="1" x14ac:dyDescent="0.2">
      <c r="F897"/>
    </row>
    <row r="898" spans="6:6" ht="19.95" customHeight="1" x14ac:dyDescent="0.2">
      <c r="F898"/>
    </row>
    <row r="899" spans="6:6" ht="19.95" customHeight="1" x14ac:dyDescent="0.2">
      <c r="F899"/>
    </row>
    <row r="900" spans="6:6" ht="19.95" customHeight="1" x14ac:dyDescent="0.2">
      <c r="F900"/>
    </row>
    <row r="901" spans="6:6" ht="19.95" customHeight="1" x14ac:dyDescent="0.2">
      <c r="F901"/>
    </row>
    <row r="902" spans="6:6" ht="19.95" customHeight="1" x14ac:dyDescent="0.2">
      <c r="F902"/>
    </row>
    <row r="903" spans="6:6" ht="19.95" customHeight="1" x14ac:dyDescent="0.2">
      <c r="F903"/>
    </row>
    <row r="904" spans="6:6" ht="19.95" customHeight="1" x14ac:dyDescent="0.2">
      <c r="F904"/>
    </row>
    <row r="905" spans="6:6" ht="19.95" customHeight="1" x14ac:dyDescent="0.2">
      <c r="F905"/>
    </row>
    <row r="906" spans="6:6" ht="19.95" customHeight="1" x14ac:dyDescent="0.2">
      <c r="F906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3E3A-FDA3-4C1D-A4CB-3561492F94CB}">
  <sheetPr>
    <pageSetUpPr fitToPage="1"/>
  </sheetPr>
  <dimension ref="A1:N302"/>
  <sheetViews>
    <sheetView tabSelected="1" zoomScale="115" zoomScaleNormal="115" workbookViewId="0">
      <pane ySplit="2" topLeftCell="A3" activePane="bottomLeft" state="frozen"/>
      <selection pane="bottomLeft" activeCell="S14" sqref="S14"/>
    </sheetView>
  </sheetViews>
  <sheetFormatPr defaultRowHeight="15" customHeight="1" x14ac:dyDescent="0.2"/>
  <cols>
    <col min="2" max="2" width="53.77734375" style="8" bestFit="1" customWidth="1"/>
    <col min="3" max="3" width="3.6640625" style="9" customWidth="1"/>
    <col min="4" max="4" width="5.21875" style="9" customWidth="1"/>
    <col min="5" max="5" width="8.44140625" style="27" customWidth="1"/>
    <col min="6" max="11" width="0" style="8" hidden="1" customWidth="1"/>
    <col min="12" max="12" width="8.77734375" customWidth="1"/>
    <col min="13" max="13" width="6.21875" style="2" customWidth="1"/>
    <col min="14" max="14" width="8.6640625" style="12" customWidth="1"/>
  </cols>
  <sheetData>
    <row r="1" spans="1:14" ht="15" customHeight="1" thickBot="1" x14ac:dyDescent="0.25">
      <c r="B1" s="8" t="s">
        <v>1319</v>
      </c>
      <c r="E1" s="10"/>
      <c r="L1" s="11" t="s">
        <v>1321</v>
      </c>
    </row>
    <row r="2" spans="1:14" ht="15" customHeight="1" x14ac:dyDescent="0.2">
      <c r="B2" s="47" t="s">
        <v>1313</v>
      </c>
      <c r="C2" s="34" t="s">
        <v>1314</v>
      </c>
      <c r="D2" s="34"/>
      <c r="E2" s="48" t="s">
        <v>1315</v>
      </c>
      <c r="F2" s="33"/>
      <c r="G2" s="33"/>
      <c r="H2" s="33"/>
      <c r="I2" s="33"/>
      <c r="J2" s="33"/>
      <c r="K2" s="33"/>
      <c r="L2" s="49" t="s">
        <v>1322</v>
      </c>
      <c r="M2" s="34" t="s">
        <v>1317</v>
      </c>
      <c r="N2" s="50" t="s">
        <v>1318</v>
      </c>
    </row>
    <row r="3" spans="1:14" ht="15" customHeight="1" x14ac:dyDescent="0.2">
      <c r="A3" s="46">
        <v>1</v>
      </c>
      <c r="B3" s="45" t="str" cm="1">
        <f t="array" ref="B3:B149">_xlfn._xlws.FILTER(重複削除!A:A,重複削除!H:H="注射")</f>
        <v>アウィクリ注 フレックスタッチ 総量300単位</v>
      </c>
      <c r="C3" s="51"/>
      <c r="D3" s="33"/>
      <c r="E3" s="52"/>
      <c r="F3" s="53"/>
      <c r="G3" s="25"/>
      <c r="H3" s="25"/>
      <c r="I3" s="54"/>
      <c r="J3" s="25"/>
      <c r="K3" s="25"/>
      <c r="L3" s="55"/>
      <c r="M3" s="34"/>
      <c r="N3" s="50"/>
    </row>
    <row r="4" spans="1:14" ht="15" customHeight="1" x14ac:dyDescent="0.2">
      <c r="A4" s="46">
        <f>A3+1</f>
        <v>2</v>
      </c>
      <c r="B4" s="45" t="str">
        <v>アキネトン注射液５ｍｇ　　　　　　　　　</v>
      </c>
      <c r="C4" s="33"/>
      <c r="D4" s="33"/>
      <c r="E4" s="35"/>
      <c r="F4" s="25"/>
      <c r="G4" s="25"/>
      <c r="H4" s="25"/>
      <c r="I4" s="25"/>
      <c r="J4" s="25"/>
      <c r="K4" s="25"/>
      <c r="L4" s="55"/>
      <c r="M4" s="34"/>
      <c r="N4" s="50"/>
    </row>
    <row r="5" spans="1:14" ht="15" customHeight="1" x14ac:dyDescent="0.2">
      <c r="A5" s="46">
        <f t="shared" ref="A5:A68" si="0">A4+1</f>
        <v>3</v>
      </c>
      <c r="B5" s="45" t="str">
        <v>アクチット輸液　　　　　　　　　　　　　　</v>
      </c>
      <c r="C5" s="33"/>
      <c r="D5" s="33"/>
      <c r="E5" s="35"/>
      <c r="F5" s="25"/>
      <c r="G5" s="25"/>
      <c r="H5" s="25"/>
      <c r="I5" s="25"/>
      <c r="J5" s="25"/>
      <c r="K5" s="25"/>
      <c r="L5" s="55"/>
      <c r="M5" s="34"/>
      <c r="N5" s="50"/>
    </row>
    <row r="6" spans="1:14" ht="15" customHeight="1" x14ac:dyDescent="0.2">
      <c r="A6" s="46">
        <f t="shared" si="0"/>
        <v>4</v>
      </c>
      <c r="B6" s="45" t="str">
        <v>アシクロビル点滴静注用250ｍｇ「サワイ」</v>
      </c>
      <c r="C6" s="33"/>
      <c r="D6" s="33"/>
      <c r="E6" s="35"/>
      <c r="F6" s="25"/>
      <c r="G6" s="25"/>
      <c r="H6" s="25"/>
      <c r="I6" s="25"/>
      <c r="J6" s="25"/>
      <c r="K6" s="25"/>
      <c r="L6" s="55"/>
      <c r="M6" s="34"/>
      <c r="N6" s="50"/>
    </row>
    <row r="7" spans="1:14" ht="15" customHeight="1" x14ac:dyDescent="0.2">
      <c r="A7" s="46">
        <f t="shared" si="0"/>
        <v>5</v>
      </c>
      <c r="B7" s="45" t="str">
        <v>アスコルビン酸注500ｍｇ「イセイ」　</v>
      </c>
      <c r="C7" s="33"/>
      <c r="D7" s="33"/>
      <c r="E7" s="35"/>
      <c r="F7" s="25"/>
      <c r="G7" s="25"/>
      <c r="H7" s="25"/>
      <c r="I7" s="25"/>
      <c r="J7" s="25"/>
      <c r="K7" s="25"/>
      <c r="L7" s="55"/>
      <c r="M7" s="34"/>
      <c r="N7" s="50"/>
    </row>
    <row r="8" spans="1:14" ht="15" customHeight="1" x14ac:dyDescent="0.2">
      <c r="A8" s="46">
        <f t="shared" si="0"/>
        <v>6</v>
      </c>
      <c r="B8" s="45" t="str">
        <v>アスコルビン酸注射液500ｍｇ「トーワ」　　</v>
      </c>
      <c r="C8" s="33"/>
      <c r="D8" s="33"/>
      <c r="E8" s="35"/>
      <c r="F8" s="25"/>
      <c r="G8" s="25"/>
      <c r="H8" s="25"/>
      <c r="I8" s="25"/>
      <c r="J8" s="25"/>
      <c r="K8" s="25"/>
      <c r="L8" s="55"/>
      <c r="M8" s="34"/>
      <c r="N8" s="50"/>
    </row>
    <row r="9" spans="1:14" ht="15" customHeight="1" x14ac:dyDescent="0.2">
      <c r="A9" s="46">
        <f t="shared" si="0"/>
        <v>7</v>
      </c>
      <c r="B9" s="45" t="str">
        <v>アスパラギン酸カリウム注　10MEQｷｯﾄ「テルモ」</v>
      </c>
      <c r="C9" s="33"/>
      <c r="D9" s="33"/>
      <c r="E9" s="56"/>
      <c r="F9" s="25"/>
      <c r="G9" s="25"/>
      <c r="H9" s="25"/>
      <c r="I9" s="25"/>
      <c r="J9" s="25"/>
      <c r="K9" s="25"/>
      <c r="L9" s="55"/>
      <c r="M9" s="34"/>
      <c r="N9" s="50"/>
    </row>
    <row r="10" spans="1:14" ht="15" customHeight="1" x14ac:dyDescent="0.2">
      <c r="A10" s="46">
        <f t="shared" si="0"/>
        <v>8</v>
      </c>
      <c r="B10" s="45" t="str">
        <v>アセリオ静注液1000ｍｇバッグ</v>
      </c>
      <c r="C10" s="33"/>
      <c r="D10" s="33"/>
      <c r="E10" s="35"/>
      <c r="F10" s="25"/>
      <c r="G10" s="25"/>
      <c r="H10" s="25"/>
      <c r="I10" s="25"/>
      <c r="J10" s="25"/>
      <c r="K10" s="25"/>
      <c r="L10" s="55"/>
      <c r="M10" s="34"/>
      <c r="N10" s="50"/>
    </row>
    <row r="11" spans="1:14" ht="15" customHeight="1" x14ac:dyDescent="0.2">
      <c r="A11" s="46">
        <f t="shared" si="0"/>
        <v>9</v>
      </c>
      <c r="B11" s="45" t="str">
        <v>アセレンド注100μｇ</v>
      </c>
      <c r="C11" s="33"/>
      <c r="D11" s="33"/>
      <c r="E11" s="35"/>
      <c r="F11" s="25"/>
      <c r="G11" s="25"/>
      <c r="H11" s="25"/>
      <c r="I11" s="25"/>
      <c r="J11" s="25"/>
      <c r="K11" s="25"/>
      <c r="L11" s="55"/>
      <c r="M11" s="34"/>
      <c r="N11" s="50"/>
    </row>
    <row r="12" spans="1:14" ht="15" customHeight="1" x14ac:dyDescent="0.2">
      <c r="A12" s="46">
        <f t="shared" si="0"/>
        <v>10</v>
      </c>
      <c r="B12" s="45" t="str">
        <v>アドナ注（静脈用）５０ｍｇ　　　　　　　</v>
      </c>
      <c r="C12" s="33"/>
      <c r="D12" s="33"/>
      <c r="E12" s="35"/>
      <c r="F12" s="25"/>
      <c r="G12" s="25"/>
      <c r="H12" s="25"/>
      <c r="I12" s="25"/>
      <c r="J12" s="25"/>
      <c r="K12" s="25"/>
      <c r="L12" s="55"/>
      <c r="M12" s="34"/>
      <c r="N12" s="50"/>
    </row>
    <row r="13" spans="1:14" ht="15" customHeight="1" x14ac:dyDescent="0.2">
      <c r="A13" s="46">
        <f t="shared" si="0"/>
        <v>11</v>
      </c>
      <c r="B13" s="44" t="str">
        <v>アドナ注（静脈用）５０ｍｇ　　　　　　　</v>
      </c>
      <c r="C13" s="33"/>
      <c r="D13" s="33"/>
      <c r="E13" s="32"/>
      <c r="F13" s="25"/>
      <c r="G13" s="25"/>
      <c r="H13" s="25"/>
      <c r="I13" s="25"/>
      <c r="J13" s="25"/>
      <c r="K13" s="25"/>
      <c r="L13" s="55"/>
      <c r="M13" s="34"/>
      <c r="N13" s="50"/>
    </row>
    <row r="14" spans="1:14" ht="15" customHeight="1" x14ac:dyDescent="0.2">
      <c r="A14" s="46">
        <f t="shared" si="0"/>
        <v>12</v>
      </c>
      <c r="B14" s="45" t="str">
        <v>アトロピン硫酸塩注0.5ｍｇ「ニプロ」</v>
      </c>
      <c r="C14" s="33"/>
      <c r="D14" s="33"/>
      <c r="E14" s="35"/>
      <c r="F14" s="25"/>
      <c r="G14" s="25"/>
      <c r="H14" s="25"/>
      <c r="I14" s="25"/>
      <c r="J14" s="25"/>
      <c r="K14" s="25"/>
      <c r="L14" s="57"/>
      <c r="M14" s="34"/>
      <c r="N14" s="50"/>
    </row>
    <row r="15" spans="1:14" ht="15" customHeight="1" x14ac:dyDescent="0.2">
      <c r="A15" s="46">
        <f t="shared" si="0"/>
        <v>13</v>
      </c>
      <c r="B15" s="44" t="str">
        <v>アネキセート注射液0.5MG</v>
      </c>
      <c r="C15" s="33"/>
      <c r="D15" s="33"/>
      <c r="E15" s="32"/>
      <c r="F15" s="25"/>
      <c r="G15" s="25"/>
      <c r="H15" s="25"/>
      <c r="I15" s="25"/>
      <c r="J15" s="25"/>
      <c r="K15" s="25"/>
      <c r="L15" s="55"/>
      <c r="M15" s="34"/>
      <c r="N15" s="50"/>
    </row>
    <row r="16" spans="1:14" ht="15" customHeight="1" x14ac:dyDescent="0.2">
      <c r="A16" s="46">
        <f t="shared" si="0"/>
        <v>14</v>
      </c>
      <c r="B16" s="44" t="str">
        <v>アミノレバン点滴静注</v>
      </c>
      <c r="C16" s="33"/>
      <c r="D16" s="33"/>
      <c r="E16" s="32"/>
      <c r="F16" s="25"/>
      <c r="G16" s="25"/>
      <c r="H16" s="25"/>
      <c r="I16" s="25"/>
      <c r="J16" s="25"/>
      <c r="K16" s="25"/>
      <c r="L16" s="55"/>
      <c r="M16" s="34"/>
      <c r="N16" s="50"/>
    </row>
    <row r="17" spans="1:14" ht="15" customHeight="1" x14ac:dyDescent="0.2">
      <c r="A17" s="46">
        <f t="shared" si="0"/>
        <v>15</v>
      </c>
      <c r="B17" s="45" t="str">
        <v>アルブミナー25％静注12.5ｇ/50ｍｌ</v>
      </c>
      <c r="C17" s="33"/>
      <c r="D17" s="33"/>
      <c r="E17" s="35"/>
      <c r="F17" s="25"/>
      <c r="G17" s="25"/>
      <c r="H17" s="25"/>
      <c r="I17" s="25"/>
      <c r="J17" s="25"/>
      <c r="K17" s="25"/>
      <c r="L17" s="55"/>
      <c r="M17" s="34"/>
      <c r="N17" s="50"/>
    </row>
    <row r="18" spans="1:14" ht="15" customHeight="1" x14ac:dyDescent="0.2">
      <c r="A18" s="46">
        <f t="shared" si="0"/>
        <v>16</v>
      </c>
      <c r="B18" s="45" t="str">
        <v>アレビアチン注２５０ｍｇ</v>
      </c>
      <c r="C18" s="33"/>
      <c r="D18" s="33"/>
      <c r="E18" s="35"/>
      <c r="F18" s="25"/>
      <c r="G18" s="25"/>
      <c r="H18" s="25"/>
      <c r="I18" s="25"/>
      <c r="J18" s="25"/>
      <c r="K18" s="25"/>
      <c r="L18" s="55"/>
      <c r="M18" s="34"/>
      <c r="N18" s="50"/>
    </row>
    <row r="19" spans="1:14" ht="15" customHeight="1" x14ac:dyDescent="0.2">
      <c r="A19" s="46">
        <f t="shared" si="0"/>
        <v>17</v>
      </c>
      <c r="B19" s="45" t="str">
        <v>イバンドロン酸静注1ｍｇシリンジ「トーワ」</v>
      </c>
      <c r="C19" s="33"/>
      <c r="D19" s="33"/>
      <c r="E19" s="35"/>
      <c r="F19" s="25"/>
      <c r="G19" s="25"/>
      <c r="H19" s="25"/>
      <c r="I19" s="25"/>
      <c r="J19" s="25"/>
      <c r="K19" s="25"/>
      <c r="L19" s="55"/>
      <c r="M19" s="34"/>
      <c r="N19" s="50"/>
    </row>
    <row r="20" spans="1:14" ht="15" customHeight="1" x14ac:dyDescent="0.2">
      <c r="A20" s="46">
        <f t="shared" si="0"/>
        <v>18</v>
      </c>
      <c r="B20" s="45" t="str">
        <v>イバンドロン酸静注1ｍｇシリンジ「トーワ」</v>
      </c>
      <c r="C20" s="33"/>
      <c r="D20" s="33"/>
      <c r="E20" s="35"/>
      <c r="F20" s="25"/>
      <c r="G20" s="25"/>
      <c r="H20" s="25"/>
      <c r="I20" s="25"/>
      <c r="J20" s="25"/>
      <c r="K20" s="25"/>
      <c r="L20" s="55"/>
      <c r="M20" s="34"/>
      <c r="N20" s="50"/>
    </row>
    <row r="21" spans="1:14" ht="15" customHeight="1" x14ac:dyDescent="0.2">
      <c r="A21" s="46">
        <f t="shared" si="0"/>
        <v>19</v>
      </c>
      <c r="B21" s="45" t="str">
        <v>イベニティ皮下注105ｍｇシリンジ</v>
      </c>
      <c r="C21" s="33"/>
      <c r="D21" s="33"/>
      <c r="E21" s="35"/>
      <c r="F21" s="25"/>
      <c r="G21" s="25"/>
      <c r="H21" s="25"/>
      <c r="I21" s="25"/>
      <c r="J21" s="25"/>
      <c r="K21" s="25"/>
      <c r="L21" s="55"/>
      <c r="M21" s="34"/>
      <c r="N21" s="50"/>
    </row>
    <row r="22" spans="1:14" ht="15" customHeight="1" x14ac:dyDescent="0.2">
      <c r="A22" s="46">
        <f t="shared" si="0"/>
        <v>20</v>
      </c>
      <c r="B22" s="44" t="str">
        <v>イントラリポス輸液20％　　　　　　ソフトバッグ　100ｍｌ</v>
      </c>
      <c r="C22" s="33"/>
      <c r="D22" s="33"/>
      <c r="E22" s="32"/>
      <c r="F22" s="25"/>
      <c r="G22" s="25"/>
      <c r="H22" s="25"/>
      <c r="I22" s="25"/>
      <c r="J22" s="25"/>
      <c r="K22" s="25"/>
      <c r="L22" s="55"/>
      <c r="M22" s="34"/>
      <c r="N22" s="50"/>
    </row>
    <row r="23" spans="1:14" ht="15" customHeight="1" x14ac:dyDescent="0.2">
      <c r="A23" s="46">
        <f t="shared" si="0"/>
        <v>21</v>
      </c>
      <c r="B23" s="45" t="str">
        <v>インフルエンザHAワクチン　　　　「生研」</v>
      </c>
      <c r="C23" s="34"/>
      <c r="D23" s="33"/>
      <c r="E23" s="35"/>
      <c r="F23" s="25"/>
      <c r="G23" s="25"/>
      <c r="H23" s="25"/>
      <c r="I23" s="25"/>
      <c r="J23" s="25"/>
      <c r="K23" s="25"/>
      <c r="L23" s="55"/>
      <c r="M23" s="34"/>
      <c r="N23" s="50"/>
    </row>
    <row r="24" spans="1:14" ht="15" customHeight="1" x14ac:dyDescent="0.2">
      <c r="A24" s="46">
        <f t="shared" si="0"/>
        <v>22</v>
      </c>
      <c r="B24" s="45" t="str">
        <v>インフルエンザHAワクチン　「第一三共」1ｍｌｘ2</v>
      </c>
      <c r="C24" s="34"/>
      <c r="D24" s="33"/>
      <c r="E24" s="35"/>
      <c r="F24" s="25"/>
      <c r="G24" s="25"/>
      <c r="H24" s="25"/>
      <c r="I24" s="25"/>
      <c r="J24" s="25"/>
      <c r="K24" s="25"/>
      <c r="L24" s="55"/>
      <c r="M24" s="34"/>
      <c r="N24" s="50"/>
    </row>
    <row r="25" spans="1:14" ht="15" customHeight="1" x14ac:dyDescent="0.2">
      <c r="A25" s="46">
        <f t="shared" si="0"/>
        <v>23</v>
      </c>
      <c r="B25" s="44" t="str">
        <v>エピペン注射液0.3ｍｇ</v>
      </c>
      <c r="C25" s="33"/>
      <c r="D25" s="33"/>
      <c r="E25" s="32"/>
      <c r="F25" s="25"/>
      <c r="G25" s="25"/>
      <c r="H25" s="25"/>
      <c r="I25" s="25"/>
      <c r="J25" s="25"/>
      <c r="K25" s="25"/>
      <c r="L25" s="55"/>
      <c r="M25" s="34"/>
      <c r="N25" s="50"/>
    </row>
    <row r="26" spans="1:14" ht="15" customHeight="1" x14ac:dyDescent="0.2">
      <c r="A26" s="46">
        <f t="shared" si="0"/>
        <v>24</v>
      </c>
      <c r="B26" s="45" t="str">
        <v>エビリファイ持続性水懸筋注用300ｍｇ　シリンジ</v>
      </c>
      <c r="C26" s="34"/>
      <c r="D26" s="33"/>
      <c r="E26" s="35"/>
      <c r="F26" s="25"/>
      <c r="G26" s="25"/>
      <c r="H26" s="25"/>
      <c r="I26" s="25"/>
      <c r="J26" s="25"/>
      <c r="K26" s="25"/>
      <c r="L26" s="55"/>
      <c r="M26" s="34"/>
      <c r="N26" s="50"/>
    </row>
    <row r="27" spans="1:14" ht="15" customHeight="1" x14ac:dyDescent="0.2">
      <c r="A27" s="46">
        <f t="shared" si="0"/>
        <v>25</v>
      </c>
      <c r="B27" s="44" t="str">
        <v>エビリファイ持続性水懸筋注用400ｍｇ　シリンジ</v>
      </c>
      <c r="C27" s="33"/>
      <c r="D27" s="33"/>
      <c r="E27" s="32"/>
      <c r="F27" s="25"/>
      <c r="G27" s="25"/>
      <c r="H27" s="25"/>
      <c r="I27" s="25"/>
      <c r="J27" s="25"/>
      <c r="K27" s="25"/>
      <c r="L27" s="55"/>
      <c r="M27" s="34"/>
      <c r="N27" s="50"/>
    </row>
    <row r="28" spans="1:14" ht="15" customHeight="1" x14ac:dyDescent="0.2">
      <c r="A28" s="46">
        <f t="shared" si="0"/>
        <v>26</v>
      </c>
      <c r="B28" s="45" t="str">
        <v>エポジン注シリンジ3000ﾊﾘﾅｼ</v>
      </c>
      <c r="C28" s="33"/>
      <c r="D28" s="33"/>
      <c r="E28" s="35"/>
      <c r="F28" s="25"/>
      <c r="G28" s="25"/>
      <c r="H28" s="25"/>
      <c r="I28" s="25"/>
      <c r="J28" s="25"/>
      <c r="K28" s="25"/>
      <c r="L28" s="55"/>
      <c r="M28" s="34"/>
      <c r="N28" s="50"/>
    </row>
    <row r="29" spans="1:14" ht="15" customHeight="1" x14ac:dyDescent="0.2">
      <c r="A29" s="46">
        <f t="shared" si="0"/>
        <v>27</v>
      </c>
      <c r="B29" s="44" t="str">
        <v>エホチール注10ｍｇ</v>
      </c>
      <c r="C29" s="33"/>
      <c r="D29" s="33"/>
      <c r="E29" s="32"/>
      <c r="F29" s="25"/>
      <c r="G29" s="25"/>
      <c r="H29" s="25"/>
      <c r="I29" s="25"/>
      <c r="J29" s="25"/>
      <c r="K29" s="25"/>
      <c r="L29" s="55"/>
      <c r="M29" s="34"/>
      <c r="N29" s="50"/>
    </row>
    <row r="30" spans="1:14" ht="15" customHeight="1" x14ac:dyDescent="0.2">
      <c r="A30" s="46">
        <f t="shared" si="0"/>
        <v>28</v>
      </c>
      <c r="B30" s="44" t="str">
        <v>キシロカイン注シリンジ0.5％　　</v>
      </c>
      <c r="C30" s="33"/>
      <c r="D30" s="33"/>
      <c r="E30" s="32"/>
      <c r="F30" s="25"/>
      <c r="G30" s="25"/>
      <c r="H30" s="25"/>
      <c r="I30" s="25"/>
      <c r="J30" s="25"/>
      <c r="K30" s="25"/>
      <c r="L30" s="55"/>
      <c r="M30" s="34"/>
      <c r="N30" s="50"/>
    </row>
    <row r="31" spans="1:14" ht="15" customHeight="1" x14ac:dyDescent="0.2">
      <c r="A31" s="46">
        <f t="shared" si="0"/>
        <v>29</v>
      </c>
      <c r="B31" s="44" t="str">
        <v>キシロカイン注ﾎﾟﾘｱﾝﾌﾟ0.5％</v>
      </c>
      <c r="C31" s="33"/>
      <c r="D31" s="33"/>
      <c r="E31" s="32"/>
      <c r="F31" s="25"/>
      <c r="G31" s="25"/>
      <c r="H31" s="25"/>
      <c r="I31" s="25"/>
      <c r="J31" s="25"/>
      <c r="K31" s="25"/>
      <c r="L31" s="55"/>
      <c r="M31" s="34"/>
      <c r="N31" s="50"/>
    </row>
    <row r="32" spans="1:14" ht="15" customHeight="1" x14ac:dyDescent="0.2">
      <c r="A32" s="46">
        <f t="shared" si="0"/>
        <v>30</v>
      </c>
      <c r="B32" s="45" t="str">
        <v>グリセオール注</v>
      </c>
      <c r="C32" s="34"/>
      <c r="D32" s="33"/>
      <c r="E32" s="35"/>
      <c r="F32" s="25"/>
      <c r="G32" s="25"/>
      <c r="H32" s="25"/>
      <c r="I32" s="25"/>
      <c r="J32" s="25"/>
      <c r="K32" s="25"/>
      <c r="L32" s="55"/>
      <c r="M32" s="34"/>
      <c r="N32" s="50"/>
    </row>
    <row r="33" spans="1:14" ht="15" customHeight="1" x14ac:dyDescent="0.2">
      <c r="A33" s="46">
        <f t="shared" si="0"/>
        <v>31</v>
      </c>
      <c r="B33" s="45" t="str">
        <v>クリンダマイシンリン酸エステル注600mg「トーワ」</v>
      </c>
      <c r="C33" s="34"/>
      <c r="D33" s="33"/>
      <c r="E33" s="35"/>
      <c r="F33" s="25"/>
      <c r="G33" s="25"/>
      <c r="H33" s="25"/>
      <c r="I33" s="25"/>
      <c r="J33" s="25"/>
      <c r="K33" s="25"/>
      <c r="L33" s="55"/>
      <c r="M33" s="34"/>
      <c r="N33" s="50"/>
    </row>
    <row r="34" spans="1:14" ht="15" customHeight="1" x14ac:dyDescent="0.2">
      <c r="A34" s="46">
        <f t="shared" si="0"/>
        <v>32</v>
      </c>
      <c r="B34" s="45" t="str">
        <v>ケイツーＮ静注１０ｍｇ</v>
      </c>
      <c r="C34" s="33"/>
      <c r="D34" s="33"/>
      <c r="E34" s="35"/>
      <c r="F34" s="25"/>
      <c r="G34" s="25"/>
      <c r="H34" s="25"/>
      <c r="I34" s="25"/>
      <c r="J34" s="25"/>
      <c r="K34" s="25"/>
      <c r="L34" s="55"/>
      <c r="M34" s="34"/>
      <c r="N34" s="50"/>
    </row>
    <row r="35" spans="1:14" ht="15" customHeight="1" x14ac:dyDescent="0.2">
      <c r="A35" s="46">
        <f t="shared" si="0"/>
        <v>33</v>
      </c>
      <c r="B35" s="45" t="str">
        <v>コミナティ筋注シリンジ</v>
      </c>
      <c r="C35" s="33"/>
      <c r="D35" s="33"/>
      <c r="E35" s="35"/>
      <c r="F35" s="25"/>
      <c r="G35" s="25"/>
      <c r="H35" s="25"/>
      <c r="I35" s="25"/>
      <c r="J35" s="25"/>
      <c r="K35" s="25"/>
      <c r="L35" s="55"/>
      <c r="M35" s="34"/>
      <c r="N35" s="50"/>
    </row>
    <row r="36" spans="1:14" ht="15" customHeight="1" x14ac:dyDescent="0.2">
      <c r="A36" s="46">
        <f t="shared" si="0"/>
        <v>34</v>
      </c>
      <c r="B36" s="45" t="str">
        <v>ジアゼパム注射液5ｍｇ「ＮＩＧ」</v>
      </c>
      <c r="C36" s="33"/>
      <c r="D36" s="33"/>
      <c r="E36" s="35"/>
      <c r="F36" s="25"/>
      <c r="G36" s="25"/>
      <c r="H36" s="25"/>
      <c r="I36" s="25"/>
      <c r="J36" s="25"/>
      <c r="K36" s="25"/>
      <c r="L36" s="55"/>
      <c r="M36" s="34"/>
      <c r="N36" s="50"/>
    </row>
    <row r="37" spans="1:14" ht="15" customHeight="1" x14ac:dyDescent="0.2">
      <c r="A37" s="46">
        <f t="shared" si="0"/>
        <v>35</v>
      </c>
      <c r="B37" s="44" t="str">
        <v>ジギラノゲン注0.4ｍｇ　0.02％</v>
      </c>
      <c r="C37" s="31"/>
      <c r="D37" s="33"/>
      <c r="E37" s="32"/>
      <c r="F37" s="25"/>
      <c r="G37" s="25"/>
      <c r="H37" s="25"/>
      <c r="I37" s="25"/>
      <c r="J37" s="25"/>
      <c r="K37" s="25"/>
      <c r="L37" s="55"/>
      <c r="M37" s="34"/>
      <c r="N37" s="50"/>
    </row>
    <row r="38" spans="1:14" ht="15" customHeight="1" x14ac:dyDescent="0.2">
      <c r="A38" s="46">
        <f t="shared" si="0"/>
        <v>36</v>
      </c>
      <c r="B38" s="45" t="str">
        <v>スルバシリン静注用1.5ｇ</v>
      </c>
      <c r="C38" s="33"/>
      <c r="D38" s="33"/>
      <c r="E38" s="35"/>
      <c r="F38" s="25"/>
      <c r="G38" s="25"/>
      <c r="H38" s="25"/>
      <c r="I38" s="25"/>
      <c r="J38" s="25"/>
      <c r="K38" s="25"/>
      <c r="L38" s="55"/>
      <c r="M38" s="34"/>
      <c r="N38" s="50"/>
    </row>
    <row r="39" spans="1:14" ht="15" customHeight="1" x14ac:dyDescent="0.2">
      <c r="A39" s="46">
        <f t="shared" si="0"/>
        <v>37</v>
      </c>
      <c r="B39" s="45" t="str">
        <v>セフェピム塩酸塩静注用1ｇ「サンド」</v>
      </c>
      <c r="C39" s="33"/>
      <c r="D39" s="33"/>
      <c r="E39" s="35"/>
      <c r="F39" s="25"/>
      <c r="G39" s="25"/>
      <c r="H39" s="25"/>
      <c r="I39" s="25"/>
      <c r="J39" s="25"/>
      <c r="K39" s="25"/>
      <c r="L39" s="55"/>
      <c r="M39" s="34"/>
      <c r="N39" s="50"/>
    </row>
    <row r="40" spans="1:14" ht="15" customHeight="1" x14ac:dyDescent="0.2">
      <c r="A40" s="46">
        <f t="shared" si="0"/>
        <v>38</v>
      </c>
      <c r="B40" s="45" t="str">
        <v>セフタジジム静注用1ｇ「ＶＴＲＳ」</v>
      </c>
      <c r="C40" s="33"/>
      <c r="D40" s="33"/>
      <c r="E40" s="35"/>
      <c r="F40" s="25"/>
      <c r="G40" s="25"/>
      <c r="H40" s="25"/>
      <c r="I40" s="25"/>
      <c r="J40" s="25"/>
      <c r="K40" s="25"/>
      <c r="L40" s="55"/>
      <c r="M40" s="34"/>
      <c r="N40" s="50"/>
    </row>
    <row r="41" spans="1:14" ht="15" customHeight="1" x14ac:dyDescent="0.2">
      <c r="A41" s="46">
        <f t="shared" si="0"/>
        <v>39</v>
      </c>
      <c r="B41" s="45" t="str">
        <v>セフトリアキソンNa静注1G「ﾆﾁｲｺｳ」</v>
      </c>
      <c r="C41" s="33"/>
      <c r="D41" s="33"/>
      <c r="E41" s="35"/>
      <c r="F41" s="25"/>
      <c r="G41" s="25"/>
      <c r="H41" s="25"/>
      <c r="I41" s="25"/>
      <c r="J41" s="25"/>
      <c r="K41" s="25"/>
      <c r="L41" s="55"/>
      <c r="M41" s="34"/>
      <c r="N41" s="50"/>
    </row>
    <row r="42" spans="1:14" ht="15" customHeight="1" x14ac:dyDescent="0.2">
      <c r="A42" s="46">
        <f t="shared" si="0"/>
        <v>40</v>
      </c>
      <c r="B42" s="45" t="str">
        <v>ゼプリオン水懸筋注100ｍｇ ｼﾘﾝｼﾞ</v>
      </c>
      <c r="C42" s="33"/>
      <c r="D42" s="33"/>
      <c r="E42" s="35"/>
      <c r="F42" s="25"/>
      <c r="G42" s="25"/>
      <c r="H42" s="25"/>
      <c r="I42" s="25"/>
      <c r="J42" s="25"/>
      <c r="K42" s="25"/>
      <c r="L42" s="55"/>
      <c r="M42" s="34"/>
      <c r="N42" s="50"/>
    </row>
    <row r="43" spans="1:14" ht="15" customHeight="1" x14ac:dyDescent="0.2">
      <c r="A43" s="46">
        <f t="shared" si="0"/>
        <v>41</v>
      </c>
      <c r="B43" s="45" t="str">
        <v>ゼプリオン水懸筋注150ｍｇ ｼﾘﾝｼﾞ</v>
      </c>
      <c r="C43" s="33"/>
      <c r="D43" s="33"/>
      <c r="E43" s="35"/>
      <c r="F43" s="25"/>
      <c r="G43" s="25"/>
      <c r="H43" s="25"/>
      <c r="I43" s="25"/>
      <c r="J43" s="25"/>
      <c r="K43" s="25"/>
      <c r="L43" s="55"/>
      <c r="M43" s="34"/>
      <c r="N43" s="50"/>
    </row>
    <row r="44" spans="1:14" ht="15" customHeight="1" x14ac:dyDescent="0.2">
      <c r="A44" s="46">
        <f t="shared" si="0"/>
        <v>42</v>
      </c>
      <c r="B44" s="44" t="str">
        <v>ゼプリオン水懸筋注50ｍｇｼﾘﾝｼﾞ</v>
      </c>
      <c r="C44" s="33"/>
      <c r="D44" s="33"/>
      <c r="E44" s="32"/>
      <c r="F44" s="25"/>
      <c r="G44" s="25"/>
      <c r="H44" s="25"/>
      <c r="I44" s="25"/>
      <c r="J44" s="25"/>
      <c r="K44" s="25"/>
      <c r="L44" s="55"/>
      <c r="M44" s="34"/>
      <c r="N44" s="50"/>
    </row>
    <row r="45" spans="1:14" ht="15" customHeight="1" x14ac:dyDescent="0.2">
      <c r="A45" s="46">
        <f t="shared" si="0"/>
        <v>43</v>
      </c>
      <c r="B45" s="44" t="str">
        <v>ゼプリオン水懸筋注75ｍｇｼﾘﾝｼﾞ</v>
      </c>
      <c r="C45" s="33"/>
      <c r="D45" s="33"/>
      <c r="E45" s="32"/>
      <c r="F45" s="25"/>
      <c r="G45" s="25"/>
      <c r="H45" s="25"/>
      <c r="I45" s="25"/>
      <c r="J45" s="25"/>
      <c r="K45" s="25"/>
      <c r="L45" s="55"/>
      <c r="M45" s="34"/>
      <c r="N45" s="50"/>
    </row>
    <row r="46" spans="1:14" ht="15" customHeight="1" x14ac:dyDescent="0.2">
      <c r="A46" s="46">
        <f t="shared" si="0"/>
        <v>44</v>
      </c>
      <c r="B46" s="44" t="str">
        <v>セレネース注５ｍｇ</v>
      </c>
      <c r="C46" s="33"/>
      <c r="D46" s="33"/>
      <c r="E46" s="32"/>
      <c r="F46" s="25"/>
      <c r="G46" s="25"/>
      <c r="H46" s="25"/>
      <c r="I46" s="25"/>
      <c r="J46" s="25"/>
      <c r="K46" s="25"/>
      <c r="L46" s="55"/>
      <c r="M46" s="34"/>
      <c r="N46" s="50"/>
    </row>
    <row r="47" spans="1:14" ht="15" customHeight="1" x14ac:dyDescent="0.2">
      <c r="A47" s="46">
        <f t="shared" si="0"/>
        <v>45</v>
      </c>
      <c r="B47" s="45" t="str">
        <v>ゾシン静注用4.5</v>
      </c>
      <c r="C47" s="33"/>
      <c r="D47" s="33"/>
      <c r="E47" s="35"/>
      <c r="F47" s="25"/>
      <c r="G47" s="25"/>
      <c r="H47" s="25"/>
      <c r="I47" s="25"/>
      <c r="J47" s="25"/>
      <c r="K47" s="25"/>
      <c r="L47" s="55"/>
      <c r="M47" s="34"/>
      <c r="N47" s="50"/>
    </row>
    <row r="48" spans="1:14" ht="15" customHeight="1" x14ac:dyDescent="0.2">
      <c r="A48" s="46">
        <f t="shared" si="0"/>
        <v>46</v>
      </c>
      <c r="B48" s="45" t="str">
        <v>ソルダクトン静注用100mg</v>
      </c>
      <c r="C48" s="33"/>
      <c r="D48" s="33"/>
      <c r="E48" s="35"/>
      <c r="F48" s="25"/>
      <c r="G48" s="25"/>
      <c r="H48" s="25"/>
      <c r="I48" s="25"/>
      <c r="J48" s="25"/>
      <c r="K48" s="25"/>
      <c r="L48" s="55"/>
      <c r="M48" s="34"/>
      <c r="N48" s="50"/>
    </row>
    <row r="49" spans="1:14" ht="15" customHeight="1" x14ac:dyDescent="0.2">
      <c r="A49" s="46">
        <f t="shared" si="0"/>
        <v>47</v>
      </c>
      <c r="B49" s="45" t="str">
        <v>ソルデム-１輸液　200ｍｌ</v>
      </c>
      <c r="C49" s="33"/>
      <c r="D49" s="33"/>
      <c r="E49" s="35"/>
      <c r="F49" s="25"/>
      <c r="G49" s="25"/>
      <c r="H49" s="25"/>
      <c r="I49" s="25"/>
      <c r="J49" s="25"/>
      <c r="K49" s="25"/>
      <c r="L49" s="55"/>
      <c r="M49" s="34"/>
      <c r="N49" s="50"/>
    </row>
    <row r="50" spans="1:14" ht="15" customHeight="1" x14ac:dyDescent="0.2">
      <c r="A50" s="46">
        <f t="shared" si="0"/>
        <v>48</v>
      </c>
      <c r="B50" s="45" t="str">
        <v>ソルデム１輸液　500ｍｌ</v>
      </c>
      <c r="C50" s="33"/>
      <c r="D50" s="33"/>
      <c r="E50" s="35"/>
      <c r="F50" s="25"/>
      <c r="G50" s="25"/>
      <c r="H50" s="25"/>
      <c r="I50" s="25"/>
      <c r="J50" s="25"/>
      <c r="K50" s="25"/>
      <c r="L50" s="55"/>
      <c r="M50" s="34"/>
      <c r="N50" s="50"/>
    </row>
    <row r="51" spans="1:14" ht="15" customHeight="1" x14ac:dyDescent="0.2">
      <c r="A51" s="46">
        <f t="shared" si="0"/>
        <v>49</v>
      </c>
      <c r="B51" s="45" t="str">
        <v>ダイビタミックス注</v>
      </c>
      <c r="C51" s="33"/>
      <c r="D51" s="33"/>
      <c r="E51" s="35"/>
      <c r="F51" s="25"/>
      <c r="G51" s="25"/>
      <c r="H51" s="25"/>
      <c r="I51" s="25"/>
      <c r="J51" s="25"/>
      <c r="K51" s="25"/>
      <c r="L51" s="55"/>
      <c r="M51" s="34"/>
      <c r="N51" s="50"/>
    </row>
    <row r="52" spans="1:14" ht="15" customHeight="1" x14ac:dyDescent="0.2">
      <c r="A52" s="46">
        <f t="shared" si="0"/>
        <v>50</v>
      </c>
      <c r="B52" s="45" t="str">
        <v>タケプロン静注用30ｍｇ</v>
      </c>
      <c r="C52" s="33"/>
      <c r="D52" s="33"/>
      <c r="E52" s="35"/>
      <c r="F52" s="25"/>
      <c r="G52" s="25"/>
      <c r="H52" s="25"/>
      <c r="I52" s="25"/>
      <c r="J52" s="25"/>
      <c r="K52" s="25"/>
      <c r="L52" s="55"/>
      <c r="M52" s="34"/>
      <c r="N52" s="50"/>
    </row>
    <row r="53" spans="1:14" ht="15" customHeight="1" x14ac:dyDescent="0.2">
      <c r="A53" s="46">
        <f t="shared" si="0"/>
        <v>51</v>
      </c>
      <c r="B53" s="45" t="str">
        <v>ダプトマイシン静注用350ｍｇ「サワイ」</v>
      </c>
      <c r="C53" s="33"/>
      <c r="D53" s="33"/>
      <c r="E53" s="35"/>
      <c r="F53" s="25"/>
      <c r="G53" s="25"/>
      <c r="H53" s="25"/>
      <c r="I53" s="25"/>
      <c r="J53" s="25"/>
      <c r="K53" s="25"/>
      <c r="L53" s="55"/>
      <c r="M53" s="34"/>
      <c r="N53" s="50"/>
    </row>
    <row r="54" spans="1:14" ht="15" customHeight="1" x14ac:dyDescent="0.2">
      <c r="A54" s="46">
        <f t="shared" si="0"/>
        <v>52</v>
      </c>
      <c r="B54" s="44" t="str">
        <v>ダルベポエチン アルファBS注120μgシリンジ「三和」</v>
      </c>
      <c r="C54" s="33"/>
      <c r="D54" s="33"/>
      <c r="E54" s="32"/>
      <c r="F54" s="25"/>
      <c r="G54" s="25"/>
      <c r="H54" s="25"/>
      <c r="I54" s="25"/>
      <c r="J54" s="25"/>
      <c r="K54" s="25"/>
      <c r="L54" s="55"/>
      <c r="M54" s="34"/>
      <c r="N54" s="50"/>
    </row>
    <row r="55" spans="1:14" ht="15" customHeight="1" x14ac:dyDescent="0.2">
      <c r="A55" s="46">
        <f t="shared" si="0"/>
        <v>53</v>
      </c>
      <c r="B55" s="45" t="str">
        <v>ダルベポエチン アルファBS注30μgシリンジ「三和」</v>
      </c>
      <c r="C55" s="33"/>
      <c r="D55" s="33"/>
      <c r="E55" s="35"/>
      <c r="F55" s="25"/>
      <c r="G55" s="25"/>
      <c r="H55" s="25"/>
      <c r="I55" s="25"/>
      <c r="J55" s="25"/>
      <c r="K55" s="25"/>
      <c r="L55" s="55"/>
      <c r="M55" s="34"/>
      <c r="N55" s="50"/>
    </row>
    <row r="56" spans="1:14" ht="15" customHeight="1" x14ac:dyDescent="0.2">
      <c r="A56" s="46">
        <f t="shared" si="0"/>
        <v>54</v>
      </c>
      <c r="B56" s="45" t="str">
        <v>ダルベポエチンアルファBS注60μgシリンジ「三和」</v>
      </c>
      <c r="C56" s="34"/>
      <c r="D56" s="33"/>
      <c r="E56" s="35"/>
      <c r="F56" s="25"/>
      <c r="G56" s="25"/>
      <c r="H56" s="25"/>
      <c r="I56" s="25"/>
      <c r="J56" s="25"/>
      <c r="K56" s="25"/>
      <c r="L56" s="55"/>
      <c r="M56" s="34"/>
      <c r="N56" s="50"/>
    </row>
    <row r="57" spans="1:14" ht="15" customHeight="1" x14ac:dyDescent="0.2">
      <c r="A57" s="46">
        <f t="shared" si="0"/>
        <v>55</v>
      </c>
      <c r="B57" s="45" t="str">
        <v>ダントリウム静注用20MG</v>
      </c>
      <c r="C57" s="34"/>
      <c r="D57" s="33"/>
      <c r="E57" s="56"/>
      <c r="F57" s="25"/>
      <c r="G57" s="25"/>
      <c r="H57" s="25"/>
      <c r="I57" s="25"/>
      <c r="J57" s="25"/>
      <c r="K57" s="25"/>
      <c r="L57" s="55"/>
      <c r="M57" s="34"/>
      <c r="N57" s="50"/>
    </row>
    <row r="58" spans="1:14" ht="15" customHeight="1" x14ac:dyDescent="0.2">
      <c r="A58" s="46">
        <f t="shared" si="0"/>
        <v>56</v>
      </c>
      <c r="B58" s="45" t="str">
        <v>チエナム点滴静注用0.5ｇ</v>
      </c>
      <c r="C58" s="33"/>
      <c r="D58" s="33"/>
      <c r="E58" s="35"/>
      <c r="F58" s="25"/>
      <c r="G58" s="25"/>
      <c r="H58" s="25"/>
      <c r="I58" s="25"/>
      <c r="J58" s="25"/>
      <c r="K58" s="25"/>
      <c r="L58" s="55"/>
      <c r="M58" s="34"/>
      <c r="N58" s="50"/>
    </row>
    <row r="59" spans="1:14" ht="15" customHeight="1" x14ac:dyDescent="0.2">
      <c r="A59" s="46">
        <f t="shared" si="0"/>
        <v>57</v>
      </c>
      <c r="B59" s="45" t="str">
        <v>チラーヂンS静注液200μg</v>
      </c>
      <c r="C59" s="33"/>
      <c r="D59" s="33"/>
      <c r="E59" s="56"/>
      <c r="F59" s="25"/>
      <c r="G59" s="25"/>
      <c r="H59" s="25"/>
      <c r="I59" s="25"/>
      <c r="J59" s="25"/>
      <c r="K59" s="25"/>
      <c r="L59" s="55"/>
      <c r="M59" s="34"/>
      <c r="N59" s="50"/>
    </row>
    <row r="60" spans="1:14" ht="15" customHeight="1" x14ac:dyDescent="0.2">
      <c r="A60" s="46">
        <f t="shared" si="0"/>
        <v>58</v>
      </c>
      <c r="B60" s="45" t="str">
        <v>デカドロン注射液3.3ｍｇ</v>
      </c>
      <c r="C60" s="34"/>
      <c r="D60" s="33"/>
      <c r="E60" s="35"/>
      <c r="F60" s="25"/>
      <c r="G60" s="25"/>
      <c r="H60" s="25"/>
      <c r="I60" s="25"/>
      <c r="J60" s="25"/>
      <c r="K60" s="25"/>
      <c r="L60" s="55"/>
      <c r="M60" s="34"/>
      <c r="N60" s="50"/>
    </row>
    <row r="61" spans="1:14" ht="15" customHeight="1" x14ac:dyDescent="0.2">
      <c r="A61" s="46">
        <f t="shared" si="0"/>
        <v>59</v>
      </c>
      <c r="B61" s="45" t="str">
        <v>デカドロン注射液6.6ｍｇ</v>
      </c>
      <c r="C61" s="33"/>
      <c r="D61" s="33"/>
      <c r="E61" s="35"/>
      <c r="F61" s="25"/>
      <c r="G61" s="25"/>
      <c r="H61" s="25"/>
      <c r="I61" s="25"/>
      <c r="J61" s="25"/>
      <c r="K61" s="25"/>
      <c r="L61" s="55"/>
      <c r="M61" s="34"/>
      <c r="N61" s="50"/>
    </row>
    <row r="62" spans="1:14" ht="15" customHeight="1" x14ac:dyDescent="0.2">
      <c r="A62" s="46">
        <f t="shared" si="0"/>
        <v>60</v>
      </c>
      <c r="B62" s="45" t="str">
        <v>テリボン皮下注用56.5μｇ　溶解液付</v>
      </c>
      <c r="C62" s="33"/>
      <c r="D62" s="33"/>
      <c r="E62" s="35"/>
      <c r="F62" s="25"/>
      <c r="G62" s="25"/>
      <c r="H62" s="25"/>
      <c r="I62" s="25"/>
      <c r="J62" s="25"/>
      <c r="K62" s="25"/>
      <c r="L62" s="55"/>
      <c r="M62" s="34"/>
      <c r="N62" s="50"/>
    </row>
    <row r="63" spans="1:14" ht="15" customHeight="1" x14ac:dyDescent="0.2">
      <c r="A63" s="46">
        <f t="shared" si="0"/>
        <v>61</v>
      </c>
      <c r="B63" s="45" t="str">
        <v>ドパストン静注50ｍｇ</v>
      </c>
      <c r="C63" s="33"/>
      <c r="D63" s="33"/>
      <c r="E63" s="35"/>
      <c r="F63" s="25"/>
      <c r="G63" s="25"/>
      <c r="H63" s="25"/>
      <c r="I63" s="25"/>
      <c r="J63" s="25"/>
      <c r="K63" s="25"/>
      <c r="L63" s="55"/>
      <c r="M63" s="34"/>
      <c r="N63" s="50"/>
    </row>
    <row r="64" spans="1:14" ht="15" customHeight="1" x14ac:dyDescent="0.2">
      <c r="A64" s="46">
        <f t="shared" si="0"/>
        <v>62</v>
      </c>
      <c r="B64" s="45" t="str">
        <v>ドパミン塩酸塩点滴静注100ｍｇ「ＮＰ」</v>
      </c>
      <c r="C64" s="33"/>
      <c r="D64" s="33"/>
      <c r="E64" s="35"/>
      <c r="F64" s="25"/>
      <c r="G64" s="25"/>
      <c r="H64" s="25"/>
      <c r="I64" s="25"/>
      <c r="J64" s="25"/>
      <c r="K64" s="25"/>
      <c r="L64" s="55"/>
      <c r="M64" s="34"/>
      <c r="N64" s="50"/>
    </row>
    <row r="65" spans="1:14" ht="15" customHeight="1" x14ac:dyDescent="0.2">
      <c r="A65" s="46">
        <f t="shared" si="0"/>
        <v>63</v>
      </c>
      <c r="B65" s="45" t="str">
        <v>トランサミン注５％　　　　　　　　　　</v>
      </c>
      <c r="C65" s="33"/>
      <c r="D65" s="33"/>
      <c r="E65" s="35"/>
      <c r="F65" s="25"/>
      <c r="G65" s="25"/>
      <c r="H65" s="25"/>
      <c r="I65" s="25"/>
      <c r="J65" s="25"/>
      <c r="K65" s="25"/>
      <c r="L65" s="55"/>
      <c r="M65" s="34"/>
      <c r="N65" s="50"/>
    </row>
    <row r="66" spans="1:14" ht="15" customHeight="1" x14ac:dyDescent="0.2">
      <c r="A66" s="46">
        <f t="shared" si="0"/>
        <v>64</v>
      </c>
      <c r="B66" s="45" t="str">
        <v>トリフリード輸液（１）</v>
      </c>
      <c r="C66" s="33"/>
      <c r="D66" s="33"/>
      <c r="E66" s="35"/>
      <c r="F66" s="25"/>
      <c r="G66" s="25"/>
      <c r="H66" s="25"/>
      <c r="I66" s="25"/>
      <c r="J66" s="25"/>
      <c r="K66" s="25"/>
      <c r="L66" s="55"/>
      <c r="M66" s="34"/>
      <c r="N66" s="50"/>
    </row>
    <row r="67" spans="1:14" ht="15" customHeight="1" x14ac:dyDescent="0.2">
      <c r="A67" s="46">
        <f t="shared" si="0"/>
        <v>65</v>
      </c>
      <c r="B67" s="44" t="str">
        <v>トリフリード輸液（２）</v>
      </c>
      <c r="C67" s="33"/>
      <c r="D67" s="33"/>
      <c r="E67" s="32"/>
      <c r="F67" s="25"/>
      <c r="G67" s="25"/>
      <c r="H67" s="25"/>
      <c r="I67" s="25"/>
      <c r="J67" s="25"/>
      <c r="K67" s="25"/>
      <c r="L67" s="55"/>
      <c r="M67" s="34"/>
      <c r="N67" s="50"/>
    </row>
    <row r="68" spans="1:14" ht="15" customHeight="1" x14ac:dyDescent="0.2">
      <c r="A68" s="46">
        <f t="shared" si="0"/>
        <v>66</v>
      </c>
      <c r="B68" s="44" t="str">
        <v>ドルミカム注射液10ｍｇ</v>
      </c>
      <c r="C68" s="31"/>
      <c r="D68" s="33"/>
      <c r="E68" s="32"/>
      <c r="F68" s="25"/>
      <c r="G68" s="25"/>
      <c r="H68" s="25"/>
      <c r="I68" s="25"/>
      <c r="J68" s="25"/>
      <c r="K68" s="25"/>
      <c r="L68" s="55"/>
      <c r="M68" s="34"/>
      <c r="N68" s="50"/>
    </row>
    <row r="69" spans="1:14" ht="15" customHeight="1" x14ac:dyDescent="0.2">
      <c r="A69" s="46">
        <f t="shared" ref="A69:A132" si="1">A68+1</f>
        <v>67</v>
      </c>
      <c r="B69" s="45" t="str">
        <v>トルリシティ皮下注0.75ｍｇアテオス</v>
      </c>
      <c r="C69" s="34"/>
      <c r="D69" s="33"/>
      <c r="E69" s="35"/>
      <c r="F69" s="25"/>
      <c r="G69" s="25"/>
      <c r="H69" s="25"/>
      <c r="I69" s="25"/>
      <c r="J69" s="25"/>
      <c r="K69" s="25"/>
      <c r="L69" s="55"/>
      <c r="M69" s="34"/>
      <c r="N69" s="50"/>
    </row>
    <row r="70" spans="1:14" ht="15" customHeight="1" x14ac:dyDescent="0.2">
      <c r="A70" s="46">
        <f t="shared" si="1"/>
        <v>68</v>
      </c>
      <c r="B70" s="44" t="str">
        <v>トレシーバ注フレックスタッチ</v>
      </c>
      <c r="C70" s="33"/>
      <c r="D70" s="33"/>
      <c r="E70" s="32"/>
      <c r="F70" s="25"/>
      <c r="G70" s="25"/>
      <c r="H70" s="25"/>
      <c r="I70" s="25"/>
      <c r="J70" s="25"/>
      <c r="K70" s="25"/>
      <c r="L70" s="55"/>
      <c r="M70" s="34"/>
      <c r="N70" s="50"/>
    </row>
    <row r="71" spans="1:14" ht="15" customHeight="1" x14ac:dyDescent="0.2">
      <c r="A71" s="46">
        <f t="shared" si="1"/>
        <v>69</v>
      </c>
      <c r="B71" s="44" t="str">
        <v>トロペロン錠1ｍｇ　販売中止　　　　　　　　　　　　　　</v>
      </c>
      <c r="C71" s="33"/>
      <c r="D71" s="33"/>
      <c r="E71" s="32"/>
      <c r="F71" s="25"/>
      <c r="G71" s="25"/>
      <c r="H71" s="25"/>
      <c r="I71" s="25"/>
      <c r="J71" s="25"/>
      <c r="K71" s="25"/>
      <c r="L71" s="55"/>
      <c r="M71" s="34"/>
      <c r="N71" s="50"/>
    </row>
    <row r="72" spans="1:14" ht="15" customHeight="1" x14ac:dyDescent="0.2">
      <c r="A72" s="46">
        <f t="shared" si="1"/>
        <v>70</v>
      </c>
      <c r="B72" s="45" t="str">
        <v>トロペロン錠3ｍｇ　　　　　　　　　　　　　　販売中止</v>
      </c>
      <c r="C72" s="33"/>
      <c r="D72" s="33"/>
      <c r="E72" s="35"/>
      <c r="F72" s="25"/>
      <c r="G72" s="25"/>
      <c r="H72" s="25"/>
      <c r="I72" s="25"/>
      <c r="J72" s="25"/>
      <c r="K72" s="25"/>
      <c r="L72" s="55"/>
      <c r="M72" s="34"/>
      <c r="N72" s="50"/>
    </row>
    <row r="73" spans="1:14" ht="15" customHeight="1" x14ac:dyDescent="0.2">
      <c r="A73" s="46">
        <f t="shared" si="1"/>
        <v>71</v>
      </c>
      <c r="B73" s="45" t="str">
        <v>トロペロン注４ｍｇ　販売中止　　　　　　　　　　　　　　</v>
      </c>
      <c r="C73" s="33"/>
      <c r="D73" s="33"/>
      <c r="E73" s="35"/>
      <c r="F73" s="25"/>
      <c r="G73" s="25"/>
      <c r="H73" s="25"/>
      <c r="I73" s="25"/>
      <c r="J73" s="25"/>
      <c r="K73" s="25"/>
      <c r="L73" s="55"/>
      <c r="M73" s="34"/>
      <c r="N73" s="50"/>
    </row>
    <row r="74" spans="1:14" ht="15" customHeight="1" x14ac:dyDescent="0.2">
      <c r="A74" s="46">
        <f t="shared" si="1"/>
        <v>72</v>
      </c>
      <c r="B74" s="45" t="str">
        <v>ニューモバックスNＰシリンジ</v>
      </c>
      <c r="C74" s="33"/>
      <c r="D74" s="33"/>
      <c r="E74" s="35"/>
      <c r="F74" s="25"/>
      <c r="G74" s="25"/>
      <c r="H74" s="25"/>
      <c r="I74" s="25"/>
      <c r="J74" s="25"/>
      <c r="K74" s="25"/>
      <c r="L74" s="55"/>
      <c r="M74" s="34"/>
      <c r="N74" s="50"/>
    </row>
    <row r="75" spans="1:14" ht="15" customHeight="1" x14ac:dyDescent="0.2">
      <c r="A75" s="46">
        <f t="shared" si="1"/>
        <v>73</v>
      </c>
      <c r="B75" s="44" t="str">
        <v>ネオファーゲン静注20ｍｌ</v>
      </c>
      <c r="C75" s="33"/>
      <c r="D75" s="33"/>
      <c r="E75" s="32"/>
      <c r="F75" s="25"/>
      <c r="G75" s="25"/>
      <c r="H75" s="25"/>
      <c r="I75" s="25"/>
      <c r="J75" s="25"/>
      <c r="K75" s="25"/>
      <c r="L75" s="55"/>
      <c r="M75" s="34"/>
      <c r="N75" s="50"/>
    </row>
    <row r="76" spans="1:14" ht="15" customHeight="1" x14ac:dyDescent="0.2">
      <c r="A76" s="46">
        <f t="shared" si="1"/>
        <v>74</v>
      </c>
      <c r="B76" s="45" t="str">
        <v>ネオフィリン注250ｍｇ</v>
      </c>
      <c r="C76" s="51"/>
      <c r="D76" s="33"/>
      <c r="E76" s="52"/>
      <c r="F76" s="53"/>
      <c r="G76" s="25"/>
      <c r="H76" s="25"/>
      <c r="I76" s="54"/>
      <c r="J76" s="25"/>
      <c r="K76" s="25"/>
      <c r="L76" s="55"/>
      <c r="M76" s="34"/>
      <c r="N76" s="50"/>
    </row>
    <row r="77" spans="1:14" ht="15" customHeight="1" x14ac:dyDescent="0.2">
      <c r="A77" s="46">
        <f t="shared" si="1"/>
        <v>75</v>
      </c>
      <c r="B77" s="45" t="str">
        <v>ノルアドリナリン注1ｍｇ</v>
      </c>
      <c r="C77" s="51"/>
      <c r="D77" s="33"/>
      <c r="E77" s="52"/>
      <c r="F77" s="53"/>
      <c r="G77" s="25"/>
      <c r="H77" s="25"/>
      <c r="I77" s="54"/>
      <c r="J77" s="25"/>
      <c r="K77" s="25"/>
      <c r="L77" s="55"/>
      <c r="M77" s="34"/>
      <c r="N77" s="50"/>
    </row>
    <row r="78" spans="1:14" ht="15" customHeight="1" x14ac:dyDescent="0.2">
      <c r="A78" s="46">
        <f t="shared" si="1"/>
        <v>76</v>
      </c>
      <c r="B78" s="58" t="str">
        <v>ハベカシン注射液75ｍｇ</v>
      </c>
      <c r="C78" s="33"/>
      <c r="D78" s="33"/>
      <c r="E78" s="32"/>
      <c r="F78" s="25"/>
      <c r="G78" s="25"/>
      <c r="H78" s="25"/>
      <c r="I78" s="25"/>
      <c r="J78" s="25"/>
      <c r="K78" s="25"/>
      <c r="L78" s="55"/>
      <c r="M78" s="34"/>
      <c r="N78" s="50"/>
    </row>
    <row r="79" spans="1:14" ht="15" customHeight="1" x14ac:dyDescent="0.2">
      <c r="A79" s="46">
        <f t="shared" si="1"/>
        <v>77</v>
      </c>
      <c r="B79" s="58" t="str">
        <v>パレプラス輸液</v>
      </c>
      <c r="C79" s="33"/>
      <c r="D79" s="33"/>
      <c r="E79" s="32"/>
      <c r="F79" s="25"/>
      <c r="G79" s="25"/>
      <c r="H79" s="25"/>
      <c r="I79" s="25"/>
      <c r="J79" s="25"/>
      <c r="K79" s="25"/>
      <c r="L79" s="55"/>
      <c r="M79" s="34"/>
      <c r="N79" s="50"/>
    </row>
    <row r="80" spans="1:14" ht="15" customHeight="1" x14ac:dyDescent="0.2">
      <c r="A80" s="46">
        <f t="shared" si="1"/>
        <v>78</v>
      </c>
      <c r="B80" s="44" t="str">
        <v>ハロマンス注100ｍｇ</v>
      </c>
      <c r="C80" s="33"/>
      <c r="D80" s="33"/>
      <c r="E80" s="32"/>
      <c r="F80" s="25"/>
      <c r="G80" s="25"/>
      <c r="H80" s="25"/>
      <c r="I80" s="25"/>
      <c r="J80" s="25"/>
      <c r="K80" s="25"/>
      <c r="L80" s="55"/>
      <c r="M80" s="34"/>
      <c r="N80" s="50"/>
    </row>
    <row r="81" spans="1:14" ht="15" customHeight="1" x14ac:dyDescent="0.2">
      <c r="A81" s="46">
        <f t="shared" si="1"/>
        <v>79</v>
      </c>
      <c r="B81" s="45" t="str">
        <v>ハロマンス注50ｍｇ</v>
      </c>
      <c r="C81" s="33"/>
      <c r="D81" s="33"/>
      <c r="E81" s="35"/>
      <c r="F81" s="25"/>
      <c r="G81" s="25"/>
      <c r="H81" s="25"/>
      <c r="I81" s="25"/>
      <c r="J81" s="25"/>
      <c r="K81" s="25"/>
      <c r="L81" s="55"/>
      <c r="M81" s="34"/>
      <c r="N81" s="50"/>
    </row>
    <row r="82" spans="1:14" ht="15" customHeight="1" x14ac:dyDescent="0.2">
      <c r="A82" s="46">
        <f t="shared" si="1"/>
        <v>80</v>
      </c>
      <c r="B82" s="45" t="str">
        <v>バンコマイシン塩酸塩点滴静注用0.5ｇ「ＶＴＲＳ」</v>
      </c>
      <c r="C82" s="33"/>
      <c r="D82" s="33"/>
      <c r="E82" s="35"/>
      <c r="F82" s="25"/>
      <c r="G82" s="25"/>
      <c r="H82" s="25"/>
      <c r="I82" s="25"/>
      <c r="J82" s="25"/>
      <c r="K82" s="25"/>
      <c r="L82" s="55"/>
      <c r="M82" s="34"/>
      <c r="N82" s="50"/>
    </row>
    <row r="83" spans="1:14" ht="15" customHeight="1" x14ac:dyDescent="0.2">
      <c r="A83" s="46">
        <f t="shared" si="1"/>
        <v>81</v>
      </c>
      <c r="B83" s="45" t="str">
        <v>パントール注射液500MG</v>
      </c>
      <c r="C83" s="33"/>
      <c r="D83" s="33"/>
      <c r="E83" s="56"/>
      <c r="F83" s="25"/>
      <c r="G83" s="25"/>
      <c r="H83" s="25"/>
      <c r="I83" s="25"/>
      <c r="J83" s="25"/>
      <c r="K83" s="25"/>
      <c r="L83" s="55"/>
      <c r="M83" s="34"/>
      <c r="N83" s="50"/>
    </row>
    <row r="84" spans="1:14" ht="15" customHeight="1" x14ac:dyDescent="0.2">
      <c r="A84" s="46">
        <f t="shared" si="1"/>
        <v>82</v>
      </c>
      <c r="B84" s="45" t="str">
        <v>ヒベルナ注25ｍｇ</v>
      </c>
      <c r="C84" s="34"/>
      <c r="D84" s="33"/>
      <c r="E84" s="35"/>
      <c r="F84" s="25"/>
      <c r="G84" s="25"/>
      <c r="H84" s="25"/>
      <c r="I84" s="25"/>
      <c r="J84" s="25"/>
      <c r="K84" s="25"/>
      <c r="L84" s="55"/>
      <c r="M84" s="34"/>
      <c r="N84" s="50"/>
    </row>
    <row r="85" spans="1:14" ht="15" customHeight="1" x14ac:dyDescent="0.2">
      <c r="A85" s="46">
        <f t="shared" si="1"/>
        <v>83</v>
      </c>
      <c r="B85" s="45" t="str">
        <v>ヒューマリンR注U100単位/ｍｌ　10ｍｌ</v>
      </c>
      <c r="C85" s="34"/>
      <c r="D85" s="33"/>
      <c r="E85" s="35"/>
      <c r="F85" s="25"/>
      <c r="G85" s="25"/>
      <c r="H85" s="25"/>
      <c r="I85" s="25"/>
      <c r="J85" s="25"/>
      <c r="K85" s="25"/>
      <c r="L85" s="55"/>
      <c r="M85" s="34"/>
      <c r="N85" s="50"/>
    </row>
    <row r="86" spans="1:14" ht="15" customHeight="1" x14ac:dyDescent="0.2">
      <c r="A86" s="46">
        <f t="shared" si="1"/>
        <v>84</v>
      </c>
      <c r="B86" s="45" t="str">
        <v>ヒューマリンR注ミリオペン　300単位</v>
      </c>
      <c r="C86" s="34"/>
      <c r="D86" s="33"/>
      <c r="E86" s="35"/>
      <c r="F86" s="25"/>
      <c r="G86" s="25"/>
      <c r="H86" s="25"/>
      <c r="I86" s="25"/>
      <c r="J86" s="25"/>
      <c r="K86" s="25"/>
      <c r="L86" s="55"/>
      <c r="M86" s="34"/>
      <c r="N86" s="50"/>
    </row>
    <row r="87" spans="1:14" ht="15" customHeight="1" x14ac:dyDescent="0.2">
      <c r="A87" s="46">
        <f t="shared" si="1"/>
        <v>85</v>
      </c>
      <c r="B87" s="45" t="str">
        <v>ヒューマログミックス25注ミリオペン　300単位</v>
      </c>
      <c r="C87" s="33"/>
      <c r="D87" s="33"/>
      <c r="E87" s="35"/>
      <c r="F87" s="25"/>
      <c r="G87" s="25"/>
      <c r="H87" s="25"/>
      <c r="I87" s="25"/>
      <c r="J87" s="25"/>
      <c r="K87" s="25"/>
      <c r="L87" s="55"/>
      <c r="M87" s="34"/>
      <c r="N87" s="50"/>
    </row>
    <row r="88" spans="1:14" ht="15" customHeight="1" x14ac:dyDescent="0.2">
      <c r="A88" s="46">
        <f t="shared" si="1"/>
        <v>86</v>
      </c>
      <c r="B88" s="45" t="str">
        <v>ヒューマログミックス50注ミリオペン　300単位</v>
      </c>
      <c r="C88" s="34"/>
      <c r="D88" s="33"/>
      <c r="E88" s="56"/>
      <c r="F88" s="25"/>
      <c r="G88" s="25"/>
      <c r="H88" s="25"/>
      <c r="I88" s="25"/>
      <c r="J88" s="25"/>
      <c r="K88" s="25"/>
      <c r="L88" s="55"/>
      <c r="M88" s="34"/>
      <c r="N88" s="50"/>
    </row>
    <row r="89" spans="1:14" ht="15" customHeight="1" x14ac:dyDescent="0.2">
      <c r="A89" s="46">
        <f t="shared" si="1"/>
        <v>87</v>
      </c>
      <c r="B89" s="45" t="str">
        <v>ファモチジン静注液20mg「サワイ」</v>
      </c>
      <c r="C89" s="34"/>
      <c r="D89" s="33"/>
      <c r="E89" s="35"/>
      <c r="F89" s="25"/>
      <c r="G89" s="25"/>
      <c r="H89" s="25"/>
      <c r="I89" s="25"/>
      <c r="J89" s="25"/>
      <c r="K89" s="25"/>
      <c r="L89" s="55"/>
      <c r="M89" s="34"/>
      <c r="N89" s="50"/>
    </row>
    <row r="90" spans="1:14" ht="15" customHeight="1" x14ac:dyDescent="0.2">
      <c r="A90" s="46">
        <f t="shared" si="1"/>
        <v>88</v>
      </c>
      <c r="B90" s="45" t="str">
        <v>フェジン静注40ｍｇ</v>
      </c>
      <c r="C90" s="34"/>
      <c r="D90" s="33"/>
      <c r="E90" s="35"/>
      <c r="F90" s="25"/>
      <c r="G90" s="25"/>
      <c r="H90" s="25"/>
      <c r="I90" s="25"/>
      <c r="J90" s="25"/>
      <c r="K90" s="25"/>
      <c r="L90" s="55"/>
      <c r="M90" s="34"/>
      <c r="N90" s="50"/>
    </row>
    <row r="91" spans="1:14" ht="15" customHeight="1" x14ac:dyDescent="0.2">
      <c r="A91" s="46">
        <f t="shared" si="1"/>
        <v>89</v>
      </c>
      <c r="B91" s="45" t="str">
        <v>フェノバール注射液100ｍｇ</v>
      </c>
      <c r="C91" s="34"/>
      <c r="D91" s="33"/>
      <c r="E91" s="56"/>
      <c r="F91" s="25"/>
      <c r="G91" s="25"/>
      <c r="H91" s="25"/>
      <c r="I91" s="25"/>
      <c r="J91" s="25"/>
      <c r="K91" s="25"/>
      <c r="L91" s="55"/>
      <c r="M91" s="34"/>
      <c r="N91" s="50"/>
    </row>
    <row r="92" spans="1:14" ht="15" customHeight="1" x14ac:dyDescent="0.2">
      <c r="A92" s="46">
        <f t="shared" si="1"/>
        <v>90</v>
      </c>
      <c r="B92" s="45" t="str">
        <v>ブスコパン注20ｍｇ　2％</v>
      </c>
      <c r="C92" s="34"/>
      <c r="D92" s="33"/>
      <c r="E92" s="35"/>
      <c r="F92" s="25"/>
      <c r="G92" s="25"/>
      <c r="H92" s="25"/>
      <c r="I92" s="25"/>
      <c r="J92" s="25"/>
      <c r="K92" s="25"/>
      <c r="L92" s="55"/>
      <c r="M92" s="34"/>
      <c r="N92" s="50"/>
    </row>
    <row r="93" spans="1:14" ht="15" customHeight="1" x14ac:dyDescent="0.2">
      <c r="A93" s="46">
        <f t="shared" si="1"/>
        <v>91</v>
      </c>
      <c r="B93" s="45" t="str">
        <v>ブドウ糖注20％ＰＬ「フソー」　　</v>
      </c>
      <c r="C93" s="34"/>
      <c r="D93" s="33"/>
      <c r="E93" s="35"/>
      <c r="F93" s="25"/>
      <c r="G93" s="25"/>
      <c r="H93" s="25"/>
      <c r="I93" s="25"/>
      <c r="J93" s="25"/>
      <c r="K93" s="25"/>
      <c r="L93" s="55"/>
      <c r="M93" s="34"/>
      <c r="N93" s="50"/>
    </row>
    <row r="94" spans="1:14" ht="15" customHeight="1" x14ac:dyDescent="0.2">
      <c r="A94" s="46">
        <f t="shared" si="1"/>
        <v>92</v>
      </c>
      <c r="B94" s="45" t="str">
        <v>ブドウ糖注５％ＰＬ「フソー」　　　　　　</v>
      </c>
      <c r="C94" s="34"/>
      <c r="D94" s="33"/>
      <c r="E94" s="35"/>
      <c r="F94" s="25"/>
      <c r="G94" s="25"/>
      <c r="H94" s="25"/>
      <c r="I94" s="25"/>
      <c r="J94" s="25"/>
      <c r="K94" s="25"/>
      <c r="L94" s="55"/>
      <c r="M94" s="34"/>
      <c r="N94" s="50"/>
    </row>
    <row r="95" spans="1:14" ht="15" customHeight="1" x14ac:dyDescent="0.2">
      <c r="A95" s="46">
        <f t="shared" si="1"/>
        <v>93</v>
      </c>
      <c r="B95" s="45" t="str">
        <v>ブドウ糖注５％ＰＬ「フソー」20ｍｌ</v>
      </c>
      <c r="C95" s="34"/>
      <c r="D95" s="33"/>
      <c r="E95" s="35"/>
      <c r="F95" s="25"/>
      <c r="G95" s="25"/>
      <c r="H95" s="25"/>
      <c r="I95" s="25"/>
      <c r="J95" s="25"/>
      <c r="K95" s="25"/>
      <c r="L95" s="55"/>
      <c r="M95" s="34"/>
      <c r="N95" s="50"/>
    </row>
    <row r="96" spans="1:14" ht="15" customHeight="1" x14ac:dyDescent="0.2">
      <c r="A96" s="46">
        <f t="shared" si="1"/>
        <v>94</v>
      </c>
      <c r="B96" s="45" t="str">
        <v>プラリア皮下注60ｍｇシリンジ</v>
      </c>
      <c r="C96" s="34"/>
      <c r="D96" s="33"/>
      <c r="E96" s="35"/>
      <c r="F96" s="25"/>
      <c r="G96" s="25"/>
      <c r="H96" s="25"/>
      <c r="I96" s="25"/>
      <c r="J96" s="25"/>
      <c r="K96" s="25"/>
      <c r="L96" s="55"/>
      <c r="M96" s="34"/>
      <c r="N96" s="50"/>
    </row>
    <row r="97" spans="1:14" ht="15" customHeight="1" x14ac:dyDescent="0.2">
      <c r="A97" s="46">
        <f t="shared" si="1"/>
        <v>95</v>
      </c>
      <c r="B97" s="45" t="str">
        <v>プリンペラン注射液10ｍｇ</v>
      </c>
      <c r="C97" s="34"/>
      <c r="D97" s="33"/>
      <c r="E97" s="35"/>
      <c r="F97" s="25"/>
      <c r="G97" s="25"/>
      <c r="H97" s="25"/>
      <c r="I97" s="25"/>
      <c r="J97" s="25"/>
      <c r="K97" s="25"/>
      <c r="L97" s="55"/>
      <c r="M97" s="34"/>
      <c r="N97" s="50"/>
    </row>
    <row r="98" spans="1:14" ht="15" customHeight="1" x14ac:dyDescent="0.2">
      <c r="A98" s="46">
        <f t="shared" si="1"/>
        <v>96</v>
      </c>
      <c r="B98" s="44" t="str">
        <v>フルデカシン筋注２５ｍｇ</v>
      </c>
      <c r="C98" s="33"/>
      <c r="D98" s="33"/>
      <c r="E98" s="32"/>
      <c r="F98" s="25"/>
      <c r="G98" s="25"/>
      <c r="H98" s="25"/>
      <c r="I98" s="25"/>
      <c r="J98" s="25"/>
      <c r="K98" s="25"/>
      <c r="L98" s="55"/>
      <c r="M98" s="34"/>
      <c r="N98" s="50"/>
    </row>
    <row r="99" spans="1:14" ht="15" customHeight="1" x14ac:dyDescent="0.2">
      <c r="A99" s="46">
        <f t="shared" si="1"/>
        <v>97</v>
      </c>
      <c r="B99" s="45" t="str">
        <v>フロセミド注20ｍｇ「NIG｣</v>
      </c>
      <c r="C99" s="33"/>
      <c r="D99" s="33"/>
      <c r="E99" s="35"/>
      <c r="F99" s="25"/>
      <c r="G99" s="25"/>
      <c r="H99" s="25"/>
      <c r="I99" s="25"/>
      <c r="J99" s="25"/>
      <c r="K99" s="25"/>
      <c r="L99" s="55"/>
      <c r="M99" s="34"/>
      <c r="N99" s="50"/>
    </row>
    <row r="100" spans="1:14" ht="15" customHeight="1" x14ac:dyDescent="0.2">
      <c r="A100" s="46">
        <f t="shared" si="1"/>
        <v>98</v>
      </c>
      <c r="B100" s="45" t="str">
        <v>フロセミド注20ｍｇ「トーワ｣</v>
      </c>
      <c r="C100" s="33"/>
      <c r="D100" s="33"/>
      <c r="E100" s="35"/>
      <c r="F100" s="25"/>
      <c r="G100" s="25"/>
      <c r="H100" s="25"/>
      <c r="I100" s="25"/>
      <c r="J100" s="25"/>
      <c r="K100" s="25"/>
      <c r="L100" s="55"/>
      <c r="M100" s="34"/>
      <c r="N100" s="50"/>
    </row>
    <row r="101" spans="1:14" ht="15" customHeight="1" x14ac:dyDescent="0.2">
      <c r="A101" s="46">
        <f t="shared" si="1"/>
        <v>99</v>
      </c>
      <c r="B101" s="45" t="str">
        <v>ブロムヘキシン塩酸塩注射液4mg「タイヨー」</v>
      </c>
      <c r="C101" s="33"/>
      <c r="D101" s="33"/>
      <c r="E101" s="35"/>
      <c r="F101" s="25"/>
      <c r="G101" s="25"/>
      <c r="H101" s="25"/>
      <c r="I101" s="25"/>
      <c r="J101" s="25"/>
      <c r="K101" s="25"/>
      <c r="L101" s="55"/>
      <c r="M101" s="34"/>
      <c r="N101" s="50"/>
    </row>
    <row r="102" spans="1:14" ht="15" customHeight="1" x14ac:dyDescent="0.2">
      <c r="A102" s="46">
        <f t="shared" si="1"/>
        <v>100</v>
      </c>
      <c r="B102" s="45" t="str">
        <v>ベクルリー点滴静注用100ｍｇ</v>
      </c>
      <c r="C102" s="33"/>
      <c r="D102" s="33"/>
      <c r="E102" s="35"/>
      <c r="F102" s="25"/>
      <c r="G102" s="25"/>
      <c r="H102" s="25"/>
      <c r="I102" s="25"/>
      <c r="J102" s="25"/>
      <c r="K102" s="25"/>
      <c r="L102" s="55"/>
      <c r="M102" s="34"/>
      <c r="N102" s="50"/>
    </row>
    <row r="103" spans="1:14" ht="15" customHeight="1" x14ac:dyDescent="0.2">
      <c r="A103" s="46">
        <f t="shared" si="1"/>
        <v>101</v>
      </c>
      <c r="B103" s="45" t="str">
        <v>ヘパリンＮＡロック用10単位/ｍｌ「オーツカ」　100単位</v>
      </c>
      <c r="C103" s="33"/>
      <c r="D103" s="33"/>
      <c r="E103" s="35"/>
      <c r="F103" s="25"/>
      <c r="G103" s="25"/>
      <c r="H103" s="25"/>
      <c r="I103" s="25"/>
      <c r="J103" s="25"/>
      <c r="K103" s="25"/>
      <c r="L103" s="55"/>
      <c r="M103" s="34"/>
      <c r="N103" s="50"/>
    </row>
    <row r="104" spans="1:14" ht="15" customHeight="1" x14ac:dyDescent="0.2">
      <c r="A104" s="46">
        <f t="shared" si="1"/>
        <v>102</v>
      </c>
      <c r="B104" s="45" t="str">
        <v>ヘパリンＮａ注5千単位/5ｍｌ「モチダ」</v>
      </c>
      <c r="C104" s="33"/>
      <c r="D104" s="33"/>
      <c r="E104" s="35"/>
      <c r="F104" s="25"/>
      <c r="G104" s="25"/>
      <c r="H104" s="25"/>
      <c r="I104" s="25"/>
      <c r="J104" s="25"/>
      <c r="K104" s="25"/>
      <c r="L104" s="55"/>
      <c r="M104" s="34"/>
      <c r="N104" s="50"/>
    </row>
    <row r="105" spans="1:14" ht="15" customHeight="1" x14ac:dyDescent="0.2">
      <c r="A105" s="46">
        <f t="shared" si="1"/>
        <v>103</v>
      </c>
      <c r="B105" s="45" t="str">
        <v>ヘブスブリンＩＨ静注1000単位</v>
      </c>
      <c r="C105" s="33"/>
      <c r="D105" s="33"/>
      <c r="E105" s="35"/>
      <c r="F105" s="25"/>
      <c r="G105" s="25"/>
      <c r="H105" s="25"/>
      <c r="I105" s="25"/>
      <c r="J105" s="25"/>
      <c r="K105" s="25"/>
      <c r="L105" s="55"/>
      <c r="M105" s="34"/>
      <c r="N105" s="50"/>
    </row>
    <row r="106" spans="1:14" ht="15" customHeight="1" x14ac:dyDescent="0.2">
      <c r="A106" s="46">
        <f t="shared" si="1"/>
        <v>104</v>
      </c>
      <c r="B106" s="45" t="str">
        <v>ヘルベッサー注射用50</v>
      </c>
      <c r="C106" s="34"/>
      <c r="D106" s="33"/>
      <c r="E106" s="35"/>
      <c r="F106" s="25"/>
      <c r="G106" s="25"/>
      <c r="H106" s="25"/>
      <c r="I106" s="25"/>
      <c r="J106" s="25"/>
      <c r="K106" s="25"/>
      <c r="L106" s="55"/>
      <c r="M106" s="34"/>
      <c r="N106" s="50"/>
    </row>
    <row r="107" spans="1:14" ht="15" customHeight="1" x14ac:dyDescent="0.2">
      <c r="A107" s="46">
        <f t="shared" si="1"/>
        <v>105</v>
      </c>
      <c r="B107" s="45" t="str">
        <v>ペントシリン注射用１ｇ　　　　　　　　　</v>
      </c>
      <c r="C107" s="33"/>
      <c r="D107" s="33"/>
      <c r="E107" s="35"/>
      <c r="F107" s="25"/>
      <c r="G107" s="25"/>
      <c r="H107" s="25"/>
      <c r="I107" s="25"/>
      <c r="J107" s="25"/>
      <c r="K107" s="25"/>
      <c r="L107" s="55"/>
      <c r="M107" s="34"/>
      <c r="N107" s="50"/>
    </row>
    <row r="108" spans="1:14" ht="15" customHeight="1" x14ac:dyDescent="0.2">
      <c r="A108" s="46">
        <f t="shared" si="1"/>
        <v>106</v>
      </c>
      <c r="B108" s="45" t="str">
        <v>ホスホマイシンナトリウム静注用２ｇ「日医工」</v>
      </c>
      <c r="C108" s="33"/>
      <c r="D108" s="33"/>
      <c r="E108" s="35"/>
      <c r="F108" s="25"/>
      <c r="G108" s="25"/>
      <c r="H108" s="25"/>
      <c r="I108" s="25"/>
      <c r="J108" s="25"/>
      <c r="K108" s="25"/>
      <c r="L108" s="55"/>
      <c r="M108" s="34"/>
      <c r="N108" s="50"/>
    </row>
    <row r="109" spans="1:14" ht="15" customHeight="1" x14ac:dyDescent="0.2">
      <c r="A109" s="46">
        <f t="shared" si="1"/>
        <v>107</v>
      </c>
      <c r="B109" s="45" t="str">
        <v>ボスミン注1ｍｇ　0.1％</v>
      </c>
      <c r="C109" s="33"/>
      <c r="D109" s="33"/>
      <c r="E109" s="35"/>
      <c r="F109" s="25"/>
      <c r="G109" s="25"/>
      <c r="H109" s="25"/>
      <c r="I109" s="25"/>
      <c r="J109" s="25"/>
      <c r="K109" s="25"/>
      <c r="L109" s="55"/>
      <c r="M109" s="34"/>
      <c r="N109" s="50"/>
    </row>
    <row r="110" spans="1:14" ht="15" customHeight="1" x14ac:dyDescent="0.2">
      <c r="A110" s="46">
        <f t="shared" si="1"/>
        <v>108</v>
      </c>
      <c r="B110" s="45" t="str">
        <v>ポタコールR輸液　250ｍｌ</v>
      </c>
      <c r="C110" s="33"/>
      <c r="D110" s="33"/>
      <c r="E110" s="35"/>
      <c r="F110" s="25"/>
      <c r="G110" s="25"/>
      <c r="H110" s="25"/>
      <c r="I110" s="25"/>
      <c r="J110" s="25"/>
      <c r="K110" s="25"/>
      <c r="L110" s="55"/>
      <c r="M110" s="34"/>
      <c r="N110" s="50"/>
    </row>
    <row r="111" spans="1:14" ht="15" customHeight="1" x14ac:dyDescent="0.2">
      <c r="A111" s="46">
        <f t="shared" si="1"/>
        <v>109</v>
      </c>
      <c r="B111" s="44" t="str">
        <v>ポタコールR輸液　500ｍｌ</v>
      </c>
      <c r="C111" s="33"/>
      <c r="D111" s="33"/>
      <c r="E111" s="32"/>
      <c r="F111" s="25"/>
      <c r="G111" s="25"/>
      <c r="H111" s="25"/>
      <c r="I111" s="25"/>
      <c r="J111" s="25"/>
      <c r="K111" s="25"/>
      <c r="L111" s="55"/>
      <c r="M111" s="34"/>
      <c r="N111" s="50"/>
    </row>
    <row r="112" spans="1:14" ht="15" customHeight="1" x14ac:dyDescent="0.2">
      <c r="A112" s="46">
        <f t="shared" si="1"/>
        <v>110</v>
      </c>
      <c r="B112" s="45" t="str">
        <v>ポララミン注5ｍｇ</v>
      </c>
      <c r="C112" s="33"/>
      <c r="D112" s="33"/>
      <c r="E112" s="35"/>
      <c r="F112" s="25"/>
      <c r="G112" s="25"/>
      <c r="H112" s="25"/>
      <c r="I112" s="25"/>
      <c r="J112" s="25"/>
      <c r="K112" s="25"/>
      <c r="L112" s="55"/>
      <c r="M112" s="34"/>
      <c r="N112" s="50"/>
    </row>
    <row r="113" spans="1:14" ht="15" customHeight="1" x14ac:dyDescent="0.2">
      <c r="A113" s="46">
        <f t="shared" si="1"/>
        <v>111</v>
      </c>
      <c r="B113" s="45" t="str">
        <v>ミノサイクリン塩酸塩点滴静注用100ｍｇ「日医工」</v>
      </c>
      <c r="C113" s="33"/>
      <c r="D113" s="33"/>
      <c r="E113" s="35"/>
      <c r="F113" s="25"/>
      <c r="G113" s="25"/>
      <c r="H113" s="25"/>
      <c r="I113" s="25"/>
      <c r="J113" s="25"/>
      <c r="K113" s="25"/>
      <c r="L113" s="55"/>
      <c r="M113" s="34"/>
      <c r="N113" s="50"/>
    </row>
    <row r="114" spans="1:14" ht="15" customHeight="1" x14ac:dyDescent="0.2">
      <c r="A114" s="46">
        <f t="shared" si="1"/>
        <v>112</v>
      </c>
      <c r="B114" s="45" t="str">
        <v>メイロン静注7％　ﾌﾟﾗｱﾝﾌﾟﾙ</v>
      </c>
      <c r="C114" s="33"/>
      <c r="D114" s="33"/>
      <c r="E114" s="35"/>
      <c r="F114" s="25"/>
      <c r="G114" s="25"/>
      <c r="H114" s="25"/>
      <c r="I114" s="25"/>
      <c r="J114" s="25"/>
      <c r="K114" s="25"/>
      <c r="L114" s="55"/>
      <c r="M114" s="34"/>
      <c r="N114" s="50"/>
    </row>
    <row r="115" spans="1:14" ht="15" customHeight="1" x14ac:dyDescent="0.2">
      <c r="A115" s="46">
        <f t="shared" si="1"/>
        <v>113</v>
      </c>
      <c r="B115" s="45" t="str">
        <v>メロペネム点滴静注用0.5ｇ「サワイ」</v>
      </c>
      <c r="C115" s="33"/>
      <c r="D115" s="33"/>
      <c r="E115" s="35"/>
      <c r="F115" s="25"/>
      <c r="G115" s="25"/>
      <c r="H115" s="25"/>
      <c r="I115" s="25"/>
      <c r="J115" s="25"/>
      <c r="K115" s="25"/>
      <c r="L115" s="55"/>
      <c r="M115" s="34"/>
      <c r="N115" s="50"/>
    </row>
    <row r="116" spans="1:14" ht="15" customHeight="1" x14ac:dyDescent="0.2">
      <c r="A116" s="46">
        <f t="shared" si="1"/>
        <v>114</v>
      </c>
      <c r="B116" s="45" t="str">
        <v>ラコールNF配合経腸液（ミルク）</v>
      </c>
      <c r="C116" s="34"/>
      <c r="D116" s="33"/>
      <c r="E116" s="56"/>
      <c r="F116" s="25"/>
      <c r="G116" s="25"/>
      <c r="H116" s="25"/>
      <c r="I116" s="25"/>
      <c r="J116" s="25"/>
      <c r="K116" s="25"/>
      <c r="L116" s="55"/>
      <c r="M116" s="34"/>
      <c r="N116" s="50"/>
    </row>
    <row r="117" spans="1:14" ht="15" customHeight="1" x14ac:dyDescent="0.2">
      <c r="A117" s="46">
        <f t="shared" si="1"/>
        <v>115</v>
      </c>
      <c r="B117" s="45" t="str">
        <v>ラスビック点滴静注キット150ｍｇ</v>
      </c>
      <c r="C117" s="34"/>
      <c r="D117" s="33"/>
      <c r="E117" s="56"/>
      <c r="F117" s="25"/>
      <c r="G117" s="25"/>
      <c r="H117" s="25"/>
      <c r="I117" s="25"/>
      <c r="J117" s="25"/>
      <c r="K117" s="25"/>
      <c r="L117" s="55"/>
      <c r="M117" s="34"/>
      <c r="N117" s="50"/>
    </row>
    <row r="118" spans="1:14" ht="15" customHeight="1" x14ac:dyDescent="0.2">
      <c r="A118" s="46">
        <f t="shared" si="1"/>
        <v>116</v>
      </c>
      <c r="B118" s="44" t="str">
        <v>ラピアクタ点滴静注バッグ300ｍｇ</v>
      </c>
      <c r="C118" s="33"/>
      <c r="D118" s="33"/>
      <c r="E118" s="32"/>
      <c r="F118" s="25"/>
      <c r="G118" s="25"/>
      <c r="H118" s="25"/>
      <c r="I118" s="25"/>
      <c r="J118" s="25"/>
      <c r="K118" s="25"/>
      <c r="L118" s="55"/>
      <c r="M118" s="34"/>
      <c r="N118" s="50"/>
    </row>
    <row r="119" spans="1:14" ht="15" customHeight="1" x14ac:dyDescent="0.2">
      <c r="A119" s="46">
        <f t="shared" si="1"/>
        <v>117</v>
      </c>
      <c r="B119" s="44" t="str">
        <v>ランタスXR注ソロスター450単位</v>
      </c>
      <c r="C119" s="33"/>
      <c r="D119" s="33"/>
      <c r="E119" s="32"/>
      <c r="F119" s="25"/>
      <c r="G119" s="25"/>
      <c r="H119" s="25"/>
      <c r="I119" s="25"/>
      <c r="J119" s="25"/>
      <c r="K119" s="25"/>
      <c r="L119" s="55"/>
      <c r="M119" s="34"/>
      <c r="N119" s="50"/>
    </row>
    <row r="120" spans="1:14" ht="15" customHeight="1" x14ac:dyDescent="0.2">
      <c r="A120" s="46">
        <f t="shared" si="1"/>
        <v>118</v>
      </c>
      <c r="B120" s="44" t="str">
        <v>ランタス注ソロスター300単位</v>
      </c>
      <c r="C120" s="33"/>
      <c r="D120" s="33"/>
      <c r="E120" s="32"/>
      <c r="F120" s="25"/>
      <c r="G120" s="25"/>
      <c r="H120" s="25"/>
      <c r="I120" s="25"/>
      <c r="J120" s="25"/>
      <c r="K120" s="25"/>
      <c r="L120" s="55"/>
      <c r="M120" s="34"/>
      <c r="N120" s="50"/>
    </row>
    <row r="121" spans="1:14" ht="15" customHeight="1" x14ac:dyDescent="0.2">
      <c r="A121" s="46">
        <f t="shared" si="1"/>
        <v>119</v>
      </c>
      <c r="B121" s="44" t="str">
        <v>リクラスト点滴静注液5ｍｇ</v>
      </c>
      <c r="C121" s="33"/>
      <c r="D121" s="33"/>
      <c r="E121" s="32"/>
      <c r="F121" s="25"/>
      <c r="G121" s="25"/>
      <c r="H121" s="25"/>
      <c r="I121" s="25"/>
      <c r="J121" s="25"/>
      <c r="K121" s="25"/>
      <c r="L121" s="55"/>
      <c r="M121" s="34"/>
      <c r="N121" s="50"/>
    </row>
    <row r="122" spans="1:14" ht="15" customHeight="1" x14ac:dyDescent="0.2">
      <c r="A122" s="46">
        <f t="shared" si="1"/>
        <v>120</v>
      </c>
      <c r="B122" s="45" t="str">
        <v>リスパダールコンスタ筋注用25ｍｇ</v>
      </c>
      <c r="C122" s="33"/>
      <c r="D122" s="33"/>
      <c r="E122" s="35"/>
      <c r="F122" s="25"/>
      <c r="G122" s="25"/>
      <c r="H122" s="25"/>
      <c r="I122" s="25"/>
      <c r="J122" s="25"/>
      <c r="K122" s="25"/>
      <c r="L122" s="55"/>
      <c r="M122" s="34"/>
      <c r="N122" s="50"/>
    </row>
    <row r="123" spans="1:14" ht="15" customHeight="1" x14ac:dyDescent="0.2">
      <c r="A123" s="46">
        <f t="shared" si="1"/>
        <v>121</v>
      </c>
      <c r="B123" s="44" t="str">
        <v>リスパダールコンスタ筋注用37.5ｍｇ</v>
      </c>
      <c r="C123" s="33"/>
      <c r="D123" s="33"/>
      <c r="E123" s="32"/>
      <c r="F123" s="25"/>
      <c r="G123" s="25"/>
      <c r="H123" s="25"/>
      <c r="I123" s="25"/>
      <c r="J123" s="25"/>
      <c r="K123" s="25"/>
      <c r="L123" s="55"/>
      <c r="M123" s="34"/>
      <c r="N123" s="50"/>
    </row>
    <row r="124" spans="1:14" ht="15" customHeight="1" x14ac:dyDescent="0.2">
      <c r="A124" s="46">
        <f t="shared" si="1"/>
        <v>122</v>
      </c>
      <c r="B124" s="45" t="str">
        <v>リスパダールコンスタ筋注用50ｍｇ（1）</v>
      </c>
      <c r="C124" s="34"/>
      <c r="D124" s="33"/>
      <c r="E124" s="56"/>
      <c r="F124" s="25"/>
      <c r="G124" s="25"/>
      <c r="H124" s="25"/>
      <c r="I124" s="25"/>
      <c r="J124" s="25"/>
      <c r="K124" s="25"/>
      <c r="L124" s="55"/>
      <c r="M124" s="34"/>
      <c r="N124" s="50"/>
    </row>
    <row r="125" spans="1:14" ht="15" customHeight="1" x14ac:dyDescent="0.2">
      <c r="A125" s="46">
        <f t="shared" si="1"/>
        <v>123</v>
      </c>
      <c r="B125" s="45" t="str">
        <v>リスパダールコンスタ筋注用50ｍｇ（2）</v>
      </c>
      <c r="C125" s="34"/>
      <c r="D125" s="33"/>
      <c r="E125" s="35"/>
      <c r="F125" s="25"/>
      <c r="G125" s="25"/>
      <c r="H125" s="25"/>
      <c r="I125" s="25"/>
      <c r="J125" s="25"/>
      <c r="K125" s="25"/>
      <c r="L125" s="55"/>
      <c r="M125" s="34"/>
      <c r="N125" s="50"/>
    </row>
    <row r="126" spans="1:14" ht="15" customHeight="1" x14ac:dyDescent="0.2">
      <c r="A126" s="46">
        <f t="shared" si="1"/>
        <v>124</v>
      </c>
      <c r="B126" s="45" t="str">
        <v>リュープロレリン酢酸塩注射用キット3.75ｍｇ「あすか」</v>
      </c>
      <c r="C126" s="34"/>
      <c r="D126" s="33"/>
      <c r="E126" s="35"/>
      <c r="F126" s="25"/>
      <c r="G126" s="25"/>
      <c r="H126" s="25"/>
      <c r="I126" s="25"/>
      <c r="J126" s="25"/>
      <c r="K126" s="25"/>
      <c r="L126" s="55"/>
      <c r="M126" s="34"/>
      <c r="N126" s="50"/>
    </row>
    <row r="127" spans="1:14" ht="15" customHeight="1" x14ac:dyDescent="0.2">
      <c r="A127" s="46">
        <f t="shared" si="1"/>
        <v>125</v>
      </c>
      <c r="B127" s="45" t="str">
        <v>リンデロン懸濁注2.5ｍｇ</v>
      </c>
      <c r="C127" s="34"/>
      <c r="D127" s="33"/>
      <c r="E127" s="35"/>
      <c r="F127" s="25"/>
      <c r="G127" s="25"/>
      <c r="H127" s="25"/>
      <c r="I127" s="25"/>
      <c r="J127" s="25"/>
      <c r="K127" s="25"/>
      <c r="L127" s="55"/>
      <c r="M127" s="34"/>
      <c r="N127" s="50"/>
    </row>
    <row r="128" spans="1:14" ht="15" customHeight="1" x14ac:dyDescent="0.2">
      <c r="A128" s="46">
        <f t="shared" si="1"/>
        <v>126</v>
      </c>
      <c r="B128" s="45" t="str">
        <v>レベチラセタム点滴静注500ｍｇ「明治」</v>
      </c>
      <c r="C128" s="34"/>
      <c r="D128" s="33"/>
      <c r="E128" s="35"/>
      <c r="F128" s="25"/>
      <c r="G128" s="25"/>
      <c r="H128" s="25"/>
      <c r="I128" s="25"/>
      <c r="J128" s="25"/>
      <c r="K128" s="25"/>
      <c r="L128" s="55"/>
      <c r="M128" s="34"/>
      <c r="N128" s="50"/>
    </row>
    <row r="129" spans="1:14" ht="15" customHeight="1" x14ac:dyDescent="0.2">
      <c r="A129" s="46">
        <f t="shared" si="1"/>
        <v>127</v>
      </c>
      <c r="B129" s="45" t="str">
        <v>レボフロキサシン点滴静注バッグ500ｍｇ/100ｍｌ「ＤＳＥＰ」</v>
      </c>
      <c r="C129" s="33"/>
      <c r="D129" s="33"/>
      <c r="E129" s="35"/>
      <c r="F129" s="25"/>
      <c r="G129" s="25"/>
      <c r="H129" s="25"/>
      <c r="I129" s="25"/>
      <c r="J129" s="25"/>
      <c r="K129" s="25"/>
      <c r="L129" s="55"/>
      <c r="M129" s="34"/>
      <c r="N129" s="50"/>
    </row>
    <row r="130" spans="1:14" ht="15" customHeight="1" x14ac:dyDescent="0.2">
      <c r="A130" s="46">
        <f t="shared" si="1"/>
        <v>128</v>
      </c>
      <c r="B130" s="45" t="str">
        <v>ロイコボリン注3ｍｇ</v>
      </c>
      <c r="C130" s="31"/>
      <c r="D130" s="31"/>
      <c r="E130" s="32"/>
      <c r="F130" s="25"/>
      <c r="G130" s="25"/>
      <c r="H130" s="25"/>
      <c r="I130" s="25"/>
      <c r="J130" s="25"/>
      <c r="K130" s="25"/>
      <c r="L130" s="55"/>
      <c r="M130" s="34"/>
      <c r="N130" s="50"/>
    </row>
    <row r="131" spans="1:14" ht="15" customHeight="1" x14ac:dyDescent="0.2">
      <c r="A131" s="46">
        <f t="shared" si="1"/>
        <v>129</v>
      </c>
      <c r="B131" s="44" t="str">
        <v>ワゴスチグミン注　0.5ｍｇ</v>
      </c>
      <c r="C131" s="31"/>
      <c r="D131" s="31"/>
      <c r="E131" s="32"/>
      <c r="F131" s="25"/>
      <c r="G131" s="25"/>
      <c r="H131" s="25"/>
      <c r="I131" s="25"/>
      <c r="J131" s="25"/>
      <c r="K131" s="25"/>
      <c r="L131" s="55"/>
      <c r="M131" s="34"/>
      <c r="N131" s="50"/>
    </row>
    <row r="132" spans="1:14" ht="15" customHeight="1" x14ac:dyDescent="0.2">
      <c r="A132" s="46">
        <f t="shared" si="1"/>
        <v>130</v>
      </c>
      <c r="B132" s="44" t="str">
        <v>ワソラン静注5ｍｇ</v>
      </c>
      <c r="C132" s="31"/>
      <c r="D132" s="31"/>
      <c r="E132" s="32"/>
      <c r="F132" s="25"/>
      <c r="G132" s="25"/>
      <c r="H132" s="25"/>
      <c r="I132" s="25"/>
      <c r="J132" s="25"/>
      <c r="K132" s="25"/>
      <c r="L132" s="55"/>
      <c r="M132" s="34"/>
      <c r="N132" s="50"/>
    </row>
    <row r="133" spans="1:14" ht="15" customHeight="1" x14ac:dyDescent="0.2">
      <c r="A133" s="46">
        <f t="shared" ref="A133:A196" si="2">A132+1</f>
        <v>131</v>
      </c>
      <c r="B133" s="45" t="str">
        <v>ワンパル2号輸液（1）</v>
      </c>
      <c r="C133" s="34"/>
      <c r="D133" s="34"/>
      <c r="E133" s="35"/>
      <c r="F133" s="25"/>
      <c r="G133" s="25"/>
      <c r="H133" s="25"/>
      <c r="I133" s="25"/>
      <c r="J133" s="25"/>
      <c r="K133" s="25"/>
      <c r="L133" s="55"/>
      <c r="M133" s="34"/>
      <c r="N133" s="50"/>
    </row>
    <row r="134" spans="1:14" ht="15" customHeight="1" x14ac:dyDescent="0.2">
      <c r="A134" s="46">
        <f t="shared" si="2"/>
        <v>132</v>
      </c>
      <c r="B134" s="44" t="str">
        <v>ワンパル2号輸液1200ｍｌ</v>
      </c>
      <c r="C134" s="34"/>
      <c r="D134" s="34"/>
      <c r="E134" s="35"/>
      <c r="F134" s="25"/>
      <c r="G134" s="25"/>
      <c r="H134" s="25"/>
      <c r="I134" s="25"/>
      <c r="J134" s="25"/>
      <c r="K134" s="25"/>
      <c r="L134" s="55"/>
      <c r="M134" s="34"/>
      <c r="N134" s="50"/>
    </row>
    <row r="135" spans="1:14" ht="15" customHeight="1" x14ac:dyDescent="0.2">
      <c r="A135" s="46">
        <f t="shared" si="2"/>
        <v>133</v>
      </c>
      <c r="B135" s="44" t="str">
        <v>塩酸メトクロプラミド注射液10mg「タカタ」</v>
      </c>
      <c r="C135" s="34"/>
      <c r="D135" s="34"/>
      <c r="E135" s="56"/>
      <c r="F135" s="25"/>
      <c r="G135" s="25"/>
      <c r="H135" s="25"/>
      <c r="I135" s="25"/>
      <c r="J135" s="25"/>
      <c r="K135" s="25"/>
      <c r="L135" s="55"/>
      <c r="M135" s="34"/>
      <c r="N135" s="50"/>
    </row>
    <row r="136" spans="1:14" ht="15" customHeight="1" x14ac:dyDescent="0.2">
      <c r="A136" s="46">
        <f t="shared" si="2"/>
        <v>134</v>
      </c>
      <c r="B136" s="44" t="str">
        <v>献血ﾍﾞﾆﾛﾝ-I　静注用　2500ｍｇ</v>
      </c>
      <c r="C136" s="34"/>
      <c r="D136" s="34"/>
      <c r="E136" s="35"/>
      <c r="F136" s="25"/>
      <c r="G136" s="25"/>
      <c r="H136" s="25"/>
      <c r="I136" s="25"/>
      <c r="J136" s="25"/>
      <c r="K136" s="25"/>
      <c r="L136" s="55"/>
      <c r="M136" s="34"/>
      <c r="N136" s="50"/>
    </row>
    <row r="137" spans="1:14" ht="15" customHeight="1" x14ac:dyDescent="0.2">
      <c r="A137" s="46">
        <f t="shared" si="2"/>
        <v>135</v>
      </c>
      <c r="B137" s="44" t="str">
        <v>水溶性ハイドロコートン注射１００ｍｇ</v>
      </c>
      <c r="C137" s="34"/>
      <c r="D137" s="34"/>
      <c r="E137" s="35"/>
      <c r="F137" s="25"/>
      <c r="G137" s="25"/>
      <c r="H137" s="25"/>
      <c r="I137" s="25"/>
      <c r="J137" s="25"/>
      <c r="K137" s="25"/>
      <c r="L137" s="55"/>
      <c r="M137" s="34"/>
      <c r="N137" s="50"/>
    </row>
    <row r="138" spans="1:14" ht="15" customHeight="1" x14ac:dyDescent="0.2">
      <c r="A138" s="46">
        <f t="shared" si="2"/>
        <v>136</v>
      </c>
      <c r="B138" s="44" t="str">
        <v>水溶性プレドニン10ｍｇ</v>
      </c>
      <c r="C138" s="34"/>
      <c r="D138" s="34"/>
      <c r="E138" s="35"/>
      <c r="F138" s="25"/>
      <c r="G138" s="25"/>
      <c r="H138" s="25"/>
      <c r="I138" s="25"/>
      <c r="J138" s="25"/>
      <c r="K138" s="25"/>
      <c r="L138" s="55"/>
      <c r="M138" s="34"/>
      <c r="N138" s="50"/>
    </row>
    <row r="139" spans="1:14" ht="15" customHeight="1" x14ac:dyDescent="0.2">
      <c r="A139" s="46">
        <f t="shared" si="2"/>
        <v>137</v>
      </c>
      <c r="B139" s="45" t="str">
        <v>生食注シリンジ「NP」中口10ｍｌ</v>
      </c>
      <c r="C139" s="33"/>
      <c r="D139" s="33"/>
      <c r="E139" s="35"/>
      <c r="F139" s="25"/>
      <c r="G139" s="25"/>
      <c r="H139" s="25"/>
      <c r="I139" s="25"/>
      <c r="J139" s="25"/>
      <c r="K139" s="25"/>
      <c r="L139" s="55"/>
      <c r="M139" s="34"/>
      <c r="N139" s="50"/>
    </row>
    <row r="140" spans="1:14" ht="15" customHeight="1" x14ac:dyDescent="0.2">
      <c r="A140" s="46">
        <f t="shared" si="2"/>
        <v>138</v>
      </c>
      <c r="B140" s="45" t="str">
        <v>生食溶解液キットH（１）</v>
      </c>
      <c r="C140" s="34"/>
      <c r="D140" s="34"/>
      <c r="E140" s="35"/>
      <c r="F140" s="25"/>
      <c r="G140" s="25"/>
      <c r="H140" s="25"/>
      <c r="I140" s="25"/>
      <c r="J140" s="25"/>
      <c r="K140" s="25"/>
      <c r="L140" s="55"/>
      <c r="M140" s="34"/>
      <c r="N140" s="50"/>
    </row>
    <row r="141" spans="1:14" ht="15" customHeight="1" x14ac:dyDescent="0.2">
      <c r="A141" s="46">
        <f t="shared" si="2"/>
        <v>139</v>
      </c>
      <c r="B141" s="45" t="str">
        <v>生理食塩液「ＶＴＲＳ」100ｍｌ</v>
      </c>
      <c r="C141" s="34"/>
      <c r="D141" s="34"/>
      <c r="E141" s="35"/>
      <c r="F141" s="25"/>
      <c r="G141" s="25"/>
      <c r="H141" s="25"/>
      <c r="I141" s="25"/>
      <c r="J141" s="25"/>
      <c r="K141" s="25"/>
      <c r="L141" s="55"/>
      <c r="M141" s="34"/>
      <c r="N141" s="50"/>
    </row>
    <row r="142" spans="1:14" ht="15" customHeight="1" x14ac:dyDescent="0.2">
      <c r="A142" s="46">
        <f t="shared" si="2"/>
        <v>140</v>
      </c>
      <c r="B142" s="45" t="str">
        <v>生理食塩液「VTRS」20ｍｌ　　　　　　　　　　　　　</v>
      </c>
      <c r="C142" s="33"/>
      <c r="D142" s="33"/>
      <c r="E142" s="35"/>
      <c r="F142" s="25"/>
      <c r="G142" s="25"/>
      <c r="H142" s="25"/>
      <c r="I142" s="25"/>
      <c r="J142" s="25"/>
      <c r="K142" s="25"/>
      <c r="L142" s="55"/>
      <c r="M142" s="34"/>
      <c r="N142" s="50"/>
    </row>
    <row r="143" spans="1:14" ht="15" customHeight="1" x14ac:dyDescent="0.2">
      <c r="A143" s="46">
        <f t="shared" si="2"/>
        <v>141</v>
      </c>
      <c r="B143" s="45" t="str">
        <v>静注用キシロカイン２％</v>
      </c>
      <c r="C143" s="33"/>
      <c r="D143" s="33"/>
      <c r="E143" s="35"/>
      <c r="F143" s="25"/>
      <c r="G143" s="25"/>
      <c r="H143" s="25"/>
      <c r="I143" s="25"/>
      <c r="J143" s="25"/>
      <c r="K143" s="25"/>
      <c r="L143" s="55"/>
      <c r="M143" s="34"/>
      <c r="N143" s="50"/>
    </row>
    <row r="144" spans="1:14" ht="15" customHeight="1" x14ac:dyDescent="0.2">
      <c r="A144" s="46">
        <f t="shared" si="2"/>
        <v>142</v>
      </c>
      <c r="B144" s="44" t="str">
        <v>大塚生食注　　プラ細口　　　　　　　　　　　　　</v>
      </c>
      <c r="C144" s="33"/>
      <c r="D144" s="33"/>
      <c r="E144" s="32"/>
      <c r="F144" s="25"/>
      <c r="G144" s="25"/>
      <c r="H144" s="25"/>
      <c r="I144" s="25"/>
      <c r="J144" s="25"/>
      <c r="K144" s="25"/>
      <c r="L144" s="55"/>
      <c r="M144" s="34"/>
      <c r="N144" s="50"/>
    </row>
    <row r="145" spans="1:14" ht="15" customHeight="1" x14ac:dyDescent="0.2">
      <c r="A145" s="46">
        <f t="shared" si="2"/>
        <v>143</v>
      </c>
      <c r="B145" s="58" t="str">
        <v>大塚生食注　ソフトバッグ　　　　　　　　　　　　　　　</v>
      </c>
      <c r="C145" s="33"/>
      <c r="D145" s="33"/>
      <c r="E145" s="35"/>
      <c r="F145" s="25"/>
      <c r="G145" s="25"/>
      <c r="H145" s="25"/>
      <c r="I145" s="25"/>
      <c r="J145" s="25"/>
      <c r="K145" s="25"/>
      <c r="L145" s="55"/>
      <c r="M145" s="34"/>
      <c r="N145" s="50"/>
    </row>
    <row r="146" spans="1:14" ht="15" customHeight="1" x14ac:dyDescent="0.2">
      <c r="A146" s="46">
        <f t="shared" si="2"/>
        <v>144</v>
      </c>
      <c r="B146" s="45" t="str">
        <v>大塚糖液５％　　　　　　　　　　　　　</v>
      </c>
      <c r="C146" s="33"/>
      <c r="D146" s="33"/>
      <c r="E146" s="35"/>
      <c r="F146" s="25"/>
      <c r="G146" s="25"/>
      <c r="H146" s="25"/>
      <c r="I146" s="25"/>
      <c r="J146" s="25"/>
      <c r="K146" s="25"/>
      <c r="L146" s="55"/>
      <c r="M146" s="34"/>
      <c r="N146" s="50"/>
    </row>
    <row r="147" spans="1:14" ht="15" customHeight="1" x14ac:dyDescent="0.2">
      <c r="A147" s="46">
        <f t="shared" si="2"/>
        <v>145</v>
      </c>
      <c r="B147" s="45" t="str">
        <v>大塚糖液５％　　　　　　　　　　　　　</v>
      </c>
      <c r="C147" s="34"/>
      <c r="D147" s="34"/>
      <c r="E147" s="35"/>
      <c r="F147" s="25"/>
      <c r="G147" s="25"/>
      <c r="H147" s="25"/>
      <c r="I147" s="25"/>
      <c r="J147" s="25"/>
      <c r="K147" s="25"/>
      <c r="L147" s="55"/>
      <c r="M147" s="34"/>
      <c r="N147" s="50"/>
    </row>
    <row r="148" spans="1:14" ht="15" customHeight="1" x14ac:dyDescent="0.2">
      <c r="A148" s="46">
        <f t="shared" si="2"/>
        <v>146</v>
      </c>
      <c r="B148" s="45" t="str">
        <v>注射用水ＰＬ「フソー」100ｍｌ（スタンタフル）　　　　　　</v>
      </c>
      <c r="C148" s="34"/>
      <c r="D148" s="34"/>
      <c r="E148" s="35"/>
      <c r="F148" s="25"/>
      <c r="G148" s="25"/>
      <c r="H148" s="25"/>
      <c r="I148" s="25"/>
      <c r="J148" s="25"/>
      <c r="K148" s="25"/>
      <c r="L148" s="55"/>
      <c r="M148" s="34"/>
      <c r="N148" s="50"/>
    </row>
    <row r="149" spans="1:14" ht="15" customHeight="1" x14ac:dyDescent="0.2">
      <c r="A149" s="46">
        <f t="shared" si="2"/>
        <v>147</v>
      </c>
      <c r="B149" s="45" t="str">
        <v>注射用水ＰＬ「フソー」20ｍｌ（スノープル）　　　　　　</v>
      </c>
      <c r="C149" s="33"/>
      <c r="D149" s="33"/>
      <c r="E149" s="35"/>
      <c r="F149" s="25"/>
      <c r="G149" s="25"/>
      <c r="H149" s="25"/>
      <c r="I149" s="25"/>
      <c r="J149" s="25"/>
      <c r="K149" s="25"/>
      <c r="L149" s="55"/>
      <c r="M149" s="34"/>
      <c r="N149" s="50"/>
    </row>
    <row r="150" spans="1:14" ht="15" customHeight="1" x14ac:dyDescent="0.2">
      <c r="A150" s="46">
        <f t="shared" si="2"/>
        <v>148</v>
      </c>
      <c r="B150" s="43"/>
      <c r="C150" s="16"/>
      <c r="D150" s="16"/>
      <c r="E150" s="20"/>
      <c r="F150" s="19"/>
      <c r="G150" s="19"/>
      <c r="H150" s="19"/>
      <c r="I150" s="19"/>
      <c r="J150" s="19"/>
      <c r="K150" s="19"/>
      <c r="L150" s="46"/>
      <c r="M150" s="14"/>
      <c r="N150" s="18"/>
    </row>
    <row r="151" spans="1:14" ht="15" customHeight="1" x14ac:dyDescent="0.2">
      <c r="A151" s="46">
        <f t="shared" si="2"/>
        <v>149</v>
      </c>
      <c r="B151" s="43"/>
      <c r="C151" s="16"/>
      <c r="D151" s="16"/>
      <c r="E151" s="20"/>
      <c r="F151" s="19"/>
      <c r="G151" s="19"/>
      <c r="H151" s="19"/>
      <c r="I151" s="19"/>
      <c r="J151" s="19"/>
      <c r="K151" s="19"/>
      <c r="L151" s="46"/>
      <c r="M151" s="14"/>
      <c r="N151" s="18"/>
    </row>
    <row r="152" spans="1:14" ht="15" customHeight="1" x14ac:dyDescent="0.2">
      <c r="A152" s="46">
        <f t="shared" si="2"/>
        <v>150</v>
      </c>
      <c r="B152" s="43"/>
      <c r="C152" s="16"/>
      <c r="D152" s="16"/>
      <c r="E152" s="20"/>
      <c r="F152" s="19"/>
      <c r="G152" s="19"/>
      <c r="H152" s="19"/>
      <c r="I152" s="19"/>
      <c r="J152" s="19"/>
      <c r="K152" s="19"/>
      <c r="L152" s="46"/>
      <c r="M152" s="14"/>
      <c r="N152" s="18"/>
    </row>
    <row r="153" spans="1:14" ht="15" customHeight="1" x14ac:dyDescent="0.2">
      <c r="A153" s="46">
        <f t="shared" si="2"/>
        <v>151</v>
      </c>
      <c r="B153" s="43"/>
      <c r="C153" s="16"/>
      <c r="D153" s="16"/>
      <c r="E153" s="20"/>
      <c r="F153" s="19"/>
      <c r="G153" s="19"/>
      <c r="H153" s="19"/>
      <c r="I153" s="19"/>
      <c r="J153" s="19"/>
      <c r="K153" s="19"/>
      <c r="L153" s="46"/>
      <c r="M153" s="14"/>
      <c r="N153" s="18"/>
    </row>
    <row r="154" spans="1:14" ht="15" customHeight="1" x14ac:dyDescent="0.2">
      <c r="A154" s="46">
        <f t="shared" si="2"/>
        <v>152</v>
      </c>
      <c r="B154" s="43"/>
      <c r="C154" s="16"/>
      <c r="D154" s="16"/>
      <c r="E154" s="20"/>
      <c r="F154" s="19"/>
      <c r="G154" s="19"/>
      <c r="H154" s="19"/>
      <c r="I154" s="19"/>
      <c r="J154" s="19"/>
      <c r="K154" s="19"/>
      <c r="L154" s="46"/>
      <c r="M154" s="14"/>
      <c r="N154" s="18"/>
    </row>
    <row r="155" spans="1:14" ht="15" customHeight="1" x14ac:dyDescent="0.2">
      <c r="A155" s="46">
        <f t="shared" si="2"/>
        <v>153</v>
      </c>
      <c r="B155" s="43"/>
      <c r="C155" s="16"/>
      <c r="D155" s="16"/>
      <c r="E155" s="20"/>
      <c r="F155" s="19"/>
      <c r="G155" s="19"/>
      <c r="H155" s="19"/>
      <c r="I155" s="19"/>
      <c r="J155" s="19"/>
      <c r="K155" s="19"/>
      <c r="L155" s="46"/>
      <c r="M155" s="14"/>
      <c r="N155" s="18"/>
    </row>
    <row r="156" spans="1:14" ht="15" customHeight="1" x14ac:dyDescent="0.2">
      <c r="A156" s="46">
        <f t="shared" si="2"/>
        <v>154</v>
      </c>
      <c r="B156" s="43"/>
      <c r="C156" s="16"/>
      <c r="D156" s="16"/>
      <c r="E156" s="20"/>
      <c r="F156" s="19"/>
      <c r="G156" s="19"/>
      <c r="H156" s="19"/>
      <c r="I156" s="19"/>
      <c r="J156" s="19"/>
      <c r="K156" s="19"/>
      <c r="L156" s="46"/>
      <c r="M156" s="14"/>
      <c r="N156" s="18"/>
    </row>
    <row r="157" spans="1:14" ht="15" customHeight="1" x14ac:dyDescent="0.2">
      <c r="A157" s="46">
        <f t="shared" si="2"/>
        <v>155</v>
      </c>
      <c r="B157" s="19"/>
      <c r="C157" s="16"/>
      <c r="D157" s="16"/>
      <c r="E157" s="20"/>
      <c r="F157" s="19"/>
      <c r="G157" s="19"/>
      <c r="H157" s="19"/>
      <c r="I157" s="19"/>
      <c r="J157" s="19"/>
      <c r="K157" s="19"/>
      <c r="L157" s="46"/>
      <c r="M157" s="14"/>
      <c r="N157" s="18"/>
    </row>
    <row r="158" spans="1:14" ht="15" customHeight="1" x14ac:dyDescent="0.2">
      <c r="A158" s="46">
        <f t="shared" si="2"/>
        <v>156</v>
      </c>
      <c r="B158" s="19"/>
      <c r="C158" s="16"/>
      <c r="D158" s="16"/>
      <c r="E158" s="20"/>
      <c r="F158" s="19"/>
      <c r="G158" s="19"/>
      <c r="H158" s="19"/>
      <c r="I158" s="19"/>
      <c r="J158" s="19"/>
      <c r="K158" s="19"/>
      <c r="L158" s="46"/>
      <c r="M158" s="14"/>
      <c r="N158" s="18"/>
    </row>
    <row r="159" spans="1:14" ht="15" customHeight="1" x14ac:dyDescent="0.2">
      <c r="A159" s="46">
        <f t="shared" si="2"/>
        <v>157</v>
      </c>
      <c r="B159" s="19"/>
      <c r="C159" s="16"/>
      <c r="D159" s="16"/>
      <c r="E159" s="20"/>
      <c r="F159" s="19"/>
      <c r="G159" s="19"/>
      <c r="H159" s="19"/>
      <c r="I159" s="19"/>
      <c r="J159" s="19"/>
      <c r="K159" s="19"/>
      <c r="L159" s="46"/>
      <c r="M159" s="14"/>
      <c r="N159" s="18"/>
    </row>
    <row r="160" spans="1:14" ht="15" customHeight="1" x14ac:dyDescent="0.2">
      <c r="A160" s="46">
        <f t="shared" si="2"/>
        <v>158</v>
      </c>
      <c r="B160" s="19"/>
      <c r="C160" s="16"/>
      <c r="D160" s="16"/>
      <c r="E160" s="20"/>
      <c r="F160" s="19"/>
      <c r="G160" s="19"/>
      <c r="H160" s="19"/>
      <c r="I160" s="19"/>
      <c r="J160" s="19"/>
      <c r="K160" s="19"/>
      <c r="L160" s="46"/>
      <c r="M160" s="14"/>
      <c r="N160" s="18"/>
    </row>
    <row r="161" spans="1:14" ht="15" customHeight="1" x14ac:dyDescent="0.2">
      <c r="A161" s="46">
        <f t="shared" si="2"/>
        <v>159</v>
      </c>
      <c r="B161" s="19"/>
      <c r="C161" s="16"/>
      <c r="D161" s="16"/>
      <c r="E161" s="20"/>
      <c r="F161" s="19"/>
      <c r="G161" s="19"/>
      <c r="H161" s="19"/>
      <c r="I161" s="19"/>
      <c r="J161" s="19"/>
      <c r="K161" s="19"/>
      <c r="L161" s="46"/>
      <c r="M161" s="14"/>
      <c r="N161" s="18"/>
    </row>
    <row r="162" spans="1:14" ht="15" customHeight="1" x14ac:dyDescent="0.2">
      <c r="A162" s="46">
        <f t="shared" si="2"/>
        <v>160</v>
      </c>
      <c r="B162" s="19"/>
      <c r="C162" s="16"/>
      <c r="D162" s="16"/>
      <c r="E162" s="20"/>
      <c r="F162" s="19"/>
      <c r="G162" s="19"/>
      <c r="H162" s="19"/>
      <c r="I162" s="19"/>
      <c r="J162" s="19"/>
      <c r="K162" s="19"/>
      <c r="L162" s="46"/>
      <c r="M162" s="14"/>
      <c r="N162" s="18"/>
    </row>
    <row r="163" spans="1:14" ht="15" customHeight="1" x14ac:dyDescent="0.2">
      <c r="A163" s="46">
        <f t="shared" si="2"/>
        <v>161</v>
      </c>
      <c r="B163" s="19"/>
      <c r="C163" s="16"/>
      <c r="D163" s="16"/>
      <c r="E163" s="20"/>
      <c r="F163" s="19"/>
      <c r="G163" s="19"/>
      <c r="H163" s="19"/>
      <c r="I163" s="19"/>
      <c r="J163" s="19"/>
      <c r="K163" s="19"/>
      <c r="L163" s="46"/>
      <c r="M163" s="14"/>
      <c r="N163" s="18"/>
    </row>
    <row r="164" spans="1:14" ht="15" customHeight="1" x14ac:dyDescent="0.2">
      <c r="A164" s="46">
        <f t="shared" si="2"/>
        <v>162</v>
      </c>
      <c r="B164" s="19"/>
      <c r="C164" s="16"/>
      <c r="D164" s="16"/>
      <c r="E164" s="20"/>
      <c r="F164" s="19"/>
      <c r="G164" s="19"/>
      <c r="H164" s="19"/>
      <c r="I164" s="19"/>
      <c r="J164" s="19"/>
      <c r="K164" s="19"/>
      <c r="L164" s="46"/>
      <c r="M164" s="14"/>
      <c r="N164" s="18"/>
    </row>
    <row r="165" spans="1:14" ht="15" customHeight="1" x14ac:dyDescent="0.2">
      <c r="A165" s="46">
        <f t="shared" si="2"/>
        <v>163</v>
      </c>
      <c r="B165" s="19"/>
      <c r="C165" s="16"/>
      <c r="D165" s="16"/>
      <c r="E165" s="20"/>
      <c r="F165" s="19"/>
      <c r="G165" s="19"/>
      <c r="H165" s="19"/>
      <c r="I165" s="19"/>
      <c r="J165" s="19"/>
      <c r="K165" s="19"/>
      <c r="L165" s="46"/>
      <c r="M165" s="14"/>
      <c r="N165" s="18"/>
    </row>
    <row r="166" spans="1:14" ht="15" customHeight="1" x14ac:dyDescent="0.2">
      <c r="A166" s="46">
        <f t="shared" si="2"/>
        <v>164</v>
      </c>
      <c r="B166" s="19"/>
      <c r="C166" s="16"/>
      <c r="D166" s="16"/>
      <c r="E166" s="20"/>
      <c r="F166" s="19"/>
      <c r="G166" s="19"/>
      <c r="H166" s="19"/>
      <c r="I166" s="19"/>
      <c r="J166" s="19"/>
      <c r="K166" s="19"/>
      <c r="L166" s="46"/>
      <c r="M166" s="14"/>
      <c r="N166" s="18"/>
    </row>
    <row r="167" spans="1:14" ht="15" customHeight="1" x14ac:dyDescent="0.2">
      <c r="A167" s="46">
        <f t="shared" si="2"/>
        <v>165</v>
      </c>
      <c r="B167" s="19"/>
      <c r="C167" s="16"/>
      <c r="D167" s="16"/>
      <c r="E167" s="20"/>
      <c r="F167" s="19"/>
      <c r="G167" s="19"/>
      <c r="H167" s="19"/>
      <c r="I167" s="19"/>
      <c r="J167" s="19"/>
      <c r="K167" s="19"/>
      <c r="L167" s="46"/>
      <c r="M167" s="14"/>
      <c r="N167" s="18"/>
    </row>
    <row r="168" spans="1:14" ht="15" customHeight="1" x14ac:dyDescent="0.2">
      <c r="A168" s="46">
        <f t="shared" si="2"/>
        <v>166</v>
      </c>
      <c r="B168" s="19"/>
      <c r="C168" s="16"/>
      <c r="D168" s="16"/>
      <c r="E168" s="20"/>
      <c r="F168" s="19"/>
      <c r="G168" s="19"/>
      <c r="H168" s="19"/>
      <c r="I168" s="19"/>
      <c r="J168" s="19"/>
      <c r="K168" s="19"/>
      <c r="L168" s="46"/>
      <c r="M168" s="14"/>
      <c r="N168" s="18"/>
    </row>
    <row r="169" spans="1:14" ht="15" customHeight="1" x14ac:dyDescent="0.2">
      <c r="A169" s="46">
        <f t="shared" si="2"/>
        <v>167</v>
      </c>
      <c r="B169" s="19"/>
      <c r="C169" s="16"/>
      <c r="D169" s="16"/>
      <c r="E169" s="20"/>
      <c r="F169" s="19"/>
      <c r="G169" s="19"/>
      <c r="H169" s="19"/>
      <c r="I169" s="19"/>
      <c r="J169" s="19"/>
      <c r="K169" s="19"/>
      <c r="L169" s="46"/>
      <c r="M169" s="14"/>
      <c r="N169" s="18"/>
    </row>
    <row r="170" spans="1:14" ht="15" customHeight="1" x14ac:dyDescent="0.2">
      <c r="A170" s="46">
        <f t="shared" si="2"/>
        <v>168</v>
      </c>
      <c r="B170" s="19"/>
      <c r="C170" s="16"/>
      <c r="D170" s="16"/>
      <c r="E170" s="20"/>
      <c r="F170" s="19"/>
      <c r="G170" s="19"/>
      <c r="H170" s="19"/>
      <c r="I170" s="19"/>
      <c r="J170" s="19"/>
      <c r="K170" s="19"/>
      <c r="L170" s="46"/>
      <c r="M170" s="14"/>
      <c r="N170" s="18"/>
    </row>
    <row r="171" spans="1:14" ht="15" customHeight="1" x14ac:dyDescent="0.2">
      <c r="A171" s="46">
        <f t="shared" si="2"/>
        <v>169</v>
      </c>
      <c r="B171" s="19"/>
      <c r="C171" s="16"/>
      <c r="D171" s="16"/>
      <c r="E171" s="20"/>
      <c r="F171" s="19"/>
      <c r="G171" s="19"/>
      <c r="H171" s="19"/>
      <c r="I171" s="19"/>
      <c r="J171" s="19"/>
      <c r="K171" s="19"/>
      <c r="L171" s="46"/>
      <c r="M171" s="14"/>
      <c r="N171" s="18"/>
    </row>
    <row r="172" spans="1:14" ht="15" customHeight="1" x14ac:dyDescent="0.2">
      <c r="A172" s="46">
        <f t="shared" si="2"/>
        <v>170</v>
      </c>
      <c r="B172" s="19"/>
      <c r="C172" s="16"/>
      <c r="D172" s="16"/>
      <c r="E172" s="20"/>
      <c r="F172" s="19"/>
      <c r="G172" s="19"/>
      <c r="H172" s="19"/>
      <c r="I172" s="19"/>
      <c r="J172" s="19"/>
      <c r="K172" s="19"/>
      <c r="L172" s="46"/>
      <c r="M172" s="14"/>
      <c r="N172" s="18"/>
    </row>
    <row r="173" spans="1:14" ht="15" customHeight="1" x14ac:dyDescent="0.2">
      <c r="A173" s="46">
        <f t="shared" si="2"/>
        <v>171</v>
      </c>
      <c r="B173" s="19"/>
      <c r="C173" s="16"/>
      <c r="D173" s="16"/>
      <c r="E173" s="20"/>
      <c r="F173" s="19"/>
      <c r="G173" s="19"/>
      <c r="H173" s="19"/>
      <c r="I173" s="19"/>
      <c r="J173" s="19"/>
      <c r="K173" s="19"/>
      <c r="L173" s="46"/>
      <c r="M173" s="14"/>
      <c r="N173" s="18"/>
    </row>
    <row r="174" spans="1:14" ht="15" customHeight="1" x14ac:dyDescent="0.2">
      <c r="A174" s="46">
        <f t="shared" si="2"/>
        <v>172</v>
      </c>
      <c r="B174" s="19"/>
      <c r="C174" s="16"/>
      <c r="D174" s="16"/>
      <c r="E174" s="20"/>
      <c r="F174" s="19"/>
      <c r="G174" s="19"/>
      <c r="H174" s="19"/>
      <c r="I174" s="19"/>
      <c r="J174" s="19"/>
      <c r="K174" s="19"/>
      <c r="L174" s="46"/>
      <c r="M174" s="14"/>
      <c r="N174" s="18"/>
    </row>
    <row r="175" spans="1:14" ht="15" customHeight="1" x14ac:dyDescent="0.2">
      <c r="A175" s="46">
        <f t="shared" si="2"/>
        <v>173</v>
      </c>
      <c r="B175" s="19"/>
      <c r="C175" s="16"/>
      <c r="D175" s="16"/>
      <c r="E175" s="20"/>
      <c r="F175" s="19"/>
      <c r="G175" s="19"/>
      <c r="H175" s="19"/>
      <c r="I175" s="19"/>
      <c r="J175" s="19"/>
      <c r="K175" s="19"/>
      <c r="L175" s="46"/>
      <c r="M175" s="14"/>
      <c r="N175" s="18"/>
    </row>
    <row r="176" spans="1:14" ht="15" customHeight="1" x14ac:dyDescent="0.2">
      <c r="A176" s="46">
        <f t="shared" si="2"/>
        <v>174</v>
      </c>
      <c r="B176" s="19"/>
      <c r="C176" s="16"/>
      <c r="D176" s="16"/>
      <c r="E176" s="20"/>
      <c r="F176" s="19"/>
      <c r="G176" s="19"/>
      <c r="H176" s="19"/>
      <c r="I176" s="19"/>
      <c r="J176" s="19"/>
      <c r="K176" s="19"/>
      <c r="L176" s="46"/>
      <c r="M176" s="14"/>
      <c r="N176" s="18"/>
    </row>
    <row r="177" spans="1:14" ht="15" customHeight="1" x14ac:dyDescent="0.2">
      <c r="A177" s="46">
        <f t="shared" si="2"/>
        <v>175</v>
      </c>
      <c r="B177" s="19"/>
      <c r="C177" s="16"/>
      <c r="D177" s="16"/>
      <c r="E177" s="20"/>
      <c r="F177" s="19"/>
      <c r="G177" s="19"/>
      <c r="H177" s="19"/>
      <c r="I177" s="19"/>
      <c r="J177" s="19"/>
      <c r="K177" s="19"/>
      <c r="L177" s="46"/>
      <c r="M177" s="14"/>
      <c r="N177" s="18"/>
    </row>
    <row r="178" spans="1:14" ht="15" customHeight="1" x14ac:dyDescent="0.2">
      <c r="A178" s="46">
        <f t="shared" si="2"/>
        <v>176</v>
      </c>
      <c r="B178" s="19"/>
      <c r="C178" s="16"/>
      <c r="D178" s="16"/>
      <c r="E178" s="20"/>
      <c r="F178" s="19"/>
      <c r="G178" s="19"/>
      <c r="H178" s="19"/>
      <c r="I178" s="19"/>
      <c r="J178" s="19"/>
      <c r="K178" s="19"/>
      <c r="L178" s="46"/>
      <c r="M178" s="14"/>
      <c r="N178" s="18"/>
    </row>
    <row r="179" spans="1:14" ht="15" customHeight="1" x14ac:dyDescent="0.2">
      <c r="A179" s="46">
        <f t="shared" si="2"/>
        <v>177</v>
      </c>
      <c r="B179" s="19"/>
      <c r="C179" s="16"/>
      <c r="D179" s="16"/>
      <c r="E179" s="20"/>
      <c r="F179" s="19"/>
      <c r="G179" s="19"/>
      <c r="H179" s="19"/>
      <c r="I179" s="19"/>
      <c r="J179" s="19"/>
      <c r="K179" s="19"/>
      <c r="L179" s="46"/>
      <c r="M179" s="14"/>
      <c r="N179" s="18"/>
    </row>
    <row r="180" spans="1:14" ht="15" customHeight="1" x14ac:dyDescent="0.2">
      <c r="A180" s="46">
        <f t="shared" si="2"/>
        <v>178</v>
      </c>
      <c r="B180" s="19"/>
      <c r="C180" s="16"/>
      <c r="D180" s="16"/>
      <c r="E180" s="20"/>
      <c r="F180" s="19"/>
      <c r="G180" s="19"/>
      <c r="H180" s="19"/>
      <c r="I180" s="19"/>
      <c r="J180" s="19"/>
      <c r="K180" s="19"/>
      <c r="L180" s="46"/>
      <c r="M180" s="14"/>
      <c r="N180" s="18"/>
    </row>
    <row r="181" spans="1:14" ht="15" customHeight="1" x14ac:dyDescent="0.2">
      <c r="A181" s="46">
        <f t="shared" si="2"/>
        <v>179</v>
      </c>
      <c r="B181" s="19"/>
      <c r="C181" s="16"/>
      <c r="D181" s="16"/>
      <c r="E181" s="20"/>
      <c r="F181" s="19"/>
      <c r="G181" s="19"/>
      <c r="H181" s="19"/>
      <c r="I181" s="19"/>
      <c r="J181" s="19"/>
      <c r="K181" s="19"/>
      <c r="L181" s="46"/>
      <c r="M181" s="14"/>
      <c r="N181" s="18"/>
    </row>
    <row r="182" spans="1:14" ht="15" customHeight="1" x14ac:dyDescent="0.2">
      <c r="A182" s="46">
        <f t="shared" si="2"/>
        <v>180</v>
      </c>
      <c r="B182" s="19"/>
      <c r="C182" s="16"/>
      <c r="D182" s="16"/>
      <c r="E182" s="20"/>
      <c r="F182" s="19"/>
      <c r="G182" s="19"/>
      <c r="H182" s="19"/>
      <c r="I182" s="19"/>
      <c r="J182" s="19"/>
      <c r="K182" s="19"/>
      <c r="L182" s="46"/>
      <c r="M182" s="14"/>
      <c r="N182" s="18"/>
    </row>
    <row r="183" spans="1:14" ht="15" customHeight="1" x14ac:dyDescent="0.2">
      <c r="A183" s="46">
        <f t="shared" si="2"/>
        <v>181</v>
      </c>
      <c r="B183" s="19"/>
      <c r="C183" s="16"/>
      <c r="D183" s="16"/>
      <c r="E183" s="20"/>
      <c r="F183" s="19"/>
      <c r="G183" s="19"/>
      <c r="H183" s="19"/>
      <c r="I183" s="19"/>
      <c r="J183" s="19"/>
      <c r="K183" s="19"/>
      <c r="L183" s="46"/>
      <c r="M183" s="14"/>
      <c r="N183" s="18"/>
    </row>
    <row r="184" spans="1:14" ht="15" customHeight="1" x14ac:dyDescent="0.2">
      <c r="A184" s="46">
        <f t="shared" si="2"/>
        <v>182</v>
      </c>
      <c r="B184" s="19"/>
      <c r="C184" s="16"/>
      <c r="D184" s="16"/>
      <c r="E184" s="20"/>
      <c r="F184" s="19"/>
      <c r="G184" s="19"/>
      <c r="H184" s="19"/>
      <c r="I184" s="19"/>
      <c r="J184" s="19"/>
      <c r="K184" s="19"/>
      <c r="L184" s="46"/>
      <c r="M184" s="14"/>
      <c r="N184" s="18"/>
    </row>
    <row r="185" spans="1:14" ht="15" customHeight="1" x14ac:dyDescent="0.2">
      <c r="A185" s="46">
        <f t="shared" si="2"/>
        <v>183</v>
      </c>
      <c r="B185" s="19"/>
      <c r="C185" s="16"/>
      <c r="D185" s="16"/>
      <c r="E185" s="20"/>
      <c r="F185" s="19"/>
      <c r="G185" s="19"/>
      <c r="H185" s="19"/>
      <c r="I185" s="19"/>
      <c r="J185" s="19"/>
      <c r="K185" s="19"/>
      <c r="L185" s="46"/>
      <c r="M185" s="14"/>
      <c r="N185" s="18"/>
    </row>
    <row r="186" spans="1:14" ht="15" customHeight="1" x14ac:dyDescent="0.2">
      <c r="A186" s="46">
        <f t="shared" si="2"/>
        <v>184</v>
      </c>
      <c r="B186" s="19"/>
      <c r="C186" s="16"/>
      <c r="D186" s="16"/>
      <c r="E186" s="20"/>
      <c r="F186" s="19"/>
      <c r="G186" s="19"/>
      <c r="H186" s="19"/>
      <c r="I186" s="19"/>
      <c r="J186" s="19"/>
      <c r="K186" s="19"/>
      <c r="L186" s="46"/>
      <c r="M186" s="14"/>
      <c r="N186" s="18"/>
    </row>
    <row r="187" spans="1:14" ht="15" customHeight="1" x14ac:dyDescent="0.2">
      <c r="A187" s="46">
        <f t="shared" si="2"/>
        <v>185</v>
      </c>
      <c r="B187" s="19"/>
      <c r="C187" s="16"/>
      <c r="D187" s="16"/>
      <c r="E187" s="20"/>
      <c r="F187" s="19"/>
      <c r="G187" s="19"/>
      <c r="H187" s="19"/>
      <c r="I187" s="19"/>
      <c r="J187" s="19"/>
      <c r="K187" s="19"/>
      <c r="L187" s="46"/>
      <c r="M187" s="14"/>
      <c r="N187" s="18"/>
    </row>
    <row r="188" spans="1:14" ht="15" customHeight="1" x14ac:dyDescent="0.2">
      <c r="A188" s="46">
        <f t="shared" si="2"/>
        <v>186</v>
      </c>
      <c r="B188" s="19"/>
      <c r="C188" s="16"/>
      <c r="D188" s="16"/>
      <c r="E188" s="20"/>
      <c r="F188" s="19"/>
      <c r="G188" s="19"/>
      <c r="H188" s="19"/>
      <c r="I188" s="19"/>
      <c r="J188" s="19"/>
      <c r="K188" s="19"/>
      <c r="L188" s="46"/>
      <c r="M188" s="14"/>
      <c r="N188" s="18"/>
    </row>
    <row r="189" spans="1:14" ht="15" customHeight="1" x14ac:dyDescent="0.2">
      <c r="A189" s="46">
        <f t="shared" si="2"/>
        <v>187</v>
      </c>
      <c r="B189" s="19"/>
      <c r="C189" s="16"/>
      <c r="D189" s="16"/>
      <c r="E189" s="20"/>
      <c r="F189" s="19"/>
      <c r="G189" s="19"/>
      <c r="H189" s="19"/>
      <c r="I189" s="19"/>
      <c r="J189" s="19"/>
      <c r="K189" s="19"/>
      <c r="L189" s="46"/>
      <c r="M189" s="14"/>
      <c r="N189" s="18"/>
    </row>
    <row r="190" spans="1:14" ht="15" customHeight="1" x14ac:dyDescent="0.2">
      <c r="A190" s="46">
        <f t="shared" si="2"/>
        <v>188</v>
      </c>
      <c r="B190" s="19"/>
      <c r="C190" s="16"/>
      <c r="D190" s="16"/>
      <c r="E190" s="20"/>
      <c r="F190" s="19"/>
      <c r="G190" s="19"/>
      <c r="H190" s="19"/>
      <c r="I190" s="19"/>
      <c r="J190" s="19"/>
      <c r="K190" s="19"/>
      <c r="L190" s="46"/>
      <c r="M190" s="14"/>
      <c r="N190" s="18"/>
    </row>
    <row r="191" spans="1:14" ht="15" customHeight="1" x14ac:dyDescent="0.2">
      <c r="A191" s="46">
        <f t="shared" si="2"/>
        <v>189</v>
      </c>
      <c r="B191" s="19"/>
      <c r="C191" s="16"/>
      <c r="D191" s="16"/>
      <c r="E191" s="20"/>
      <c r="F191" s="19"/>
      <c r="G191" s="19"/>
      <c r="H191" s="19"/>
      <c r="I191" s="19"/>
      <c r="J191" s="19"/>
      <c r="K191" s="19"/>
      <c r="L191" s="46"/>
      <c r="M191" s="14"/>
      <c r="N191" s="18"/>
    </row>
    <row r="192" spans="1:14" ht="15" customHeight="1" x14ac:dyDescent="0.2">
      <c r="A192" s="46">
        <f t="shared" si="2"/>
        <v>190</v>
      </c>
      <c r="B192" s="19"/>
      <c r="C192" s="16"/>
      <c r="D192" s="16"/>
      <c r="E192" s="20"/>
      <c r="F192" s="19"/>
      <c r="G192" s="19"/>
      <c r="H192" s="19"/>
      <c r="I192" s="19"/>
      <c r="J192" s="19"/>
      <c r="K192" s="19"/>
      <c r="L192" s="46"/>
      <c r="M192" s="14"/>
      <c r="N192" s="18"/>
    </row>
    <row r="193" spans="1:14" ht="15" customHeight="1" x14ac:dyDescent="0.2">
      <c r="A193" s="46">
        <f t="shared" si="2"/>
        <v>191</v>
      </c>
      <c r="B193" s="19"/>
      <c r="C193" s="16"/>
      <c r="D193" s="16"/>
      <c r="E193" s="20"/>
      <c r="F193" s="19"/>
      <c r="G193" s="19"/>
      <c r="H193" s="19"/>
      <c r="I193" s="19"/>
      <c r="J193" s="19"/>
      <c r="K193" s="19"/>
      <c r="L193" s="46"/>
      <c r="M193" s="14"/>
      <c r="N193" s="18"/>
    </row>
    <row r="194" spans="1:14" ht="15" customHeight="1" x14ac:dyDescent="0.2">
      <c r="A194" s="46">
        <f t="shared" si="2"/>
        <v>192</v>
      </c>
      <c r="B194" s="19"/>
      <c r="C194" s="16"/>
      <c r="D194" s="16"/>
      <c r="E194" s="20"/>
      <c r="F194" s="19"/>
      <c r="G194" s="19"/>
      <c r="H194" s="19"/>
      <c r="I194" s="19"/>
      <c r="J194" s="19"/>
      <c r="K194" s="19"/>
      <c r="L194" s="46"/>
      <c r="M194" s="14"/>
      <c r="N194" s="18"/>
    </row>
    <row r="195" spans="1:14" ht="15" customHeight="1" x14ac:dyDescent="0.2">
      <c r="A195" s="46">
        <f t="shared" si="2"/>
        <v>193</v>
      </c>
      <c r="B195" s="19"/>
      <c r="C195" s="16"/>
      <c r="D195" s="16"/>
      <c r="E195" s="20"/>
      <c r="F195" s="19"/>
      <c r="G195" s="19"/>
      <c r="H195" s="19"/>
      <c r="I195" s="19"/>
      <c r="J195" s="19"/>
      <c r="K195" s="19"/>
      <c r="L195" s="46"/>
      <c r="M195" s="14"/>
      <c r="N195" s="18"/>
    </row>
    <row r="196" spans="1:14" ht="15" customHeight="1" x14ac:dyDescent="0.2">
      <c r="A196" s="46">
        <f t="shared" si="2"/>
        <v>194</v>
      </c>
      <c r="B196" s="19"/>
      <c r="C196" s="16"/>
      <c r="D196" s="16"/>
      <c r="E196" s="20"/>
      <c r="F196" s="19"/>
      <c r="G196" s="19"/>
      <c r="H196" s="19"/>
      <c r="I196" s="19"/>
      <c r="J196" s="19"/>
      <c r="K196" s="19"/>
      <c r="L196" s="46"/>
      <c r="M196" s="14"/>
      <c r="N196" s="18"/>
    </row>
    <row r="197" spans="1:14" ht="15" customHeight="1" x14ac:dyDescent="0.2">
      <c r="A197" s="46">
        <f t="shared" ref="A197:A260" si="3">A196+1</f>
        <v>195</v>
      </c>
      <c r="B197" s="19"/>
      <c r="C197" s="16"/>
      <c r="D197" s="16"/>
      <c r="E197" s="20"/>
      <c r="F197" s="19"/>
      <c r="G197" s="19"/>
      <c r="H197" s="19"/>
      <c r="I197" s="19"/>
      <c r="J197" s="19"/>
      <c r="K197" s="19"/>
      <c r="L197" s="46"/>
      <c r="M197" s="14"/>
      <c r="N197" s="18"/>
    </row>
    <row r="198" spans="1:14" ht="15" customHeight="1" x14ac:dyDescent="0.2">
      <c r="A198" s="46">
        <f t="shared" si="3"/>
        <v>196</v>
      </c>
      <c r="B198" s="19"/>
      <c r="C198" s="16"/>
      <c r="D198" s="16"/>
      <c r="E198" s="20"/>
      <c r="F198" s="19"/>
      <c r="G198" s="19"/>
      <c r="H198" s="19"/>
      <c r="I198" s="19"/>
      <c r="J198" s="19"/>
      <c r="K198" s="19"/>
      <c r="L198" s="46"/>
      <c r="M198" s="14"/>
      <c r="N198" s="18"/>
    </row>
    <row r="199" spans="1:14" ht="15" customHeight="1" x14ac:dyDescent="0.2">
      <c r="A199" s="46">
        <f t="shared" si="3"/>
        <v>197</v>
      </c>
      <c r="B199" s="19"/>
      <c r="C199" s="16"/>
      <c r="D199" s="16"/>
      <c r="E199" s="20"/>
      <c r="F199" s="19"/>
      <c r="G199" s="19"/>
      <c r="H199" s="19"/>
      <c r="I199" s="19"/>
      <c r="J199" s="19"/>
      <c r="K199" s="19"/>
      <c r="L199" s="46"/>
      <c r="M199" s="14"/>
      <c r="N199" s="18"/>
    </row>
    <row r="200" spans="1:14" ht="15" customHeight="1" x14ac:dyDescent="0.2">
      <c r="A200" s="46">
        <f t="shared" si="3"/>
        <v>198</v>
      </c>
      <c r="B200" s="19"/>
      <c r="C200" s="16"/>
      <c r="D200" s="16"/>
      <c r="E200" s="20"/>
      <c r="F200" s="19"/>
      <c r="G200" s="19"/>
      <c r="H200" s="19"/>
      <c r="I200" s="19"/>
      <c r="J200" s="19"/>
      <c r="K200" s="19"/>
      <c r="L200" s="46"/>
      <c r="M200" s="14"/>
      <c r="N200" s="18"/>
    </row>
    <row r="201" spans="1:14" ht="15" customHeight="1" x14ac:dyDescent="0.2">
      <c r="A201" s="46">
        <f t="shared" si="3"/>
        <v>199</v>
      </c>
      <c r="B201" s="19"/>
      <c r="C201" s="16"/>
      <c r="D201" s="16"/>
      <c r="E201" s="20"/>
      <c r="F201" s="19"/>
      <c r="G201" s="19"/>
      <c r="H201" s="19"/>
      <c r="I201" s="19"/>
      <c r="J201" s="19"/>
      <c r="K201" s="19"/>
      <c r="L201" s="46"/>
      <c r="M201" s="14"/>
      <c r="N201" s="18"/>
    </row>
    <row r="202" spans="1:14" ht="15" customHeight="1" x14ac:dyDescent="0.2">
      <c r="A202" s="46">
        <f t="shared" si="3"/>
        <v>200</v>
      </c>
      <c r="B202" s="19"/>
      <c r="C202" s="16"/>
      <c r="D202" s="16"/>
      <c r="E202" s="20"/>
      <c r="F202" s="19"/>
      <c r="G202" s="19"/>
      <c r="H202" s="19"/>
      <c r="I202" s="19"/>
      <c r="J202" s="19"/>
      <c r="K202" s="19"/>
      <c r="L202" s="46"/>
      <c r="M202" s="14"/>
      <c r="N202" s="18"/>
    </row>
    <row r="203" spans="1:14" ht="15" customHeight="1" x14ac:dyDescent="0.2">
      <c r="A203" s="46">
        <f t="shared" si="3"/>
        <v>201</v>
      </c>
      <c r="B203" s="19"/>
      <c r="C203" s="16"/>
      <c r="D203" s="16"/>
      <c r="E203" s="20"/>
      <c r="F203" s="19"/>
      <c r="G203" s="19"/>
      <c r="H203" s="19"/>
      <c r="I203" s="19"/>
      <c r="J203" s="19"/>
      <c r="K203" s="19"/>
      <c r="L203" s="46"/>
      <c r="M203" s="14"/>
      <c r="N203" s="18"/>
    </row>
    <row r="204" spans="1:14" ht="15" customHeight="1" x14ac:dyDescent="0.2">
      <c r="A204" s="46">
        <f t="shared" si="3"/>
        <v>202</v>
      </c>
      <c r="B204" s="19"/>
      <c r="C204" s="16"/>
      <c r="D204" s="16"/>
      <c r="E204" s="20"/>
      <c r="F204" s="19"/>
      <c r="G204" s="19"/>
      <c r="H204" s="19"/>
      <c r="I204" s="19"/>
      <c r="J204" s="19"/>
      <c r="K204" s="19"/>
      <c r="L204" s="46"/>
      <c r="M204" s="14"/>
      <c r="N204" s="18"/>
    </row>
    <row r="205" spans="1:14" ht="15" customHeight="1" x14ac:dyDescent="0.2">
      <c r="A205" s="46">
        <f t="shared" si="3"/>
        <v>203</v>
      </c>
      <c r="B205" s="19"/>
      <c r="C205" s="16"/>
      <c r="D205" s="16"/>
      <c r="E205" s="20"/>
      <c r="F205" s="19"/>
      <c r="G205" s="19"/>
      <c r="H205" s="19"/>
      <c r="I205" s="19"/>
      <c r="J205" s="19"/>
      <c r="K205" s="19"/>
      <c r="L205" s="46"/>
      <c r="M205" s="14"/>
      <c r="N205" s="18"/>
    </row>
    <row r="206" spans="1:14" ht="15" customHeight="1" x14ac:dyDescent="0.2">
      <c r="A206" s="46">
        <f t="shared" si="3"/>
        <v>204</v>
      </c>
      <c r="B206" s="19"/>
      <c r="C206" s="16"/>
      <c r="D206" s="16"/>
      <c r="E206" s="20"/>
      <c r="F206" s="19"/>
      <c r="G206" s="19"/>
      <c r="H206" s="19"/>
      <c r="I206" s="19"/>
      <c r="J206" s="19"/>
      <c r="K206" s="19"/>
      <c r="L206" s="46"/>
      <c r="M206" s="14"/>
      <c r="N206" s="18"/>
    </row>
    <row r="207" spans="1:14" ht="15" customHeight="1" x14ac:dyDescent="0.2">
      <c r="A207" s="46">
        <f t="shared" si="3"/>
        <v>205</v>
      </c>
      <c r="B207" s="19"/>
      <c r="C207" s="16"/>
      <c r="D207" s="16"/>
      <c r="E207" s="20"/>
      <c r="F207" s="19"/>
      <c r="G207" s="19"/>
      <c r="H207" s="19"/>
      <c r="I207" s="19"/>
      <c r="J207" s="19"/>
      <c r="K207" s="19"/>
      <c r="L207" s="46"/>
      <c r="M207" s="14"/>
      <c r="N207" s="18"/>
    </row>
    <row r="208" spans="1:14" ht="15" customHeight="1" x14ac:dyDescent="0.2">
      <c r="A208" s="46">
        <f t="shared" si="3"/>
        <v>206</v>
      </c>
      <c r="B208" s="19"/>
      <c r="C208" s="16"/>
      <c r="D208" s="16"/>
      <c r="E208" s="20"/>
      <c r="F208" s="19"/>
      <c r="G208" s="19"/>
      <c r="H208" s="19"/>
      <c r="I208" s="19"/>
      <c r="J208" s="19"/>
      <c r="K208" s="19"/>
      <c r="L208" s="46"/>
      <c r="M208" s="14"/>
      <c r="N208" s="18"/>
    </row>
    <row r="209" spans="1:14" ht="15" customHeight="1" x14ac:dyDescent="0.2">
      <c r="A209" s="46">
        <f t="shared" si="3"/>
        <v>207</v>
      </c>
      <c r="B209" s="19"/>
      <c r="C209" s="16"/>
      <c r="D209" s="16"/>
      <c r="E209" s="20"/>
      <c r="F209" s="19"/>
      <c r="G209" s="19"/>
      <c r="H209" s="19"/>
      <c r="I209" s="19"/>
      <c r="J209" s="19"/>
      <c r="K209" s="19"/>
      <c r="L209" s="46"/>
      <c r="M209" s="14"/>
      <c r="N209" s="18"/>
    </row>
    <row r="210" spans="1:14" ht="15" customHeight="1" x14ac:dyDescent="0.2">
      <c r="A210" s="46">
        <f t="shared" si="3"/>
        <v>208</v>
      </c>
      <c r="B210" s="19"/>
      <c r="C210" s="16"/>
      <c r="D210" s="16"/>
      <c r="E210" s="20"/>
      <c r="F210" s="19"/>
      <c r="G210" s="19"/>
      <c r="H210" s="19"/>
      <c r="I210" s="19"/>
      <c r="J210" s="19"/>
      <c r="K210" s="19"/>
      <c r="L210" s="46"/>
      <c r="M210" s="14"/>
      <c r="N210" s="18"/>
    </row>
    <row r="211" spans="1:14" ht="15" customHeight="1" x14ac:dyDescent="0.2">
      <c r="A211" s="46">
        <f t="shared" si="3"/>
        <v>209</v>
      </c>
      <c r="B211" s="19"/>
      <c r="C211" s="16"/>
      <c r="D211" s="16"/>
      <c r="E211" s="20"/>
      <c r="F211" s="19"/>
      <c r="G211" s="19"/>
      <c r="H211" s="19"/>
      <c r="I211" s="19"/>
      <c r="J211" s="19"/>
      <c r="K211" s="19"/>
      <c r="L211" s="46"/>
      <c r="M211" s="14"/>
      <c r="N211" s="18"/>
    </row>
    <row r="212" spans="1:14" ht="15" customHeight="1" x14ac:dyDescent="0.2">
      <c r="A212" s="46">
        <f t="shared" si="3"/>
        <v>210</v>
      </c>
      <c r="B212" s="19"/>
      <c r="C212" s="16"/>
      <c r="D212" s="16"/>
      <c r="E212" s="20"/>
      <c r="F212" s="19"/>
      <c r="G212" s="19"/>
      <c r="H212" s="19"/>
      <c r="I212" s="19"/>
      <c r="J212" s="19"/>
      <c r="K212" s="19"/>
      <c r="L212" s="46"/>
      <c r="M212" s="14"/>
      <c r="N212" s="18"/>
    </row>
    <row r="213" spans="1:14" ht="15" customHeight="1" x14ac:dyDescent="0.2">
      <c r="A213" s="46">
        <f t="shared" si="3"/>
        <v>211</v>
      </c>
      <c r="B213" s="19"/>
      <c r="C213" s="16"/>
      <c r="D213" s="16"/>
      <c r="E213" s="20"/>
      <c r="F213" s="19"/>
      <c r="G213" s="19"/>
      <c r="H213" s="19"/>
      <c r="I213" s="19"/>
      <c r="J213" s="19"/>
      <c r="K213" s="19"/>
      <c r="L213" s="46"/>
      <c r="M213" s="14"/>
      <c r="N213" s="18"/>
    </row>
    <row r="214" spans="1:14" ht="15" customHeight="1" x14ac:dyDescent="0.2">
      <c r="A214" s="46">
        <f t="shared" si="3"/>
        <v>212</v>
      </c>
      <c r="B214" s="19"/>
      <c r="C214" s="16"/>
      <c r="D214" s="16"/>
      <c r="E214" s="20"/>
      <c r="F214" s="19"/>
      <c r="G214" s="19"/>
      <c r="H214" s="19"/>
      <c r="I214" s="19"/>
      <c r="J214" s="19"/>
      <c r="K214" s="19"/>
      <c r="L214" s="46"/>
      <c r="M214" s="14"/>
      <c r="N214" s="18"/>
    </row>
    <row r="215" spans="1:14" ht="15" customHeight="1" x14ac:dyDescent="0.2">
      <c r="A215" s="46">
        <f t="shared" si="3"/>
        <v>213</v>
      </c>
      <c r="B215" s="19"/>
      <c r="C215" s="16"/>
      <c r="D215" s="16"/>
      <c r="E215" s="20"/>
      <c r="F215" s="19"/>
      <c r="G215" s="19"/>
      <c r="H215" s="19"/>
      <c r="I215" s="19"/>
      <c r="J215" s="19"/>
      <c r="K215" s="19"/>
      <c r="L215" s="46"/>
      <c r="M215" s="14"/>
      <c r="N215" s="18"/>
    </row>
    <row r="216" spans="1:14" ht="15" customHeight="1" x14ac:dyDescent="0.2">
      <c r="A216" s="46">
        <f t="shared" si="3"/>
        <v>214</v>
      </c>
      <c r="B216" s="19"/>
      <c r="C216" s="16"/>
      <c r="D216" s="16"/>
      <c r="E216" s="20"/>
      <c r="F216" s="19"/>
      <c r="G216" s="19"/>
      <c r="H216" s="19"/>
      <c r="I216" s="19"/>
      <c r="J216" s="19"/>
      <c r="K216" s="19"/>
      <c r="L216" s="46"/>
      <c r="M216" s="14"/>
      <c r="N216" s="18"/>
    </row>
    <row r="217" spans="1:14" ht="15" customHeight="1" x14ac:dyDescent="0.2">
      <c r="A217" s="46">
        <f t="shared" si="3"/>
        <v>215</v>
      </c>
      <c r="B217" s="19"/>
      <c r="C217" s="16"/>
      <c r="D217" s="16"/>
      <c r="E217" s="20"/>
      <c r="F217" s="19"/>
      <c r="G217" s="19"/>
      <c r="H217" s="19"/>
      <c r="I217" s="19"/>
      <c r="J217" s="19"/>
      <c r="K217" s="19"/>
      <c r="L217" s="46"/>
      <c r="M217" s="14"/>
      <c r="N217" s="18"/>
    </row>
    <row r="218" spans="1:14" ht="15" customHeight="1" x14ac:dyDescent="0.2">
      <c r="A218" s="46">
        <f t="shared" si="3"/>
        <v>216</v>
      </c>
      <c r="B218" s="19"/>
      <c r="C218" s="16"/>
      <c r="D218" s="16"/>
      <c r="E218" s="20"/>
      <c r="F218" s="19"/>
      <c r="G218" s="19"/>
      <c r="H218" s="19"/>
      <c r="I218" s="19"/>
      <c r="J218" s="19"/>
      <c r="K218" s="19"/>
      <c r="L218" s="46"/>
      <c r="M218" s="14"/>
      <c r="N218" s="18"/>
    </row>
    <row r="219" spans="1:14" ht="15" customHeight="1" x14ac:dyDescent="0.2">
      <c r="A219" s="46">
        <f t="shared" si="3"/>
        <v>217</v>
      </c>
      <c r="B219" s="19"/>
      <c r="C219" s="16"/>
      <c r="D219" s="16"/>
      <c r="E219" s="20"/>
      <c r="F219" s="19"/>
      <c r="G219" s="19"/>
      <c r="H219" s="19"/>
      <c r="I219" s="19"/>
      <c r="J219" s="19"/>
      <c r="K219" s="19"/>
      <c r="L219" s="46"/>
      <c r="M219" s="14"/>
      <c r="N219" s="18"/>
    </row>
    <row r="220" spans="1:14" ht="15" customHeight="1" x14ac:dyDescent="0.2">
      <c r="A220" s="46">
        <f t="shared" si="3"/>
        <v>218</v>
      </c>
      <c r="B220" s="19"/>
      <c r="C220" s="16"/>
      <c r="D220" s="16"/>
      <c r="E220" s="20"/>
      <c r="F220" s="19"/>
      <c r="G220" s="19"/>
      <c r="H220" s="19"/>
      <c r="I220" s="19"/>
      <c r="J220" s="19"/>
      <c r="K220" s="19"/>
      <c r="L220" s="46"/>
      <c r="M220" s="14"/>
      <c r="N220" s="18"/>
    </row>
    <row r="221" spans="1:14" ht="15" customHeight="1" x14ac:dyDescent="0.2">
      <c r="A221" s="46">
        <f t="shared" si="3"/>
        <v>219</v>
      </c>
      <c r="B221" s="19"/>
      <c r="C221" s="16"/>
      <c r="D221" s="16"/>
      <c r="E221" s="20"/>
      <c r="F221" s="19"/>
      <c r="G221" s="19"/>
      <c r="H221" s="19"/>
      <c r="I221" s="19"/>
      <c r="J221" s="19"/>
      <c r="K221" s="19"/>
      <c r="L221" s="46"/>
      <c r="M221" s="14"/>
      <c r="N221" s="18"/>
    </row>
    <row r="222" spans="1:14" ht="15" customHeight="1" x14ac:dyDescent="0.2">
      <c r="A222" s="46">
        <f t="shared" si="3"/>
        <v>220</v>
      </c>
      <c r="B222" s="19"/>
      <c r="C222" s="16"/>
      <c r="D222" s="16"/>
      <c r="E222" s="20"/>
      <c r="F222" s="19"/>
      <c r="G222" s="19"/>
      <c r="H222" s="19"/>
      <c r="I222" s="19"/>
      <c r="J222" s="19"/>
      <c r="K222" s="19"/>
      <c r="L222" s="46"/>
      <c r="M222" s="14"/>
      <c r="N222" s="18"/>
    </row>
    <row r="223" spans="1:14" ht="15" customHeight="1" x14ac:dyDescent="0.2">
      <c r="A223" s="46">
        <f t="shared" si="3"/>
        <v>221</v>
      </c>
      <c r="B223" s="19"/>
      <c r="C223" s="16"/>
      <c r="D223" s="16"/>
      <c r="E223" s="20"/>
      <c r="F223" s="19"/>
      <c r="G223" s="19"/>
      <c r="H223" s="19"/>
      <c r="I223" s="19"/>
      <c r="J223" s="19"/>
      <c r="K223" s="19"/>
      <c r="L223" s="46"/>
      <c r="M223" s="14"/>
      <c r="N223" s="18"/>
    </row>
    <row r="224" spans="1:14" ht="15" customHeight="1" x14ac:dyDescent="0.2">
      <c r="A224" s="46">
        <f t="shared" si="3"/>
        <v>222</v>
      </c>
      <c r="B224" s="19"/>
      <c r="C224" s="16"/>
      <c r="D224" s="16"/>
      <c r="E224" s="20"/>
      <c r="F224" s="19"/>
      <c r="G224" s="19"/>
      <c r="H224" s="19"/>
      <c r="I224" s="19"/>
      <c r="J224" s="19"/>
      <c r="K224" s="19"/>
      <c r="L224" s="46"/>
      <c r="M224" s="14"/>
      <c r="N224" s="18"/>
    </row>
    <row r="225" spans="1:14" ht="15" customHeight="1" x14ac:dyDescent="0.2">
      <c r="A225" s="46">
        <f t="shared" si="3"/>
        <v>223</v>
      </c>
      <c r="B225" s="19"/>
      <c r="C225" s="16"/>
      <c r="D225" s="16"/>
      <c r="E225" s="20"/>
      <c r="F225" s="19"/>
      <c r="G225" s="19"/>
      <c r="H225" s="19"/>
      <c r="I225" s="19"/>
      <c r="J225" s="19"/>
      <c r="K225" s="19"/>
      <c r="L225" s="46"/>
      <c r="M225" s="14"/>
      <c r="N225" s="18"/>
    </row>
    <row r="226" spans="1:14" ht="15" customHeight="1" x14ac:dyDescent="0.2">
      <c r="A226" s="46">
        <f t="shared" si="3"/>
        <v>224</v>
      </c>
      <c r="B226" s="19"/>
      <c r="C226" s="16"/>
      <c r="D226" s="16"/>
      <c r="E226" s="20"/>
      <c r="F226" s="19"/>
      <c r="G226" s="19"/>
      <c r="H226" s="19"/>
      <c r="I226" s="19"/>
      <c r="J226" s="19"/>
      <c r="K226" s="19"/>
      <c r="L226" s="46"/>
      <c r="M226" s="14"/>
      <c r="N226" s="18"/>
    </row>
    <row r="227" spans="1:14" ht="15" customHeight="1" x14ac:dyDescent="0.2">
      <c r="A227" s="46">
        <f t="shared" si="3"/>
        <v>225</v>
      </c>
      <c r="B227" s="19"/>
      <c r="C227" s="16"/>
      <c r="D227" s="16"/>
      <c r="E227" s="20"/>
      <c r="F227" s="19"/>
      <c r="G227" s="19"/>
      <c r="H227" s="19"/>
      <c r="I227" s="19"/>
      <c r="J227" s="19"/>
      <c r="K227" s="19"/>
      <c r="L227" s="46"/>
      <c r="M227" s="14"/>
      <c r="N227" s="18"/>
    </row>
    <row r="228" spans="1:14" ht="15" customHeight="1" x14ac:dyDescent="0.2">
      <c r="A228" s="46">
        <f t="shared" si="3"/>
        <v>226</v>
      </c>
      <c r="B228" s="19"/>
      <c r="C228" s="16"/>
      <c r="D228" s="16"/>
      <c r="E228" s="20"/>
      <c r="F228" s="19"/>
      <c r="G228" s="19"/>
      <c r="H228" s="19"/>
      <c r="I228" s="19"/>
      <c r="J228" s="19"/>
      <c r="K228" s="19"/>
      <c r="L228" s="46"/>
      <c r="M228" s="14"/>
      <c r="N228" s="18"/>
    </row>
    <row r="229" spans="1:14" ht="15" customHeight="1" x14ac:dyDescent="0.2">
      <c r="A229" s="46">
        <f t="shared" si="3"/>
        <v>227</v>
      </c>
      <c r="B229" s="19"/>
      <c r="C229" s="16"/>
      <c r="D229" s="16"/>
      <c r="E229" s="20"/>
      <c r="F229" s="19"/>
      <c r="G229" s="19"/>
      <c r="H229" s="19"/>
      <c r="I229" s="19"/>
      <c r="J229" s="19"/>
      <c r="K229" s="19"/>
      <c r="L229" s="46"/>
      <c r="M229" s="14"/>
      <c r="N229" s="18"/>
    </row>
    <row r="230" spans="1:14" ht="15" customHeight="1" x14ac:dyDescent="0.2">
      <c r="A230" s="46">
        <f t="shared" si="3"/>
        <v>228</v>
      </c>
      <c r="B230" s="19"/>
      <c r="C230" s="16"/>
      <c r="D230" s="16"/>
      <c r="E230" s="20"/>
      <c r="F230" s="19"/>
      <c r="G230" s="19"/>
      <c r="H230" s="19"/>
      <c r="I230" s="19"/>
      <c r="J230" s="19"/>
      <c r="K230" s="19"/>
      <c r="L230" s="46"/>
      <c r="M230" s="14"/>
      <c r="N230" s="18"/>
    </row>
    <row r="231" spans="1:14" ht="15" customHeight="1" x14ac:dyDescent="0.2">
      <c r="A231" s="46">
        <f t="shared" si="3"/>
        <v>229</v>
      </c>
      <c r="B231" s="19"/>
      <c r="C231" s="16"/>
      <c r="D231" s="16"/>
      <c r="E231" s="20"/>
      <c r="F231" s="19"/>
      <c r="G231" s="19"/>
      <c r="H231" s="19"/>
      <c r="I231" s="19"/>
      <c r="J231" s="19"/>
      <c r="K231" s="19"/>
      <c r="L231" s="46"/>
      <c r="M231" s="14"/>
      <c r="N231" s="18"/>
    </row>
    <row r="232" spans="1:14" ht="15" customHeight="1" x14ac:dyDescent="0.2">
      <c r="A232" s="46">
        <f t="shared" si="3"/>
        <v>230</v>
      </c>
      <c r="B232" s="19"/>
      <c r="C232" s="16"/>
      <c r="D232" s="16"/>
      <c r="E232" s="20"/>
      <c r="F232" s="19"/>
      <c r="G232" s="19"/>
      <c r="H232" s="19"/>
      <c r="I232" s="19"/>
      <c r="J232" s="19"/>
      <c r="K232" s="19"/>
      <c r="L232" s="46"/>
      <c r="M232" s="14"/>
      <c r="N232" s="18"/>
    </row>
    <row r="233" spans="1:14" ht="15" customHeight="1" x14ac:dyDescent="0.2">
      <c r="A233" s="46">
        <f t="shared" si="3"/>
        <v>231</v>
      </c>
      <c r="B233" s="19"/>
      <c r="C233" s="16"/>
      <c r="D233" s="16"/>
      <c r="E233" s="20"/>
      <c r="F233" s="19"/>
      <c r="G233" s="19"/>
      <c r="H233" s="19"/>
      <c r="I233" s="19"/>
      <c r="J233" s="19"/>
      <c r="K233" s="19"/>
      <c r="L233" s="46"/>
      <c r="M233" s="14"/>
      <c r="N233" s="18"/>
    </row>
    <row r="234" spans="1:14" ht="15" customHeight="1" x14ac:dyDescent="0.2">
      <c r="A234" s="46">
        <f t="shared" si="3"/>
        <v>232</v>
      </c>
      <c r="B234" s="19"/>
      <c r="C234" s="16"/>
      <c r="D234" s="16"/>
      <c r="E234" s="20"/>
      <c r="F234" s="19"/>
      <c r="G234" s="19"/>
      <c r="H234" s="19"/>
      <c r="I234" s="19"/>
      <c r="J234" s="19"/>
      <c r="K234" s="19"/>
      <c r="L234" s="46"/>
      <c r="M234" s="14"/>
      <c r="N234" s="18"/>
    </row>
    <row r="235" spans="1:14" ht="15" customHeight="1" x14ac:dyDescent="0.2">
      <c r="A235" s="46">
        <f t="shared" si="3"/>
        <v>233</v>
      </c>
      <c r="B235" s="19"/>
      <c r="C235" s="16"/>
      <c r="D235" s="16"/>
      <c r="E235" s="20"/>
      <c r="F235" s="19"/>
      <c r="G235" s="19"/>
      <c r="H235" s="19"/>
      <c r="I235" s="19"/>
      <c r="J235" s="19"/>
      <c r="K235" s="19"/>
      <c r="L235" s="46"/>
      <c r="M235" s="14"/>
      <c r="N235" s="18"/>
    </row>
    <row r="236" spans="1:14" ht="15" customHeight="1" x14ac:dyDescent="0.2">
      <c r="A236" s="46">
        <f t="shared" si="3"/>
        <v>234</v>
      </c>
      <c r="B236" s="19"/>
      <c r="C236" s="16"/>
      <c r="D236" s="16"/>
      <c r="E236" s="20"/>
      <c r="F236" s="19"/>
      <c r="G236" s="19"/>
      <c r="H236" s="19"/>
      <c r="I236" s="19"/>
      <c r="J236" s="19"/>
      <c r="K236" s="19"/>
      <c r="L236" s="46"/>
      <c r="M236" s="14"/>
      <c r="N236" s="18"/>
    </row>
    <row r="237" spans="1:14" ht="15" customHeight="1" x14ac:dyDescent="0.2">
      <c r="A237" s="46">
        <f t="shared" si="3"/>
        <v>235</v>
      </c>
      <c r="B237" s="19"/>
      <c r="C237" s="16"/>
      <c r="D237" s="16"/>
      <c r="E237" s="20"/>
      <c r="F237" s="19"/>
      <c r="G237" s="19"/>
      <c r="H237" s="19"/>
      <c r="I237" s="19"/>
      <c r="J237" s="19"/>
      <c r="K237" s="19"/>
      <c r="L237" s="46"/>
      <c r="M237" s="14"/>
      <c r="N237" s="18"/>
    </row>
    <row r="238" spans="1:14" ht="15" customHeight="1" x14ac:dyDescent="0.2">
      <c r="A238" s="46">
        <f t="shared" si="3"/>
        <v>236</v>
      </c>
      <c r="B238" s="19"/>
      <c r="C238" s="16"/>
      <c r="D238" s="16"/>
      <c r="E238" s="20"/>
      <c r="F238" s="19"/>
      <c r="G238" s="19"/>
      <c r="H238" s="19"/>
      <c r="I238" s="19"/>
      <c r="J238" s="19"/>
      <c r="K238" s="19"/>
      <c r="L238" s="46"/>
      <c r="M238" s="14"/>
      <c r="N238" s="18"/>
    </row>
    <row r="239" spans="1:14" ht="15" customHeight="1" x14ac:dyDescent="0.2">
      <c r="A239" s="46">
        <f t="shared" si="3"/>
        <v>237</v>
      </c>
      <c r="B239" s="19"/>
      <c r="C239" s="16"/>
      <c r="D239" s="16"/>
      <c r="E239" s="20"/>
      <c r="F239" s="19"/>
      <c r="G239" s="19"/>
      <c r="H239" s="19"/>
      <c r="I239" s="19"/>
      <c r="J239" s="19"/>
      <c r="K239" s="19"/>
      <c r="L239" s="46"/>
      <c r="M239" s="14"/>
      <c r="N239" s="18"/>
    </row>
    <row r="240" spans="1:14" ht="15" customHeight="1" x14ac:dyDescent="0.2">
      <c r="A240" s="46">
        <f t="shared" si="3"/>
        <v>238</v>
      </c>
      <c r="B240" s="19"/>
      <c r="C240" s="16"/>
      <c r="D240" s="16"/>
      <c r="E240" s="20"/>
      <c r="F240" s="19"/>
      <c r="G240" s="19"/>
      <c r="H240" s="19"/>
      <c r="I240" s="19"/>
      <c r="J240" s="19"/>
      <c r="K240" s="19"/>
      <c r="L240" s="46"/>
      <c r="M240" s="14"/>
      <c r="N240" s="18"/>
    </row>
    <row r="241" spans="1:14" ht="15" customHeight="1" x14ac:dyDescent="0.2">
      <c r="A241" s="46">
        <f t="shared" si="3"/>
        <v>239</v>
      </c>
      <c r="B241" s="19"/>
      <c r="C241" s="16"/>
      <c r="D241" s="16"/>
      <c r="E241" s="20"/>
      <c r="F241" s="19"/>
      <c r="G241" s="19"/>
      <c r="H241" s="19"/>
      <c r="I241" s="19"/>
      <c r="J241" s="19"/>
      <c r="K241" s="19"/>
      <c r="L241" s="46"/>
      <c r="M241" s="14"/>
      <c r="N241" s="18"/>
    </row>
    <row r="242" spans="1:14" ht="15" customHeight="1" x14ac:dyDescent="0.2">
      <c r="A242" s="46">
        <f t="shared" si="3"/>
        <v>240</v>
      </c>
      <c r="B242" s="19"/>
      <c r="C242" s="16"/>
      <c r="D242" s="16"/>
      <c r="E242" s="20"/>
      <c r="F242" s="19"/>
      <c r="G242" s="19"/>
      <c r="H242" s="19"/>
      <c r="I242" s="19"/>
      <c r="J242" s="19"/>
      <c r="K242" s="19"/>
      <c r="L242" s="46"/>
      <c r="M242" s="14"/>
      <c r="N242" s="18"/>
    </row>
    <row r="243" spans="1:14" ht="15" customHeight="1" x14ac:dyDescent="0.2">
      <c r="A243" s="46">
        <f t="shared" si="3"/>
        <v>241</v>
      </c>
      <c r="B243" s="19"/>
      <c r="C243" s="16"/>
      <c r="D243" s="16"/>
      <c r="E243" s="20"/>
      <c r="F243" s="19"/>
      <c r="G243" s="19"/>
      <c r="H243" s="19"/>
      <c r="I243" s="19"/>
      <c r="J243" s="19"/>
      <c r="K243" s="19"/>
      <c r="L243" s="46"/>
      <c r="M243" s="14"/>
      <c r="N243" s="18"/>
    </row>
    <row r="244" spans="1:14" ht="15" customHeight="1" x14ac:dyDescent="0.2">
      <c r="A244" s="46">
        <f t="shared" si="3"/>
        <v>242</v>
      </c>
      <c r="B244" s="19"/>
      <c r="C244" s="16"/>
      <c r="D244" s="16"/>
      <c r="E244" s="20"/>
      <c r="F244" s="19"/>
      <c r="G244" s="19"/>
      <c r="H244" s="19"/>
      <c r="I244" s="19"/>
      <c r="J244" s="19"/>
      <c r="K244" s="19"/>
      <c r="L244" s="46"/>
      <c r="M244" s="14"/>
      <c r="N244" s="18"/>
    </row>
    <row r="245" spans="1:14" ht="15" customHeight="1" x14ac:dyDescent="0.2">
      <c r="A245" s="46">
        <f t="shared" si="3"/>
        <v>243</v>
      </c>
      <c r="B245" s="19"/>
      <c r="C245" s="16"/>
      <c r="D245" s="16"/>
      <c r="E245" s="20"/>
      <c r="F245" s="19"/>
      <c r="G245" s="19"/>
      <c r="H245" s="19"/>
      <c r="I245" s="19"/>
      <c r="J245" s="19"/>
      <c r="K245" s="19"/>
      <c r="L245" s="46"/>
      <c r="M245" s="14"/>
      <c r="N245" s="18"/>
    </row>
    <row r="246" spans="1:14" ht="15" customHeight="1" x14ac:dyDescent="0.2">
      <c r="A246" s="46">
        <f t="shared" si="3"/>
        <v>244</v>
      </c>
      <c r="B246" s="19"/>
      <c r="C246" s="16"/>
      <c r="D246" s="16"/>
      <c r="E246" s="20"/>
      <c r="F246" s="19"/>
      <c r="G246" s="19"/>
      <c r="H246" s="19"/>
      <c r="I246" s="19"/>
      <c r="J246" s="19"/>
      <c r="K246" s="19"/>
      <c r="L246" s="46"/>
      <c r="M246" s="14"/>
      <c r="N246" s="18"/>
    </row>
    <row r="247" spans="1:14" ht="15" customHeight="1" x14ac:dyDescent="0.2">
      <c r="A247" s="46">
        <f t="shared" si="3"/>
        <v>245</v>
      </c>
      <c r="B247" s="19"/>
      <c r="C247" s="16"/>
      <c r="D247" s="16"/>
      <c r="E247" s="20"/>
      <c r="F247" s="19"/>
      <c r="G247" s="19"/>
      <c r="H247" s="19"/>
      <c r="I247" s="19"/>
      <c r="J247" s="19"/>
      <c r="K247" s="19"/>
      <c r="L247" s="46"/>
      <c r="M247" s="14"/>
      <c r="N247" s="18"/>
    </row>
    <row r="248" spans="1:14" ht="15" customHeight="1" x14ac:dyDescent="0.2">
      <c r="A248" s="46">
        <f t="shared" si="3"/>
        <v>246</v>
      </c>
      <c r="B248" s="19"/>
      <c r="C248" s="16"/>
      <c r="D248" s="16"/>
      <c r="E248" s="20"/>
      <c r="F248" s="19"/>
      <c r="G248" s="19"/>
      <c r="H248" s="19"/>
      <c r="I248" s="19"/>
      <c r="J248" s="19"/>
      <c r="K248" s="19"/>
      <c r="L248" s="46"/>
      <c r="M248" s="14"/>
      <c r="N248" s="18"/>
    </row>
    <row r="249" spans="1:14" ht="15" customHeight="1" x14ac:dyDescent="0.2">
      <c r="A249" s="46">
        <f t="shared" si="3"/>
        <v>247</v>
      </c>
      <c r="B249" s="19"/>
      <c r="C249" s="16"/>
      <c r="D249" s="16"/>
      <c r="E249" s="20"/>
      <c r="F249" s="19"/>
      <c r="G249" s="19"/>
      <c r="H249" s="19"/>
      <c r="I249" s="19"/>
      <c r="J249" s="19"/>
      <c r="K249" s="19"/>
      <c r="L249" s="46"/>
      <c r="M249" s="14"/>
      <c r="N249" s="18"/>
    </row>
    <row r="250" spans="1:14" ht="15" customHeight="1" x14ac:dyDescent="0.2">
      <c r="A250" s="46">
        <f t="shared" si="3"/>
        <v>248</v>
      </c>
      <c r="B250" s="19"/>
      <c r="C250" s="16"/>
      <c r="D250" s="16"/>
      <c r="E250" s="20"/>
      <c r="F250" s="19"/>
      <c r="G250" s="19"/>
      <c r="H250" s="19"/>
      <c r="I250" s="19"/>
      <c r="J250" s="19"/>
      <c r="K250" s="19"/>
      <c r="L250" s="46"/>
      <c r="M250" s="14"/>
      <c r="N250" s="18"/>
    </row>
    <row r="251" spans="1:14" ht="15" customHeight="1" x14ac:dyDescent="0.2">
      <c r="A251" s="46">
        <f t="shared" si="3"/>
        <v>249</v>
      </c>
      <c r="B251" s="19"/>
      <c r="C251" s="16"/>
      <c r="D251" s="16"/>
      <c r="E251" s="20"/>
      <c r="F251" s="19"/>
      <c r="G251" s="19"/>
      <c r="H251" s="19"/>
      <c r="I251" s="19"/>
      <c r="J251" s="19"/>
      <c r="K251" s="19"/>
      <c r="L251" s="46"/>
      <c r="M251" s="14"/>
      <c r="N251" s="18"/>
    </row>
    <row r="252" spans="1:14" ht="15" customHeight="1" x14ac:dyDescent="0.2">
      <c r="A252" s="46">
        <f t="shared" si="3"/>
        <v>250</v>
      </c>
      <c r="B252" s="19"/>
      <c r="C252" s="16"/>
      <c r="D252" s="16"/>
      <c r="E252" s="20"/>
      <c r="F252" s="19"/>
      <c r="G252" s="19"/>
      <c r="H252" s="19"/>
      <c r="I252" s="19"/>
      <c r="J252" s="19"/>
      <c r="K252" s="19"/>
      <c r="L252" s="46"/>
      <c r="M252" s="14"/>
      <c r="N252" s="18"/>
    </row>
    <row r="253" spans="1:14" ht="15" customHeight="1" x14ac:dyDescent="0.2">
      <c r="A253" s="46">
        <f t="shared" si="3"/>
        <v>251</v>
      </c>
      <c r="B253" s="19"/>
      <c r="C253" s="16"/>
      <c r="D253" s="16"/>
      <c r="E253" s="20"/>
      <c r="F253" s="19"/>
      <c r="G253" s="19"/>
      <c r="H253" s="19"/>
      <c r="I253" s="19"/>
      <c r="J253" s="19"/>
      <c r="K253" s="19"/>
      <c r="L253" s="46"/>
      <c r="M253" s="14"/>
      <c r="N253" s="18"/>
    </row>
    <row r="254" spans="1:14" ht="15" customHeight="1" x14ac:dyDescent="0.2">
      <c r="A254" s="46">
        <f t="shared" si="3"/>
        <v>252</v>
      </c>
      <c r="B254" s="19"/>
      <c r="C254" s="16"/>
      <c r="D254" s="16"/>
      <c r="E254" s="20"/>
      <c r="F254" s="19"/>
      <c r="G254" s="19"/>
      <c r="H254" s="19"/>
      <c r="I254" s="19"/>
      <c r="J254" s="19"/>
      <c r="K254" s="19"/>
      <c r="L254" s="46"/>
      <c r="M254" s="14"/>
      <c r="N254" s="18"/>
    </row>
    <row r="255" spans="1:14" ht="15" customHeight="1" x14ac:dyDescent="0.2">
      <c r="A255" s="46">
        <f t="shared" si="3"/>
        <v>253</v>
      </c>
      <c r="B255" s="19"/>
      <c r="C255" s="16"/>
      <c r="D255" s="16"/>
      <c r="E255" s="20"/>
      <c r="F255" s="19"/>
      <c r="G255" s="19"/>
      <c r="H255" s="19"/>
      <c r="I255" s="19"/>
      <c r="J255" s="19"/>
      <c r="K255" s="19"/>
      <c r="L255" s="46"/>
      <c r="M255" s="14"/>
      <c r="N255" s="18"/>
    </row>
    <row r="256" spans="1:14" ht="15" customHeight="1" x14ac:dyDescent="0.2">
      <c r="A256" s="46">
        <f t="shared" si="3"/>
        <v>254</v>
      </c>
      <c r="B256" s="19"/>
      <c r="C256" s="16"/>
      <c r="D256" s="16"/>
      <c r="E256" s="20"/>
      <c r="F256" s="19"/>
      <c r="G256" s="19"/>
      <c r="H256" s="19"/>
      <c r="I256" s="19"/>
      <c r="J256" s="19"/>
      <c r="K256" s="19"/>
      <c r="L256" s="46"/>
      <c r="M256" s="14"/>
      <c r="N256" s="18"/>
    </row>
    <row r="257" spans="1:14" ht="15" customHeight="1" x14ac:dyDescent="0.2">
      <c r="A257" s="46">
        <f t="shared" si="3"/>
        <v>255</v>
      </c>
      <c r="B257" s="19"/>
      <c r="C257" s="16"/>
      <c r="D257" s="16"/>
      <c r="E257" s="20"/>
      <c r="F257" s="19"/>
      <c r="G257" s="19"/>
      <c r="H257" s="19"/>
      <c r="I257" s="19"/>
      <c r="J257" s="19"/>
      <c r="K257" s="19"/>
      <c r="L257" s="46"/>
      <c r="M257" s="14"/>
      <c r="N257" s="18"/>
    </row>
    <row r="258" spans="1:14" ht="15" customHeight="1" x14ac:dyDescent="0.2">
      <c r="A258" s="46">
        <f t="shared" si="3"/>
        <v>256</v>
      </c>
      <c r="B258" s="19"/>
      <c r="C258" s="16"/>
      <c r="D258" s="16"/>
      <c r="E258" s="20"/>
      <c r="F258" s="19"/>
      <c r="G258" s="19"/>
      <c r="H258" s="19"/>
      <c r="I258" s="19"/>
      <c r="J258" s="19"/>
      <c r="K258" s="19"/>
      <c r="L258" s="46"/>
      <c r="M258" s="14"/>
      <c r="N258" s="18"/>
    </row>
    <row r="259" spans="1:14" ht="15" customHeight="1" x14ac:dyDescent="0.2">
      <c r="A259" s="46">
        <f t="shared" si="3"/>
        <v>257</v>
      </c>
      <c r="B259" s="19"/>
      <c r="C259" s="16"/>
      <c r="D259" s="16"/>
      <c r="E259" s="20"/>
      <c r="F259" s="19"/>
      <c r="G259" s="19"/>
      <c r="H259" s="19"/>
      <c r="I259" s="19"/>
      <c r="J259" s="19"/>
      <c r="K259" s="19"/>
      <c r="L259" s="46"/>
      <c r="M259" s="14"/>
      <c r="N259" s="18"/>
    </row>
    <row r="260" spans="1:14" ht="15" customHeight="1" x14ac:dyDescent="0.2">
      <c r="A260" s="46">
        <f t="shared" si="3"/>
        <v>258</v>
      </c>
      <c r="B260" s="19"/>
      <c r="C260" s="16"/>
      <c r="D260" s="16"/>
      <c r="E260" s="20"/>
      <c r="F260" s="19"/>
      <c r="G260" s="19"/>
      <c r="H260" s="19"/>
      <c r="I260" s="19"/>
      <c r="J260" s="19"/>
      <c r="K260" s="19"/>
      <c r="L260" s="46"/>
      <c r="M260" s="14"/>
      <c r="N260" s="18"/>
    </row>
    <row r="261" spans="1:14" ht="15" customHeight="1" x14ac:dyDescent="0.2">
      <c r="A261" s="46">
        <f t="shared" ref="A261:A302" si="4">A260+1</f>
        <v>259</v>
      </c>
      <c r="B261" s="19"/>
      <c r="C261" s="16"/>
      <c r="D261" s="16"/>
      <c r="E261" s="20"/>
      <c r="F261" s="19"/>
      <c r="G261" s="19"/>
      <c r="H261" s="19"/>
      <c r="I261" s="19"/>
      <c r="J261" s="19"/>
      <c r="K261" s="19"/>
      <c r="L261" s="46"/>
      <c r="M261" s="14"/>
      <c r="N261" s="18"/>
    </row>
    <row r="262" spans="1:14" ht="15" customHeight="1" x14ac:dyDescent="0.2">
      <c r="A262" s="46">
        <f t="shared" si="4"/>
        <v>260</v>
      </c>
      <c r="B262" s="19"/>
      <c r="C262" s="16"/>
      <c r="D262" s="16"/>
      <c r="E262" s="20"/>
      <c r="F262" s="19"/>
      <c r="G262" s="19"/>
      <c r="H262" s="19"/>
      <c r="I262" s="19"/>
      <c r="J262" s="19"/>
      <c r="K262" s="19"/>
      <c r="L262" s="46"/>
      <c r="M262" s="14"/>
      <c r="N262" s="18"/>
    </row>
    <row r="263" spans="1:14" ht="15" customHeight="1" x14ac:dyDescent="0.2">
      <c r="A263" s="46">
        <f t="shared" si="4"/>
        <v>261</v>
      </c>
      <c r="B263" s="19"/>
      <c r="C263" s="16"/>
      <c r="D263" s="16"/>
      <c r="E263" s="20"/>
      <c r="F263" s="19"/>
      <c r="G263" s="19"/>
      <c r="H263" s="19"/>
      <c r="I263" s="19"/>
      <c r="J263" s="19"/>
      <c r="K263" s="19"/>
      <c r="L263" s="46"/>
      <c r="M263" s="14"/>
      <c r="N263" s="18"/>
    </row>
    <row r="264" spans="1:14" ht="15" customHeight="1" x14ac:dyDescent="0.2">
      <c r="A264" s="46">
        <f t="shared" si="4"/>
        <v>262</v>
      </c>
      <c r="B264" s="19"/>
      <c r="C264" s="16"/>
      <c r="D264" s="16"/>
      <c r="E264" s="20"/>
      <c r="F264" s="19"/>
      <c r="G264" s="19"/>
      <c r="H264" s="19"/>
      <c r="I264" s="19"/>
      <c r="J264" s="19"/>
      <c r="K264" s="19"/>
      <c r="L264" s="46"/>
      <c r="M264" s="14"/>
      <c r="N264" s="18"/>
    </row>
    <row r="265" spans="1:14" ht="15" customHeight="1" x14ac:dyDescent="0.2">
      <c r="A265" s="46">
        <f t="shared" si="4"/>
        <v>263</v>
      </c>
      <c r="B265" s="19"/>
      <c r="C265" s="16"/>
      <c r="D265" s="16"/>
      <c r="E265" s="20"/>
      <c r="F265" s="19"/>
      <c r="G265" s="19"/>
      <c r="H265" s="19"/>
      <c r="I265" s="19"/>
      <c r="J265" s="19"/>
      <c r="K265" s="19"/>
      <c r="L265" s="46"/>
      <c r="M265" s="14"/>
      <c r="N265" s="18"/>
    </row>
    <row r="266" spans="1:14" ht="15" customHeight="1" x14ac:dyDescent="0.2">
      <c r="A266" s="46">
        <f t="shared" si="4"/>
        <v>264</v>
      </c>
      <c r="B266" s="19"/>
      <c r="C266" s="16"/>
      <c r="D266" s="16"/>
      <c r="E266" s="20"/>
      <c r="F266" s="19"/>
      <c r="G266" s="19"/>
      <c r="H266" s="19"/>
      <c r="I266" s="19"/>
      <c r="J266" s="19"/>
      <c r="K266" s="19"/>
      <c r="L266" s="46"/>
      <c r="M266" s="14"/>
      <c r="N266" s="18"/>
    </row>
    <row r="267" spans="1:14" ht="15" customHeight="1" x14ac:dyDescent="0.2">
      <c r="A267" s="46">
        <f t="shared" si="4"/>
        <v>265</v>
      </c>
      <c r="B267" s="19"/>
      <c r="C267" s="16"/>
      <c r="D267" s="16"/>
      <c r="E267" s="20"/>
      <c r="F267" s="19"/>
      <c r="G267" s="19"/>
      <c r="H267" s="19"/>
      <c r="I267" s="19"/>
      <c r="J267" s="19"/>
      <c r="K267" s="19"/>
      <c r="L267" s="46"/>
      <c r="M267" s="14"/>
      <c r="N267" s="18"/>
    </row>
    <row r="268" spans="1:14" ht="15" customHeight="1" x14ac:dyDescent="0.2">
      <c r="A268" s="46">
        <f t="shared" si="4"/>
        <v>266</v>
      </c>
      <c r="B268" s="19"/>
      <c r="C268" s="16"/>
      <c r="D268" s="16"/>
      <c r="E268" s="20"/>
      <c r="F268" s="19"/>
      <c r="G268" s="19"/>
      <c r="H268" s="19"/>
      <c r="I268" s="19"/>
      <c r="J268" s="19"/>
      <c r="K268" s="19"/>
      <c r="L268" s="46"/>
      <c r="M268" s="14"/>
      <c r="N268" s="18"/>
    </row>
    <row r="269" spans="1:14" ht="15" customHeight="1" x14ac:dyDescent="0.2">
      <c r="A269" s="46">
        <f t="shared" si="4"/>
        <v>267</v>
      </c>
      <c r="B269" s="19"/>
      <c r="C269" s="16"/>
      <c r="D269" s="16"/>
      <c r="E269" s="20"/>
      <c r="F269" s="19"/>
      <c r="G269" s="19"/>
      <c r="H269" s="19"/>
      <c r="I269" s="19"/>
      <c r="J269" s="19"/>
      <c r="K269" s="19"/>
      <c r="L269" s="46"/>
      <c r="M269" s="14"/>
      <c r="N269" s="18"/>
    </row>
    <row r="270" spans="1:14" ht="15" customHeight="1" x14ac:dyDescent="0.2">
      <c r="A270" s="46">
        <f t="shared" si="4"/>
        <v>268</v>
      </c>
      <c r="B270" s="19"/>
      <c r="C270" s="16"/>
      <c r="D270" s="16"/>
      <c r="E270" s="20"/>
      <c r="F270" s="19"/>
      <c r="G270" s="19"/>
      <c r="H270" s="19"/>
      <c r="I270" s="19"/>
      <c r="J270" s="19"/>
      <c r="K270" s="19"/>
      <c r="L270" s="46"/>
      <c r="M270" s="14"/>
      <c r="N270" s="18"/>
    </row>
    <row r="271" spans="1:14" ht="15" customHeight="1" x14ac:dyDescent="0.2">
      <c r="A271" s="46">
        <f t="shared" si="4"/>
        <v>269</v>
      </c>
      <c r="B271" s="19"/>
      <c r="C271" s="16"/>
      <c r="D271" s="16"/>
      <c r="E271" s="20"/>
      <c r="F271" s="19"/>
      <c r="G271" s="19"/>
      <c r="H271" s="19"/>
      <c r="I271" s="19"/>
      <c r="J271" s="19"/>
      <c r="K271" s="19"/>
      <c r="L271" s="46"/>
      <c r="M271" s="14"/>
      <c r="N271" s="18"/>
    </row>
    <row r="272" spans="1:14" ht="15" customHeight="1" x14ac:dyDescent="0.2">
      <c r="A272" s="46">
        <f t="shared" si="4"/>
        <v>270</v>
      </c>
      <c r="B272" s="19"/>
      <c r="C272" s="16"/>
      <c r="D272" s="16"/>
      <c r="E272" s="20"/>
      <c r="F272" s="19"/>
      <c r="G272" s="19"/>
      <c r="H272" s="19"/>
      <c r="I272" s="19"/>
      <c r="J272" s="19"/>
      <c r="K272" s="19"/>
      <c r="L272" s="46"/>
      <c r="M272" s="14"/>
      <c r="N272" s="18"/>
    </row>
    <row r="273" spans="1:14" ht="15" customHeight="1" x14ac:dyDescent="0.2">
      <c r="A273" s="46">
        <f t="shared" si="4"/>
        <v>271</v>
      </c>
      <c r="B273" s="19"/>
      <c r="C273" s="16"/>
      <c r="D273" s="16"/>
      <c r="E273" s="20"/>
      <c r="F273" s="19"/>
      <c r="G273" s="19"/>
      <c r="H273" s="19"/>
      <c r="I273" s="19"/>
      <c r="J273" s="19"/>
      <c r="K273" s="19"/>
      <c r="L273" s="46"/>
      <c r="M273" s="14"/>
      <c r="N273" s="18"/>
    </row>
    <row r="274" spans="1:14" ht="15" customHeight="1" x14ac:dyDescent="0.2">
      <c r="A274" s="46">
        <f t="shared" si="4"/>
        <v>272</v>
      </c>
      <c r="B274" s="19"/>
      <c r="C274" s="16"/>
      <c r="D274" s="16"/>
      <c r="E274" s="20"/>
      <c r="F274" s="19"/>
      <c r="G274" s="19"/>
      <c r="H274" s="19"/>
      <c r="I274" s="19"/>
      <c r="J274" s="19"/>
      <c r="K274" s="19"/>
      <c r="L274" s="46"/>
      <c r="M274" s="14"/>
      <c r="N274" s="18"/>
    </row>
    <row r="275" spans="1:14" ht="15" customHeight="1" x14ac:dyDescent="0.2">
      <c r="A275" s="46">
        <f t="shared" si="4"/>
        <v>273</v>
      </c>
      <c r="B275" s="19"/>
      <c r="C275" s="16"/>
      <c r="D275" s="16"/>
      <c r="E275" s="20"/>
      <c r="F275" s="19"/>
      <c r="G275" s="19"/>
      <c r="H275" s="19"/>
      <c r="I275" s="19"/>
      <c r="J275" s="19"/>
      <c r="K275" s="19"/>
      <c r="L275" s="46"/>
      <c r="M275" s="14"/>
      <c r="N275" s="18"/>
    </row>
    <row r="276" spans="1:14" ht="15" customHeight="1" x14ac:dyDescent="0.2">
      <c r="A276" s="46">
        <f t="shared" si="4"/>
        <v>274</v>
      </c>
      <c r="B276" s="19"/>
      <c r="C276" s="16"/>
      <c r="D276" s="16"/>
      <c r="E276" s="20"/>
      <c r="F276" s="19"/>
      <c r="G276" s="19"/>
      <c r="H276" s="19"/>
      <c r="I276" s="19"/>
      <c r="J276" s="19"/>
      <c r="K276" s="19"/>
      <c r="L276" s="46"/>
      <c r="M276" s="14"/>
      <c r="N276" s="18"/>
    </row>
    <row r="277" spans="1:14" ht="15" customHeight="1" x14ac:dyDescent="0.2">
      <c r="A277" s="46">
        <f t="shared" si="4"/>
        <v>275</v>
      </c>
      <c r="B277" s="19"/>
      <c r="C277" s="16"/>
      <c r="D277" s="16"/>
      <c r="E277" s="20"/>
      <c r="F277" s="19"/>
      <c r="G277" s="19"/>
      <c r="H277" s="19"/>
      <c r="I277" s="19"/>
      <c r="J277" s="19"/>
      <c r="K277" s="19"/>
      <c r="L277" s="46"/>
      <c r="M277" s="14"/>
      <c r="N277" s="18"/>
    </row>
    <row r="278" spans="1:14" ht="15" customHeight="1" x14ac:dyDescent="0.2">
      <c r="A278" s="46">
        <f t="shared" si="4"/>
        <v>276</v>
      </c>
      <c r="B278" s="19"/>
      <c r="C278" s="16"/>
      <c r="D278" s="16"/>
      <c r="E278" s="20"/>
      <c r="F278" s="19"/>
      <c r="G278" s="19"/>
      <c r="H278" s="19"/>
      <c r="I278" s="19"/>
      <c r="J278" s="19"/>
      <c r="K278" s="19"/>
      <c r="L278" s="46"/>
      <c r="M278" s="14"/>
      <c r="N278" s="18"/>
    </row>
    <row r="279" spans="1:14" ht="15" customHeight="1" x14ac:dyDescent="0.2">
      <c r="A279" s="46">
        <f t="shared" si="4"/>
        <v>277</v>
      </c>
      <c r="B279" s="19"/>
      <c r="C279" s="16"/>
      <c r="D279" s="16"/>
      <c r="E279" s="20"/>
      <c r="F279" s="19"/>
      <c r="G279" s="19"/>
      <c r="H279" s="19"/>
      <c r="I279" s="19"/>
      <c r="J279" s="19"/>
      <c r="K279" s="19"/>
      <c r="L279" s="46"/>
      <c r="M279" s="14"/>
      <c r="N279" s="18"/>
    </row>
    <row r="280" spans="1:14" ht="15" customHeight="1" x14ac:dyDescent="0.2">
      <c r="A280" s="46">
        <f t="shared" si="4"/>
        <v>278</v>
      </c>
      <c r="B280" s="19"/>
      <c r="C280" s="16"/>
      <c r="D280" s="16"/>
      <c r="E280" s="20"/>
      <c r="F280" s="19"/>
      <c r="G280" s="19"/>
      <c r="H280" s="19"/>
      <c r="I280" s="19"/>
      <c r="J280" s="19"/>
      <c r="K280" s="19"/>
      <c r="L280" s="46"/>
      <c r="M280" s="14"/>
      <c r="N280" s="18"/>
    </row>
    <row r="281" spans="1:14" ht="15" customHeight="1" x14ac:dyDescent="0.2">
      <c r="A281" s="46">
        <f t="shared" si="4"/>
        <v>279</v>
      </c>
      <c r="B281" s="19"/>
      <c r="C281" s="16"/>
      <c r="D281" s="16"/>
      <c r="E281" s="20"/>
      <c r="F281" s="19"/>
      <c r="G281" s="19"/>
      <c r="H281" s="19"/>
      <c r="I281" s="19"/>
      <c r="J281" s="19"/>
      <c r="K281" s="19"/>
      <c r="L281" s="46"/>
      <c r="M281" s="14"/>
      <c r="N281" s="18"/>
    </row>
    <row r="282" spans="1:14" ht="15" customHeight="1" x14ac:dyDescent="0.2">
      <c r="A282" s="46">
        <f t="shared" si="4"/>
        <v>280</v>
      </c>
      <c r="B282" s="19"/>
      <c r="C282" s="16"/>
      <c r="D282" s="16"/>
      <c r="E282" s="20"/>
      <c r="F282" s="19"/>
      <c r="G282" s="19"/>
      <c r="H282" s="19"/>
      <c r="I282" s="19"/>
      <c r="J282" s="19"/>
      <c r="K282" s="19"/>
      <c r="L282" s="46"/>
      <c r="M282" s="14"/>
      <c r="N282" s="18"/>
    </row>
    <row r="283" spans="1:14" ht="15" customHeight="1" x14ac:dyDescent="0.2">
      <c r="A283" s="46">
        <f t="shared" si="4"/>
        <v>281</v>
      </c>
      <c r="B283" s="19"/>
      <c r="C283" s="16"/>
      <c r="D283" s="16"/>
      <c r="E283" s="20"/>
      <c r="F283" s="19"/>
      <c r="G283" s="19"/>
      <c r="H283" s="19"/>
      <c r="I283" s="19"/>
      <c r="J283" s="19"/>
      <c r="K283" s="19"/>
      <c r="L283" s="46"/>
      <c r="M283" s="14"/>
      <c r="N283" s="18"/>
    </row>
    <row r="284" spans="1:14" ht="15" customHeight="1" x14ac:dyDescent="0.2">
      <c r="A284" s="46">
        <f t="shared" si="4"/>
        <v>282</v>
      </c>
      <c r="B284" s="19"/>
      <c r="C284" s="16"/>
      <c r="D284" s="16"/>
      <c r="E284" s="20"/>
      <c r="F284" s="19"/>
      <c r="G284" s="19"/>
      <c r="H284" s="19"/>
      <c r="I284" s="19"/>
      <c r="J284" s="19"/>
      <c r="K284" s="19"/>
      <c r="L284" s="46"/>
      <c r="M284" s="14"/>
      <c r="N284" s="18"/>
    </row>
    <row r="285" spans="1:14" ht="15" customHeight="1" x14ac:dyDescent="0.2">
      <c r="A285" s="46">
        <f t="shared" si="4"/>
        <v>283</v>
      </c>
      <c r="B285" s="19"/>
      <c r="C285" s="16"/>
      <c r="D285" s="16"/>
      <c r="E285" s="20"/>
      <c r="F285" s="19"/>
      <c r="G285" s="19"/>
      <c r="H285" s="19"/>
      <c r="I285" s="19"/>
      <c r="J285" s="19"/>
      <c r="K285" s="19"/>
      <c r="L285" s="46"/>
      <c r="M285" s="14"/>
      <c r="N285" s="18"/>
    </row>
    <row r="286" spans="1:14" ht="15" customHeight="1" x14ac:dyDescent="0.2">
      <c r="A286" s="46">
        <f t="shared" si="4"/>
        <v>284</v>
      </c>
      <c r="B286" s="19"/>
      <c r="C286" s="16"/>
      <c r="D286" s="16"/>
      <c r="E286" s="20"/>
      <c r="F286" s="19"/>
      <c r="G286" s="19"/>
      <c r="H286" s="19"/>
      <c r="I286" s="19"/>
      <c r="J286" s="19"/>
      <c r="K286" s="19"/>
      <c r="L286" s="46"/>
      <c r="M286" s="14"/>
      <c r="N286" s="18"/>
    </row>
    <row r="287" spans="1:14" ht="15" customHeight="1" x14ac:dyDescent="0.2">
      <c r="A287" s="46">
        <f t="shared" si="4"/>
        <v>285</v>
      </c>
      <c r="B287" s="19"/>
      <c r="C287" s="16"/>
      <c r="D287" s="16"/>
      <c r="E287" s="20"/>
      <c r="F287" s="19"/>
      <c r="G287" s="19"/>
      <c r="H287" s="19"/>
      <c r="I287" s="19"/>
      <c r="J287" s="19"/>
      <c r="K287" s="19"/>
      <c r="L287" s="46"/>
      <c r="M287" s="14"/>
      <c r="N287" s="18"/>
    </row>
    <row r="288" spans="1:14" ht="15" customHeight="1" x14ac:dyDescent="0.2">
      <c r="A288" s="46">
        <f t="shared" si="4"/>
        <v>286</v>
      </c>
      <c r="B288" s="19"/>
      <c r="C288" s="16"/>
      <c r="D288" s="16"/>
      <c r="E288" s="20"/>
      <c r="F288" s="19"/>
      <c r="G288" s="19"/>
      <c r="H288" s="19"/>
      <c r="I288" s="19"/>
      <c r="J288" s="19"/>
      <c r="K288" s="19"/>
      <c r="L288" s="46"/>
      <c r="M288" s="14"/>
      <c r="N288" s="18"/>
    </row>
    <row r="289" spans="1:14" ht="15" customHeight="1" x14ac:dyDescent="0.2">
      <c r="A289" s="46">
        <f t="shared" si="4"/>
        <v>287</v>
      </c>
      <c r="B289" s="19"/>
      <c r="C289" s="16"/>
      <c r="D289" s="16"/>
      <c r="E289" s="20"/>
      <c r="F289" s="19"/>
      <c r="G289" s="19"/>
      <c r="H289" s="19"/>
      <c r="I289" s="19"/>
      <c r="J289" s="19"/>
      <c r="K289" s="19"/>
      <c r="L289" s="46"/>
      <c r="M289" s="14"/>
      <c r="N289" s="18"/>
    </row>
    <row r="290" spans="1:14" ht="15" customHeight="1" x14ac:dyDescent="0.2">
      <c r="A290" s="46">
        <f t="shared" si="4"/>
        <v>288</v>
      </c>
      <c r="B290" s="19"/>
      <c r="C290" s="16"/>
      <c r="D290" s="16"/>
      <c r="E290" s="20"/>
      <c r="F290" s="19"/>
      <c r="G290" s="19"/>
      <c r="H290" s="19"/>
      <c r="I290" s="19"/>
      <c r="J290" s="19"/>
      <c r="K290" s="19"/>
      <c r="L290" s="46"/>
      <c r="M290" s="14"/>
      <c r="N290" s="18"/>
    </row>
    <row r="291" spans="1:14" ht="15" customHeight="1" x14ac:dyDescent="0.2">
      <c r="A291" s="46">
        <f t="shared" si="4"/>
        <v>289</v>
      </c>
      <c r="B291" s="19"/>
      <c r="C291" s="16"/>
      <c r="D291" s="16"/>
      <c r="E291" s="20"/>
      <c r="F291" s="19"/>
      <c r="G291" s="19"/>
      <c r="H291" s="19"/>
      <c r="I291" s="19"/>
      <c r="J291" s="19"/>
      <c r="K291" s="19"/>
      <c r="L291" s="46"/>
      <c r="M291" s="14"/>
      <c r="N291" s="18"/>
    </row>
    <row r="292" spans="1:14" ht="15" customHeight="1" x14ac:dyDescent="0.2">
      <c r="A292" s="46">
        <f t="shared" si="4"/>
        <v>290</v>
      </c>
      <c r="B292" s="19"/>
      <c r="C292" s="16"/>
      <c r="D292" s="16"/>
      <c r="E292" s="20"/>
      <c r="F292" s="19"/>
      <c r="G292" s="19"/>
      <c r="H292" s="19"/>
      <c r="I292" s="19"/>
      <c r="J292" s="19"/>
      <c r="K292" s="19"/>
      <c r="L292" s="46"/>
      <c r="M292" s="14"/>
      <c r="N292" s="18"/>
    </row>
    <row r="293" spans="1:14" ht="15" customHeight="1" x14ac:dyDescent="0.2">
      <c r="A293" s="46">
        <f t="shared" si="4"/>
        <v>291</v>
      </c>
      <c r="B293" s="19"/>
      <c r="C293" s="16"/>
      <c r="D293" s="16"/>
      <c r="E293" s="20"/>
      <c r="F293" s="19"/>
      <c r="G293" s="19"/>
      <c r="H293" s="19"/>
      <c r="I293" s="19"/>
      <c r="J293" s="19"/>
      <c r="K293" s="19"/>
      <c r="L293" s="46"/>
      <c r="M293" s="14"/>
      <c r="N293" s="18"/>
    </row>
    <row r="294" spans="1:14" ht="15" customHeight="1" x14ac:dyDescent="0.2">
      <c r="A294" s="46">
        <f t="shared" si="4"/>
        <v>292</v>
      </c>
      <c r="B294" s="19"/>
      <c r="C294" s="16"/>
      <c r="D294" s="16"/>
      <c r="E294" s="20"/>
      <c r="F294" s="19"/>
      <c r="G294" s="19"/>
      <c r="H294" s="19"/>
      <c r="I294" s="19"/>
      <c r="J294" s="19"/>
      <c r="K294" s="19"/>
      <c r="L294" s="46"/>
      <c r="M294" s="14"/>
      <c r="N294" s="18"/>
    </row>
    <row r="295" spans="1:14" ht="15" customHeight="1" x14ac:dyDescent="0.2">
      <c r="A295" s="46">
        <f t="shared" si="4"/>
        <v>293</v>
      </c>
      <c r="B295" s="19"/>
      <c r="C295" s="16"/>
      <c r="D295" s="16"/>
      <c r="E295" s="20"/>
      <c r="F295" s="19"/>
      <c r="G295" s="19"/>
      <c r="H295" s="19"/>
      <c r="I295" s="19"/>
      <c r="J295" s="19"/>
      <c r="K295" s="19"/>
      <c r="L295" s="46"/>
      <c r="M295" s="14"/>
      <c r="N295" s="18"/>
    </row>
    <row r="296" spans="1:14" ht="15" customHeight="1" x14ac:dyDescent="0.2">
      <c r="A296" s="46">
        <f t="shared" si="4"/>
        <v>294</v>
      </c>
      <c r="B296" s="19"/>
      <c r="C296" s="16"/>
      <c r="D296" s="16"/>
      <c r="E296" s="20"/>
      <c r="F296" s="19"/>
      <c r="G296" s="19"/>
      <c r="H296" s="19"/>
      <c r="I296" s="19"/>
      <c r="J296" s="19"/>
      <c r="K296" s="19"/>
      <c r="L296" s="46"/>
      <c r="M296" s="14"/>
      <c r="N296" s="18"/>
    </row>
    <row r="297" spans="1:14" ht="15" customHeight="1" x14ac:dyDescent="0.2">
      <c r="A297" s="46">
        <f t="shared" si="4"/>
        <v>295</v>
      </c>
      <c r="B297" s="19"/>
      <c r="C297" s="16"/>
      <c r="D297" s="16"/>
      <c r="E297" s="20"/>
      <c r="F297" s="19"/>
      <c r="G297" s="19"/>
      <c r="H297" s="19"/>
      <c r="I297" s="19"/>
      <c r="J297" s="19"/>
      <c r="K297" s="19"/>
      <c r="L297" s="46"/>
      <c r="M297" s="14"/>
      <c r="N297" s="18"/>
    </row>
    <row r="298" spans="1:14" ht="15" customHeight="1" x14ac:dyDescent="0.2">
      <c r="A298" s="46">
        <f t="shared" si="4"/>
        <v>296</v>
      </c>
      <c r="B298" s="19"/>
      <c r="C298" s="16"/>
      <c r="D298" s="16"/>
      <c r="E298" s="20"/>
      <c r="F298" s="19"/>
      <c r="G298" s="19"/>
      <c r="H298" s="19"/>
      <c r="I298" s="19"/>
      <c r="J298" s="19"/>
      <c r="K298" s="19"/>
      <c r="L298" s="46"/>
      <c r="M298" s="14"/>
      <c r="N298" s="18"/>
    </row>
    <row r="299" spans="1:14" ht="15" customHeight="1" x14ac:dyDescent="0.2">
      <c r="A299" s="46">
        <f t="shared" si="4"/>
        <v>297</v>
      </c>
      <c r="B299" s="19"/>
      <c r="C299" s="16"/>
      <c r="D299" s="16"/>
      <c r="E299" s="20"/>
      <c r="F299" s="19"/>
      <c r="G299" s="19"/>
      <c r="H299" s="19"/>
      <c r="I299" s="19"/>
      <c r="J299" s="19"/>
      <c r="K299" s="19"/>
      <c r="L299" s="46"/>
      <c r="M299" s="14"/>
      <c r="N299" s="18"/>
    </row>
    <row r="300" spans="1:14" ht="15" customHeight="1" x14ac:dyDescent="0.2">
      <c r="A300" s="46">
        <f t="shared" si="4"/>
        <v>298</v>
      </c>
      <c r="B300" s="19"/>
      <c r="C300" s="16"/>
      <c r="D300" s="16"/>
      <c r="E300" s="20"/>
      <c r="F300" s="19"/>
      <c r="G300" s="19"/>
      <c r="H300" s="19"/>
      <c r="I300" s="19"/>
      <c r="J300" s="19"/>
      <c r="K300" s="19"/>
      <c r="L300" s="46"/>
      <c r="M300" s="14"/>
      <c r="N300" s="18"/>
    </row>
    <row r="301" spans="1:14" ht="15" customHeight="1" x14ac:dyDescent="0.2">
      <c r="A301" s="46">
        <f t="shared" si="4"/>
        <v>299</v>
      </c>
      <c r="B301" s="19"/>
      <c r="C301" s="16"/>
      <c r="D301" s="16"/>
      <c r="E301" s="20"/>
      <c r="F301" s="19"/>
      <c r="G301" s="19"/>
      <c r="H301" s="19"/>
      <c r="I301" s="19"/>
      <c r="J301" s="19"/>
      <c r="K301" s="19"/>
      <c r="L301" s="46"/>
      <c r="M301" s="14"/>
      <c r="N301" s="18"/>
    </row>
    <row r="302" spans="1:14" ht="15" customHeight="1" x14ac:dyDescent="0.2">
      <c r="A302" s="46">
        <f t="shared" si="4"/>
        <v>300</v>
      </c>
      <c r="B302" s="19"/>
      <c r="C302" s="16"/>
      <c r="D302" s="16"/>
      <c r="E302" s="20"/>
      <c r="F302" s="19"/>
      <c r="G302" s="19"/>
      <c r="H302" s="19"/>
      <c r="I302" s="19"/>
      <c r="J302" s="19"/>
      <c r="K302" s="19"/>
      <c r="L302" s="46"/>
      <c r="M302" s="14"/>
      <c r="N302" s="18"/>
    </row>
  </sheetData>
  <phoneticPr fontId="2"/>
  <pageMargins left="0.7" right="0.7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C506-35B8-4812-9F42-04866113C0EF}">
  <sheetPr>
    <pageSetUpPr fitToPage="1"/>
  </sheetPr>
  <dimension ref="A1:Q302"/>
  <sheetViews>
    <sheetView zoomScale="115" zoomScaleNormal="115" workbookViewId="0">
      <pane ySplit="2" topLeftCell="A3" activePane="bottomLeft" state="frozen"/>
      <selection pane="bottomLeft" activeCell="P24" sqref="P24"/>
    </sheetView>
  </sheetViews>
  <sheetFormatPr defaultRowHeight="15" customHeight="1" x14ac:dyDescent="0.2"/>
  <cols>
    <col min="2" max="2" width="30" style="8" customWidth="1"/>
    <col min="3" max="3" width="3.6640625" style="9" customWidth="1"/>
    <col min="4" max="4" width="5.33203125" style="9" customWidth="1"/>
    <col min="5" max="5" width="8.44140625" style="27" customWidth="1"/>
    <col min="6" max="11" width="0" style="8" hidden="1" customWidth="1"/>
    <col min="12" max="12" width="8.6640625" style="28" customWidth="1"/>
    <col min="13" max="13" width="6.21875" style="2" customWidth="1"/>
    <col min="14" max="14" width="8.6640625" style="12" customWidth="1"/>
  </cols>
  <sheetData>
    <row r="1" spans="1:17" ht="15" customHeight="1" thickBot="1" x14ac:dyDescent="0.25">
      <c r="B1" s="8" t="s">
        <v>1319</v>
      </c>
      <c r="E1" s="10"/>
      <c r="L1" s="11" t="s">
        <v>1312</v>
      </c>
    </row>
    <row r="2" spans="1:17" ht="15" customHeight="1" x14ac:dyDescent="0.2">
      <c r="B2" s="13" t="s">
        <v>1313</v>
      </c>
      <c r="C2" s="14" t="s">
        <v>1314</v>
      </c>
      <c r="D2" s="14"/>
      <c r="E2" s="15" t="s">
        <v>1315</v>
      </c>
      <c r="F2" s="16"/>
      <c r="G2" s="16"/>
      <c r="H2" s="16"/>
      <c r="I2" s="16"/>
      <c r="J2" s="16"/>
      <c r="K2" s="16"/>
      <c r="L2" s="17" t="s">
        <v>1316</v>
      </c>
      <c r="M2" s="14" t="s">
        <v>1317</v>
      </c>
      <c r="N2" s="18" t="s">
        <v>1318</v>
      </c>
    </row>
    <row r="3" spans="1:17" ht="15" customHeight="1" x14ac:dyDescent="0.2">
      <c r="A3">
        <v>1</v>
      </c>
      <c r="B3" s="19" t="str" cm="1">
        <f t="array" ref="B3:B24">_xlfn._xlws.FILTER(重複削除!A:A,重複削除!H:H="漢方")</f>
        <v>007　ﾂﾑﾗ　ハチミジオウガン</v>
      </c>
      <c r="C3" s="14"/>
      <c r="D3" s="14"/>
      <c r="E3" s="20"/>
      <c r="F3" s="19"/>
      <c r="G3" s="19"/>
      <c r="H3" s="19"/>
      <c r="I3" s="19"/>
      <c r="J3" s="19"/>
      <c r="K3" s="19"/>
      <c r="L3" s="21"/>
      <c r="M3" s="14"/>
      <c r="N3" s="18">
        <f>IF(B3="","",E3*M3)</f>
        <v>0</v>
      </c>
    </row>
    <row r="4" spans="1:17" ht="15" customHeight="1" x14ac:dyDescent="0.2">
      <c r="A4">
        <f>A3+1</f>
        <v>2</v>
      </c>
      <c r="B4" s="22" t="str">
        <v>007　ﾂﾑﾗ　ハチミジオウガン</v>
      </c>
      <c r="C4" s="14"/>
      <c r="D4" s="14"/>
      <c r="E4" s="23"/>
      <c r="F4" s="19"/>
      <c r="G4" s="19"/>
      <c r="H4" s="19"/>
      <c r="I4" s="19"/>
      <c r="J4" s="19"/>
      <c r="K4" s="19"/>
      <c r="L4" s="21"/>
      <c r="M4" s="14"/>
      <c r="N4" s="18">
        <f t="shared" ref="N4:N67" si="0">IF(B4="","",E4*M4)</f>
        <v>0</v>
      </c>
    </row>
    <row r="5" spans="1:17" ht="15" customHeight="1" x14ac:dyDescent="0.2">
      <c r="A5">
        <f t="shared" ref="A5:A45" si="1">A4+1</f>
        <v>3</v>
      </c>
      <c r="B5" s="22" t="str">
        <v>012　ｻｲｺｶﾘｭｳｺﾂﾎﾞﾚｲﾄｳ</v>
      </c>
      <c r="C5" s="14"/>
      <c r="D5" s="14"/>
      <c r="E5" s="23"/>
      <c r="F5" s="19"/>
      <c r="G5" s="19"/>
      <c r="H5" s="19"/>
      <c r="I5" s="19"/>
      <c r="J5" s="19"/>
      <c r="K5" s="19"/>
      <c r="L5" s="21"/>
      <c r="M5" s="14"/>
      <c r="N5" s="18">
        <f t="shared" si="0"/>
        <v>0</v>
      </c>
    </row>
    <row r="6" spans="1:17" ht="15" customHeight="1" x14ac:dyDescent="0.2">
      <c r="A6">
        <f t="shared" si="1"/>
        <v>4</v>
      </c>
      <c r="B6" s="22" t="str">
        <v>016　ﾂﾑﾗ　ハンゲコウボクトウ</v>
      </c>
      <c r="C6" s="14"/>
      <c r="D6" s="14"/>
      <c r="E6" s="23"/>
      <c r="F6" s="19"/>
      <c r="G6" s="19"/>
      <c r="H6" s="19"/>
      <c r="I6" s="19"/>
      <c r="J6" s="19"/>
      <c r="K6" s="19"/>
      <c r="L6" s="21"/>
      <c r="M6" s="14"/>
      <c r="N6" s="18">
        <f t="shared" si="0"/>
        <v>0</v>
      </c>
    </row>
    <row r="7" spans="1:17" ht="15" customHeight="1" x14ac:dyDescent="0.2">
      <c r="A7">
        <f t="shared" si="1"/>
        <v>5</v>
      </c>
      <c r="B7" s="22" t="str">
        <v>017 ﾂﾑﾗ　ｺﾞﾚｲｻﾝ</v>
      </c>
      <c r="C7" s="14"/>
      <c r="D7" s="14"/>
      <c r="E7" s="23"/>
      <c r="F7" s="19"/>
      <c r="G7" s="19"/>
      <c r="H7" s="19"/>
      <c r="I7" s="19"/>
      <c r="J7" s="19"/>
      <c r="K7" s="19"/>
      <c r="L7" s="21"/>
      <c r="M7" s="14"/>
      <c r="N7" s="18">
        <f t="shared" si="0"/>
        <v>0</v>
      </c>
      <c r="Q7" s="24"/>
    </row>
    <row r="8" spans="1:17" ht="15" customHeight="1" x14ac:dyDescent="0.2">
      <c r="A8">
        <f t="shared" si="1"/>
        <v>6</v>
      </c>
      <c r="B8" s="19" t="str">
        <v>019　ツムラ　ショウセイリュウトウ</v>
      </c>
      <c r="C8" s="16"/>
      <c r="D8" s="16"/>
      <c r="E8" s="20"/>
      <c r="F8" s="19"/>
      <c r="G8" s="19"/>
      <c r="H8" s="19"/>
      <c r="I8" s="19"/>
      <c r="J8" s="19"/>
      <c r="K8" s="19"/>
      <c r="L8" s="21"/>
      <c r="M8" s="14"/>
      <c r="N8" s="18">
        <f t="shared" si="0"/>
        <v>0</v>
      </c>
    </row>
    <row r="9" spans="1:17" ht="15" customHeight="1" x14ac:dyDescent="0.2">
      <c r="A9">
        <f t="shared" si="1"/>
        <v>7</v>
      </c>
      <c r="B9" s="25" t="str">
        <v>043 ツムラ　リツクンシトウ</v>
      </c>
      <c r="C9" s="16"/>
      <c r="D9" s="16"/>
      <c r="E9" s="20"/>
      <c r="F9" s="19"/>
      <c r="G9" s="19"/>
      <c r="H9" s="19"/>
      <c r="I9" s="19"/>
      <c r="J9" s="19"/>
      <c r="K9" s="19"/>
      <c r="L9" s="21"/>
      <c r="M9" s="14"/>
      <c r="N9" s="18">
        <f t="shared" si="0"/>
        <v>0</v>
      </c>
    </row>
    <row r="10" spans="1:17" ht="15" customHeight="1" x14ac:dyDescent="0.2">
      <c r="A10">
        <f t="shared" si="1"/>
        <v>8</v>
      </c>
      <c r="B10" s="25" t="str">
        <v>048　ﾂﾑﾗ　ｼﾞｭｳｾﾞﾝﾀｲﾎﾄｳ</v>
      </c>
      <c r="C10" s="14"/>
      <c r="D10" s="14"/>
      <c r="E10" s="20"/>
      <c r="F10" s="19"/>
      <c r="G10" s="19"/>
      <c r="H10" s="19"/>
      <c r="I10" s="19"/>
      <c r="J10" s="19"/>
      <c r="K10" s="19"/>
      <c r="L10" s="21"/>
      <c r="M10" s="14"/>
      <c r="N10" s="18">
        <f t="shared" si="0"/>
        <v>0</v>
      </c>
    </row>
    <row r="11" spans="1:17" ht="15" customHeight="1" x14ac:dyDescent="0.2">
      <c r="A11">
        <f t="shared" si="1"/>
        <v>9</v>
      </c>
      <c r="B11" s="19" t="str">
        <v>054 ﾂﾑﾗ ﾖｸｶﾝｻﾝ</v>
      </c>
      <c r="C11" s="14"/>
      <c r="D11" s="14"/>
      <c r="E11" s="20"/>
      <c r="F11" s="19"/>
      <c r="G11" s="19"/>
      <c r="H11" s="19"/>
      <c r="I11" s="19"/>
      <c r="J11" s="19"/>
      <c r="K11" s="19"/>
      <c r="L11" s="21"/>
      <c r="M11" s="14"/>
      <c r="N11" s="18">
        <f t="shared" si="0"/>
        <v>0</v>
      </c>
    </row>
    <row r="12" spans="1:17" ht="15" customHeight="1" x14ac:dyDescent="0.2">
      <c r="A12">
        <f t="shared" si="1"/>
        <v>10</v>
      </c>
      <c r="B12" s="19" t="str">
        <v>062 ﾂﾑﾗ ﾎﾞｳﾌｳﾂｳｼﾖｳｻﾝ</v>
      </c>
      <c r="C12" s="16"/>
      <c r="D12" s="16"/>
      <c r="E12" s="20"/>
      <c r="F12" s="19"/>
      <c r="G12" s="19"/>
      <c r="H12" s="19"/>
      <c r="I12" s="19"/>
      <c r="J12" s="19"/>
      <c r="K12" s="19"/>
      <c r="L12" s="21"/>
      <c r="M12" s="14"/>
      <c r="N12" s="18">
        <f t="shared" si="0"/>
        <v>0</v>
      </c>
    </row>
    <row r="13" spans="1:17" ht="15" customHeight="1" x14ac:dyDescent="0.2">
      <c r="A13">
        <f t="shared" si="1"/>
        <v>11</v>
      </c>
      <c r="B13" s="22" t="str">
        <v>068　ｼｬｸﾔｸｶﾝｿﾞｳﾄｳ</v>
      </c>
      <c r="C13" s="14"/>
      <c r="D13" s="14"/>
      <c r="E13" s="23"/>
      <c r="F13" s="19"/>
      <c r="G13" s="19"/>
      <c r="H13" s="19"/>
      <c r="I13" s="19"/>
      <c r="J13" s="19"/>
      <c r="K13" s="19"/>
      <c r="L13" s="21"/>
      <c r="M13" s="14"/>
      <c r="N13" s="18">
        <f t="shared" si="0"/>
        <v>0</v>
      </c>
    </row>
    <row r="14" spans="1:17" ht="15" customHeight="1" x14ac:dyDescent="0.2">
      <c r="A14">
        <f t="shared" si="1"/>
        <v>12</v>
      </c>
      <c r="B14" s="22" t="str">
        <v>083 ﾂﾑﾗ ﾖｸｶﾝｻﾝｶﾁﾝﾋﾟﾊﾝｹﾞ</v>
      </c>
      <c r="C14" s="14"/>
      <c r="D14" s="14"/>
      <c r="E14" s="23"/>
      <c r="F14" s="19"/>
      <c r="G14" s="19"/>
      <c r="H14" s="19"/>
      <c r="I14" s="19"/>
      <c r="J14" s="19"/>
      <c r="K14" s="19"/>
      <c r="L14" s="21"/>
      <c r="M14" s="14"/>
      <c r="N14" s="18">
        <f t="shared" si="0"/>
        <v>0</v>
      </c>
    </row>
    <row r="15" spans="1:17" ht="15" customHeight="1" x14ac:dyDescent="0.2">
      <c r="A15">
        <f t="shared" si="1"/>
        <v>13</v>
      </c>
      <c r="B15" s="22" t="str">
        <v>100 ﾂﾑﾗ ﾀﾞｲｹﾝﾁﾕｳﾄｳ</v>
      </c>
      <c r="C15" s="14"/>
      <c r="D15" s="14"/>
      <c r="E15" s="23"/>
      <c r="F15" s="19"/>
      <c r="G15" s="19"/>
      <c r="H15" s="19"/>
      <c r="I15" s="19"/>
      <c r="J15" s="19"/>
      <c r="K15" s="19"/>
      <c r="L15" s="21"/>
      <c r="M15" s="14"/>
      <c r="N15" s="18">
        <f t="shared" si="0"/>
        <v>0</v>
      </c>
    </row>
    <row r="16" spans="1:17" ht="15" customHeight="1" x14ac:dyDescent="0.2">
      <c r="A16">
        <f t="shared" si="1"/>
        <v>14</v>
      </c>
      <c r="B16" s="22" t="str">
        <v>108　人参養栄湯エキス細粒</v>
      </c>
      <c r="C16" s="14"/>
      <c r="D16" s="14"/>
      <c r="E16" s="23"/>
      <c r="F16" s="19"/>
      <c r="G16" s="19"/>
      <c r="H16" s="19"/>
      <c r="I16" s="19"/>
      <c r="J16" s="19"/>
      <c r="K16" s="19"/>
      <c r="L16" s="21"/>
      <c r="M16" s="14"/>
      <c r="N16" s="18">
        <f t="shared" si="0"/>
        <v>0</v>
      </c>
    </row>
    <row r="17" spans="1:14" ht="15" customHeight="1" x14ac:dyDescent="0.2">
      <c r="A17">
        <f t="shared" si="1"/>
        <v>15</v>
      </c>
      <c r="B17" s="22" t="str">
        <v>112　チョレイトウゴウシモットウ</v>
      </c>
      <c r="C17" s="14"/>
      <c r="D17" s="14"/>
      <c r="E17" s="23"/>
      <c r="F17" s="19"/>
      <c r="G17" s="19"/>
      <c r="H17" s="19"/>
      <c r="I17" s="19"/>
      <c r="J17" s="19"/>
      <c r="K17" s="19"/>
      <c r="L17" s="21"/>
      <c r="M17" s="14"/>
      <c r="N17" s="18">
        <f t="shared" si="0"/>
        <v>0</v>
      </c>
    </row>
    <row r="18" spans="1:14" ht="15" customHeight="1" x14ac:dyDescent="0.2">
      <c r="A18">
        <f t="shared" si="1"/>
        <v>16</v>
      </c>
      <c r="B18" s="22" t="str">
        <v>ＥＫ１　葛根湯エキス細粒</v>
      </c>
      <c r="C18" s="14"/>
      <c r="D18" s="14"/>
      <c r="E18" s="23"/>
      <c r="F18" s="19"/>
      <c r="G18" s="19"/>
      <c r="H18" s="19"/>
      <c r="I18" s="19"/>
      <c r="J18" s="19"/>
      <c r="K18" s="19"/>
      <c r="L18" s="21"/>
      <c r="M18" s="14"/>
      <c r="N18" s="18">
        <f t="shared" si="0"/>
        <v>0</v>
      </c>
    </row>
    <row r="19" spans="1:14" ht="15" customHeight="1" x14ac:dyDescent="0.2">
      <c r="A19">
        <f t="shared" si="1"/>
        <v>17</v>
      </c>
      <c r="B19" s="22" t="str">
        <v>EK114　柴苓湯　　　　　　　　　　　</v>
      </c>
      <c r="C19" s="14"/>
      <c r="D19" s="14"/>
      <c r="E19" s="23"/>
      <c r="F19" s="19"/>
      <c r="G19" s="19"/>
      <c r="H19" s="19"/>
      <c r="I19" s="19"/>
      <c r="J19" s="19"/>
      <c r="K19" s="19"/>
      <c r="L19" s="21"/>
      <c r="M19" s="14"/>
      <c r="N19" s="18">
        <f t="shared" si="0"/>
        <v>0</v>
      </c>
    </row>
    <row r="20" spans="1:14" ht="15" customHeight="1" x14ac:dyDescent="0.2">
      <c r="A20">
        <f t="shared" si="1"/>
        <v>18</v>
      </c>
      <c r="B20" s="22" t="str">
        <v>EK15　黄連解毒湯エキス細粒</v>
      </c>
      <c r="C20" s="16"/>
      <c r="D20" s="16"/>
      <c r="E20" s="23"/>
      <c r="F20" s="19"/>
      <c r="G20" s="19"/>
      <c r="H20" s="19"/>
      <c r="I20" s="19"/>
      <c r="J20" s="19"/>
      <c r="K20" s="19"/>
      <c r="L20" s="21"/>
      <c r="M20" s="14"/>
      <c r="N20" s="18">
        <f t="shared" si="0"/>
        <v>0</v>
      </c>
    </row>
    <row r="21" spans="1:14" ht="15" customHeight="1" x14ac:dyDescent="0.2">
      <c r="A21">
        <f t="shared" si="1"/>
        <v>19</v>
      </c>
      <c r="B21" s="19" t="str">
        <v>EK19　小青竜湯エキス細粒</v>
      </c>
      <c r="C21" s="16"/>
      <c r="D21" s="16"/>
      <c r="E21" s="20"/>
      <c r="F21" s="19"/>
      <c r="G21" s="19"/>
      <c r="H21" s="19"/>
      <c r="I21" s="19"/>
      <c r="J21" s="19"/>
      <c r="K21" s="19"/>
      <c r="L21" s="21"/>
      <c r="M21" s="14"/>
      <c r="N21" s="18">
        <f t="shared" si="0"/>
        <v>0</v>
      </c>
    </row>
    <row r="22" spans="1:14" ht="15" customHeight="1" x14ac:dyDescent="0.2">
      <c r="A22">
        <f t="shared" si="1"/>
        <v>20</v>
      </c>
      <c r="B22" s="19" t="str">
        <v>ＥＫ24　加味逍遥散料エキス細粒</v>
      </c>
      <c r="C22" s="16"/>
      <c r="D22" s="16"/>
      <c r="E22" s="26"/>
      <c r="F22" s="19"/>
      <c r="G22" s="19"/>
      <c r="H22" s="19"/>
      <c r="I22" s="19"/>
      <c r="J22" s="19"/>
      <c r="K22" s="19"/>
      <c r="L22" s="21"/>
      <c r="M22" s="14"/>
      <c r="N22" s="18">
        <f t="shared" si="0"/>
        <v>0</v>
      </c>
    </row>
    <row r="23" spans="1:14" ht="15" customHeight="1" x14ac:dyDescent="0.2">
      <c r="A23">
        <f t="shared" si="1"/>
        <v>21</v>
      </c>
      <c r="B23" s="19" t="str">
        <v>ＥＫ40　猪苓湯エキス細粒</v>
      </c>
      <c r="C23" s="16"/>
      <c r="D23" s="16"/>
      <c r="E23" s="20"/>
      <c r="F23" s="19"/>
      <c r="G23" s="19"/>
      <c r="H23" s="19"/>
      <c r="I23" s="19"/>
      <c r="J23" s="19"/>
      <c r="K23" s="19"/>
      <c r="L23" s="21"/>
      <c r="M23" s="14"/>
      <c r="N23" s="18">
        <f t="shared" si="0"/>
        <v>0</v>
      </c>
    </row>
    <row r="24" spans="1:14" ht="15" customHeight="1" x14ac:dyDescent="0.2">
      <c r="A24">
        <f t="shared" si="1"/>
        <v>22</v>
      </c>
      <c r="B24" s="19" t="str">
        <v>EK41　補中益気湯エキス細粒</v>
      </c>
      <c r="C24" s="16"/>
      <c r="D24" s="16"/>
      <c r="E24" s="20"/>
      <c r="F24" s="19"/>
      <c r="G24" s="19"/>
      <c r="H24" s="19"/>
      <c r="I24" s="19"/>
      <c r="J24" s="19"/>
      <c r="K24" s="19"/>
      <c r="L24" s="21"/>
      <c r="M24" s="14"/>
      <c r="N24" s="18">
        <f t="shared" si="0"/>
        <v>0</v>
      </c>
    </row>
    <row r="25" spans="1:14" ht="15" customHeight="1" x14ac:dyDescent="0.2">
      <c r="A25">
        <f t="shared" si="1"/>
        <v>23</v>
      </c>
      <c r="B25" s="19"/>
      <c r="C25" s="16"/>
      <c r="D25" s="16"/>
      <c r="E25" s="20"/>
      <c r="F25" s="19"/>
      <c r="G25" s="19"/>
      <c r="H25" s="19"/>
      <c r="I25" s="19"/>
      <c r="J25" s="19"/>
      <c r="K25" s="19"/>
      <c r="L25" s="21"/>
      <c r="M25" s="14"/>
      <c r="N25" s="18" t="str">
        <f t="shared" si="0"/>
        <v/>
      </c>
    </row>
    <row r="26" spans="1:14" ht="15" customHeight="1" x14ac:dyDescent="0.2">
      <c r="A26">
        <f t="shared" si="1"/>
        <v>24</v>
      </c>
      <c r="B26" s="19"/>
      <c r="C26" s="16"/>
      <c r="D26" s="16"/>
      <c r="E26" s="20"/>
      <c r="F26" s="19"/>
      <c r="G26" s="19"/>
      <c r="H26" s="19"/>
      <c r="I26" s="19"/>
      <c r="J26" s="19"/>
      <c r="K26" s="19"/>
      <c r="L26" s="21"/>
      <c r="M26" s="14"/>
      <c r="N26" s="18" t="str">
        <f t="shared" si="0"/>
        <v/>
      </c>
    </row>
    <row r="27" spans="1:14" ht="15" customHeight="1" x14ac:dyDescent="0.2">
      <c r="A27">
        <f t="shared" si="1"/>
        <v>25</v>
      </c>
      <c r="B27" s="19"/>
      <c r="C27" s="16"/>
      <c r="D27" s="16"/>
      <c r="E27" s="20"/>
      <c r="F27" s="19"/>
      <c r="G27" s="19"/>
      <c r="H27" s="19"/>
      <c r="I27" s="19"/>
      <c r="J27" s="19"/>
      <c r="K27" s="19"/>
      <c r="L27" s="21"/>
      <c r="M27" s="14"/>
      <c r="N27" s="18" t="str">
        <f t="shared" si="0"/>
        <v/>
      </c>
    </row>
    <row r="28" spans="1:14" ht="15" customHeight="1" x14ac:dyDescent="0.2">
      <c r="A28">
        <f t="shared" si="1"/>
        <v>26</v>
      </c>
      <c r="B28" s="19"/>
      <c r="C28" s="16"/>
      <c r="D28" s="16"/>
      <c r="E28" s="20"/>
      <c r="F28" s="19"/>
      <c r="G28" s="19"/>
      <c r="H28" s="19"/>
      <c r="I28" s="19"/>
      <c r="J28" s="19"/>
      <c r="K28" s="19"/>
      <c r="L28" s="21"/>
      <c r="M28" s="14"/>
      <c r="N28" s="18" t="str">
        <f t="shared" si="0"/>
        <v/>
      </c>
    </row>
    <row r="29" spans="1:14" ht="15" customHeight="1" x14ac:dyDescent="0.2">
      <c r="A29">
        <f t="shared" si="1"/>
        <v>27</v>
      </c>
      <c r="B29" s="19"/>
      <c r="C29" s="16"/>
      <c r="D29" s="16"/>
      <c r="E29" s="20"/>
      <c r="F29" s="19"/>
      <c r="G29" s="19"/>
      <c r="H29" s="19"/>
      <c r="I29" s="19"/>
      <c r="J29" s="19"/>
      <c r="K29" s="19"/>
      <c r="L29" s="21"/>
      <c r="M29" s="14"/>
      <c r="N29" s="18" t="str">
        <f t="shared" si="0"/>
        <v/>
      </c>
    </row>
    <row r="30" spans="1:14" ht="15" customHeight="1" x14ac:dyDescent="0.2">
      <c r="A30">
        <f t="shared" si="1"/>
        <v>28</v>
      </c>
      <c r="B30" s="19"/>
      <c r="C30" s="16"/>
      <c r="D30" s="16"/>
      <c r="E30" s="20"/>
      <c r="F30" s="19"/>
      <c r="G30" s="19"/>
      <c r="H30" s="19"/>
      <c r="I30" s="19"/>
      <c r="J30" s="19"/>
      <c r="K30" s="19"/>
      <c r="L30" s="21"/>
      <c r="M30" s="14"/>
      <c r="N30" s="18" t="str">
        <f t="shared" si="0"/>
        <v/>
      </c>
    </row>
    <row r="31" spans="1:14" ht="15" customHeight="1" x14ac:dyDescent="0.2">
      <c r="A31">
        <f t="shared" si="1"/>
        <v>29</v>
      </c>
      <c r="B31" s="19"/>
      <c r="C31" s="16"/>
      <c r="D31" s="16"/>
      <c r="E31" s="20"/>
      <c r="F31" s="19"/>
      <c r="G31" s="19"/>
      <c r="H31" s="19"/>
      <c r="I31" s="19"/>
      <c r="J31" s="19"/>
      <c r="K31" s="19"/>
      <c r="L31" s="21"/>
      <c r="M31" s="14"/>
      <c r="N31" s="18" t="str">
        <f t="shared" si="0"/>
        <v/>
      </c>
    </row>
    <row r="32" spans="1:14" ht="15" customHeight="1" x14ac:dyDescent="0.2">
      <c r="A32">
        <f t="shared" si="1"/>
        <v>30</v>
      </c>
      <c r="B32" s="19"/>
      <c r="C32" s="16"/>
      <c r="D32" s="16"/>
      <c r="E32" s="20"/>
      <c r="F32" s="19"/>
      <c r="G32" s="19"/>
      <c r="H32" s="19"/>
      <c r="I32" s="19"/>
      <c r="J32" s="19"/>
      <c r="K32" s="19"/>
      <c r="L32" s="21"/>
      <c r="M32" s="14"/>
      <c r="N32" s="18" t="str">
        <f t="shared" si="0"/>
        <v/>
      </c>
    </row>
    <row r="33" spans="1:14" ht="15" customHeight="1" x14ac:dyDescent="0.2">
      <c r="A33">
        <f t="shared" si="1"/>
        <v>31</v>
      </c>
      <c r="B33" s="19"/>
      <c r="C33" s="16"/>
      <c r="D33" s="16"/>
      <c r="E33" s="20"/>
      <c r="F33" s="19"/>
      <c r="G33" s="19"/>
      <c r="H33" s="19"/>
      <c r="I33" s="19"/>
      <c r="J33" s="19"/>
      <c r="K33" s="19"/>
      <c r="L33" s="21"/>
      <c r="M33" s="14"/>
      <c r="N33" s="18" t="str">
        <f t="shared" si="0"/>
        <v/>
      </c>
    </row>
    <row r="34" spans="1:14" ht="15" customHeight="1" x14ac:dyDescent="0.2">
      <c r="A34">
        <f t="shared" si="1"/>
        <v>32</v>
      </c>
      <c r="B34" s="19"/>
      <c r="C34" s="16"/>
      <c r="D34" s="16"/>
      <c r="E34" s="20"/>
      <c r="F34" s="19"/>
      <c r="G34" s="19"/>
      <c r="H34" s="19"/>
      <c r="I34" s="19"/>
      <c r="J34" s="19"/>
      <c r="K34" s="19"/>
      <c r="L34" s="21"/>
      <c r="M34" s="14"/>
      <c r="N34" s="18" t="str">
        <f t="shared" si="0"/>
        <v/>
      </c>
    </row>
    <row r="35" spans="1:14" ht="15" customHeight="1" x14ac:dyDescent="0.2">
      <c r="A35">
        <f t="shared" si="1"/>
        <v>33</v>
      </c>
      <c r="B35" s="19"/>
      <c r="C35" s="16"/>
      <c r="D35" s="16"/>
      <c r="E35" s="20"/>
      <c r="F35" s="19"/>
      <c r="G35" s="19"/>
      <c r="H35" s="19"/>
      <c r="I35" s="19"/>
      <c r="J35" s="19"/>
      <c r="K35" s="19"/>
      <c r="L35" s="21"/>
      <c r="M35" s="14"/>
      <c r="N35" s="18" t="str">
        <f t="shared" si="0"/>
        <v/>
      </c>
    </row>
    <row r="36" spans="1:14" ht="15" customHeight="1" x14ac:dyDescent="0.2">
      <c r="A36">
        <f t="shared" si="1"/>
        <v>34</v>
      </c>
      <c r="B36" s="19"/>
      <c r="C36" s="16"/>
      <c r="D36" s="16"/>
      <c r="E36" s="20"/>
      <c r="F36" s="19"/>
      <c r="G36" s="19"/>
      <c r="H36" s="19"/>
      <c r="I36" s="19"/>
      <c r="J36" s="19"/>
      <c r="K36" s="19"/>
      <c r="L36" s="21"/>
      <c r="M36" s="14"/>
      <c r="N36" s="18" t="str">
        <f t="shared" si="0"/>
        <v/>
      </c>
    </row>
    <row r="37" spans="1:14" ht="15" customHeight="1" x14ac:dyDescent="0.2">
      <c r="A37">
        <f t="shared" si="1"/>
        <v>35</v>
      </c>
      <c r="B37" s="19"/>
      <c r="C37" s="16"/>
      <c r="D37" s="16"/>
      <c r="E37" s="26"/>
      <c r="F37" s="19"/>
      <c r="G37" s="19"/>
      <c r="H37" s="19"/>
      <c r="I37" s="19"/>
      <c r="J37" s="19"/>
      <c r="K37" s="19"/>
      <c r="L37" s="21"/>
      <c r="M37" s="14"/>
      <c r="N37" s="18" t="str">
        <f t="shared" si="0"/>
        <v/>
      </c>
    </row>
    <row r="38" spans="1:14" ht="15" customHeight="1" x14ac:dyDescent="0.2">
      <c r="A38">
        <f t="shared" si="1"/>
        <v>36</v>
      </c>
      <c r="B38" s="19"/>
      <c r="C38" s="16"/>
      <c r="D38" s="16"/>
      <c r="E38" s="20"/>
      <c r="F38" s="19"/>
      <c r="G38" s="19"/>
      <c r="H38" s="19"/>
      <c r="I38" s="19"/>
      <c r="J38" s="19"/>
      <c r="K38" s="19"/>
      <c r="L38" s="21"/>
      <c r="M38" s="14"/>
      <c r="N38" s="18" t="str">
        <f t="shared" si="0"/>
        <v/>
      </c>
    </row>
    <row r="39" spans="1:14" ht="15" customHeight="1" x14ac:dyDescent="0.2">
      <c r="A39">
        <f t="shared" si="1"/>
        <v>37</v>
      </c>
      <c r="B39" s="19"/>
      <c r="C39" s="16"/>
      <c r="D39" s="16"/>
      <c r="E39" s="20"/>
      <c r="F39" s="19"/>
      <c r="G39" s="19"/>
      <c r="H39" s="19"/>
      <c r="I39" s="19"/>
      <c r="J39" s="19"/>
      <c r="K39" s="19"/>
      <c r="L39" s="21"/>
      <c r="M39" s="14"/>
      <c r="N39" s="18" t="str">
        <f t="shared" si="0"/>
        <v/>
      </c>
    </row>
    <row r="40" spans="1:14" ht="15" customHeight="1" x14ac:dyDescent="0.2">
      <c r="A40">
        <f t="shared" si="1"/>
        <v>38</v>
      </c>
      <c r="B40" s="19"/>
      <c r="C40" s="16"/>
      <c r="D40" s="16"/>
      <c r="E40" s="20"/>
      <c r="F40" s="19"/>
      <c r="G40" s="19"/>
      <c r="H40" s="19"/>
      <c r="I40" s="19"/>
      <c r="J40" s="19"/>
      <c r="K40" s="19"/>
      <c r="L40" s="21"/>
      <c r="M40" s="14"/>
      <c r="N40" s="18" t="str">
        <f t="shared" si="0"/>
        <v/>
      </c>
    </row>
    <row r="41" spans="1:14" ht="15" customHeight="1" x14ac:dyDescent="0.2">
      <c r="A41">
        <f t="shared" si="1"/>
        <v>39</v>
      </c>
      <c r="B41" s="19"/>
      <c r="C41" s="16"/>
      <c r="D41" s="16"/>
      <c r="E41" s="20"/>
      <c r="F41" s="19"/>
      <c r="G41" s="19"/>
      <c r="H41" s="19"/>
      <c r="I41" s="19"/>
      <c r="J41" s="19"/>
      <c r="K41" s="19"/>
      <c r="L41" s="21"/>
      <c r="M41" s="14"/>
      <c r="N41" s="18" t="str">
        <f t="shared" si="0"/>
        <v/>
      </c>
    </row>
    <row r="42" spans="1:14" ht="15" customHeight="1" x14ac:dyDescent="0.2">
      <c r="A42">
        <f t="shared" si="1"/>
        <v>40</v>
      </c>
      <c r="B42" s="19"/>
      <c r="C42" s="16"/>
      <c r="D42" s="16"/>
      <c r="E42" s="20"/>
      <c r="F42" s="19"/>
      <c r="G42" s="19"/>
      <c r="H42" s="19"/>
      <c r="I42" s="19"/>
      <c r="J42" s="19"/>
      <c r="K42" s="19"/>
      <c r="L42" s="21"/>
      <c r="M42" s="14"/>
      <c r="N42" s="18" t="str">
        <f t="shared" si="0"/>
        <v/>
      </c>
    </row>
    <row r="43" spans="1:14" ht="15" customHeight="1" x14ac:dyDescent="0.2">
      <c r="A43">
        <f t="shared" si="1"/>
        <v>41</v>
      </c>
      <c r="B43" s="19"/>
      <c r="C43" s="16"/>
      <c r="D43" s="16"/>
      <c r="E43" s="20"/>
      <c r="F43" s="19"/>
      <c r="G43" s="19"/>
      <c r="H43" s="19"/>
      <c r="I43" s="19"/>
      <c r="J43" s="19"/>
      <c r="K43" s="19"/>
      <c r="L43" s="21"/>
      <c r="M43" s="14"/>
      <c r="N43" s="18" t="str">
        <f t="shared" si="0"/>
        <v/>
      </c>
    </row>
    <row r="44" spans="1:14" ht="15" customHeight="1" x14ac:dyDescent="0.2">
      <c r="A44">
        <f t="shared" si="1"/>
        <v>42</v>
      </c>
      <c r="B44" s="19"/>
      <c r="C44" s="16"/>
      <c r="D44" s="16"/>
      <c r="E44" s="20"/>
      <c r="F44" s="19"/>
      <c r="G44" s="19"/>
      <c r="H44" s="19"/>
      <c r="I44" s="19"/>
      <c r="J44" s="19"/>
      <c r="K44" s="19"/>
      <c r="L44" s="21"/>
      <c r="M44" s="14"/>
      <c r="N44" s="18" t="str">
        <f t="shared" si="0"/>
        <v/>
      </c>
    </row>
    <row r="45" spans="1:14" ht="15" customHeight="1" x14ac:dyDescent="0.2">
      <c r="A45">
        <f t="shared" si="1"/>
        <v>43</v>
      </c>
      <c r="B45" s="19"/>
      <c r="C45" s="16"/>
      <c r="D45" s="16"/>
      <c r="E45" s="20"/>
      <c r="F45" s="19"/>
      <c r="G45" s="19"/>
      <c r="H45" s="19"/>
      <c r="I45" s="19"/>
      <c r="J45" s="19"/>
      <c r="K45" s="19"/>
      <c r="L45" s="21"/>
      <c r="M45" s="14"/>
      <c r="N45" s="18" t="str">
        <f t="shared" si="0"/>
        <v/>
      </c>
    </row>
    <row r="46" spans="1:14" ht="15" customHeight="1" x14ac:dyDescent="0.2">
      <c r="A46">
        <f t="shared" ref="A46:A109" si="2">A45+1</f>
        <v>44</v>
      </c>
      <c r="B46" s="19"/>
      <c r="C46" s="16"/>
      <c r="D46" s="16"/>
      <c r="E46" s="20"/>
      <c r="F46" s="19"/>
      <c r="G46" s="19"/>
      <c r="H46" s="19"/>
      <c r="I46" s="19"/>
      <c r="J46" s="19"/>
      <c r="K46" s="19"/>
      <c r="L46" s="21"/>
      <c r="M46" s="14"/>
      <c r="N46" s="18" t="str">
        <f t="shared" si="0"/>
        <v/>
      </c>
    </row>
    <row r="47" spans="1:14" ht="15" customHeight="1" x14ac:dyDescent="0.2">
      <c r="A47">
        <f t="shared" si="2"/>
        <v>45</v>
      </c>
      <c r="B47" s="19"/>
      <c r="C47" s="16"/>
      <c r="D47" s="16"/>
      <c r="E47" s="20"/>
      <c r="F47" s="19"/>
      <c r="G47" s="19"/>
      <c r="H47" s="19"/>
      <c r="I47" s="19"/>
      <c r="J47" s="19"/>
      <c r="K47" s="19"/>
      <c r="L47" s="21"/>
      <c r="M47" s="14"/>
      <c r="N47" s="18" t="str">
        <f t="shared" si="0"/>
        <v/>
      </c>
    </row>
    <row r="48" spans="1:14" ht="15" customHeight="1" x14ac:dyDescent="0.2">
      <c r="A48">
        <f t="shared" si="2"/>
        <v>46</v>
      </c>
      <c r="B48" s="19"/>
      <c r="C48" s="16"/>
      <c r="D48" s="16"/>
      <c r="E48" s="20"/>
      <c r="F48" s="19"/>
      <c r="G48" s="19"/>
      <c r="H48" s="19"/>
      <c r="I48" s="19"/>
      <c r="J48" s="19"/>
      <c r="K48" s="19"/>
      <c r="L48" s="21"/>
      <c r="M48" s="14"/>
      <c r="N48" s="18" t="str">
        <f t="shared" si="0"/>
        <v/>
      </c>
    </row>
    <row r="49" spans="1:14" ht="15" customHeight="1" x14ac:dyDescent="0.2">
      <c r="A49">
        <f t="shared" si="2"/>
        <v>47</v>
      </c>
      <c r="B49" s="19"/>
      <c r="C49" s="16"/>
      <c r="D49" s="16"/>
      <c r="E49" s="20"/>
      <c r="F49" s="19"/>
      <c r="G49" s="19"/>
      <c r="H49" s="19"/>
      <c r="I49" s="19"/>
      <c r="J49" s="19"/>
      <c r="K49" s="19"/>
      <c r="L49" s="21"/>
      <c r="M49" s="14"/>
      <c r="N49" s="18" t="str">
        <f t="shared" si="0"/>
        <v/>
      </c>
    </row>
    <row r="50" spans="1:14" ht="15" customHeight="1" x14ac:dyDescent="0.2">
      <c r="A50">
        <f t="shared" si="2"/>
        <v>48</v>
      </c>
      <c r="B50" s="19"/>
      <c r="C50" s="16"/>
      <c r="D50" s="16"/>
      <c r="E50" s="20"/>
      <c r="F50" s="19"/>
      <c r="G50" s="19"/>
      <c r="H50" s="19"/>
      <c r="I50" s="19"/>
      <c r="J50" s="19"/>
      <c r="K50" s="19"/>
      <c r="L50" s="21"/>
      <c r="M50" s="14"/>
      <c r="N50" s="18" t="str">
        <f t="shared" si="0"/>
        <v/>
      </c>
    </row>
    <row r="51" spans="1:14" ht="15" customHeight="1" x14ac:dyDescent="0.2">
      <c r="A51">
        <f t="shared" si="2"/>
        <v>49</v>
      </c>
      <c r="B51" s="19"/>
      <c r="C51" s="16"/>
      <c r="D51" s="16"/>
      <c r="E51" s="20"/>
      <c r="F51" s="19"/>
      <c r="G51" s="19"/>
      <c r="H51" s="19"/>
      <c r="I51" s="19"/>
      <c r="J51" s="19"/>
      <c r="K51" s="19"/>
      <c r="L51" s="21"/>
      <c r="M51" s="14"/>
      <c r="N51" s="18" t="str">
        <f t="shared" si="0"/>
        <v/>
      </c>
    </row>
    <row r="52" spans="1:14" ht="15" customHeight="1" x14ac:dyDescent="0.2">
      <c r="A52">
        <f t="shared" si="2"/>
        <v>50</v>
      </c>
      <c r="B52" s="19"/>
      <c r="C52" s="16"/>
      <c r="D52" s="16"/>
      <c r="E52" s="20"/>
      <c r="F52" s="19"/>
      <c r="G52" s="19"/>
      <c r="H52" s="19"/>
      <c r="I52" s="19"/>
      <c r="J52" s="19"/>
      <c r="K52" s="19"/>
      <c r="L52" s="21"/>
      <c r="M52" s="14"/>
      <c r="N52" s="18" t="str">
        <f t="shared" si="0"/>
        <v/>
      </c>
    </row>
    <row r="53" spans="1:14" ht="15" customHeight="1" x14ac:dyDescent="0.2">
      <c r="A53">
        <f t="shared" si="2"/>
        <v>51</v>
      </c>
      <c r="B53" s="19"/>
      <c r="C53" s="16"/>
      <c r="D53" s="16"/>
      <c r="E53" s="20"/>
      <c r="F53" s="19"/>
      <c r="G53" s="19"/>
      <c r="H53" s="19"/>
      <c r="I53" s="19"/>
      <c r="J53" s="19"/>
      <c r="K53" s="19"/>
      <c r="L53" s="21"/>
      <c r="M53" s="14"/>
      <c r="N53" s="18" t="str">
        <f t="shared" si="0"/>
        <v/>
      </c>
    </row>
    <row r="54" spans="1:14" ht="15" customHeight="1" x14ac:dyDescent="0.2">
      <c r="A54">
        <f t="shared" si="2"/>
        <v>52</v>
      </c>
      <c r="B54" s="19"/>
      <c r="C54" s="16"/>
      <c r="D54" s="16"/>
      <c r="E54" s="20"/>
      <c r="F54" s="19"/>
      <c r="G54" s="19"/>
      <c r="H54" s="19"/>
      <c r="I54" s="19"/>
      <c r="J54" s="19"/>
      <c r="K54" s="19"/>
      <c r="L54" s="21"/>
      <c r="M54" s="14"/>
      <c r="N54" s="18" t="str">
        <f t="shared" si="0"/>
        <v/>
      </c>
    </row>
    <row r="55" spans="1:14" ht="15" customHeight="1" x14ac:dyDescent="0.2">
      <c r="A55">
        <f t="shared" si="2"/>
        <v>53</v>
      </c>
      <c r="B55" s="19"/>
      <c r="C55" s="16"/>
      <c r="D55" s="16"/>
      <c r="E55" s="20"/>
      <c r="F55" s="19"/>
      <c r="G55" s="19"/>
      <c r="H55" s="19"/>
      <c r="I55" s="19"/>
      <c r="J55" s="19"/>
      <c r="K55" s="19"/>
      <c r="L55" s="21"/>
      <c r="M55" s="14"/>
      <c r="N55" s="18" t="str">
        <f t="shared" si="0"/>
        <v/>
      </c>
    </row>
    <row r="56" spans="1:14" ht="15" customHeight="1" x14ac:dyDescent="0.2">
      <c r="A56">
        <f t="shared" si="2"/>
        <v>54</v>
      </c>
      <c r="B56" s="19"/>
      <c r="C56" s="16"/>
      <c r="D56" s="16"/>
      <c r="E56" s="20"/>
      <c r="F56" s="19"/>
      <c r="G56" s="19"/>
      <c r="H56" s="19"/>
      <c r="I56" s="19"/>
      <c r="J56" s="19"/>
      <c r="K56" s="19"/>
      <c r="L56" s="21"/>
      <c r="M56" s="14"/>
      <c r="N56" s="18" t="str">
        <f t="shared" si="0"/>
        <v/>
      </c>
    </row>
    <row r="57" spans="1:14" ht="15" customHeight="1" x14ac:dyDescent="0.2">
      <c r="A57">
        <f t="shared" si="2"/>
        <v>55</v>
      </c>
      <c r="B57" s="19"/>
      <c r="C57" s="16"/>
      <c r="D57" s="16"/>
      <c r="E57" s="20"/>
      <c r="F57" s="19"/>
      <c r="G57" s="19"/>
      <c r="H57" s="19"/>
      <c r="I57" s="19"/>
      <c r="J57" s="19"/>
      <c r="K57" s="19"/>
      <c r="L57" s="21"/>
      <c r="M57" s="14"/>
      <c r="N57" s="18" t="str">
        <f t="shared" si="0"/>
        <v/>
      </c>
    </row>
    <row r="58" spans="1:14" ht="15" customHeight="1" x14ac:dyDescent="0.2">
      <c r="A58">
        <f t="shared" si="2"/>
        <v>56</v>
      </c>
      <c r="B58" s="19"/>
      <c r="C58" s="16"/>
      <c r="D58" s="16"/>
      <c r="E58" s="20"/>
      <c r="F58" s="19"/>
      <c r="G58" s="19"/>
      <c r="H58" s="19"/>
      <c r="I58" s="19"/>
      <c r="J58" s="19"/>
      <c r="K58" s="19"/>
      <c r="L58" s="21"/>
      <c r="M58" s="14"/>
      <c r="N58" s="18" t="str">
        <f t="shared" si="0"/>
        <v/>
      </c>
    </row>
    <row r="59" spans="1:14" ht="15" customHeight="1" x14ac:dyDescent="0.2">
      <c r="A59">
        <f t="shared" si="2"/>
        <v>57</v>
      </c>
      <c r="B59" s="19"/>
      <c r="C59" s="16"/>
      <c r="D59" s="16"/>
      <c r="E59" s="20"/>
      <c r="F59" s="19"/>
      <c r="G59" s="19"/>
      <c r="H59" s="19"/>
      <c r="I59" s="19"/>
      <c r="J59" s="19"/>
      <c r="K59" s="19"/>
      <c r="L59" s="21"/>
      <c r="M59" s="14"/>
      <c r="N59" s="18" t="str">
        <f t="shared" si="0"/>
        <v/>
      </c>
    </row>
    <row r="60" spans="1:14" ht="15" customHeight="1" x14ac:dyDescent="0.2">
      <c r="A60">
        <f t="shared" si="2"/>
        <v>58</v>
      </c>
      <c r="B60" s="19"/>
      <c r="C60" s="16"/>
      <c r="D60" s="16"/>
      <c r="E60" s="20"/>
      <c r="F60" s="19"/>
      <c r="G60" s="19"/>
      <c r="H60" s="19"/>
      <c r="I60" s="19"/>
      <c r="J60" s="19"/>
      <c r="K60" s="19"/>
      <c r="L60" s="21"/>
      <c r="M60" s="14"/>
      <c r="N60" s="18" t="str">
        <f t="shared" si="0"/>
        <v/>
      </c>
    </row>
    <row r="61" spans="1:14" ht="15" customHeight="1" x14ac:dyDescent="0.2">
      <c r="A61">
        <f t="shared" si="2"/>
        <v>59</v>
      </c>
      <c r="B61" s="19"/>
      <c r="C61" s="16"/>
      <c r="D61" s="16"/>
      <c r="E61" s="20"/>
      <c r="F61" s="19"/>
      <c r="G61" s="19"/>
      <c r="H61" s="19"/>
      <c r="I61" s="19"/>
      <c r="J61" s="19"/>
      <c r="K61" s="19"/>
      <c r="L61" s="21"/>
      <c r="M61" s="14"/>
      <c r="N61" s="18" t="str">
        <f t="shared" si="0"/>
        <v/>
      </c>
    </row>
    <row r="62" spans="1:14" ht="15" customHeight="1" x14ac:dyDescent="0.2">
      <c r="A62">
        <f t="shared" si="2"/>
        <v>60</v>
      </c>
      <c r="B62" s="19"/>
      <c r="C62" s="16"/>
      <c r="D62" s="16"/>
      <c r="E62" s="20"/>
      <c r="F62" s="19"/>
      <c r="G62" s="19"/>
      <c r="H62" s="19"/>
      <c r="I62" s="19"/>
      <c r="J62" s="19"/>
      <c r="K62" s="19"/>
      <c r="L62" s="21"/>
      <c r="M62" s="14"/>
      <c r="N62" s="18" t="str">
        <f t="shared" si="0"/>
        <v/>
      </c>
    </row>
    <row r="63" spans="1:14" ht="15" customHeight="1" x14ac:dyDescent="0.2">
      <c r="A63">
        <f t="shared" si="2"/>
        <v>61</v>
      </c>
      <c r="B63" s="19"/>
      <c r="C63" s="16"/>
      <c r="D63" s="16"/>
      <c r="E63" s="20"/>
      <c r="F63" s="19"/>
      <c r="G63" s="19"/>
      <c r="H63" s="19"/>
      <c r="I63" s="19"/>
      <c r="J63" s="19"/>
      <c r="K63" s="19"/>
      <c r="L63" s="21"/>
      <c r="M63" s="14"/>
      <c r="N63" s="18" t="str">
        <f t="shared" si="0"/>
        <v/>
      </c>
    </row>
    <row r="64" spans="1:14" ht="15" customHeight="1" x14ac:dyDescent="0.2">
      <c r="A64">
        <f t="shared" si="2"/>
        <v>62</v>
      </c>
      <c r="B64" s="19"/>
      <c r="C64" s="16"/>
      <c r="D64" s="16"/>
      <c r="E64" s="20"/>
      <c r="F64" s="19"/>
      <c r="G64" s="19"/>
      <c r="H64" s="19"/>
      <c r="I64" s="19"/>
      <c r="J64" s="19"/>
      <c r="K64" s="19"/>
      <c r="L64" s="21"/>
      <c r="M64" s="14"/>
      <c r="N64" s="18" t="str">
        <f t="shared" si="0"/>
        <v/>
      </c>
    </row>
    <row r="65" spans="1:14" ht="15" customHeight="1" x14ac:dyDescent="0.2">
      <c r="A65">
        <f t="shared" si="2"/>
        <v>63</v>
      </c>
      <c r="B65" s="19"/>
      <c r="C65" s="16"/>
      <c r="D65" s="16"/>
      <c r="E65" s="20"/>
      <c r="F65" s="19"/>
      <c r="G65" s="19"/>
      <c r="H65" s="19"/>
      <c r="I65" s="19"/>
      <c r="J65" s="19"/>
      <c r="K65" s="19"/>
      <c r="L65" s="21"/>
      <c r="M65" s="14"/>
      <c r="N65" s="18" t="str">
        <f t="shared" si="0"/>
        <v/>
      </c>
    </row>
    <row r="66" spans="1:14" ht="15" customHeight="1" x14ac:dyDescent="0.2">
      <c r="A66">
        <f t="shared" si="2"/>
        <v>64</v>
      </c>
      <c r="B66" s="19"/>
      <c r="C66" s="16"/>
      <c r="D66" s="16"/>
      <c r="E66" s="20"/>
      <c r="F66" s="19"/>
      <c r="G66" s="19"/>
      <c r="H66" s="19"/>
      <c r="I66" s="19"/>
      <c r="J66" s="19"/>
      <c r="K66" s="19"/>
      <c r="L66" s="21"/>
      <c r="M66" s="14"/>
      <c r="N66" s="18" t="str">
        <f t="shared" si="0"/>
        <v/>
      </c>
    </row>
    <row r="67" spans="1:14" ht="15" customHeight="1" x14ac:dyDescent="0.2">
      <c r="A67">
        <f t="shared" si="2"/>
        <v>65</v>
      </c>
      <c r="B67" s="19"/>
      <c r="C67" s="16"/>
      <c r="D67" s="16"/>
      <c r="E67" s="20"/>
      <c r="F67" s="19"/>
      <c r="G67" s="19"/>
      <c r="H67" s="19"/>
      <c r="I67" s="19"/>
      <c r="J67" s="19"/>
      <c r="K67" s="19"/>
      <c r="L67" s="21"/>
      <c r="M67" s="14"/>
      <c r="N67" s="18" t="str">
        <f t="shared" si="0"/>
        <v/>
      </c>
    </row>
    <row r="68" spans="1:14" ht="15" customHeight="1" x14ac:dyDescent="0.2">
      <c r="A68">
        <f t="shared" si="2"/>
        <v>66</v>
      </c>
      <c r="B68" s="19"/>
      <c r="C68" s="16"/>
      <c r="D68" s="16"/>
      <c r="E68" s="20"/>
      <c r="F68" s="19"/>
      <c r="G68" s="19"/>
      <c r="H68" s="19"/>
      <c r="I68" s="19"/>
      <c r="J68" s="19"/>
      <c r="K68" s="19"/>
      <c r="L68" s="21"/>
      <c r="M68" s="14"/>
      <c r="N68" s="18" t="str">
        <f t="shared" ref="N68:N131" si="3">IF(B68="","",E68*M68)</f>
        <v/>
      </c>
    </row>
    <row r="69" spans="1:14" ht="15" customHeight="1" x14ac:dyDescent="0.2">
      <c r="A69">
        <f t="shared" si="2"/>
        <v>67</v>
      </c>
      <c r="B69" s="19"/>
      <c r="C69" s="16"/>
      <c r="D69" s="16"/>
      <c r="E69" s="20"/>
      <c r="F69" s="19"/>
      <c r="G69" s="19"/>
      <c r="H69" s="19"/>
      <c r="I69" s="19"/>
      <c r="J69" s="19"/>
      <c r="K69" s="19"/>
      <c r="L69" s="21"/>
      <c r="M69" s="14"/>
      <c r="N69" s="18" t="str">
        <f t="shared" si="3"/>
        <v/>
      </c>
    </row>
    <row r="70" spans="1:14" ht="15" customHeight="1" x14ac:dyDescent="0.2">
      <c r="A70">
        <f t="shared" si="2"/>
        <v>68</v>
      </c>
      <c r="B70" s="19"/>
      <c r="C70" s="16"/>
      <c r="D70" s="16"/>
      <c r="E70" s="20"/>
      <c r="F70" s="19"/>
      <c r="G70" s="19"/>
      <c r="H70" s="19"/>
      <c r="I70" s="19"/>
      <c r="J70" s="19"/>
      <c r="K70" s="19"/>
      <c r="L70" s="21"/>
      <c r="M70" s="14"/>
      <c r="N70" s="18" t="str">
        <f t="shared" si="3"/>
        <v/>
      </c>
    </row>
    <row r="71" spans="1:14" ht="15" customHeight="1" x14ac:dyDescent="0.2">
      <c r="A71">
        <f t="shared" si="2"/>
        <v>69</v>
      </c>
      <c r="B71" s="19"/>
      <c r="C71" s="16"/>
      <c r="D71" s="16"/>
      <c r="E71" s="20"/>
      <c r="F71" s="19"/>
      <c r="G71" s="19"/>
      <c r="H71" s="19"/>
      <c r="I71" s="19"/>
      <c r="J71" s="19"/>
      <c r="K71" s="19"/>
      <c r="L71" s="21"/>
      <c r="M71" s="14"/>
      <c r="N71" s="18" t="str">
        <f t="shared" si="3"/>
        <v/>
      </c>
    </row>
    <row r="72" spans="1:14" ht="15" customHeight="1" x14ac:dyDescent="0.2">
      <c r="A72">
        <f t="shared" si="2"/>
        <v>70</v>
      </c>
      <c r="B72" s="19"/>
      <c r="C72" s="16"/>
      <c r="D72" s="16"/>
      <c r="E72" s="20"/>
      <c r="F72" s="19"/>
      <c r="G72" s="19"/>
      <c r="H72" s="19"/>
      <c r="I72" s="19"/>
      <c r="J72" s="19"/>
      <c r="K72" s="19"/>
      <c r="L72" s="21"/>
      <c r="M72" s="14"/>
      <c r="N72" s="18" t="str">
        <f t="shared" si="3"/>
        <v/>
      </c>
    </row>
    <row r="73" spans="1:14" ht="15" customHeight="1" x14ac:dyDescent="0.2">
      <c r="A73">
        <f t="shared" si="2"/>
        <v>71</v>
      </c>
      <c r="B73" s="19"/>
      <c r="C73" s="16"/>
      <c r="D73" s="16"/>
      <c r="E73" s="20"/>
      <c r="F73" s="19"/>
      <c r="G73" s="19"/>
      <c r="H73" s="19"/>
      <c r="I73" s="19"/>
      <c r="J73" s="19"/>
      <c r="K73" s="19"/>
      <c r="L73" s="21"/>
      <c r="M73" s="14"/>
      <c r="N73" s="18" t="str">
        <f t="shared" si="3"/>
        <v/>
      </c>
    </row>
    <row r="74" spans="1:14" ht="15" customHeight="1" x14ac:dyDescent="0.2">
      <c r="A74">
        <f t="shared" si="2"/>
        <v>72</v>
      </c>
      <c r="B74" s="19"/>
      <c r="C74" s="16"/>
      <c r="D74" s="16"/>
      <c r="E74" s="20"/>
      <c r="F74" s="19"/>
      <c r="G74" s="19"/>
      <c r="H74" s="19"/>
      <c r="I74" s="19"/>
      <c r="J74" s="19"/>
      <c r="K74" s="19"/>
      <c r="L74" s="21"/>
      <c r="M74" s="14"/>
      <c r="N74" s="18" t="str">
        <f t="shared" si="3"/>
        <v/>
      </c>
    </row>
    <row r="75" spans="1:14" ht="15" customHeight="1" x14ac:dyDescent="0.2">
      <c r="A75">
        <f t="shared" si="2"/>
        <v>73</v>
      </c>
      <c r="B75" s="19"/>
      <c r="C75" s="16"/>
      <c r="D75" s="16"/>
      <c r="E75" s="20"/>
      <c r="F75" s="19"/>
      <c r="G75" s="19"/>
      <c r="H75" s="19"/>
      <c r="I75" s="19"/>
      <c r="J75" s="19"/>
      <c r="K75" s="19"/>
      <c r="L75" s="21"/>
      <c r="M75" s="14"/>
      <c r="N75" s="18" t="str">
        <f t="shared" si="3"/>
        <v/>
      </c>
    </row>
    <row r="76" spans="1:14" ht="15" customHeight="1" x14ac:dyDescent="0.2">
      <c r="A76">
        <f t="shared" si="2"/>
        <v>74</v>
      </c>
      <c r="B76" s="19"/>
      <c r="C76" s="16"/>
      <c r="D76" s="16"/>
      <c r="E76" s="20"/>
      <c r="F76" s="19"/>
      <c r="G76" s="19"/>
      <c r="H76" s="19"/>
      <c r="I76" s="19"/>
      <c r="J76" s="19"/>
      <c r="K76" s="19"/>
      <c r="L76" s="21"/>
      <c r="M76" s="14"/>
      <c r="N76" s="18" t="str">
        <f t="shared" si="3"/>
        <v/>
      </c>
    </row>
    <row r="77" spans="1:14" ht="15" customHeight="1" x14ac:dyDescent="0.2">
      <c r="A77">
        <f t="shared" si="2"/>
        <v>75</v>
      </c>
      <c r="B77" s="19"/>
      <c r="C77" s="16"/>
      <c r="D77" s="16"/>
      <c r="E77" s="20"/>
      <c r="F77" s="19"/>
      <c r="G77" s="19"/>
      <c r="H77" s="19"/>
      <c r="I77" s="19"/>
      <c r="J77" s="19"/>
      <c r="K77" s="19"/>
      <c r="L77" s="21"/>
      <c r="M77" s="14"/>
      <c r="N77" s="18" t="str">
        <f t="shared" si="3"/>
        <v/>
      </c>
    </row>
    <row r="78" spans="1:14" ht="15" customHeight="1" x14ac:dyDescent="0.2">
      <c r="A78">
        <f t="shared" si="2"/>
        <v>76</v>
      </c>
      <c r="B78" s="19"/>
      <c r="C78" s="16"/>
      <c r="D78" s="16"/>
      <c r="E78" s="20"/>
      <c r="F78" s="19"/>
      <c r="G78" s="19"/>
      <c r="H78" s="19"/>
      <c r="I78" s="19"/>
      <c r="J78" s="19"/>
      <c r="K78" s="19"/>
      <c r="L78" s="21"/>
      <c r="M78" s="14"/>
      <c r="N78" s="18" t="str">
        <f t="shared" si="3"/>
        <v/>
      </c>
    </row>
    <row r="79" spans="1:14" ht="15" customHeight="1" x14ac:dyDescent="0.2">
      <c r="A79">
        <f t="shared" si="2"/>
        <v>77</v>
      </c>
      <c r="B79" s="19"/>
      <c r="C79" s="16"/>
      <c r="D79" s="16"/>
      <c r="E79" s="20"/>
      <c r="F79" s="19"/>
      <c r="G79" s="19"/>
      <c r="H79" s="19"/>
      <c r="I79" s="19"/>
      <c r="J79" s="19"/>
      <c r="K79" s="19"/>
      <c r="L79" s="21"/>
      <c r="M79" s="14"/>
      <c r="N79" s="18" t="str">
        <f t="shared" si="3"/>
        <v/>
      </c>
    </row>
    <row r="80" spans="1:14" ht="15" customHeight="1" x14ac:dyDescent="0.2">
      <c r="A80">
        <f t="shared" si="2"/>
        <v>78</v>
      </c>
      <c r="B80" s="19"/>
      <c r="C80" s="16"/>
      <c r="D80" s="16"/>
      <c r="E80" s="20"/>
      <c r="F80" s="19"/>
      <c r="G80" s="19"/>
      <c r="H80" s="19"/>
      <c r="I80" s="19"/>
      <c r="J80" s="19"/>
      <c r="K80" s="19"/>
      <c r="L80" s="21"/>
      <c r="M80" s="14"/>
      <c r="N80" s="18" t="str">
        <f t="shared" si="3"/>
        <v/>
      </c>
    </row>
    <row r="81" spans="1:14" ht="15" customHeight="1" x14ac:dyDescent="0.2">
      <c r="A81">
        <f t="shared" si="2"/>
        <v>79</v>
      </c>
      <c r="B81" s="19"/>
      <c r="C81" s="16"/>
      <c r="D81" s="16"/>
      <c r="E81" s="20"/>
      <c r="F81" s="19"/>
      <c r="G81" s="19"/>
      <c r="H81" s="19"/>
      <c r="I81" s="19"/>
      <c r="J81" s="19"/>
      <c r="K81" s="19"/>
      <c r="L81" s="21"/>
      <c r="M81" s="14"/>
      <c r="N81" s="18" t="str">
        <f t="shared" si="3"/>
        <v/>
      </c>
    </row>
    <row r="82" spans="1:14" ht="15" customHeight="1" x14ac:dyDescent="0.2">
      <c r="A82">
        <f t="shared" si="2"/>
        <v>80</v>
      </c>
      <c r="B82" s="19"/>
      <c r="C82" s="16"/>
      <c r="D82" s="16"/>
      <c r="E82" s="20"/>
      <c r="F82" s="19"/>
      <c r="G82" s="19"/>
      <c r="H82" s="19"/>
      <c r="I82" s="19"/>
      <c r="J82" s="19"/>
      <c r="K82" s="19"/>
      <c r="L82" s="21"/>
      <c r="M82" s="14"/>
      <c r="N82" s="18" t="str">
        <f t="shared" si="3"/>
        <v/>
      </c>
    </row>
    <row r="83" spans="1:14" ht="15" customHeight="1" x14ac:dyDescent="0.2">
      <c r="A83">
        <f t="shared" si="2"/>
        <v>81</v>
      </c>
      <c r="B83" s="19"/>
      <c r="C83" s="16"/>
      <c r="D83" s="16"/>
      <c r="E83" s="20"/>
      <c r="F83" s="19"/>
      <c r="G83" s="19"/>
      <c r="H83" s="19"/>
      <c r="I83" s="19"/>
      <c r="J83" s="19"/>
      <c r="K83" s="19"/>
      <c r="L83" s="21"/>
      <c r="M83" s="14"/>
      <c r="N83" s="18" t="str">
        <f t="shared" si="3"/>
        <v/>
      </c>
    </row>
    <row r="84" spans="1:14" ht="15" customHeight="1" x14ac:dyDescent="0.2">
      <c r="A84">
        <f t="shared" si="2"/>
        <v>82</v>
      </c>
      <c r="B84" s="19"/>
      <c r="C84" s="16"/>
      <c r="D84" s="16"/>
      <c r="E84" s="20"/>
      <c r="F84" s="19"/>
      <c r="G84" s="19"/>
      <c r="H84" s="19"/>
      <c r="I84" s="19"/>
      <c r="J84" s="19"/>
      <c r="K84" s="19"/>
      <c r="L84" s="21"/>
      <c r="M84" s="14"/>
      <c r="N84" s="18" t="str">
        <f t="shared" si="3"/>
        <v/>
      </c>
    </row>
    <row r="85" spans="1:14" ht="15" customHeight="1" x14ac:dyDescent="0.2">
      <c r="A85">
        <f t="shared" si="2"/>
        <v>83</v>
      </c>
      <c r="B85" s="19"/>
      <c r="C85" s="16"/>
      <c r="D85" s="16"/>
      <c r="E85" s="20"/>
      <c r="F85" s="19"/>
      <c r="G85" s="19"/>
      <c r="H85" s="19"/>
      <c r="I85" s="19"/>
      <c r="J85" s="19"/>
      <c r="K85" s="19"/>
      <c r="L85" s="21"/>
      <c r="M85" s="14"/>
      <c r="N85" s="18" t="str">
        <f t="shared" si="3"/>
        <v/>
      </c>
    </row>
    <row r="86" spans="1:14" ht="15" customHeight="1" x14ac:dyDescent="0.2">
      <c r="A86">
        <f t="shared" si="2"/>
        <v>84</v>
      </c>
      <c r="B86" s="19"/>
      <c r="C86" s="16"/>
      <c r="D86" s="16"/>
      <c r="E86" s="20"/>
      <c r="F86" s="19"/>
      <c r="G86" s="19"/>
      <c r="H86" s="19"/>
      <c r="I86" s="19"/>
      <c r="J86" s="19"/>
      <c r="K86" s="19"/>
      <c r="L86" s="21"/>
      <c r="M86" s="14"/>
      <c r="N86" s="18" t="str">
        <f t="shared" si="3"/>
        <v/>
      </c>
    </row>
    <row r="87" spans="1:14" ht="15" customHeight="1" x14ac:dyDescent="0.2">
      <c r="A87">
        <f t="shared" si="2"/>
        <v>85</v>
      </c>
      <c r="B87" s="19"/>
      <c r="C87" s="16"/>
      <c r="D87" s="16"/>
      <c r="E87" s="20"/>
      <c r="F87" s="19"/>
      <c r="G87" s="19"/>
      <c r="H87" s="19"/>
      <c r="I87" s="19"/>
      <c r="J87" s="19"/>
      <c r="K87" s="19"/>
      <c r="L87" s="21"/>
      <c r="M87" s="14"/>
      <c r="N87" s="18" t="str">
        <f t="shared" si="3"/>
        <v/>
      </c>
    </row>
    <row r="88" spans="1:14" ht="15" customHeight="1" x14ac:dyDescent="0.2">
      <c r="A88">
        <f t="shared" si="2"/>
        <v>86</v>
      </c>
      <c r="B88" s="19"/>
      <c r="C88" s="16"/>
      <c r="D88" s="16"/>
      <c r="E88" s="20"/>
      <c r="F88" s="19"/>
      <c r="G88" s="19"/>
      <c r="H88" s="19"/>
      <c r="I88" s="19"/>
      <c r="J88" s="19"/>
      <c r="K88" s="19"/>
      <c r="L88" s="21"/>
      <c r="M88" s="14"/>
      <c r="N88" s="18" t="str">
        <f t="shared" si="3"/>
        <v/>
      </c>
    </row>
    <row r="89" spans="1:14" ht="15" customHeight="1" x14ac:dyDescent="0.2">
      <c r="A89">
        <f t="shared" si="2"/>
        <v>87</v>
      </c>
      <c r="B89" s="19"/>
      <c r="C89" s="16"/>
      <c r="D89" s="16"/>
      <c r="E89" s="20"/>
      <c r="F89" s="19"/>
      <c r="G89" s="19"/>
      <c r="H89" s="19"/>
      <c r="I89" s="19"/>
      <c r="J89" s="19"/>
      <c r="K89" s="19"/>
      <c r="L89" s="21"/>
      <c r="M89" s="14"/>
      <c r="N89" s="18" t="str">
        <f t="shared" si="3"/>
        <v/>
      </c>
    </row>
    <row r="90" spans="1:14" ht="15" customHeight="1" x14ac:dyDescent="0.2">
      <c r="A90">
        <f t="shared" si="2"/>
        <v>88</v>
      </c>
      <c r="B90" s="19"/>
      <c r="C90" s="16"/>
      <c r="D90" s="16"/>
      <c r="E90" s="20"/>
      <c r="F90" s="19"/>
      <c r="G90" s="19"/>
      <c r="H90" s="19"/>
      <c r="I90" s="19"/>
      <c r="J90" s="19"/>
      <c r="K90" s="19"/>
      <c r="L90" s="21"/>
      <c r="M90" s="14"/>
      <c r="N90" s="18" t="str">
        <f t="shared" si="3"/>
        <v/>
      </c>
    </row>
    <row r="91" spans="1:14" ht="15" customHeight="1" x14ac:dyDescent="0.2">
      <c r="A91">
        <f t="shared" si="2"/>
        <v>89</v>
      </c>
      <c r="B91" s="19"/>
      <c r="C91" s="16"/>
      <c r="D91" s="16"/>
      <c r="E91" s="20"/>
      <c r="F91" s="19"/>
      <c r="G91" s="19"/>
      <c r="H91" s="19"/>
      <c r="I91" s="19"/>
      <c r="J91" s="19"/>
      <c r="K91" s="19"/>
      <c r="L91" s="21"/>
      <c r="M91" s="14"/>
      <c r="N91" s="18" t="str">
        <f t="shared" si="3"/>
        <v/>
      </c>
    </row>
    <row r="92" spans="1:14" ht="15" customHeight="1" x14ac:dyDescent="0.2">
      <c r="A92">
        <f t="shared" si="2"/>
        <v>90</v>
      </c>
      <c r="B92" s="19"/>
      <c r="C92" s="16"/>
      <c r="D92" s="16"/>
      <c r="E92" s="20"/>
      <c r="F92" s="19"/>
      <c r="G92" s="19"/>
      <c r="H92" s="19"/>
      <c r="I92" s="19"/>
      <c r="J92" s="19"/>
      <c r="K92" s="19"/>
      <c r="L92" s="21"/>
      <c r="M92" s="14"/>
      <c r="N92" s="18" t="str">
        <f t="shared" si="3"/>
        <v/>
      </c>
    </row>
    <row r="93" spans="1:14" ht="15" customHeight="1" x14ac:dyDescent="0.2">
      <c r="A93">
        <f t="shared" si="2"/>
        <v>91</v>
      </c>
      <c r="B93" s="19"/>
      <c r="C93" s="16"/>
      <c r="D93" s="16"/>
      <c r="E93" s="20"/>
      <c r="F93" s="19"/>
      <c r="G93" s="19"/>
      <c r="H93" s="19"/>
      <c r="I93" s="19"/>
      <c r="J93" s="19"/>
      <c r="K93" s="19"/>
      <c r="L93" s="21"/>
      <c r="M93" s="14"/>
      <c r="N93" s="18" t="str">
        <f t="shared" si="3"/>
        <v/>
      </c>
    </row>
    <row r="94" spans="1:14" ht="15" customHeight="1" x14ac:dyDescent="0.2">
      <c r="A94">
        <f t="shared" si="2"/>
        <v>92</v>
      </c>
      <c r="B94" s="19"/>
      <c r="C94" s="16"/>
      <c r="D94" s="16"/>
      <c r="E94" s="20"/>
      <c r="F94" s="19"/>
      <c r="G94" s="19"/>
      <c r="H94" s="19"/>
      <c r="I94" s="19"/>
      <c r="J94" s="19"/>
      <c r="K94" s="19"/>
      <c r="L94" s="21"/>
      <c r="M94" s="14"/>
      <c r="N94" s="18" t="str">
        <f t="shared" si="3"/>
        <v/>
      </c>
    </row>
    <row r="95" spans="1:14" ht="15" customHeight="1" x14ac:dyDescent="0.2">
      <c r="A95">
        <f t="shared" si="2"/>
        <v>93</v>
      </c>
      <c r="B95" s="19"/>
      <c r="C95" s="16"/>
      <c r="D95" s="16"/>
      <c r="E95" s="20"/>
      <c r="F95" s="19"/>
      <c r="G95" s="19"/>
      <c r="H95" s="19"/>
      <c r="I95" s="19"/>
      <c r="J95" s="19"/>
      <c r="K95" s="19"/>
      <c r="L95" s="21"/>
      <c r="M95" s="14"/>
      <c r="N95" s="18" t="str">
        <f t="shared" si="3"/>
        <v/>
      </c>
    </row>
    <row r="96" spans="1:14" ht="15" customHeight="1" x14ac:dyDescent="0.2">
      <c r="A96">
        <f t="shared" si="2"/>
        <v>94</v>
      </c>
      <c r="B96" s="19"/>
      <c r="C96" s="16"/>
      <c r="D96" s="16"/>
      <c r="E96" s="20"/>
      <c r="F96" s="19"/>
      <c r="G96" s="19"/>
      <c r="H96" s="19"/>
      <c r="I96" s="19"/>
      <c r="J96" s="19"/>
      <c r="K96" s="19"/>
      <c r="L96" s="21"/>
      <c r="M96" s="14"/>
      <c r="N96" s="18" t="str">
        <f t="shared" si="3"/>
        <v/>
      </c>
    </row>
    <row r="97" spans="1:14" ht="15" customHeight="1" x14ac:dyDescent="0.2">
      <c r="A97">
        <f t="shared" si="2"/>
        <v>95</v>
      </c>
      <c r="B97" s="19"/>
      <c r="C97" s="16"/>
      <c r="D97" s="16"/>
      <c r="E97" s="20"/>
      <c r="F97" s="19"/>
      <c r="G97" s="19"/>
      <c r="H97" s="19"/>
      <c r="I97" s="19"/>
      <c r="J97" s="19"/>
      <c r="K97" s="19"/>
      <c r="L97" s="21"/>
      <c r="M97" s="14"/>
      <c r="N97" s="18" t="str">
        <f t="shared" si="3"/>
        <v/>
      </c>
    </row>
    <row r="98" spans="1:14" ht="15" customHeight="1" x14ac:dyDescent="0.2">
      <c r="A98">
        <f t="shared" si="2"/>
        <v>96</v>
      </c>
      <c r="B98" s="19"/>
      <c r="C98" s="16"/>
      <c r="D98" s="16"/>
      <c r="E98" s="20"/>
      <c r="F98" s="19"/>
      <c r="G98" s="19"/>
      <c r="H98" s="19"/>
      <c r="I98" s="19"/>
      <c r="J98" s="19"/>
      <c r="K98" s="19"/>
      <c r="L98" s="21"/>
      <c r="M98" s="14"/>
      <c r="N98" s="18" t="str">
        <f t="shared" si="3"/>
        <v/>
      </c>
    </row>
    <row r="99" spans="1:14" ht="15" customHeight="1" x14ac:dyDescent="0.2">
      <c r="A99">
        <f t="shared" si="2"/>
        <v>97</v>
      </c>
      <c r="B99" s="19"/>
      <c r="C99" s="16"/>
      <c r="D99" s="16"/>
      <c r="E99" s="20"/>
      <c r="F99" s="19"/>
      <c r="G99" s="19"/>
      <c r="H99" s="19"/>
      <c r="I99" s="19"/>
      <c r="J99" s="19"/>
      <c r="K99" s="19"/>
      <c r="L99" s="21"/>
      <c r="M99" s="14"/>
      <c r="N99" s="18" t="str">
        <f t="shared" si="3"/>
        <v/>
      </c>
    </row>
    <row r="100" spans="1:14" ht="15" customHeight="1" x14ac:dyDescent="0.2">
      <c r="A100">
        <f t="shared" si="2"/>
        <v>98</v>
      </c>
      <c r="B100" s="19"/>
      <c r="C100" s="16"/>
      <c r="D100" s="16"/>
      <c r="E100" s="20"/>
      <c r="F100" s="19"/>
      <c r="G100" s="19"/>
      <c r="H100" s="19"/>
      <c r="I100" s="19"/>
      <c r="J100" s="19"/>
      <c r="K100" s="19"/>
      <c r="L100" s="21"/>
      <c r="M100" s="14"/>
      <c r="N100" s="18" t="str">
        <f t="shared" si="3"/>
        <v/>
      </c>
    </row>
    <row r="101" spans="1:14" ht="15" customHeight="1" x14ac:dyDescent="0.2">
      <c r="A101">
        <f t="shared" si="2"/>
        <v>99</v>
      </c>
      <c r="B101" s="19"/>
      <c r="C101" s="16"/>
      <c r="D101" s="16"/>
      <c r="E101" s="20"/>
      <c r="F101" s="19"/>
      <c r="G101" s="19"/>
      <c r="H101" s="19"/>
      <c r="I101" s="19"/>
      <c r="J101" s="19"/>
      <c r="K101" s="19"/>
      <c r="L101" s="21"/>
      <c r="M101" s="14"/>
      <c r="N101" s="18" t="str">
        <f t="shared" si="3"/>
        <v/>
      </c>
    </row>
    <row r="102" spans="1:14" ht="15" customHeight="1" x14ac:dyDescent="0.2">
      <c r="A102">
        <f t="shared" si="2"/>
        <v>100</v>
      </c>
      <c r="B102" s="19"/>
      <c r="C102" s="16"/>
      <c r="D102" s="16"/>
      <c r="E102" s="20"/>
      <c r="F102" s="19"/>
      <c r="G102" s="19"/>
      <c r="H102" s="19"/>
      <c r="I102" s="19"/>
      <c r="J102" s="19"/>
      <c r="K102" s="19"/>
      <c r="L102" s="21"/>
      <c r="M102" s="14"/>
      <c r="N102" s="18" t="str">
        <f t="shared" si="3"/>
        <v/>
      </c>
    </row>
    <row r="103" spans="1:14" ht="15" customHeight="1" x14ac:dyDescent="0.2">
      <c r="A103">
        <f t="shared" si="2"/>
        <v>101</v>
      </c>
      <c r="B103" s="19"/>
      <c r="C103" s="16"/>
      <c r="D103" s="16"/>
      <c r="E103" s="20"/>
      <c r="F103" s="19"/>
      <c r="G103" s="19"/>
      <c r="H103" s="19"/>
      <c r="I103" s="19"/>
      <c r="J103" s="19"/>
      <c r="K103" s="19"/>
      <c r="L103" s="21"/>
      <c r="M103" s="14"/>
      <c r="N103" s="18" t="str">
        <f t="shared" si="3"/>
        <v/>
      </c>
    </row>
    <row r="104" spans="1:14" ht="15" customHeight="1" x14ac:dyDescent="0.2">
      <c r="A104">
        <f t="shared" si="2"/>
        <v>102</v>
      </c>
      <c r="B104" s="19"/>
      <c r="C104" s="16"/>
      <c r="D104" s="16"/>
      <c r="E104" s="20"/>
      <c r="F104" s="19"/>
      <c r="G104" s="19"/>
      <c r="H104" s="19"/>
      <c r="I104" s="19"/>
      <c r="J104" s="19"/>
      <c r="K104" s="19"/>
      <c r="L104" s="21"/>
      <c r="M104" s="14"/>
      <c r="N104" s="18" t="str">
        <f t="shared" si="3"/>
        <v/>
      </c>
    </row>
    <row r="105" spans="1:14" ht="15" customHeight="1" x14ac:dyDescent="0.2">
      <c r="A105">
        <f t="shared" si="2"/>
        <v>103</v>
      </c>
      <c r="B105" s="19"/>
      <c r="C105" s="16"/>
      <c r="D105" s="16"/>
      <c r="E105" s="20"/>
      <c r="F105" s="19"/>
      <c r="G105" s="19"/>
      <c r="H105" s="19"/>
      <c r="I105" s="19"/>
      <c r="J105" s="19"/>
      <c r="K105" s="19"/>
      <c r="L105" s="21"/>
      <c r="M105" s="14"/>
      <c r="N105" s="18" t="str">
        <f t="shared" si="3"/>
        <v/>
      </c>
    </row>
    <row r="106" spans="1:14" ht="15" customHeight="1" x14ac:dyDescent="0.2">
      <c r="A106">
        <f t="shared" si="2"/>
        <v>104</v>
      </c>
      <c r="B106" s="19"/>
      <c r="C106" s="16"/>
      <c r="D106" s="16"/>
      <c r="E106" s="20"/>
      <c r="F106" s="19"/>
      <c r="G106" s="19"/>
      <c r="H106" s="19"/>
      <c r="I106" s="19"/>
      <c r="J106" s="19"/>
      <c r="K106" s="19"/>
      <c r="L106" s="21"/>
      <c r="M106" s="14"/>
      <c r="N106" s="18" t="str">
        <f t="shared" si="3"/>
        <v/>
      </c>
    </row>
    <row r="107" spans="1:14" ht="15" customHeight="1" x14ac:dyDescent="0.2">
      <c r="A107">
        <f t="shared" si="2"/>
        <v>105</v>
      </c>
      <c r="B107" s="19"/>
      <c r="C107" s="16"/>
      <c r="D107" s="16"/>
      <c r="E107" s="20"/>
      <c r="F107" s="19"/>
      <c r="G107" s="19"/>
      <c r="H107" s="19"/>
      <c r="I107" s="19"/>
      <c r="J107" s="19"/>
      <c r="K107" s="19"/>
      <c r="L107" s="21"/>
      <c r="M107" s="14"/>
      <c r="N107" s="18" t="str">
        <f t="shared" si="3"/>
        <v/>
      </c>
    </row>
    <row r="108" spans="1:14" ht="15" customHeight="1" x14ac:dyDescent="0.2">
      <c r="A108">
        <f t="shared" si="2"/>
        <v>106</v>
      </c>
      <c r="B108" s="19"/>
      <c r="C108" s="16"/>
      <c r="D108" s="16"/>
      <c r="E108" s="20"/>
      <c r="F108" s="19"/>
      <c r="G108" s="19"/>
      <c r="H108" s="19"/>
      <c r="I108" s="19"/>
      <c r="J108" s="19"/>
      <c r="K108" s="19"/>
      <c r="L108" s="21"/>
      <c r="M108" s="14"/>
      <c r="N108" s="18" t="str">
        <f t="shared" si="3"/>
        <v/>
      </c>
    </row>
    <row r="109" spans="1:14" ht="15" customHeight="1" x14ac:dyDescent="0.2">
      <c r="A109">
        <f t="shared" si="2"/>
        <v>107</v>
      </c>
      <c r="B109" s="19"/>
      <c r="C109" s="16"/>
      <c r="D109" s="16"/>
      <c r="E109" s="20"/>
      <c r="F109" s="19"/>
      <c r="G109" s="19"/>
      <c r="H109" s="19"/>
      <c r="I109" s="19"/>
      <c r="J109" s="19"/>
      <c r="K109" s="19"/>
      <c r="L109" s="21"/>
      <c r="M109" s="14"/>
      <c r="N109" s="18" t="str">
        <f t="shared" si="3"/>
        <v/>
      </c>
    </row>
    <row r="110" spans="1:14" ht="15" customHeight="1" x14ac:dyDescent="0.2">
      <c r="A110">
        <f t="shared" ref="A110:A173" si="4">A109+1</f>
        <v>108</v>
      </c>
      <c r="B110" s="19"/>
      <c r="C110" s="16"/>
      <c r="D110" s="16"/>
      <c r="E110" s="20"/>
      <c r="F110" s="19"/>
      <c r="G110" s="19"/>
      <c r="H110" s="19"/>
      <c r="I110" s="19"/>
      <c r="J110" s="19"/>
      <c r="K110" s="19"/>
      <c r="L110" s="21"/>
      <c r="M110" s="14"/>
      <c r="N110" s="18" t="str">
        <f t="shared" si="3"/>
        <v/>
      </c>
    </row>
    <row r="111" spans="1:14" ht="15" customHeight="1" x14ac:dyDescent="0.2">
      <c r="A111">
        <f t="shared" si="4"/>
        <v>109</v>
      </c>
      <c r="B111" s="19"/>
      <c r="C111" s="16"/>
      <c r="D111" s="16"/>
      <c r="E111" s="20"/>
      <c r="F111" s="19"/>
      <c r="G111" s="19"/>
      <c r="H111" s="19"/>
      <c r="I111" s="19"/>
      <c r="J111" s="19"/>
      <c r="K111" s="19"/>
      <c r="L111" s="21"/>
      <c r="M111" s="14"/>
      <c r="N111" s="18" t="str">
        <f t="shared" si="3"/>
        <v/>
      </c>
    </row>
    <row r="112" spans="1:14" ht="15" customHeight="1" x14ac:dyDescent="0.2">
      <c r="A112">
        <f t="shared" si="4"/>
        <v>110</v>
      </c>
      <c r="B112" s="19"/>
      <c r="C112" s="16"/>
      <c r="D112" s="16"/>
      <c r="E112" s="20"/>
      <c r="F112" s="19"/>
      <c r="G112" s="19"/>
      <c r="H112" s="19"/>
      <c r="I112" s="19"/>
      <c r="J112" s="19"/>
      <c r="K112" s="19"/>
      <c r="L112" s="21"/>
      <c r="M112" s="14"/>
      <c r="N112" s="18" t="str">
        <f t="shared" si="3"/>
        <v/>
      </c>
    </row>
    <row r="113" spans="1:14" ht="15" customHeight="1" x14ac:dyDescent="0.2">
      <c r="A113">
        <f t="shared" si="4"/>
        <v>111</v>
      </c>
      <c r="B113" s="19"/>
      <c r="C113" s="16"/>
      <c r="D113" s="16"/>
      <c r="E113" s="20"/>
      <c r="F113" s="19"/>
      <c r="G113" s="19"/>
      <c r="H113" s="19"/>
      <c r="I113" s="19"/>
      <c r="J113" s="19"/>
      <c r="K113" s="19"/>
      <c r="L113" s="21"/>
      <c r="M113" s="14"/>
      <c r="N113" s="18" t="str">
        <f t="shared" si="3"/>
        <v/>
      </c>
    </row>
    <row r="114" spans="1:14" ht="15" customHeight="1" x14ac:dyDescent="0.2">
      <c r="A114">
        <f t="shared" si="4"/>
        <v>112</v>
      </c>
      <c r="B114" s="19"/>
      <c r="C114" s="16"/>
      <c r="D114" s="16"/>
      <c r="E114" s="20"/>
      <c r="F114" s="19"/>
      <c r="G114" s="19"/>
      <c r="H114" s="19"/>
      <c r="I114" s="19"/>
      <c r="J114" s="19"/>
      <c r="K114" s="19"/>
      <c r="L114" s="21"/>
      <c r="M114" s="14"/>
      <c r="N114" s="18" t="str">
        <f t="shared" si="3"/>
        <v/>
      </c>
    </row>
    <row r="115" spans="1:14" ht="15" customHeight="1" x14ac:dyDescent="0.2">
      <c r="A115">
        <f t="shared" si="4"/>
        <v>113</v>
      </c>
      <c r="B115" s="19"/>
      <c r="C115" s="16"/>
      <c r="D115" s="16"/>
      <c r="E115" s="20"/>
      <c r="F115" s="19"/>
      <c r="G115" s="19"/>
      <c r="H115" s="19"/>
      <c r="I115" s="19"/>
      <c r="J115" s="19"/>
      <c r="K115" s="19"/>
      <c r="L115" s="21"/>
      <c r="M115" s="14"/>
      <c r="N115" s="18" t="str">
        <f t="shared" si="3"/>
        <v/>
      </c>
    </row>
    <row r="116" spans="1:14" ht="15" customHeight="1" x14ac:dyDescent="0.2">
      <c r="A116">
        <f t="shared" si="4"/>
        <v>114</v>
      </c>
      <c r="B116" s="19"/>
      <c r="C116" s="16"/>
      <c r="D116" s="16"/>
      <c r="E116" s="20"/>
      <c r="F116" s="19"/>
      <c r="G116" s="19"/>
      <c r="H116" s="19"/>
      <c r="I116" s="19"/>
      <c r="J116" s="19"/>
      <c r="K116" s="19"/>
      <c r="L116" s="21"/>
      <c r="M116" s="14"/>
      <c r="N116" s="18" t="str">
        <f t="shared" si="3"/>
        <v/>
      </c>
    </row>
    <row r="117" spans="1:14" ht="15" customHeight="1" x14ac:dyDescent="0.2">
      <c r="A117">
        <f t="shared" si="4"/>
        <v>115</v>
      </c>
      <c r="B117" s="19"/>
      <c r="C117" s="16"/>
      <c r="D117" s="16"/>
      <c r="E117" s="20"/>
      <c r="F117" s="19"/>
      <c r="G117" s="19"/>
      <c r="H117" s="19"/>
      <c r="I117" s="19"/>
      <c r="J117" s="19"/>
      <c r="K117" s="19"/>
      <c r="L117" s="21"/>
      <c r="M117" s="14"/>
      <c r="N117" s="18" t="str">
        <f t="shared" si="3"/>
        <v/>
      </c>
    </row>
    <row r="118" spans="1:14" ht="15" customHeight="1" x14ac:dyDescent="0.2">
      <c r="A118">
        <f t="shared" si="4"/>
        <v>116</v>
      </c>
      <c r="B118" s="19"/>
      <c r="C118" s="16"/>
      <c r="D118" s="16"/>
      <c r="E118" s="20"/>
      <c r="F118" s="19"/>
      <c r="G118" s="19"/>
      <c r="H118" s="19"/>
      <c r="I118" s="19"/>
      <c r="J118" s="19"/>
      <c r="K118" s="19"/>
      <c r="L118" s="21"/>
      <c r="M118" s="14"/>
      <c r="N118" s="18" t="str">
        <f t="shared" si="3"/>
        <v/>
      </c>
    </row>
    <row r="119" spans="1:14" ht="15" customHeight="1" x14ac:dyDescent="0.2">
      <c r="A119">
        <f t="shared" si="4"/>
        <v>117</v>
      </c>
      <c r="B119" s="19"/>
      <c r="C119" s="16"/>
      <c r="D119" s="16"/>
      <c r="E119" s="20"/>
      <c r="F119" s="19"/>
      <c r="G119" s="19"/>
      <c r="H119" s="19"/>
      <c r="I119" s="19"/>
      <c r="J119" s="19"/>
      <c r="K119" s="19"/>
      <c r="L119" s="21"/>
      <c r="M119" s="14"/>
      <c r="N119" s="18" t="str">
        <f t="shared" si="3"/>
        <v/>
      </c>
    </row>
    <row r="120" spans="1:14" ht="15" customHeight="1" x14ac:dyDescent="0.2">
      <c r="A120">
        <f t="shared" si="4"/>
        <v>118</v>
      </c>
      <c r="B120" s="19"/>
      <c r="C120" s="16"/>
      <c r="D120" s="16"/>
      <c r="E120" s="20"/>
      <c r="F120" s="19"/>
      <c r="G120" s="19"/>
      <c r="H120" s="19"/>
      <c r="I120" s="19"/>
      <c r="J120" s="19"/>
      <c r="K120" s="19"/>
      <c r="L120" s="21"/>
      <c r="M120" s="14"/>
      <c r="N120" s="18" t="str">
        <f t="shared" si="3"/>
        <v/>
      </c>
    </row>
    <row r="121" spans="1:14" ht="15" customHeight="1" x14ac:dyDescent="0.2">
      <c r="A121">
        <f t="shared" si="4"/>
        <v>119</v>
      </c>
      <c r="B121" s="19"/>
      <c r="C121" s="16"/>
      <c r="D121" s="16"/>
      <c r="E121" s="20"/>
      <c r="F121" s="19"/>
      <c r="G121" s="19"/>
      <c r="H121" s="19"/>
      <c r="I121" s="19"/>
      <c r="J121" s="19"/>
      <c r="K121" s="19"/>
      <c r="L121" s="21"/>
      <c r="M121" s="14"/>
      <c r="N121" s="18" t="str">
        <f t="shared" si="3"/>
        <v/>
      </c>
    </row>
    <row r="122" spans="1:14" ht="15" customHeight="1" x14ac:dyDescent="0.2">
      <c r="A122">
        <f t="shared" si="4"/>
        <v>120</v>
      </c>
      <c r="B122" s="19"/>
      <c r="C122" s="16"/>
      <c r="D122" s="16"/>
      <c r="E122" s="20"/>
      <c r="F122" s="19"/>
      <c r="G122" s="19"/>
      <c r="H122" s="19"/>
      <c r="I122" s="19"/>
      <c r="J122" s="19"/>
      <c r="K122" s="19"/>
      <c r="L122" s="21"/>
      <c r="M122" s="14"/>
      <c r="N122" s="18" t="str">
        <f t="shared" si="3"/>
        <v/>
      </c>
    </row>
    <row r="123" spans="1:14" ht="15" customHeight="1" x14ac:dyDescent="0.2">
      <c r="A123">
        <f t="shared" si="4"/>
        <v>121</v>
      </c>
      <c r="B123" s="19"/>
      <c r="C123" s="16"/>
      <c r="D123" s="16"/>
      <c r="E123" s="20"/>
      <c r="F123" s="19"/>
      <c r="G123" s="19"/>
      <c r="H123" s="19"/>
      <c r="I123" s="19"/>
      <c r="J123" s="19"/>
      <c r="K123" s="19"/>
      <c r="L123" s="21"/>
      <c r="M123" s="14"/>
      <c r="N123" s="18" t="str">
        <f t="shared" si="3"/>
        <v/>
      </c>
    </row>
    <row r="124" spans="1:14" ht="15" customHeight="1" x14ac:dyDescent="0.2">
      <c r="A124">
        <f t="shared" si="4"/>
        <v>122</v>
      </c>
      <c r="B124" s="19"/>
      <c r="C124" s="16"/>
      <c r="D124" s="16"/>
      <c r="E124" s="20"/>
      <c r="F124" s="19"/>
      <c r="G124" s="19"/>
      <c r="H124" s="19"/>
      <c r="I124" s="19"/>
      <c r="J124" s="19"/>
      <c r="K124" s="19"/>
      <c r="L124" s="21"/>
      <c r="M124" s="14"/>
      <c r="N124" s="18" t="str">
        <f t="shared" si="3"/>
        <v/>
      </c>
    </row>
    <row r="125" spans="1:14" ht="15" customHeight="1" x14ac:dyDescent="0.2">
      <c r="A125">
        <f t="shared" si="4"/>
        <v>123</v>
      </c>
      <c r="B125" s="19"/>
      <c r="C125" s="16"/>
      <c r="D125" s="16"/>
      <c r="E125" s="20"/>
      <c r="F125" s="19"/>
      <c r="G125" s="19"/>
      <c r="H125" s="19"/>
      <c r="I125" s="19"/>
      <c r="J125" s="19"/>
      <c r="K125" s="19"/>
      <c r="L125" s="21"/>
      <c r="M125" s="14"/>
      <c r="N125" s="18" t="str">
        <f t="shared" si="3"/>
        <v/>
      </c>
    </row>
    <row r="126" spans="1:14" ht="15" customHeight="1" x14ac:dyDescent="0.2">
      <c r="A126">
        <f t="shared" si="4"/>
        <v>124</v>
      </c>
      <c r="B126" s="19"/>
      <c r="C126" s="16"/>
      <c r="D126" s="16"/>
      <c r="E126" s="20"/>
      <c r="F126" s="19"/>
      <c r="G126" s="19"/>
      <c r="H126" s="19"/>
      <c r="I126" s="19"/>
      <c r="J126" s="19"/>
      <c r="K126" s="19"/>
      <c r="L126" s="21"/>
      <c r="M126" s="14"/>
      <c r="N126" s="18" t="str">
        <f t="shared" si="3"/>
        <v/>
      </c>
    </row>
    <row r="127" spans="1:14" ht="15" customHeight="1" x14ac:dyDescent="0.2">
      <c r="A127">
        <f t="shared" si="4"/>
        <v>125</v>
      </c>
      <c r="B127" s="19"/>
      <c r="C127" s="16"/>
      <c r="D127" s="16"/>
      <c r="E127" s="20"/>
      <c r="F127" s="19"/>
      <c r="G127" s="19"/>
      <c r="H127" s="19"/>
      <c r="I127" s="19"/>
      <c r="J127" s="19"/>
      <c r="K127" s="19"/>
      <c r="L127" s="21"/>
      <c r="M127" s="14"/>
      <c r="N127" s="18" t="str">
        <f t="shared" si="3"/>
        <v/>
      </c>
    </row>
    <row r="128" spans="1:14" ht="15" customHeight="1" x14ac:dyDescent="0.2">
      <c r="A128">
        <f t="shared" si="4"/>
        <v>126</v>
      </c>
      <c r="B128" s="19"/>
      <c r="C128" s="16"/>
      <c r="D128" s="16"/>
      <c r="E128" s="20"/>
      <c r="F128" s="19"/>
      <c r="G128" s="19"/>
      <c r="H128" s="19"/>
      <c r="I128" s="19"/>
      <c r="J128" s="19"/>
      <c r="K128" s="19"/>
      <c r="L128" s="21"/>
      <c r="M128" s="14"/>
      <c r="N128" s="18" t="str">
        <f t="shared" si="3"/>
        <v/>
      </c>
    </row>
    <row r="129" spans="1:14" ht="15" customHeight="1" x14ac:dyDescent="0.2">
      <c r="A129">
        <f t="shared" si="4"/>
        <v>127</v>
      </c>
      <c r="B129" s="19"/>
      <c r="C129" s="16"/>
      <c r="D129" s="16"/>
      <c r="E129" s="20"/>
      <c r="F129" s="19"/>
      <c r="G129" s="19"/>
      <c r="H129" s="19"/>
      <c r="I129" s="19"/>
      <c r="J129" s="19"/>
      <c r="K129" s="19"/>
      <c r="L129" s="21"/>
      <c r="M129" s="14"/>
      <c r="N129" s="18" t="str">
        <f t="shared" si="3"/>
        <v/>
      </c>
    </row>
    <row r="130" spans="1:14" ht="15" customHeight="1" x14ac:dyDescent="0.2">
      <c r="A130">
        <f t="shared" si="4"/>
        <v>128</v>
      </c>
      <c r="B130" s="19"/>
      <c r="C130" s="16"/>
      <c r="D130" s="16"/>
      <c r="E130" s="20"/>
      <c r="F130" s="19"/>
      <c r="G130" s="19"/>
      <c r="H130" s="19"/>
      <c r="I130" s="19"/>
      <c r="J130" s="19"/>
      <c r="K130" s="19"/>
      <c r="L130" s="21"/>
      <c r="M130" s="14"/>
      <c r="N130" s="18" t="str">
        <f t="shared" si="3"/>
        <v/>
      </c>
    </row>
    <row r="131" spans="1:14" ht="15" customHeight="1" x14ac:dyDescent="0.2">
      <c r="A131">
        <f t="shared" si="4"/>
        <v>129</v>
      </c>
      <c r="B131" s="19"/>
      <c r="C131" s="16"/>
      <c r="D131" s="16"/>
      <c r="E131" s="20"/>
      <c r="F131" s="19"/>
      <c r="G131" s="19"/>
      <c r="H131" s="19"/>
      <c r="I131" s="19"/>
      <c r="J131" s="19"/>
      <c r="K131" s="19"/>
      <c r="L131" s="21"/>
      <c r="M131" s="14"/>
      <c r="N131" s="18" t="str">
        <f t="shared" si="3"/>
        <v/>
      </c>
    </row>
    <row r="132" spans="1:14" ht="15" customHeight="1" x14ac:dyDescent="0.2">
      <c r="A132">
        <f t="shared" si="4"/>
        <v>130</v>
      </c>
      <c r="B132" s="19"/>
      <c r="C132" s="16"/>
      <c r="D132" s="16"/>
      <c r="E132" s="20"/>
      <c r="F132" s="19"/>
      <c r="G132" s="19"/>
      <c r="H132" s="19"/>
      <c r="I132" s="19"/>
      <c r="J132" s="19"/>
      <c r="K132" s="19"/>
      <c r="L132" s="21"/>
      <c r="M132" s="14"/>
      <c r="N132" s="18" t="str">
        <f t="shared" ref="N132:N195" si="5">IF(B132="","",E132*M132)</f>
        <v/>
      </c>
    </row>
    <row r="133" spans="1:14" ht="15" customHeight="1" x14ac:dyDescent="0.2">
      <c r="A133">
        <f t="shared" si="4"/>
        <v>131</v>
      </c>
      <c r="B133" s="19"/>
      <c r="C133" s="16"/>
      <c r="D133" s="16"/>
      <c r="E133" s="20"/>
      <c r="F133" s="19"/>
      <c r="G133" s="19"/>
      <c r="H133" s="19"/>
      <c r="I133" s="19"/>
      <c r="J133" s="19"/>
      <c r="K133" s="19"/>
      <c r="L133" s="21"/>
      <c r="M133" s="14"/>
      <c r="N133" s="18" t="str">
        <f t="shared" si="5"/>
        <v/>
      </c>
    </row>
    <row r="134" spans="1:14" ht="15" customHeight="1" x14ac:dyDescent="0.2">
      <c r="A134">
        <f t="shared" si="4"/>
        <v>132</v>
      </c>
      <c r="B134" s="19"/>
      <c r="C134" s="16"/>
      <c r="D134" s="16"/>
      <c r="E134" s="20"/>
      <c r="F134" s="19"/>
      <c r="G134" s="19"/>
      <c r="H134" s="19"/>
      <c r="I134" s="19"/>
      <c r="J134" s="19"/>
      <c r="K134" s="19"/>
      <c r="L134" s="21"/>
      <c r="M134" s="14"/>
      <c r="N134" s="18" t="str">
        <f t="shared" si="5"/>
        <v/>
      </c>
    </row>
    <row r="135" spans="1:14" ht="15" customHeight="1" x14ac:dyDescent="0.2">
      <c r="A135">
        <f t="shared" si="4"/>
        <v>133</v>
      </c>
      <c r="B135" s="19"/>
      <c r="C135" s="16"/>
      <c r="D135" s="16"/>
      <c r="E135" s="20"/>
      <c r="F135" s="19"/>
      <c r="G135" s="19"/>
      <c r="H135" s="19"/>
      <c r="I135" s="19"/>
      <c r="J135" s="19"/>
      <c r="K135" s="19"/>
      <c r="L135" s="21"/>
      <c r="M135" s="14"/>
      <c r="N135" s="18" t="str">
        <f t="shared" si="5"/>
        <v/>
      </c>
    </row>
    <row r="136" spans="1:14" ht="15" customHeight="1" x14ac:dyDescent="0.2">
      <c r="A136">
        <f t="shared" si="4"/>
        <v>134</v>
      </c>
      <c r="B136" s="19"/>
      <c r="C136" s="16"/>
      <c r="D136" s="16"/>
      <c r="E136" s="20"/>
      <c r="F136" s="19"/>
      <c r="G136" s="19"/>
      <c r="H136" s="19"/>
      <c r="I136" s="19"/>
      <c r="J136" s="19"/>
      <c r="K136" s="19"/>
      <c r="L136" s="21"/>
      <c r="M136" s="14"/>
      <c r="N136" s="18" t="str">
        <f t="shared" si="5"/>
        <v/>
      </c>
    </row>
    <row r="137" spans="1:14" ht="15" customHeight="1" x14ac:dyDescent="0.2">
      <c r="A137">
        <f t="shared" si="4"/>
        <v>135</v>
      </c>
      <c r="B137" s="19"/>
      <c r="C137" s="16"/>
      <c r="D137" s="16"/>
      <c r="E137" s="20"/>
      <c r="F137" s="19"/>
      <c r="G137" s="19"/>
      <c r="H137" s="19"/>
      <c r="I137" s="19"/>
      <c r="J137" s="19"/>
      <c r="K137" s="19"/>
      <c r="L137" s="21"/>
      <c r="M137" s="14"/>
      <c r="N137" s="18" t="str">
        <f t="shared" si="5"/>
        <v/>
      </c>
    </row>
    <row r="138" spans="1:14" ht="15" customHeight="1" x14ac:dyDescent="0.2">
      <c r="A138">
        <f t="shared" si="4"/>
        <v>136</v>
      </c>
      <c r="B138" s="19"/>
      <c r="C138" s="16"/>
      <c r="D138" s="16"/>
      <c r="E138" s="20"/>
      <c r="F138" s="19"/>
      <c r="G138" s="19"/>
      <c r="H138" s="19"/>
      <c r="I138" s="19"/>
      <c r="J138" s="19"/>
      <c r="K138" s="19"/>
      <c r="L138" s="21"/>
      <c r="M138" s="14"/>
      <c r="N138" s="18" t="str">
        <f t="shared" si="5"/>
        <v/>
      </c>
    </row>
    <row r="139" spans="1:14" ht="15" customHeight="1" x14ac:dyDescent="0.2">
      <c r="A139">
        <f t="shared" si="4"/>
        <v>137</v>
      </c>
      <c r="B139" s="19"/>
      <c r="C139" s="16"/>
      <c r="D139" s="16"/>
      <c r="E139" s="20"/>
      <c r="F139" s="19"/>
      <c r="G139" s="19"/>
      <c r="H139" s="19"/>
      <c r="I139" s="19"/>
      <c r="J139" s="19"/>
      <c r="K139" s="19"/>
      <c r="L139" s="21"/>
      <c r="M139" s="14"/>
      <c r="N139" s="18" t="str">
        <f t="shared" si="5"/>
        <v/>
      </c>
    </row>
    <row r="140" spans="1:14" ht="15" customHeight="1" x14ac:dyDescent="0.2">
      <c r="A140">
        <f t="shared" si="4"/>
        <v>138</v>
      </c>
      <c r="B140" s="19"/>
      <c r="C140" s="16"/>
      <c r="D140" s="16"/>
      <c r="E140" s="20"/>
      <c r="F140" s="19"/>
      <c r="G140" s="19"/>
      <c r="H140" s="19"/>
      <c r="I140" s="19"/>
      <c r="J140" s="19"/>
      <c r="K140" s="19"/>
      <c r="L140" s="21"/>
      <c r="M140" s="14"/>
      <c r="N140" s="18" t="str">
        <f t="shared" si="5"/>
        <v/>
      </c>
    </row>
    <row r="141" spans="1:14" ht="15" customHeight="1" x14ac:dyDescent="0.2">
      <c r="A141">
        <f t="shared" si="4"/>
        <v>139</v>
      </c>
      <c r="B141" s="19"/>
      <c r="C141" s="16"/>
      <c r="D141" s="16"/>
      <c r="E141" s="20"/>
      <c r="F141" s="19"/>
      <c r="G141" s="19"/>
      <c r="H141" s="19"/>
      <c r="I141" s="19"/>
      <c r="J141" s="19"/>
      <c r="K141" s="19"/>
      <c r="L141" s="21"/>
      <c r="M141" s="14"/>
      <c r="N141" s="18" t="str">
        <f t="shared" si="5"/>
        <v/>
      </c>
    </row>
    <row r="142" spans="1:14" ht="15" customHeight="1" x14ac:dyDescent="0.2">
      <c r="A142">
        <f t="shared" si="4"/>
        <v>140</v>
      </c>
      <c r="B142" s="19"/>
      <c r="C142" s="16"/>
      <c r="D142" s="16"/>
      <c r="E142" s="20"/>
      <c r="F142" s="19"/>
      <c r="G142" s="19"/>
      <c r="H142" s="19"/>
      <c r="I142" s="19"/>
      <c r="J142" s="19"/>
      <c r="K142" s="19"/>
      <c r="L142" s="21"/>
      <c r="M142" s="14"/>
      <c r="N142" s="18" t="str">
        <f t="shared" si="5"/>
        <v/>
      </c>
    </row>
    <row r="143" spans="1:14" ht="15" customHeight="1" x14ac:dyDescent="0.2">
      <c r="A143">
        <f t="shared" si="4"/>
        <v>141</v>
      </c>
      <c r="B143" s="19"/>
      <c r="C143" s="16"/>
      <c r="D143" s="16"/>
      <c r="E143" s="20"/>
      <c r="F143" s="19"/>
      <c r="G143" s="19"/>
      <c r="H143" s="19"/>
      <c r="I143" s="19"/>
      <c r="J143" s="19"/>
      <c r="K143" s="19"/>
      <c r="L143" s="21"/>
      <c r="M143" s="14"/>
      <c r="N143" s="18" t="str">
        <f t="shared" si="5"/>
        <v/>
      </c>
    </row>
    <row r="144" spans="1:14" ht="15" customHeight="1" x14ac:dyDescent="0.2">
      <c r="A144">
        <f t="shared" si="4"/>
        <v>142</v>
      </c>
      <c r="B144" s="19"/>
      <c r="C144" s="16"/>
      <c r="D144" s="16"/>
      <c r="E144" s="20"/>
      <c r="F144" s="19"/>
      <c r="G144" s="19"/>
      <c r="H144" s="19"/>
      <c r="I144" s="19"/>
      <c r="J144" s="19"/>
      <c r="K144" s="19"/>
      <c r="L144" s="21"/>
      <c r="M144" s="14"/>
      <c r="N144" s="18" t="str">
        <f t="shared" si="5"/>
        <v/>
      </c>
    </row>
    <row r="145" spans="1:14" ht="15" customHeight="1" x14ac:dyDescent="0.2">
      <c r="A145">
        <f t="shared" si="4"/>
        <v>143</v>
      </c>
      <c r="B145" s="19"/>
      <c r="C145" s="16"/>
      <c r="D145" s="16"/>
      <c r="E145" s="20"/>
      <c r="F145" s="19"/>
      <c r="G145" s="19"/>
      <c r="H145" s="19"/>
      <c r="I145" s="19"/>
      <c r="J145" s="19"/>
      <c r="K145" s="19"/>
      <c r="L145" s="21"/>
      <c r="M145" s="14"/>
      <c r="N145" s="18" t="str">
        <f t="shared" si="5"/>
        <v/>
      </c>
    </row>
    <row r="146" spans="1:14" ht="15" customHeight="1" x14ac:dyDescent="0.2">
      <c r="A146">
        <f t="shared" si="4"/>
        <v>144</v>
      </c>
      <c r="B146" s="19"/>
      <c r="C146" s="16"/>
      <c r="D146" s="16"/>
      <c r="E146" s="20"/>
      <c r="F146" s="19"/>
      <c r="G146" s="19"/>
      <c r="H146" s="19"/>
      <c r="I146" s="19"/>
      <c r="J146" s="19"/>
      <c r="K146" s="19"/>
      <c r="L146" s="21"/>
      <c r="M146" s="14"/>
      <c r="N146" s="18" t="str">
        <f t="shared" si="5"/>
        <v/>
      </c>
    </row>
    <row r="147" spans="1:14" ht="15" customHeight="1" x14ac:dyDescent="0.2">
      <c r="A147">
        <f t="shared" si="4"/>
        <v>145</v>
      </c>
      <c r="B147" s="19"/>
      <c r="C147" s="16"/>
      <c r="D147" s="16"/>
      <c r="E147" s="20"/>
      <c r="F147" s="19"/>
      <c r="G147" s="19"/>
      <c r="H147" s="19"/>
      <c r="I147" s="19"/>
      <c r="J147" s="19"/>
      <c r="K147" s="19"/>
      <c r="L147" s="21"/>
      <c r="M147" s="14"/>
      <c r="N147" s="18" t="str">
        <f t="shared" si="5"/>
        <v/>
      </c>
    </row>
    <row r="148" spans="1:14" ht="15" customHeight="1" x14ac:dyDescent="0.2">
      <c r="A148">
        <f t="shared" si="4"/>
        <v>146</v>
      </c>
      <c r="B148" s="19"/>
      <c r="C148" s="16"/>
      <c r="D148" s="16"/>
      <c r="E148" s="20"/>
      <c r="F148" s="19"/>
      <c r="G148" s="19"/>
      <c r="H148" s="19"/>
      <c r="I148" s="19"/>
      <c r="J148" s="19"/>
      <c r="K148" s="19"/>
      <c r="L148" s="21"/>
      <c r="M148" s="14"/>
      <c r="N148" s="18" t="str">
        <f t="shared" si="5"/>
        <v/>
      </c>
    </row>
    <row r="149" spans="1:14" ht="15" customHeight="1" x14ac:dyDescent="0.2">
      <c r="A149">
        <f t="shared" si="4"/>
        <v>147</v>
      </c>
      <c r="B149" s="19"/>
      <c r="C149" s="16"/>
      <c r="D149" s="16"/>
      <c r="E149" s="20"/>
      <c r="F149" s="19"/>
      <c r="G149" s="19"/>
      <c r="H149" s="19"/>
      <c r="I149" s="19"/>
      <c r="J149" s="19"/>
      <c r="K149" s="19"/>
      <c r="L149" s="21"/>
      <c r="M149" s="14"/>
      <c r="N149" s="18" t="str">
        <f t="shared" si="5"/>
        <v/>
      </c>
    </row>
    <row r="150" spans="1:14" ht="15" customHeight="1" x14ac:dyDescent="0.2">
      <c r="A150">
        <f t="shared" si="4"/>
        <v>148</v>
      </c>
      <c r="B150" s="19"/>
      <c r="C150" s="16"/>
      <c r="D150" s="16"/>
      <c r="E150" s="20"/>
      <c r="F150" s="19"/>
      <c r="G150" s="19"/>
      <c r="H150" s="19"/>
      <c r="I150" s="19"/>
      <c r="J150" s="19"/>
      <c r="K150" s="19"/>
      <c r="L150" s="21"/>
      <c r="M150" s="14"/>
      <c r="N150" s="18" t="str">
        <f t="shared" si="5"/>
        <v/>
      </c>
    </row>
    <row r="151" spans="1:14" ht="15" customHeight="1" x14ac:dyDescent="0.2">
      <c r="A151">
        <f t="shared" si="4"/>
        <v>149</v>
      </c>
      <c r="B151" s="19"/>
      <c r="C151" s="16"/>
      <c r="D151" s="16"/>
      <c r="E151" s="20"/>
      <c r="F151" s="19"/>
      <c r="G151" s="19"/>
      <c r="H151" s="19"/>
      <c r="I151" s="19"/>
      <c r="J151" s="19"/>
      <c r="K151" s="19"/>
      <c r="L151" s="21"/>
      <c r="M151" s="14"/>
      <c r="N151" s="18" t="str">
        <f t="shared" si="5"/>
        <v/>
      </c>
    </row>
    <row r="152" spans="1:14" ht="15" customHeight="1" x14ac:dyDescent="0.2">
      <c r="A152">
        <f t="shared" si="4"/>
        <v>150</v>
      </c>
      <c r="B152" s="19"/>
      <c r="C152" s="16"/>
      <c r="D152" s="16"/>
      <c r="E152" s="20"/>
      <c r="F152" s="19"/>
      <c r="G152" s="19"/>
      <c r="H152" s="19"/>
      <c r="I152" s="19"/>
      <c r="J152" s="19"/>
      <c r="K152" s="19"/>
      <c r="L152" s="21"/>
      <c r="M152" s="14"/>
      <c r="N152" s="18" t="str">
        <f t="shared" si="5"/>
        <v/>
      </c>
    </row>
    <row r="153" spans="1:14" ht="15" customHeight="1" x14ac:dyDescent="0.2">
      <c r="A153">
        <f t="shared" si="4"/>
        <v>151</v>
      </c>
      <c r="B153" s="19"/>
      <c r="C153" s="16"/>
      <c r="D153" s="16"/>
      <c r="E153" s="20"/>
      <c r="F153" s="19"/>
      <c r="G153" s="19"/>
      <c r="H153" s="19"/>
      <c r="I153" s="19"/>
      <c r="J153" s="19"/>
      <c r="K153" s="19"/>
      <c r="L153" s="21"/>
      <c r="M153" s="14"/>
      <c r="N153" s="18" t="str">
        <f t="shared" si="5"/>
        <v/>
      </c>
    </row>
    <row r="154" spans="1:14" ht="15" customHeight="1" x14ac:dyDescent="0.2">
      <c r="A154">
        <f t="shared" si="4"/>
        <v>152</v>
      </c>
      <c r="B154" s="19"/>
      <c r="C154" s="16"/>
      <c r="D154" s="16"/>
      <c r="E154" s="20"/>
      <c r="F154" s="19"/>
      <c r="G154" s="19"/>
      <c r="H154" s="19"/>
      <c r="I154" s="19"/>
      <c r="J154" s="19"/>
      <c r="K154" s="19"/>
      <c r="L154" s="21"/>
      <c r="M154" s="14"/>
      <c r="N154" s="18" t="str">
        <f t="shared" si="5"/>
        <v/>
      </c>
    </row>
    <row r="155" spans="1:14" ht="15" customHeight="1" x14ac:dyDescent="0.2">
      <c r="A155">
        <f t="shared" si="4"/>
        <v>153</v>
      </c>
      <c r="B155" s="19"/>
      <c r="C155" s="16"/>
      <c r="D155" s="16"/>
      <c r="E155" s="20"/>
      <c r="F155" s="19"/>
      <c r="G155" s="19"/>
      <c r="H155" s="19"/>
      <c r="I155" s="19"/>
      <c r="J155" s="19"/>
      <c r="K155" s="19"/>
      <c r="L155" s="21"/>
      <c r="M155" s="14"/>
      <c r="N155" s="18" t="str">
        <f t="shared" si="5"/>
        <v/>
      </c>
    </row>
    <row r="156" spans="1:14" ht="15" customHeight="1" x14ac:dyDescent="0.2">
      <c r="A156">
        <f t="shared" si="4"/>
        <v>154</v>
      </c>
      <c r="B156" s="19"/>
      <c r="C156" s="16"/>
      <c r="D156" s="16"/>
      <c r="E156" s="20"/>
      <c r="F156" s="19"/>
      <c r="G156" s="19"/>
      <c r="H156" s="19"/>
      <c r="I156" s="19"/>
      <c r="J156" s="19"/>
      <c r="K156" s="19"/>
      <c r="L156" s="21"/>
      <c r="M156" s="14"/>
      <c r="N156" s="18" t="str">
        <f t="shared" si="5"/>
        <v/>
      </c>
    </row>
    <row r="157" spans="1:14" ht="15" customHeight="1" x14ac:dyDescent="0.2">
      <c r="A157">
        <f t="shared" si="4"/>
        <v>155</v>
      </c>
      <c r="B157" s="19"/>
      <c r="C157" s="16"/>
      <c r="D157" s="16"/>
      <c r="E157" s="20"/>
      <c r="F157" s="19"/>
      <c r="G157" s="19"/>
      <c r="H157" s="19"/>
      <c r="I157" s="19"/>
      <c r="J157" s="19"/>
      <c r="K157" s="19"/>
      <c r="L157" s="21"/>
      <c r="M157" s="14"/>
      <c r="N157" s="18" t="str">
        <f t="shared" si="5"/>
        <v/>
      </c>
    </row>
    <row r="158" spans="1:14" ht="15" customHeight="1" x14ac:dyDescent="0.2">
      <c r="A158">
        <f t="shared" si="4"/>
        <v>156</v>
      </c>
      <c r="B158" s="19"/>
      <c r="C158" s="16"/>
      <c r="D158" s="16"/>
      <c r="E158" s="20"/>
      <c r="F158" s="19"/>
      <c r="G158" s="19"/>
      <c r="H158" s="19"/>
      <c r="I158" s="19"/>
      <c r="J158" s="19"/>
      <c r="K158" s="19"/>
      <c r="L158" s="21"/>
      <c r="M158" s="14"/>
      <c r="N158" s="18" t="str">
        <f t="shared" si="5"/>
        <v/>
      </c>
    </row>
    <row r="159" spans="1:14" ht="15" customHeight="1" x14ac:dyDescent="0.2">
      <c r="A159">
        <f t="shared" si="4"/>
        <v>157</v>
      </c>
      <c r="B159" s="19"/>
      <c r="C159" s="16"/>
      <c r="D159" s="16"/>
      <c r="E159" s="20"/>
      <c r="F159" s="19"/>
      <c r="G159" s="19"/>
      <c r="H159" s="19"/>
      <c r="I159" s="19"/>
      <c r="J159" s="19"/>
      <c r="K159" s="19"/>
      <c r="L159" s="21"/>
      <c r="M159" s="14"/>
      <c r="N159" s="18" t="str">
        <f t="shared" si="5"/>
        <v/>
      </c>
    </row>
    <row r="160" spans="1:14" ht="15" customHeight="1" x14ac:dyDescent="0.2">
      <c r="A160">
        <f t="shared" si="4"/>
        <v>158</v>
      </c>
      <c r="B160" s="19"/>
      <c r="C160" s="16"/>
      <c r="D160" s="16"/>
      <c r="E160" s="20"/>
      <c r="F160" s="19"/>
      <c r="G160" s="19"/>
      <c r="H160" s="19"/>
      <c r="I160" s="19"/>
      <c r="J160" s="19"/>
      <c r="K160" s="19"/>
      <c r="L160" s="21"/>
      <c r="M160" s="14"/>
      <c r="N160" s="18" t="str">
        <f t="shared" si="5"/>
        <v/>
      </c>
    </row>
    <row r="161" spans="1:14" ht="15" customHeight="1" x14ac:dyDescent="0.2">
      <c r="A161">
        <f t="shared" si="4"/>
        <v>159</v>
      </c>
      <c r="B161" s="19"/>
      <c r="C161" s="16"/>
      <c r="D161" s="16"/>
      <c r="E161" s="20"/>
      <c r="F161" s="19"/>
      <c r="G161" s="19"/>
      <c r="H161" s="19"/>
      <c r="I161" s="19"/>
      <c r="J161" s="19"/>
      <c r="K161" s="19"/>
      <c r="L161" s="21"/>
      <c r="M161" s="14"/>
      <c r="N161" s="18" t="str">
        <f t="shared" si="5"/>
        <v/>
      </c>
    </row>
    <row r="162" spans="1:14" ht="15" customHeight="1" x14ac:dyDescent="0.2">
      <c r="A162">
        <f t="shared" si="4"/>
        <v>160</v>
      </c>
      <c r="B162" s="19"/>
      <c r="C162" s="16"/>
      <c r="D162" s="16"/>
      <c r="E162" s="20"/>
      <c r="F162" s="19"/>
      <c r="G162" s="19"/>
      <c r="H162" s="19"/>
      <c r="I162" s="19"/>
      <c r="J162" s="19"/>
      <c r="K162" s="19"/>
      <c r="L162" s="21"/>
      <c r="M162" s="14"/>
      <c r="N162" s="18" t="str">
        <f t="shared" si="5"/>
        <v/>
      </c>
    </row>
    <row r="163" spans="1:14" ht="15" customHeight="1" x14ac:dyDescent="0.2">
      <c r="A163">
        <f t="shared" si="4"/>
        <v>161</v>
      </c>
      <c r="B163" s="19"/>
      <c r="C163" s="16"/>
      <c r="D163" s="16"/>
      <c r="E163" s="20"/>
      <c r="F163" s="19"/>
      <c r="G163" s="19"/>
      <c r="H163" s="19"/>
      <c r="I163" s="19"/>
      <c r="J163" s="19"/>
      <c r="K163" s="19"/>
      <c r="L163" s="21"/>
      <c r="M163" s="14"/>
      <c r="N163" s="18" t="str">
        <f t="shared" si="5"/>
        <v/>
      </c>
    </row>
    <row r="164" spans="1:14" ht="15" customHeight="1" x14ac:dyDescent="0.2">
      <c r="A164">
        <f t="shared" si="4"/>
        <v>162</v>
      </c>
      <c r="B164" s="19"/>
      <c r="C164" s="16"/>
      <c r="D164" s="16"/>
      <c r="E164" s="20"/>
      <c r="F164" s="19"/>
      <c r="G164" s="19"/>
      <c r="H164" s="19"/>
      <c r="I164" s="19"/>
      <c r="J164" s="19"/>
      <c r="K164" s="19"/>
      <c r="L164" s="21"/>
      <c r="M164" s="14"/>
      <c r="N164" s="18" t="str">
        <f t="shared" si="5"/>
        <v/>
      </c>
    </row>
    <row r="165" spans="1:14" ht="15" customHeight="1" x14ac:dyDescent="0.2">
      <c r="A165">
        <f t="shared" si="4"/>
        <v>163</v>
      </c>
      <c r="B165" s="19"/>
      <c r="C165" s="16"/>
      <c r="D165" s="16"/>
      <c r="E165" s="20"/>
      <c r="F165" s="19"/>
      <c r="G165" s="19"/>
      <c r="H165" s="19"/>
      <c r="I165" s="19"/>
      <c r="J165" s="19"/>
      <c r="K165" s="19"/>
      <c r="L165" s="21"/>
      <c r="M165" s="14"/>
      <c r="N165" s="18" t="str">
        <f t="shared" si="5"/>
        <v/>
      </c>
    </row>
    <row r="166" spans="1:14" ht="15" customHeight="1" x14ac:dyDescent="0.2">
      <c r="A166">
        <f t="shared" si="4"/>
        <v>164</v>
      </c>
      <c r="B166" s="19"/>
      <c r="C166" s="16"/>
      <c r="D166" s="16"/>
      <c r="E166" s="20"/>
      <c r="F166" s="19"/>
      <c r="G166" s="19"/>
      <c r="H166" s="19"/>
      <c r="I166" s="19"/>
      <c r="J166" s="19"/>
      <c r="K166" s="19"/>
      <c r="L166" s="21"/>
      <c r="M166" s="14"/>
      <c r="N166" s="18" t="str">
        <f t="shared" si="5"/>
        <v/>
      </c>
    </row>
    <row r="167" spans="1:14" ht="15" customHeight="1" x14ac:dyDescent="0.2">
      <c r="A167">
        <f t="shared" si="4"/>
        <v>165</v>
      </c>
      <c r="B167" s="19"/>
      <c r="C167" s="16"/>
      <c r="D167" s="16"/>
      <c r="E167" s="20"/>
      <c r="F167" s="19"/>
      <c r="G167" s="19"/>
      <c r="H167" s="19"/>
      <c r="I167" s="19"/>
      <c r="J167" s="19"/>
      <c r="K167" s="19"/>
      <c r="L167" s="21"/>
      <c r="M167" s="14"/>
      <c r="N167" s="18" t="str">
        <f t="shared" si="5"/>
        <v/>
      </c>
    </row>
    <row r="168" spans="1:14" ht="15" customHeight="1" x14ac:dyDescent="0.2">
      <c r="A168">
        <f t="shared" si="4"/>
        <v>166</v>
      </c>
      <c r="B168" s="19"/>
      <c r="C168" s="16"/>
      <c r="D168" s="16"/>
      <c r="E168" s="20"/>
      <c r="F168" s="19"/>
      <c r="G168" s="19"/>
      <c r="H168" s="19"/>
      <c r="I168" s="19"/>
      <c r="J168" s="19"/>
      <c r="K168" s="19"/>
      <c r="L168" s="21"/>
      <c r="M168" s="14"/>
      <c r="N168" s="18" t="str">
        <f t="shared" si="5"/>
        <v/>
      </c>
    </row>
    <row r="169" spans="1:14" ht="15" customHeight="1" x14ac:dyDescent="0.2">
      <c r="A169">
        <f t="shared" si="4"/>
        <v>167</v>
      </c>
      <c r="B169" s="19"/>
      <c r="C169" s="16"/>
      <c r="D169" s="16"/>
      <c r="E169" s="20"/>
      <c r="F169" s="19"/>
      <c r="G169" s="19"/>
      <c r="H169" s="19"/>
      <c r="I169" s="19"/>
      <c r="J169" s="19"/>
      <c r="K169" s="19"/>
      <c r="L169" s="21"/>
      <c r="M169" s="14"/>
      <c r="N169" s="18" t="str">
        <f t="shared" si="5"/>
        <v/>
      </c>
    </row>
    <row r="170" spans="1:14" ht="15" customHeight="1" x14ac:dyDescent="0.2">
      <c r="A170">
        <f t="shared" si="4"/>
        <v>168</v>
      </c>
      <c r="B170" s="19"/>
      <c r="C170" s="16"/>
      <c r="D170" s="16"/>
      <c r="E170" s="20"/>
      <c r="F170" s="19"/>
      <c r="G170" s="19"/>
      <c r="H170" s="19"/>
      <c r="I170" s="19"/>
      <c r="J170" s="19"/>
      <c r="K170" s="19"/>
      <c r="L170" s="21"/>
      <c r="M170" s="14"/>
      <c r="N170" s="18" t="str">
        <f t="shared" si="5"/>
        <v/>
      </c>
    </row>
    <row r="171" spans="1:14" ht="15" customHeight="1" x14ac:dyDescent="0.2">
      <c r="A171">
        <f t="shared" si="4"/>
        <v>169</v>
      </c>
      <c r="B171" s="19"/>
      <c r="C171" s="16"/>
      <c r="D171" s="16"/>
      <c r="E171" s="20"/>
      <c r="F171" s="19"/>
      <c r="G171" s="19"/>
      <c r="H171" s="19"/>
      <c r="I171" s="19"/>
      <c r="J171" s="19"/>
      <c r="K171" s="19"/>
      <c r="L171" s="21"/>
      <c r="M171" s="14"/>
      <c r="N171" s="18" t="str">
        <f t="shared" si="5"/>
        <v/>
      </c>
    </row>
    <row r="172" spans="1:14" ht="15" customHeight="1" x14ac:dyDescent="0.2">
      <c r="A172">
        <f t="shared" si="4"/>
        <v>170</v>
      </c>
      <c r="B172" s="19"/>
      <c r="C172" s="16"/>
      <c r="D172" s="16"/>
      <c r="E172" s="20"/>
      <c r="F172" s="19"/>
      <c r="G172" s="19"/>
      <c r="H172" s="19"/>
      <c r="I172" s="19"/>
      <c r="J172" s="19"/>
      <c r="K172" s="19"/>
      <c r="L172" s="21"/>
      <c r="M172" s="14"/>
      <c r="N172" s="18" t="str">
        <f t="shared" si="5"/>
        <v/>
      </c>
    </row>
    <row r="173" spans="1:14" ht="15" customHeight="1" x14ac:dyDescent="0.2">
      <c r="A173">
        <f t="shared" si="4"/>
        <v>171</v>
      </c>
      <c r="B173" s="19"/>
      <c r="C173" s="16"/>
      <c r="D173" s="16"/>
      <c r="E173" s="20"/>
      <c r="F173" s="19"/>
      <c r="G173" s="19"/>
      <c r="H173" s="19"/>
      <c r="I173" s="19"/>
      <c r="J173" s="19"/>
      <c r="K173" s="19"/>
      <c r="L173" s="21"/>
      <c r="M173" s="14"/>
      <c r="N173" s="18" t="str">
        <f t="shared" si="5"/>
        <v/>
      </c>
    </row>
    <row r="174" spans="1:14" ht="15" customHeight="1" x14ac:dyDescent="0.2">
      <c r="A174">
        <f t="shared" ref="A174:A237" si="6">A173+1</f>
        <v>172</v>
      </c>
      <c r="B174" s="19"/>
      <c r="C174" s="16"/>
      <c r="D174" s="16"/>
      <c r="E174" s="20"/>
      <c r="F174" s="19"/>
      <c r="G174" s="19"/>
      <c r="H174" s="19"/>
      <c r="I174" s="19"/>
      <c r="J174" s="19"/>
      <c r="K174" s="19"/>
      <c r="L174" s="21"/>
      <c r="M174" s="14"/>
      <c r="N174" s="18" t="str">
        <f t="shared" si="5"/>
        <v/>
      </c>
    </row>
    <row r="175" spans="1:14" ht="15" customHeight="1" x14ac:dyDescent="0.2">
      <c r="A175">
        <f t="shared" si="6"/>
        <v>173</v>
      </c>
      <c r="B175" s="19"/>
      <c r="C175" s="16"/>
      <c r="D175" s="16"/>
      <c r="E175" s="20"/>
      <c r="F175" s="19"/>
      <c r="G175" s="19"/>
      <c r="H175" s="19"/>
      <c r="I175" s="19"/>
      <c r="J175" s="19"/>
      <c r="K175" s="19"/>
      <c r="L175" s="21"/>
      <c r="M175" s="14"/>
      <c r="N175" s="18" t="str">
        <f t="shared" si="5"/>
        <v/>
      </c>
    </row>
    <row r="176" spans="1:14" ht="15" customHeight="1" x14ac:dyDescent="0.2">
      <c r="A176">
        <f t="shared" si="6"/>
        <v>174</v>
      </c>
      <c r="B176" s="19"/>
      <c r="C176" s="16"/>
      <c r="D176" s="16"/>
      <c r="E176" s="20"/>
      <c r="F176" s="19"/>
      <c r="G176" s="19"/>
      <c r="H176" s="19"/>
      <c r="I176" s="19"/>
      <c r="J176" s="19"/>
      <c r="K176" s="19"/>
      <c r="L176" s="21"/>
      <c r="M176" s="14"/>
      <c r="N176" s="18" t="str">
        <f t="shared" si="5"/>
        <v/>
      </c>
    </row>
    <row r="177" spans="1:14" ht="15" customHeight="1" x14ac:dyDescent="0.2">
      <c r="A177">
        <f t="shared" si="6"/>
        <v>175</v>
      </c>
      <c r="B177" s="19"/>
      <c r="C177" s="16"/>
      <c r="D177" s="16"/>
      <c r="E177" s="20"/>
      <c r="F177" s="19"/>
      <c r="G177" s="19"/>
      <c r="H177" s="19"/>
      <c r="I177" s="19"/>
      <c r="J177" s="19"/>
      <c r="K177" s="19"/>
      <c r="L177" s="21"/>
      <c r="M177" s="14"/>
      <c r="N177" s="18" t="str">
        <f t="shared" si="5"/>
        <v/>
      </c>
    </row>
    <row r="178" spans="1:14" ht="15" customHeight="1" x14ac:dyDescent="0.2">
      <c r="A178">
        <f t="shared" si="6"/>
        <v>176</v>
      </c>
      <c r="B178" s="19"/>
      <c r="C178" s="16"/>
      <c r="D178" s="16"/>
      <c r="E178" s="20"/>
      <c r="F178" s="19"/>
      <c r="G178" s="19"/>
      <c r="H178" s="19"/>
      <c r="I178" s="19"/>
      <c r="J178" s="19"/>
      <c r="K178" s="19"/>
      <c r="L178" s="21"/>
      <c r="M178" s="14"/>
      <c r="N178" s="18" t="str">
        <f t="shared" si="5"/>
        <v/>
      </c>
    </row>
    <row r="179" spans="1:14" ht="15" customHeight="1" x14ac:dyDescent="0.2">
      <c r="A179">
        <f t="shared" si="6"/>
        <v>177</v>
      </c>
      <c r="B179" s="19"/>
      <c r="C179" s="16"/>
      <c r="D179" s="16"/>
      <c r="E179" s="20"/>
      <c r="F179" s="19"/>
      <c r="G179" s="19"/>
      <c r="H179" s="19"/>
      <c r="I179" s="19"/>
      <c r="J179" s="19"/>
      <c r="K179" s="19"/>
      <c r="L179" s="21"/>
      <c r="M179" s="14"/>
      <c r="N179" s="18" t="str">
        <f t="shared" si="5"/>
        <v/>
      </c>
    </row>
    <row r="180" spans="1:14" ht="15" customHeight="1" x14ac:dyDescent="0.2">
      <c r="A180">
        <f t="shared" si="6"/>
        <v>178</v>
      </c>
      <c r="B180" s="19"/>
      <c r="C180" s="16"/>
      <c r="D180" s="16"/>
      <c r="E180" s="20"/>
      <c r="F180" s="19"/>
      <c r="G180" s="19"/>
      <c r="H180" s="19"/>
      <c r="I180" s="19"/>
      <c r="J180" s="19"/>
      <c r="K180" s="19"/>
      <c r="L180" s="21"/>
      <c r="M180" s="14"/>
      <c r="N180" s="18" t="str">
        <f t="shared" si="5"/>
        <v/>
      </c>
    </row>
    <row r="181" spans="1:14" ht="15" customHeight="1" x14ac:dyDescent="0.2">
      <c r="A181">
        <f t="shared" si="6"/>
        <v>179</v>
      </c>
      <c r="B181" s="19"/>
      <c r="C181" s="16"/>
      <c r="D181" s="16"/>
      <c r="E181" s="20"/>
      <c r="F181" s="19"/>
      <c r="G181" s="19"/>
      <c r="H181" s="19"/>
      <c r="I181" s="19"/>
      <c r="J181" s="19"/>
      <c r="K181" s="19"/>
      <c r="L181" s="21"/>
      <c r="M181" s="14"/>
      <c r="N181" s="18" t="str">
        <f t="shared" si="5"/>
        <v/>
      </c>
    </row>
    <row r="182" spans="1:14" ht="15" customHeight="1" x14ac:dyDescent="0.2">
      <c r="A182">
        <f t="shared" si="6"/>
        <v>180</v>
      </c>
      <c r="B182" s="19"/>
      <c r="C182" s="16"/>
      <c r="D182" s="16"/>
      <c r="E182" s="20"/>
      <c r="F182" s="19"/>
      <c r="G182" s="19"/>
      <c r="H182" s="19"/>
      <c r="I182" s="19"/>
      <c r="J182" s="19"/>
      <c r="K182" s="19"/>
      <c r="L182" s="21"/>
      <c r="M182" s="14"/>
      <c r="N182" s="18" t="str">
        <f t="shared" si="5"/>
        <v/>
      </c>
    </row>
    <row r="183" spans="1:14" ht="15" customHeight="1" x14ac:dyDescent="0.2">
      <c r="A183">
        <f t="shared" si="6"/>
        <v>181</v>
      </c>
      <c r="B183" s="19"/>
      <c r="C183" s="16"/>
      <c r="D183" s="16"/>
      <c r="E183" s="20"/>
      <c r="F183" s="19"/>
      <c r="G183" s="19"/>
      <c r="H183" s="19"/>
      <c r="I183" s="19"/>
      <c r="J183" s="19"/>
      <c r="K183" s="19"/>
      <c r="L183" s="21"/>
      <c r="M183" s="14"/>
      <c r="N183" s="18" t="str">
        <f t="shared" si="5"/>
        <v/>
      </c>
    </row>
    <row r="184" spans="1:14" ht="15" customHeight="1" x14ac:dyDescent="0.2">
      <c r="A184">
        <f t="shared" si="6"/>
        <v>182</v>
      </c>
      <c r="B184" s="19"/>
      <c r="C184" s="16"/>
      <c r="D184" s="16"/>
      <c r="E184" s="20"/>
      <c r="F184" s="19"/>
      <c r="G184" s="19"/>
      <c r="H184" s="19"/>
      <c r="I184" s="19"/>
      <c r="J184" s="19"/>
      <c r="K184" s="19"/>
      <c r="L184" s="21"/>
      <c r="M184" s="14"/>
      <c r="N184" s="18" t="str">
        <f t="shared" si="5"/>
        <v/>
      </c>
    </row>
    <row r="185" spans="1:14" ht="15" customHeight="1" x14ac:dyDescent="0.2">
      <c r="A185">
        <f t="shared" si="6"/>
        <v>183</v>
      </c>
      <c r="B185" s="19"/>
      <c r="C185" s="16"/>
      <c r="D185" s="16"/>
      <c r="E185" s="20"/>
      <c r="F185" s="19"/>
      <c r="G185" s="19"/>
      <c r="H185" s="19"/>
      <c r="I185" s="19"/>
      <c r="J185" s="19"/>
      <c r="K185" s="19"/>
      <c r="L185" s="21"/>
      <c r="M185" s="14"/>
      <c r="N185" s="18" t="str">
        <f t="shared" si="5"/>
        <v/>
      </c>
    </row>
    <row r="186" spans="1:14" ht="15" customHeight="1" x14ac:dyDescent="0.2">
      <c r="A186">
        <f t="shared" si="6"/>
        <v>184</v>
      </c>
      <c r="B186" s="19"/>
      <c r="C186" s="16"/>
      <c r="D186" s="16"/>
      <c r="E186" s="20"/>
      <c r="F186" s="19"/>
      <c r="G186" s="19"/>
      <c r="H186" s="19"/>
      <c r="I186" s="19"/>
      <c r="J186" s="19"/>
      <c r="K186" s="19"/>
      <c r="L186" s="21"/>
      <c r="M186" s="14"/>
      <c r="N186" s="18" t="str">
        <f t="shared" si="5"/>
        <v/>
      </c>
    </row>
    <row r="187" spans="1:14" ht="15" customHeight="1" x14ac:dyDescent="0.2">
      <c r="A187">
        <f t="shared" si="6"/>
        <v>185</v>
      </c>
      <c r="B187" s="19"/>
      <c r="C187" s="16"/>
      <c r="D187" s="16"/>
      <c r="E187" s="20"/>
      <c r="F187" s="19"/>
      <c r="G187" s="19"/>
      <c r="H187" s="19"/>
      <c r="I187" s="19"/>
      <c r="J187" s="19"/>
      <c r="K187" s="19"/>
      <c r="L187" s="21"/>
      <c r="M187" s="14"/>
      <c r="N187" s="18" t="str">
        <f t="shared" si="5"/>
        <v/>
      </c>
    </row>
    <row r="188" spans="1:14" ht="15" customHeight="1" x14ac:dyDescent="0.2">
      <c r="A188">
        <f t="shared" si="6"/>
        <v>186</v>
      </c>
      <c r="B188" s="19"/>
      <c r="C188" s="16"/>
      <c r="D188" s="16"/>
      <c r="E188" s="20"/>
      <c r="F188" s="19"/>
      <c r="G188" s="19"/>
      <c r="H188" s="19"/>
      <c r="I188" s="19"/>
      <c r="J188" s="19"/>
      <c r="K188" s="19"/>
      <c r="L188" s="21"/>
      <c r="M188" s="14"/>
      <c r="N188" s="18" t="str">
        <f t="shared" si="5"/>
        <v/>
      </c>
    </row>
    <row r="189" spans="1:14" ht="15" customHeight="1" x14ac:dyDescent="0.2">
      <c r="A189">
        <f t="shared" si="6"/>
        <v>187</v>
      </c>
      <c r="B189" s="19"/>
      <c r="C189" s="16"/>
      <c r="D189" s="16"/>
      <c r="E189" s="20"/>
      <c r="F189" s="19"/>
      <c r="G189" s="19"/>
      <c r="H189" s="19"/>
      <c r="I189" s="19"/>
      <c r="J189" s="19"/>
      <c r="K189" s="19"/>
      <c r="L189" s="21"/>
      <c r="M189" s="14"/>
      <c r="N189" s="18" t="str">
        <f t="shared" si="5"/>
        <v/>
      </c>
    </row>
    <row r="190" spans="1:14" ht="15" customHeight="1" x14ac:dyDescent="0.2">
      <c r="A190">
        <f t="shared" si="6"/>
        <v>188</v>
      </c>
      <c r="B190" s="19"/>
      <c r="C190" s="16"/>
      <c r="D190" s="16"/>
      <c r="E190" s="20"/>
      <c r="F190" s="19"/>
      <c r="G190" s="19"/>
      <c r="H190" s="19"/>
      <c r="I190" s="19"/>
      <c r="J190" s="19"/>
      <c r="K190" s="19"/>
      <c r="L190" s="21"/>
      <c r="M190" s="14"/>
      <c r="N190" s="18" t="str">
        <f t="shared" si="5"/>
        <v/>
      </c>
    </row>
    <row r="191" spans="1:14" ht="15" customHeight="1" x14ac:dyDescent="0.2">
      <c r="A191">
        <f t="shared" si="6"/>
        <v>189</v>
      </c>
      <c r="B191" s="19"/>
      <c r="C191" s="16"/>
      <c r="D191" s="16"/>
      <c r="E191" s="20"/>
      <c r="F191" s="19"/>
      <c r="G191" s="19"/>
      <c r="H191" s="19"/>
      <c r="I191" s="19"/>
      <c r="J191" s="19"/>
      <c r="K191" s="19"/>
      <c r="L191" s="21"/>
      <c r="M191" s="14"/>
      <c r="N191" s="18" t="str">
        <f t="shared" si="5"/>
        <v/>
      </c>
    </row>
    <row r="192" spans="1:14" ht="15" customHeight="1" x14ac:dyDescent="0.2">
      <c r="A192">
        <f t="shared" si="6"/>
        <v>190</v>
      </c>
      <c r="B192" s="19"/>
      <c r="C192" s="16"/>
      <c r="D192" s="16"/>
      <c r="E192" s="20"/>
      <c r="F192" s="19"/>
      <c r="G192" s="19"/>
      <c r="H192" s="19"/>
      <c r="I192" s="19"/>
      <c r="J192" s="19"/>
      <c r="K192" s="19"/>
      <c r="L192" s="21"/>
      <c r="M192" s="14"/>
      <c r="N192" s="18" t="str">
        <f t="shared" si="5"/>
        <v/>
      </c>
    </row>
    <row r="193" spans="1:14" ht="15" customHeight="1" x14ac:dyDescent="0.2">
      <c r="A193">
        <f t="shared" si="6"/>
        <v>191</v>
      </c>
      <c r="B193" s="19"/>
      <c r="C193" s="16"/>
      <c r="D193" s="16"/>
      <c r="E193" s="20"/>
      <c r="F193" s="19"/>
      <c r="G193" s="19"/>
      <c r="H193" s="19"/>
      <c r="I193" s="19"/>
      <c r="J193" s="19"/>
      <c r="K193" s="19"/>
      <c r="L193" s="21"/>
      <c r="M193" s="14"/>
      <c r="N193" s="18" t="str">
        <f t="shared" si="5"/>
        <v/>
      </c>
    </row>
    <row r="194" spans="1:14" ht="15" customHeight="1" x14ac:dyDescent="0.2">
      <c r="A194">
        <f t="shared" si="6"/>
        <v>192</v>
      </c>
      <c r="B194" s="19"/>
      <c r="C194" s="16"/>
      <c r="D194" s="16"/>
      <c r="E194" s="20"/>
      <c r="F194" s="19"/>
      <c r="G194" s="19"/>
      <c r="H194" s="19"/>
      <c r="I194" s="19"/>
      <c r="J194" s="19"/>
      <c r="K194" s="19"/>
      <c r="L194" s="21"/>
      <c r="M194" s="14"/>
      <c r="N194" s="18" t="str">
        <f t="shared" si="5"/>
        <v/>
      </c>
    </row>
    <row r="195" spans="1:14" ht="15" customHeight="1" x14ac:dyDescent="0.2">
      <c r="A195">
        <f t="shared" si="6"/>
        <v>193</v>
      </c>
      <c r="B195" s="19"/>
      <c r="C195" s="16"/>
      <c r="D195" s="16"/>
      <c r="E195" s="20"/>
      <c r="F195" s="19"/>
      <c r="G195" s="19"/>
      <c r="H195" s="19"/>
      <c r="I195" s="19"/>
      <c r="J195" s="19"/>
      <c r="K195" s="19"/>
      <c r="L195" s="21"/>
      <c r="M195" s="14"/>
      <c r="N195" s="18" t="str">
        <f t="shared" si="5"/>
        <v/>
      </c>
    </row>
    <row r="196" spans="1:14" ht="15" customHeight="1" x14ac:dyDescent="0.2">
      <c r="A196">
        <f t="shared" si="6"/>
        <v>194</v>
      </c>
      <c r="B196" s="19"/>
      <c r="C196" s="16"/>
      <c r="D196" s="16"/>
      <c r="E196" s="20"/>
      <c r="F196" s="19"/>
      <c r="G196" s="19"/>
      <c r="H196" s="19"/>
      <c r="I196" s="19"/>
      <c r="J196" s="19"/>
      <c r="K196" s="19"/>
      <c r="L196" s="21"/>
      <c r="M196" s="14"/>
      <c r="N196" s="18" t="str">
        <f t="shared" ref="N196:N259" si="7">IF(B196="","",E196*M196)</f>
        <v/>
      </c>
    </row>
    <row r="197" spans="1:14" ht="15" customHeight="1" x14ac:dyDescent="0.2">
      <c r="A197">
        <f t="shared" si="6"/>
        <v>195</v>
      </c>
      <c r="B197" s="19"/>
      <c r="C197" s="16"/>
      <c r="D197" s="16"/>
      <c r="E197" s="20"/>
      <c r="F197" s="19"/>
      <c r="G197" s="19"/>
      <c r="H197" s="19"/>
      <c r="I197" s="19"/>
      <c r="J197" s="19"/>
      <c r="K197" s="19"/>
      <c r="L197" s="21"/>
      <c r="M197" s="14"/>
      <c r="N197" s="18" t="str">
        <f t="shared" si="7"/>
        <v/>
      </c>
    </row>
    <row r="198" spans="1:14" ht="15" customHeight="1" x14ac:dyDescent="0.2">
      <c r="A198">
        <f t="shared" si="6"/>
        <v>196</v>
      </c>
      <c r="B198" s="19"/>
      <c r="C198" s="16"/>
      <c r="D198" s="16"/>
      <c r="E198" s="20"/>
      <c r="F198" s="19"/>
      <c r="G198" s="19"/>
      <c r="H198" s="19"/>
      <c r="I198" s="19"/>
      <c r="J198" s="19"/>
      <c r="K198" s="19"/>
      <c r="L198" s="21"/>
      <c r="M198" s="14"/>
      <c r="N198" s="18" t="str">
        <f t="shared" si="7"/>
        <v/>
      </c>
    </row>
    <row r="199" spans="1:14" ht="15" customHeight="1" x14ac:dyDescent="0.2">
      <c r="A199">
        <f t="shared" si="6"/>
        <v>197</v>
      </c>
      <c r="B199" s="19"/>
      <c r="C199" s="16"/>
      <c r="D199" s="16"/>
      <c r="E199" s="20"/>
      <c r="F199" s="19"/>
      <c r="G199" s="19"/>
      <c r="H199" s="19"/>
      <c r="I199" s="19"/>
      <c r="J199" s="19"/>
      <c r="K199" s="19"/>
      <c r="L199" s="21"/>
      <c r="M199" s="14"/>
      <c r="N199" s="18" t="str">
        <f t="shared" si="7"/>
        <v/>
      </c>
    </row>
    <row r="200" spans="1:14" ht="15" customHeight="1" x14ac:dyDescent="0.2">
      <c r="A200">
        <f t="shared" si="6"/>
        <v>198</v>
      </c>
      <c r="B200" s="19"/>
      <c r="C200" s="16"/>
      <c r="D200" s="16"/>
      <c r="E200" s="20"/>
      <c r="F200" s="19"/>
      <c r="G200" s="19"/>
      <c r="H200" s="19"/>
      <c r="I200" s="19"/>
      <c r="J200" s="19"/>
      <c r="K200" s="19"/>
      <c r="L200" s="21"/>
      <c r="M200" s="14"/>
      <c r="N200" s="18" t="str">
        <f t="shared" si="7"/>
        <v/>
      </c>
    </row>
    <row r="201" spans="1:14" ht="15" customHeight="1" x14ac:dyDescent="0.2">
      <c r="A201">
        <f t="shared" si="6"/>
        <v>199</v>
      </c>
      <c r="B201" s="19"/>
      <c r="C201" s="16"/>
      <c r="D201" s="16"/>
      <c r="E201" s="20"/>
      <c r="F201" s="19"/>
      <c r="G201" s="19"/>
      <c r="H201" s="19"/>
      <c r="I201" s="19"/>
      <c r="J201" s="19"/>
      <c r="K201" s="19"/>
      <c r="L201" s="21"/>
      <c r="M201" s="14"/>
      <c r="N201" s="18" t="str">
        <f t="shared" si="7"/>
        <v/>
      </c>
    </row>
    <row r="202" spans="1:14" ht="15" customHeight="1" x14ac:dyDescent="0.2">
      <c r="A202">
        <f t="shared" si="6"/>
        <v>200</v>
      </c>
      <c r="B202" s="19"/>
      <c r="C202" s="16"/>
      <c r="D202" s="16"/>
      <c r="E202" s="20"/>
      <c r="F202" s="19"/>
      <c r="G202" s="19"/>
      <c r="H202" s="19"/>
      <c r="I202" s="19"/>
      <c r="J202" s="19"/>
      <c r="K202" s="19"/>
      <c r="L202" s="21"/>
      <c r="M202" s="14"/>
      <c r="N202" s="18" t="str">
        <f t="shared" si="7"/>
        <v/>
      </c>
    </row>
    <row r="203" spans="1:14" ht="15" customHeight="1" x14ac:dyDescent="0.2">
      <c r="A203">
        <f t="shared" si="6"/>
        <v>201</v>
      </c>
      <c r="B203" s="19"/>
      <c r="C203" s="16"/>
      <c r="D203" s="16"/>
      <c r="E203" s="20"/>
      <c r="F203" s="19"/>
      <c r="G203" s="19"/>
      <c r="H203" s="19"/>
      <c r="I203" s="19"/>
      <c r="J203" s="19"/>
      <c r="K203" s="19"/>
      <c r="L203" s="21"/>
      <c r="M203" s="14"/>
      <c r="N203" s="18" t="str">
        <f t="shared" si="7"/>
        <v/>
      </c>
    </row>
    <row r="204" spans="1:14" ht="15" customHeight="1" x14ac:dyDescent="0.2">
      <c r="A204">
        <f t="shared" si="6"/>
        <v>202</v>
      </c>
      <c r="B204" s="19"/>
      <c r="C204" s="16"/>
      <c r="D204" s="16"/>
      <c r="E204" s="20"/>
      <c r="F204" s="19"/>
      <c r="G204" s="19"/>
      <c r="H204" s="19"/>
      <c r="I204" s="19"/>
      <c r="J204" s="19"/>
      <c r="K204" s="19"/>
      <c r="L204" s="21"/>
      <c r="M204" s="14"/>
      <c r="N204" s="18" t="str">
        <f t="shared" si="7"/>
        <v/>
      </c>
    </row>
    <row r="205" spans="1:14" ht="15" customHeight="1" x14ac:dyDescent="0.2">
      <c r="A205">
        <f t="shared" si="6"/>
        <v>203</v>
      </c>
      <c r="B205" s="19"/>
      <c r="C205" s="16"/>
      <c r="D205" s="16"/>
      <c r="E205" s="20"/>
      <c r="F205" s="19"/>
      <c r="G205" s="19"/>
      <c r="H205" s="19"/>
      <c r="I205" s="19"/>
      <c r="J205" s="19"/>
      <c r="K205" s="19"/>
      <c r="L205" s="21"/>
      <c r="M205" s="14"/>
      <c r="N205" s="18" t="str">
        <f t="shared" si="7"/>
        <v/>
      </c>
    </row>
    <row r="206" spans="1:14" ht="15" customHeight="1" x14ac:dyDescent="0.2">
      <c r="A206">
        <f t="shared" si="6"/>
        <v>204</v>
      </c>
      <c r="B206" s="19"/>
      <c r="C206" s="16"/>
      <c r="D206" s="16"/>
      <c r="E206" s="20"/>
      <c r="F206" s="19"/>
      <c r="G206" s="19"/>
      <c r="H206" s="19"/>
      <c r="I206" s="19"/>
      <c r="J206" s="19"/>
      <c r="K206" s="19"/>
      <c r="L206" s="21"/>
      <c r="M206" s="14"/>
      <c r="N206" s="18" t="str">
        <f t="shared" si="7"/>
        <v/>
      </c>
    </row>
    <row r="207" spans="1:14" ht="15" customHeight="1" x14ac:dyDescent="0.2">
      <c r="A207">
        <f t="shared" si="6"/>
        <v>205</v>
      </c>
      <c r="B207" s="19"/>
      <c r="C207" s="16"/>
      <c r="D207" s="16"/>
      <c r="E207" s="20"/>
      <c r="F207" s="19"/>
      <c r="G207" s="19"/>
      <c r="H207" s="19"/>
      <c r="I207" s="19"/>
      <c r="J207" s="19"/>
      <c r="K207" s="19"/>
      <c r="L207" s="21"/>
      <c r="M207" s="14"/>
      <c r="N207" s="18" t="str">
        <f t="shared" si="7"/>
        <v/>
      </c>
    </row>
    <row r="208" spans="1:14" ht="15" customHeight="1" x14ac:dyDescent="0.2">
      <c r="A208">
        <f t="shared" si="6"/>
        <v>206</v>
      </c>
      <c r="B208" s="19"/>
      <c r="C208" s="16"/>
      <c r="D208" s="16"/>
      <c r="E208" s="20"/>
      <c r="F208" s="19"/>
      <c r="G208" s="19"/>
      <c r="H208" s="19"/>
      <c r="I208" s="19"/>
      <c r="J208" s="19"/>
      <c r="K208" s="19"/>
      <c r="L208" s="21"/>
      <c r="M208" s="14"/>
      <c r="N208" s="18" t="str">
        <f t="shared" si="7"/>
        <v/>
      </c>
    </row>
    <row r="209" spans="1:14" ht="15" customHeight="1" x14ac:dyDescent="0.2">
      <c r="A209">
        <f t="shared" si="6"/>
        <v>207</v>
      </c>
      <c r="B209" s="19"/>
      <c r="C209" s="16"/>
      <c r="D209" s="16"/>
      <c r="E209" s="20"/>
      <c r="F209" s="19"/>
      <c r="G209" s="19"/>
      <c r="H209" s="19"/>
      <c r="I209" s="19"/>
      <c r="J209" s="19"/>
      <c r="K209" s="19"/>
      <c r="L209" s="21"/>
      <c r="M209" s="14"/>
      <c r="N209" s="18" t="str">
        <f t="shared" si="7"/>
        <v/>
      </c>
    </row>
    <row r="210" spans="1:14" ht="15" customHeight="1" x14ac:dyDescent="0.2">
      <c r="A210">
        <f t="shared" si="6"/>
        <v>208</v>
      </c>
      <c r="B210" s="19"/>
      <c r="C210" s="16"/>
      <c r="D210" s="16"/>
      <c r="E210" s="20"/>
      <c r="F210" s="19"/>
      <c r="G210" s="19"/>
      <c r="H210" s="19"/>
      <c r="I210" s="19"/>
      <c r="J210" s="19"/>
      <c r="K210" s="19"/>
      <c r="L210" s="21"/>
      <c r="M210" s="14"/>
      <c r="N210" s="18" t="str">
        <f t="shared" si="7"/>
        <v/>
      </c>
    </row>
    <row r="211" spans="1:14" ht="15" customHeight="1" x14ac:dyDescent="0.2">
      <c r="A211">
        <f t="shared" si="6"/>
        <v>209</v>
      </c>
      <c r="B211" s="19"/>
      <c r="C211" s="16"/>
      <c r="D211" s="16"/>
      <c r="E211" s="20"/>
      <c r="F211" s="19"/>
      <c r="G211" s="19"/>
      <c r="H211" s="19"/>
      <c r="I211" s="19"/>
      <c r="J211" s="19"/>
      <c r="K211" s="19"/>
      <c r="L211" s="21"/>
      <c r="M211" s="14"/>
      <c r="N211" s="18" t="str">
        <f t="shared" si="7"/>
        <v/>
      </c>
    </row>
    <row r="212" spans="1:14" ht="15" customHeight="1" x14ac:dyDescent="0.2">
      <c r="A212">
        <f t="shared" si="6"/>
        <v>210</v>
      </c>
      <c r="B212" s="19"/>
      <c r="C212" s="16"/>
      <c r="D212" s="16"/>
      <c r="E212" s="20"/>
      <c r="F212" s="19"/>
      <c r="G212" s="19"/>
      <c r="H212" s="19"/>
      <c r="I212" s="19"/>
      <c r="J212" s="19"/>
      <c r="K212" s="19"/>
      <c r="L212" s="21"/>
      <c r="M212" s="14"/>
      <c r="N212" s="18" t="str">
        <f t="shared" si="7"/>
        <v/>
      </c>
    </row>
    <row r="213" spans="1:14" ht="15" customHeight="1" x14ac:dyDescent="0.2">
      <c r="A213">
        <f t="shared" si="6"/>
        <v>211</v>
      </c>
      <c r="B213" s="19"/>
      <c r="C213" s="16"/>
      <c r="D213" s="16"/>
      <c r="E213" s="20"/>
      <c r="F213" s="19"/>
      <c r="G213" s="19"/>
      <c r="H213" s="19"/>
      <c r="I213" s="19"/>
      <c r="J213" s="19"/>
      <c r="K213" s="19"/>
      <c r="L213" s="21"/>
      <c r="M213" s="14"/>
      <c r="N213" s="18" t="str">
        <f t="shared" si="7"/>
        <v/>
      </c>
    </row>
    <row r="214" spans="1:14" ht="15" customHeight="1" x14ac:dyDescent="0.2">
      <c r="A214">
        <f t="shared" si="6"/>
        <v>212</v>
      </c>
      <c r="B214" s="19"/>
      <c r="C214" s="16"/>
      <c r="D214" s="16"/>
      <c r="E214" s="20"/>
      <c r="F214" s="19"/>
      <c r="G214" s="19"/>
      <c r="H214" s="19"/>
      <c r="I214" s="19"/>
      <c r="J214" s="19"/>
      <c r="K214" s="19"/>
      <c r="L214" s="21"/>
      <c r="M214" s="14"/>
      <c r="N214" s="18" t="str">
        <f t="shared" si="7"/>
        <v/>
      </c>
    </row>
    <row r="215" spans="1:14" ht="15" customHeight="1" x14ac:dyDescent="0.2">
      <c r="A215">
        <f t="shared" si="6"/>
        <v>213</v>
      </c>
      <c r="B215" s="19"/>
      <c r="C215" s="16"/>
      <c r="D215" s="16"/>
      <c r="E215" s="20"/>
      <c r="F215" s="19"/>
      <c r="G215" s="19"/>
      <c r="H215" s="19"/>
      <c r="I215" s="19"/>
      <c r="J215" s="19"/>
      <c r="K215" s="19"/>
      <c r="L215" s="21"/>
      <c r="M215" s="14"/>
      <c r="N215" s="18" t="str">
        <f t="shared" si="7"/>
        <v/>
      </c>
    </row>
    <row r="216" spans="1:14" ht="15" customHeight="1" x14ac:dyDescent="0.2">
      <c r="A216">
        <f t="shared" si="6"/>
        <v>214</v>
      </c>
      <c r="B216" s="19"/>
      <c r="C216" s="16"/>
      <c r="D216" s="16"/>
      <c r="E216" s="20"/>
      <c r="F216" s="19"/>
      <c r="G216" s="19"/>
      <c r="H216" s="19"/>
      <c r="I216" s="19"/>
      <c r="J216" s="19"/>
      <c r="K216" s="19"/>
      <c r="L216" s="21"/>
      <c r="M216" s="14"/>
      <c r="N216" s="18" t="str">
        <f t="shared" si="7"/>
        <v/>
      </c>
    </row>
    <row r="217" spans="1:14" ht="15" customHeight="1" x14ac:dyDescent="0.2">
      <c r="A217">
        <f t="shared" si="6"/>
        <v>215</v>
      </c>
      <c r="B217" s="19"/>
      <c r="C217" s="16"/>
      <c r="D217" s="16"/>
      <c r="E217" s="20"/>
      <c r="F217" s="19"/>
      <c r="G217" s="19"/>
      <c r="H217" s="19"/>
      <c r="I217" s="19"/>
      <c r="J217" s="19"/>
      <c r="K217" s="19"/>
      <c r="L217" s="21"/>
      <c r="M217" s="14"/>
      <c r="N217" s="18" t="str">
        <f t="shared" si="7"/>
        <v/>
      </c>
    </row>
    <row r="218" spans="1:14" ht="15" customHeight="1" x14ac:dyDescent="0.2">
      <c r="A218">
        <f t="shared" si="6"/>
        <v>216</v>
      </c>
      <c r="B218" s="19"/>
      <c r="C218" s="16"/>
      <c r="D218" s="16"/>
      <c r="E218" s="20"/>
      <c r="F218" s="19"/>
      <c r="G218" s="19"/>
      <c r="H218" s="19"/>
      <c r="I218" s="19"/>
      <c r="J218" s="19"/>
      <c r="K218" s="19"/>
      <c r="L218" s="21"/>
      <c r="M218" s="14"/>
      <c r="N218" s="18" t="str">
        <f t="shared" si="7"/>
        <v/>
      </c>
    </row>
    <row r="219" spans="1:14" ht="15" customHeight="1" x14ac:dyDescent="0.2">
      <c r="A219">
        <f t="shared" si="6"/>
        <v>217</v>
      </c>
      <c r="B219" s="19"/>
      <c r="C219" s="16"/>
      <c r="D219" s="16"/>
      <c r="E219" s="20"/>
      <c r="F219" s="19"/>
      <c r="G219" s="19"/>
      <c r="H219" s="19"/>
      <c r="I219" s="19"/>
      <c r="J219" s="19"/>
      <c r="K219" s="19"/>
      <c r="L219" s="21"/>
      <c r="M219" s="14"/>
      <c r="N219" s="18" t="str">
        <f t="shared" si="7"/>
        <v/>
      </c>
    </row>
    <row r="220" spans="1:14" ht="15" customHeight="1" x14ac:dyDescent="0.2">
      <c r="A220">
        <f t="shared" si="6"/>
        <v>218</v>
      </c>
      <c r="B220" s="19"/>
      <c r="C220" s="16"/>
      <c r="D220" s="16"/>
      <c r="E220" s="20"/>
      <c r="F220" s="19"/>
      <c r="G220" s="19"/>
      <c r="H220" s="19"/>
      <c r="I220" s="19"/>
      <c r="J220" s="19"/>
      <c r="K220" s="19"/>
      <c r="L220" s="21"/>
      <c r="M220" s="14"/>
      <c r="N220" s="18" t="str">
        <f t="shared" si="7"/>
        <v/>
      </c>
    </row>
    <row r="221" spans="1:14" ht="15" customHeight="1" x14ac:dyDescent="0.2">
      <c r="A221">
        <f t="shared" si="6"/>
        <v>219</v>
      </c>
      <c r="B221" s="19"/>
      <c r="C221" s="16"/>
      <c r="D221" s="16"/>
      <c r="E221" s="20"/>
      <c r="F221" s="19"/>
      <c r="G221" s="19"/>
      <c r="H221" s="19"/>
      <c r="I221" s="19"/>
      <c r="J221" s="19"/>
      <c r="K221" s="19"/>
      <c r="L221" s="21"/>
      <c r="M221" s="14"/>
      <c r="N221" s="18" t="str">
        <f t="shared" si="7"/>
        <v/>
      </c>
    </row>
    <row r="222" spans="1:14" ht="15" customHeight="1" x14ac:dyDescent="0.2">
      <c r="A222">
        <f t="shared" si="6"/>
        <v>220</v>
      </c>
      <c r="B222" s="19"/>
      <c r="C222" s="16"/>
      <c r="D222" s="16"/>
      <c r="E222" s="20"/>
      <c r="F222" s="19"/>
      <c r="G222" s="19"/>
      <c r="H222" s="19"/>
      <c r="I222" s="19"/>
      <c r="J222" s="19"/>
      <c r="K222" s="19"/>
      <c r="L222" s="21"/>
      <c r="M222" s="14"/>
      <c r="N222" s="18" t="str">
        <f t="shared" si="7"/>
        <v/>
      </c>
    </row>
    <row r="223" spans="1:14" ht="15" customHeight="1" x14ac:dyDescent="0.2">
      <c r="A223">
        <f t="shared" si="6"/>
        <v>221</v>
      </c>
      <c r="B223" s="19"/>
      <c r="C223" s="16"/>
      <c r="D223" s="16"/>
      <c r="E223" s="20"/>
      <c r="F223" s="19"/>
      <c r="G223" s="19"/>
      <c r="H223" s="19"/>
      <c r="I223" s="19"/>
      <c r="J223" s="19"/>
      <c r="K223" s="19"/>
      <c r="L223" s="21"/>
      <c r="M223" s="14"/>
      <c r="N223" s="18" t="str">
        <f t="shared" si="7"/>
        <v/>
      </c>
    </row>
    <row r="224" spans="1:14" ht="15" customHeight="1" x14ac:dyDescent="0.2">
      <c r="A224">
        <f t="shared" si="6"/>
        <v>222</v>
      </c>
      <c r="B224" s="19"/>
      <c r="C224" s="16"/>
      <c r="D224" s="16"/>
      <c r="E224" s="20"/>
      <c r="F224" s="19"/>
      <c r="G224" s="19"/>
      <c r="H224" s="19"/>
      <c r="I224" s="19"/>
      <c r="J224" s="19"/>
      <c r="K224" s="19"/>
      <c r="L224" s="21"/>
      <c r="M224" s="14"/>
      <c r="N224" s="18" t="str">
        <f t="shared" si="7"/>
        <v/>
      </c>
    </row>
    <row r="225" spans="1:14" ht="15" customHeight="1" x14ac:dyDescent="0.2">
      <c r="A225">
        <f t="shared" si="6"/>
        <v>223</v>
      </c>
      <c r="B225" s="19"/>
      <c r="C225" s="16"/>
      <c r="D225" s="16"/>
      <c r="E225" s="20"/>
      <c r="F225" s="19"/>
      <c r="G225" s="19"/>
      <c r="H225" s="19"/>
      <c r="I225" s="19"/>
      <c r="J225" s="19"/>
      <c r="K225" s="19"/>
      <c r="L225" s="21"/>
      <c r="M225" s="14"/>
      <c r="N225" s="18" t="str">
        <f t="shared" si="7"/>
        <v/>
      </c>
    </row>
    <row r="226" spans="1:14" ht="15" customHeight="1" x14ac:dyDescent="0.2">
      <c r="A226">
        <f t="shared" si="6"/>
        <v>224</v>
      </c>
      <c r="B226" s="19"/>
      <c r="C226" s="16"/>
      <c r="D226" s="16"/>
      <c r="E226" s="20"/>
      <c r="F226" s="19"/>
      <c r="G226" s="19"/>
      <c r="H226" s="19"/>
      <c r="I226" s="19"/>
      <c r="J226" s="19"/>
      <c r="K226" s="19"/>
      <c r="L226" s="21"/>
      <c r="M226" s="14"/>
      <c r="N226" s="18" t="str">
        <f t="shared" si="7"/>
        <v/>
      </c>
    </row>
    <row r="227" spans="1:14" ht="15" customHeight="1" x14ac:dyDescent="0.2">
      <c r="A227">
        <f t="shared" si="6"/>
        <v>225</v>
      </c>
      <c r="B227" s="19"/>
      <c r="C227" s="16"/>
      <c r="D227" s="16"/>
      <c r="E227" s="20"/>
      <c r="F227" s="19"/>
      <c r="G227" s="19"/>
      <c r="H227" s="19"/>
      <c r="I227" s="19"/>
      <c r="J227" s="19"/>
      <c r="K227" s="19"/>
      <c r="L227" s="21"/>
      <c r="M227" s="14"/>
      <c r="N227" s="18" t="str">
        <f t="shared" si="7"/>
        <v/>
      </c>
    </row>
    <row r="228" spans="1:14" ht="15" customHeight="1" x14ac:dyDescent="0.2">
      <c r="A228">
        <f t="shared" si="6"/>
        <v>226</v>
      </c>
      <c r="B228" s="19"/>
      <c r="C228" s="16"/>
      <c r="D228" s="16"/>
      <c r="E228" s="20"/>
      <c r="F228" s="19"/>
      <c r="G228" s="19"/>
      <c r="H228" s="19"/>
      <c r="I228" s="19"/>
      <c r="J228" s="19"/>
      <c r="K228" s="19"/>
      <c r="L228" s="21"/>
      <c r="M228" s="14"/>
      <c r="N228" s="18" t="str">
        <f t="shared" si="7"/>
        <v/>
      </c>
    </row>
    <row r="229" spans="1:14" ht="15" customHeight="1" x14ac:dyDescent="0.2">
      <c r="A229">
        <f t="shared" si="6"/>
        <v>227</v>
      </c>
      <c r="B229" s="19"/>
      <c r="C229" s="16"/>
      <c r="D229" s="16"/>
      <c r="E229" s="20"/>
      <c r="F229" s="19"/>
      <c r="G229" s="19"/>
      <c r="H229" s="19"/>
      <c r="I229" s="19"/>
      <c r="J229" s="19"/>
      <c r="K229" s="19"/>
      <c r="L229" s="21"/>
      <c r="M229" s="14"/>
      <c r="N229" s="18" t="str">
        <f t="shared" si="7"/>
        <v/>
      </c>
    </row>
    <row r="230" spans="1:14" ht="15" customHeight="1" x14ac:dyDescent="0.2">
      <c r="A230">
        <f t="shared" si="6"/>
        <v>228</v>
      </c>
      <c r="B230" s="19"/>
      <c r="C230" s="16"/>
      <c r="D230" s="16"/>
      <c r="E230" s="20"/>
      <c r="F230" s="19"/>
      <c r="G230" s="19"/>
      <c r="H230" s="19"/>
      <c r="I230" s="19"/>
      <c r="J230" s="19"/>
      <c r="K230" s="19"/>
      <c r="L230" s="21"/>
      <c r="M230" s="14"/>
      <c r="N230" s="18" t="str">
        <f t="shared" si="7"/>
        <v/>
      </c>
    </row>
    <row r="231" spans="1:14" ht="15" customHeight="1" x14ac:dyDescent="0.2">
      <c r="A231">
        <f t="shared" si="6"/>
        <v>229</v>
      </c>
      <c r="B231" s="19"/>
      <c r="C231" s="16"/>
      <c r="D231" s="16"/>
      <c r="E231" s="20"/>
      <c r="F231" s="19"/>
      <c r="G231" s="19"/>
      <c r="H231" s="19"/>
      <c r="I231" s="19"/>
      <c r="J231" s="19"/>
      <c r="K231" s="19"/>
      <c r="L231" s="21"/>
      <c r="M231" s="14"/>
      <c r="N231" s="18" t="str">
        <f t="shared" si="7"/>
        <v/>
      </c>
    </row>
    <row r="232" spans="1:14" ht="15" customHeight="1" x14ac:dyDescent="0.2">
      <c r="A232">
        <f t="shared" si="6"/>
        <v>230</v>
      </c>
      <c r="B232" s="19"/>
      <c r="C232" s="16"/>
      <c r="D232" s="16"/>
      <c r="E232" s="20"/>
      <c r="F232" s="19"/>
      <c r="G232" s="19"/>
      <c r="H232" s="19"/>
      <c r="I232" s="19"/>
      <c r="J232" s="19"/>
      <c r="K232" s="19"/>
      <c r="L232" s="21"/>
      <c r="M232" s="14"/>
      <c r="N232" s="18" t="str">
        <f t="shared" si="7"/>
        <v/>
      </c>
    </row>
    <row r="233" spans="1:14" ht="15" customHeight="1" x14ac:dyDescent="0.2">
      <c r="A233">
        <f t="shared" si="6"/>
        <v>231</v>
      </c>
      <c r="B233" s="19"/>
      <c r="C233" s="16"/>
      <c r="D233" s="16"/>
      <c r="E233" s="20"/>
      <c r="F233" s="19"/>
      <c r="G233" s="19"/>
      <c r="H233" s="19"/>
      <c r="I233" s="19"/>
      <c r="J233" s="19"/>
      <c r="K233" s="19"/>
      <c r="L233" s="21"/>
      <c r="M233" s="14"/>
      <c r="N233" s="18" t="str">
        <f t="shared" si="7"/>
        <v/>
      </c>
    </row>
    <row r="234" spans="1:14" ht="15" customHeight="1" x14ac:dyDescent="0.2">
      <c r="A234">
        <f t="shared" si="6"/>
        <v>232</v>
      </c>
      <c r="B234" s="19"/>
      <c r="C234" s="16"/>
      <c r="D234" s="16"/>
      <c r="E234" s="20"/>
      <c r="F234" s="19"/>
      <c r="G234" s="19"/>
      <c r="H234" s="19"/>
      <c r="I234" s="19"/>
      <c r="J234" s="19"/>
      <c r="K234" s="19"/>
      <c r="L234" s="21"/>
      <c r="M234" s="14"/>
      <c r="N234" s="18" t="str">
        <f t="shared" si="7"/>
        <v/>
      </c>
    </row>
    <row r="235" spans="1:14" ht="15" customHeight="1" x14ac:dyDescent="0.2">
      <c r="A235">
        <f t="shared" si="6"/>
        <v>233</v>
      </c>
      <c r="B235" s="19"/>
      <c r="C235" s="16"/>
      <c r="D235" s="16"/>
      <c r="E235" s="20"/>
      <c r="F235" s="19"/>
      <c r="G235" s="19"/>
      <c r="H235" s="19"/>
      <c r="I235" s="19"/>
      <c r="J235" s="19"/>
      <c r="K235" s="19"/>
      <c r="L235" s="21"/>
      <c r="M235" s="14"/>
      <c r="N235" s="18" t="str">
        <f t="shared" si="7"/>
        <v/>
      </c>
    </row>
    <row r="236" spans="1:14" ht="15" customHeight="1" x14ac:dyDescent="0.2">
      <c r="A236">
        <f t="shared" si="6"/>
        <v>234</v>
      </c>
      <c r="B236" s="19"/>
      <c r="C236" s="16"/>
      <c r="D236" s="16"/>
      <c r="E236" s="20"/>
      <c r="F236" s="19"/>
      <c r="G236" s="19"/>
      <c r="H236" s="19"/>
      <c r="I236" s="19"/>
      <c r="J236" s="19"/>
      <c r="K236" s="19"/>
      <c r="L236" s="21"/>
      <c r="M236" s="14"/>
      <c r="N236" s="18" t="str">
        <f t="shared" si="7"/>
        <v/>
      </c>
    </row>
    <row r="237" spans="1:14" ht="15" customHeight="1" x14ac:dyDescent="0.2">
      <c r="A237">
        <f t="shared" si="6"/>
        <v>235</v>
      </c>
      <c r="B237" s="19"/>
      <c r="C237" s="16"/>
      <c r="D237" s="16"/>
      <c r="E237" s="20"/>
      <c r="F237" s="19"/>
      <c r="G237" s="19"/>
      <c r="H237" s="19"/>
      <c r="I237" s="19"/>
      <c r="J237" s="19"/>
      <c r="K237" s="19"/>
      <c r="L237" s="21"/>
      <c r="M237" s="14"/>
      <c r="N237" s="18" t="str">
        <f t="shared" si="7"/>
        <v/>
      </c>
    </row>
    <row r="238" spans="1:14" ht="15" customHeight="1" x14ac:dyDescent="0.2">
      <c r="A238">
        <f t="shared" ref="A238:A301" si="8">A237+1</f>
        <v>236</v>
      </c>
      <c r="B238" s="19"/>
      <c r="C238" s="16"/>
      <c r="D238" s="16"/>
      <c r="E238" s="20"/>
      <c r="F238" s="19"/>
      <c r="G238" s="19"/>
      <c r="H238" s="19"/>
      <c r="I238" s="19"/>
      <c r="J238" s="19"/>
      <c r="K238" s="19"/>
      <c r="L238" s="21"/>
      <c r="M238" s="14"/>
      <c r="N238" s="18" t="str">
        <f t="shared" si="7"/>
        <v/>
      </c>
    </row>
    <row r="239" spans="1:14" ht="15" customHeight="1" x14ac:dyDescent="0.2">
      <c r="A239">
        <f t="shared" si="8"/>
        <v>237</v>
      </c>
      <c r="B239" s="19"/>
      <c r="C239" s="16"/>
      <c r="D239" s="16"/>
      <c r="E239" s="20"/>
      <c r="F239" s="19"/>
      <c r="G239" s="19"/>
      <c r="H239" s="19"/>
      <c r="I239" s="19"/>
      <c r="J239" s="19"/>
      <c r="K239" s="19"/>
      <c r="L239" s="21"/>
      <c r="M239" s="14"/>
      <c r="N239" s="18" t="str">
        <f t="shared" si="7"/>
        <v/>
      </c>
    </row>
    <row r="240" spans="1:14" ht="15" customHeight="1" x14ac:dyDescent="0.2">
      <c r="A240">
        <f t="shared" si="8"/>
        <v>238</v>
      </c>
      <c r="B240" s="19"/>
      <c r="C240" s="16"/>
      <c r="D240" s="16"/>
      <c r="E240" s="20"/>
      <c r="F240" s="19"/>
      <c r="G240" s="19"/>
      <c r="H240" s="19"/>
      <c r="I240" s="19"/>
      <c r="J240" s="19"/>
      <c r="K240" s="19"/>
      <c r="L240" s="21"/>
      <c r="M240" s="14"/>
      <c r="N240" s="18" t="str">
        <f t="shared" si="7"/>
        <v/>
      </c>
    </row>
    <row r="241" spans="1:14" ht="15" customHeight="1" x14ac:dyDescent="0.2">
      <c r="A241">
        <f t="shared" si="8"/>
        <v>239</v>
      </c>
      <c r="B241" s="19"/>
      <c r="C241" s="16"/>
      <c r="D241" s="16"/>
      <c r="E241" s="20"/>
      <c r="F241" s="19"/>
      <c r="G241" s="19"/>
      <c r="H241" s="19"/>
      <c r="I241" s="19"/>
      <c r="J241" s="19"/>
      <c r="K241" s="19"/>
      <c r="L241" s="21"/>
      <c r="M241" s="14"/>
      <c r="N241" s="18" t="str">
        <f t="shared" si="7"/>
        <v/>
      </c>
    </row>
    <row r="242" spans="1:14" ht="15" customHeight="1" x14ac:dyDescent="0.2">
      <c r="A242">
        <f t="shared" si="8"/>
        <v>240</v>
      </c>
      <c r="B242" s="19"/>
      <c r="C242" s="16"/>
      <c r="D242" s="16"/>
      <c r="E242" s="20"/>
      <c r="F242" s="19"/>
      <c r="G242" s="19"/>
      <c r="H242" s="19"/>
      <c r="I242" s="19"/>
      <c r="J242" s="19"/>
      <c r="K242" s="19"/>
      <c r="L242" s="21"/>
      <c r="M242" s="14"/>
      <c r="N242" s="18" t="str">
        <f t="shared" si="7"/>
        <v/>
      </c>
    </row>
    <row r="243" spans="1:14" ht="15" customHeight="1" x14ac:dyDescent="0.2">
      <c r="A243">
        <f t="shared" si="8"/>
        <v>241</v>
      </c>
      <c r="B243" s="19"/>
      <c r="C243" s="16"/>
      <c r="D243" s="16"/>
      <c r="E243" s="20"/>
      <c r="F243" s="19"/>
      <c r="G243" s="19"/>
      <c r="H243" s="19"/>
      <c r="I243" s="19"/>
      <c r="J243" s="19"/>
      <c r="K243" s="19"/>
      <c r="L243" s="21"/>
      <c r="M243" s="14"/>
      <c r="N243" s="18" t="str">
        <f t="shared" si="7"/>
        <v/>
      </c>
    </row>
    <row r="244" spans="1:14" ht="15" customHeight="1" x14ac:dyDescent="0.2">
      <c r="A244">
        <f t="shared" si="8"/>
        <v>242</v>
      </c>
      <c r="B244" s="19"/>
      <c r="C244" s="16"/>
      <c r="D244" s="16"/>
      <c r="E244" s="20"/>
      <c r="F244" s="19"/>
      <c r="G244" s="19"/>
      <c r="H244" s="19"/>
      <c r="I244" s="19"/>
      <c r="J244" s="19"/>
      <c r="K244" s="19"/>
      <c r="L244" s="21"/>
      <c r="M244" s="14"/>
      <c r="N244" s="18" t="str">
        <f t="shared" si="7"/>
        <v/>
      </c>
    </row>
    <row r="245" spans="1:14" ht="15" customHeight="1" x14ac:dyDescent="0.2">
      <c r="A245">
        <f t="shared" si="8"/>
        <v>243</v>
      </c>
      <c r="B245" s="19"/>
      <c r="C245" s="16"/>
      <c r="D245" s="16"/>
      <c r="E245" s="20"/>
      <c r="F245" s="19"/>
      <c r="G245" s="19"/>
      <c r="H245" s="19"/>
      <c r="I245" s="19"/>
      <c r="J245" s="19"/>
      <c r="K245" s="19"/>
      <c r="L245" s="21"/>
      <c r="M245" s="14"/>
      <c r="N245" s="18" t="str">
        <f t="shared" si="7"/>
        <v/>
      </c>
    </row>
    <row r="246" spans="1:14" ht="15" customHeight="1" x14ac:dyDescent="0.2">
      <c r="A246">
        <f t="shared" si="8"/>
        <v>244</v>
      </c>
      <c r="B246" s="19"/>
      <c r="C246" s="16"/>
      <c r="D246" s="16"/>
      <c r="E246" s="20"/>
      <c r="F246" s="19"/>
      <c r="G246" s="19"/>
      <c r="H246" s="19"/>
      <c r="I246" s="19"/>
      <c r="J246" s="19"/>
      <c r="K246" s="19"/>
      <c r="L246" s="21"/>
      <c r="M246" s="14"/>
      <c r="N246" s="18" t="str">
        <f t="shared" si="7"/>
        <v/>
      </c>
    </row>
    <row r="247" spans="1:14" ht="15" customHeight="1" x14ac:dyDescent="0.2">
      <c r="A247">
        <f t="shared" si="8"/>
        <v>245</v>
      </c>
      <c r="B247" s="19"/>
      <c r="C247" s="16"/>
      <c r="D247" s="16"/>
      <c r="E247" s="20"/>
      <c r="F247" s="19"/>
      <c r="G247" s="19"/>
      <c r="H247" s="19"/>
      <c r="I247" s="19"/>
      <c r="J247" s="19"/>
      <c r="K247" s="19"/>
      <c r="L247" s="21"/>
      <c r="M247" s="14"/>
      <c r="N247" s="18" t="str">
        <f t="shared" si="7"/>
        <v/>
      </c>
    </row>
    <row r="248" spans="1:14" ht="15" customHeight="1" x14ac:dyDescent="0.2">
      <c r="A248">
        <f t="shared" si="8"/>
        <v>246</v>
      </c>
      <c r="B248" s="19"/>
      <c r="C248" s="16"/>
      <c r="D248" s="16"/>
      <c r="E248" s="20"/>
      <c r="F248" s="19"/>
      <c r="G248" s="19"/>
      <c r="H248" s="19"/>
      <c r="I248" s="19"/>
      <c r="J248" s="19"/>
      <c r="K248" s="19"/>
      <c r="L248" s="21"/>
      <c r="M248" s="14"/>
      <c r="N248" s="18" t="str">
        <f t="shared" si="7"/>
        <v/>
      </c>
    </row>
    <row r="249" spans="1:14" ht="15" customHeight="1" x14ac:dyDescent="0.2">
      <c r="A249">
        <f t="shared" si="8"/>
        <v>247</v>
      </c>
      <c r="B249" s="19"/>
      <c r="C249" s="16"/>
      <c r="D249" s="16"/>
      <c r="E249" s="20"/>
      <c r="F249" s="19"/>
      <c r="G249" s="19"/>
      <c r="H249" s="19"/>
      <c r="I249" s="19"/>
      <c r="J249" s="19"/>
      <c r="K249" s="19"/>
      <c r="L249" s="21"/>
      <c r="M249" s="14"/>
      <c r="N249" s="18" t="str">
        <f t="shared" si="7"/>
        <v/>
      </c>
    </row>
    <row r="250" spans="1:14" ht="15" customHeight="1" x14ac:dyDescent="0.2">
      <c r="A250">
        <f t="shared" si="8"/>
        <v>248</v>
      </c>
      <c r="B250" s="19"/>
      <c r="C250" s="16"/>
      <c r="D250" s="16"/>
      <c r="E250" s="20"/>
      <c r="F250" s="19"/>
      <c r="G250" s="19"/>
      <c r="H250" s="19"/>
      <c r="I250" s="19"/>
      <c r="J250" s="19"/>
      <c r="K250" s="19"/>
      <c r="L250" s="21"/>
      <c r="M250" s="14"/>
      <c r="N250" s="18" t="str">
        <f t="shared" si="7"/>
        <v/>
      </c>
    </row>
    <row r="251" spans="1:14" ht="15" customHeight="1" x14ac:dyDescent="0.2">
      <c r="A251">
        <f t="shared" si="8"/>
        <v>249</v>
      </c>
      <c r="B251" s="19"/>
      <c r="C251" s="16"/>
      <c r="D251" s="16"/>
      <c r="E251" s="20"/>
      <c r="F251" s="19"/>
      <c r="G251" s="19"/>
      <c r="H251" s="19"/>
      <c r="I251" s="19"/>
      <c r="J251" s="19"/>
      <c r="K251" s="19"/>
      <c r="L251" s="21"/>
      <c r="M251" s="14"/>
      <c r="N251" s="18" t="str">
        <f t="shared" si="7"/>
        <v/>
      </c>
    </row>
    <row r="252" spans="1:14" ht="15" customHeight="1" x14ac:dyDescent="0.2">
      <c r="A252">
        <f t="shared" si="8"/>
        <v>250</v>
      </c>
      <c r="B252" s="19"/>
      <c r="C252" s="16"/>
      <c r="D252" s="16"/>
      <c r="E252" s="20"/>
      <c r="F252" s="19"/>
      <c r="G252" s="19"/>
      <c r="H252" s="19"/>
      <c r="I252" s="19"/>
      <c r="J252" s="19"/>
      <c r="K252" s="19"/>
      <c r="L252" s="21"/>
      <c r="M252" s="14"/>
      <c r="N252" s="18" t="str">
        <f t="shared" si="7"/>
        <v/>
      </c>
    </row>
    <row r="253" spans="1:14" ht="15" customHeight="1" x14ac:dyDescent="0.2">
      <c r="A253">
        <f t="shared" si="8"/>
        <v>251</v>
      </c>
      <c r="B253" s="19"/>
      <c r="C253" s="16"/>
      <c r="D253" s="16"/>
      <c r="E253" s="20"/>
      <c r="F253" s="19"/>
      <c r="G253" s="19"/>
      <c r="H253" s="19"/>
      <c r="I253" s="19"/>
      <c r="J253" s="19"/>
      <c r="K253" s="19"/>
      <c r="L253" s="21"/>
      <c r="M253" s="14"/>
      <c r="N253" s="18" t="str">
        <f t="shared" si="7"/>
        <v/>
      </c>
    </row>
    <row r="254" spans="1:14" ht="15" customHeight="1" x14ac:dyDescent="0.2">
      <c r="A254">
        <f t="shared" si="8"/>
        <v>252</v>
      </c>
      <c r="B254" s="19"/>
      <c r="C254" s="16"/>
      <c r="D254" s="16"/>
      <c r="E254" s="20"/>
      <c r="F254" s="19"/>
      <c r="G254" s="19"/>
      <c r="H254" s="19"/>
      <c r="I254" s="19"/>
      <c r="J254" s="19"/>
      <c r="K254" s="19"/>
      <c r="L254" s="21"/>
      <c r="M254" s="14"/>
      <c r="N254" s="18" t="str">
        <f t="shared" si="7"/>
        <v/>
      </c>
    </row>
    <row r="255" spans="1:14" ht="15" customHeight="1" x14ac:dyDescent="0.2">
      <c r="A255">
        <f t="shared" si="8"/>
        <v>253</v>
      </c>
      <c r="B255" s="19"/>
      <c r="C255" s="16"/>
      <c r="D255" s="16"/>
      <c r="E255" s="20"/>
      <c r="F255" s="19"/>
      <c r="G255" s="19"/>
      <c r="H255" s="19"/>
      <c r="I255" s="19"/>
      <c r="J255" s="19"/>
      <c r="K255" s="19"/>
      <c r="L255" s="21"/>
      <c r="M255" s="14"/>
      <c r="N255" s="18" t="str">
        <f t="shared" si="7"/>
        <v/>
      </c>
    </row>
    <row r="256" spans="1:14" ht="15" customHeight="1" x14ac:dyDescent="0.2">
      <c r="A256">
        <f t="shared" si="8"/>
        <v>254</v>
      </c>
      <c r="B256" s="19"/>
      <c r="C256" s="16"/>
      <c r="D256" s="16"/>
      <c r="E256" s="20"/>
      <c r="F256" s="19"/>
      <c r="G256" s="19"/>
      <c r="H256" s="19"/>
      <c r="I256" s="19"/>
      <c r="J256" s="19"/>
      <c r="K256" s="19"/>
      <c r="L256" s="21"/>
      <c r="M256" s="14"/>
      <c r="N256" s="18" t="str">
        <f t="shared" si="7"/>
        <v/>
      </c>
    </row>
    <row r="257" spans="1:14" ht="15" customHeight="1" x14ac:dyDescent="0.2">
      <c r="A257">
        <f t="shared" si="8"/>
        <v>255</v>
      </c>
      <c r="B257" s="19"/>
      <c r="C257" s="16"/>
      <c r="D257" s="16"/>
      <c r="E257" s="20"/>
      <c r="F257" s="19"/>
      <c r="G257" s="19"/>
      <c r="H257" s="19"/>
      <c r="I257" s="19"/>
      <c r="J257" s="19"/>
      <c r="K257" s="19"/>
      <c r="L257" s="21"/>
      <c r="M257" s="14"/>
      <c r="N257" s="18" t="str">
        <f t="shared" si="7"/>
        <v/>
      </c>
    </row>
    <row r="258" spans="1:14" ht="15" customHeight="1" x14ac:dyDescent="0.2">
      <c r="A258">
        <f t="shared" si="8"/>
        <v>256</v>
      </c>
      <c r="B258" s="19"/>
      <c r="C258" s="16"/>
      <c r="D258" s="16"/>
      <c r="E258" s="20"/>
      <c r="F258" s="19"/>
      <c r="G258" s="19"/>
      <c r="H258" s="19"/>
      <c r="I258" s="19"/>
      <c r="J258" s="19"/>
      <c r="K258" s="19"/>
      <c r="L258" s="21"/>
      <c r="M258" s="14"/>
      <c r="N258" s="18" t="str">
        <f t="shared" si="7"/>
        <v/>
      </c>
    </row>
    <row r="259" spans="1:14" ht="15" customHeight="1" x14ac:dyDescent="0.2">
      <c r="A259">
        <f t="shared" si="8"/>
        <v>257</v>
      </c>
      <c r="B259" s="19"/>
      <c r="C259" s="16"/>
      <c r="D259" s="16"/>
      <c r="E259" s="20"/>
      <c r="F259" s="19"/>
      <c r="G259" s="19"/>
      <c r="H259" s="19"/>
      <c r="I259" s="19"/>
      <c r="J259" s="19"/>
      <c r="K259" s="19"/>
      <c r="L259" s="21"/>
      <c r="M259" s="14"/>
      <c r="N259" s="18" t="str">
        <f t="shared" si="7"/>
        <v/>
      </c>
    </row>
    <row r="260" spans="1:14" ht="15" customHeight="1" x14ac:dyDescent="0.2">
      <c r="A260">
        <f t="shared" si="8"/>
        <v>258</v>
      </c>
      <c r="B260" s="19"/>
      <c r="C260" s="16"/>
      <c r="D260" s="16"/>
      <c r="E260" s="20"/>
      <c r="F260" s="19"/>
      <c r="G260" s="19"/>
      <c r="H260" s="19"/>
      <c r="I260" s="19"/>
      <c r="J260" s="19"/>
      <c r="K260" s="19"/>
      <c r="L260" s="21"/>
      <c r="M260" s="14"/>
      <c r="N260" s="18" t="str">
        <f t="shared" ref="N260:N302" si="9">IF(B260="","",E260*M260)</f>
        <v/>
      </c>
    </row>
    <row r="261" spans="1:14" ht="15" customHeight="1" x14ac:dyDescent="0.2">
      <c r="A261">
        <f t="shared" si="8"/>
        <v>259</v>
      </c>
      <c r="B261" s="19"/>
      <c r="C261" s="16"/>
      <c r="D261" s="16"/>
      <c r="E261" s="20"/>
      <c r="F261" s="19"/>
      <c r="G261" s="19"/>
      <c r="H261" s="19"/>
      <c r="I261" s="19"/>
      <c r="J261" s="19"/>
      <c r="K261" s="19"/>
      <c r="L261" s="21"/>
      <c r="M261" s="14"/>
      <c r="N261" s="18" t="str">
        <f t="shared" si="9"/>
        <v/>
      </c>
    </row>
    <row r="262" spans="1:14" ht="15" customHeight="1" x14ac:dyDescent="0.2">
      <c r="A262">
        <f t="shared" si="8"/>
        <v>260</v>
      </c>
      <c r="B262" s="19"/>
      <c r="C262" s="16"/>
      <c r="D262" s="16"/>
      <c r="E262" s="20"/>
      <c r="F262" s="19"/>
      <c r="G262" s="19"/>
      <c r="H262" s="19"/>
      <c r="I262" s="19"/>
      <c r="J262" s="19"/>
      <c r="K262" s="19"/>
      <c r="L262" s="21"/>
      <c r="M262" s="14"/>
      <c r="N262" s="18" t="str">
        <f t="shared" si="9"/>
        <v/>
      </c>
    </row>
    <row r="263" spans="1:14" ht="15" customHeight="1" x14ac:dyDescent="0.2">
      <c r="A263">
        <f t="shared" si="8"/>
        <v>261</v>
      </c>
      <c r="B263" s="19"/>
      <c r="C263" s="16"/>
      <c r="D263" s="16"/>
      <c r="E263" s="20"/>
      <c r="F263" s="19"/>
      <c r="G263" s="19"/>
      <c r="H263" s="19"/>
      <c r="I263" s="19"/>
      <c r="J263" s="19"/>
      <c r="K263" s="19"/>
      <c r="L263" s="21"/>
      <c r="M263" s="14"/>
      <c r="N263" s="18" t="str">
        <f t="shared" si="9"/>
        <v/>
      </c>
    </row>
    <row r="264" spans="1:14" ht="15" customHeight="1" x14ac:dyDescent="0.2">
      <c r="A264">
        <f t="shared" si="8"/>
        <v>262</v>
      </c>
      <c r="B264" s="19"/>
      <c r="C264" s="16"/>
      <c r="D264" s="16"/>
      <c r="E264" s="20"/>
      <c r="F264" s="19"/>
      <c r="G264" s="19"/>
      <c r="H264" s="19"/>
      <c r="I264" s="19"/>
      <c r="J264" s="19"/>
      <c r="K264" s="19"/>
      <c r="L264" s="21"/>
      <c r="M264" s="14"/>
      <c r="N264" s="18" t="str">
        <f t="shared" si="9"/>
        <v/>
      </c>
    </row>
    <row r="265" spans="1:14" ht="15" customHeight="1" x14ac:dyDescent="0.2">
      <c r="A265">
        <f t="shared" si="8"/>
        <v>263</v>
      </c>
      <c r="B265" s="19"/>
      <c r="C265" s="16"/>
      <c r="D265" s="16"/>
      <c r="E265" s="20"/>
      <c r="F265" s="19"/>
      <c r="G265" s="19"/>
      <c r="H265" s="19"/>
      <c r="I265" s="19"/>
      <c r="J265" s="19"/>
      <c r="K265" s="19"/>
      <c r="L265" s="21"/>
      <c r="M265" s="14"/>
      <c r="N265" s="18" t="str">
        <f t="shared" si="9"/>
        <v/>
      </c>
    </row>
    <row r="266" spans="1:14" ht="15" customHeight="1" x14ac:dyDescent="0.2">
      <c r="A266">
        <f t="shared" si="8"/>
        <v>264</v>
      </c>
      <c r="B266" s="19"/>
      <c r="C266" s="16"/>
      <c r="D266" s="16"/>
      <c r="E266" s="20"/>
      <c r="F266" s="19"/>
      <c r="G266" s="19"/>
      <c r="H266" s="19"/>
      <c r="I266" s="19"/>
      <c r="J266" s="19"/>
      <c r="K266" s="19"/>
      <c r="L266" s="21"/>
      <c r="M266" s="14"/>
      <c r="N266" s="18" t="str">
        <f t="shared" si="9"/>
        <v/>
      </c>
    </row>
    <row r="267" spans="1:14" ht="15" customHeight="1" x14ac:dyDescent="0.2">
      <c r="A267">
        <f t="shared" si="8"/>
        <v>265</v>
      </c>
      <c r="B267" s="19"/>
      <c r="C267" s="16"/>
      <c r="D267" s="16"/>
      <c r="E267" s="20"/>
      <c r="F267" s="19"/>
      <c r="G267" s="19"/>
      <c r="H267" s="19"/>
      <c r="I267" s="19"/>
      <c r="J267" s="19"/>
      <c r="K267" s="19"/>
      <c r="L267" s="21"/>
      <c r="M267" s="14"/>
      <c r="N267" s="18" t="str">
        <f t="shared" si="9"/>
        <v/>
      </c>
    </row>
    <row r="268" spans="1:14" ht="15" customHeight="1" x14ac:dyDescent="0.2">
      <c r="A268">
        <f t="shared" si="8"/>
        <v>266</v>
      </c>
      <c r="B268" s="19"/>
      <c r="C268" s="16"/>
      <c r="D268" s="16"/>
      <c r="E268" s="20"/>
      <c r="F268" s="19"/>
      <c r="G268" s="19"/>
      <c r="H268" s="19"/>
      <c r="I268" s="19"/>
      <c r="J268" s="19"/>
      <c r="K268" s="19"/>
      <c r="L268" s="21"/>
      <c r="M268" s="14"/>
      <c r="N268" s="18" t="str">
        <f t="shared" si="9"/>
        <v/>
      </c>
    </row>
    <row r="269" spans="1:14" ht="15" customHeight="1" x14ac:dyDescent="0.2">
      <c r="A269">
        <f t="shared" si="8"/>
        <v>267</v>
      </c>
      <c r="B269" s="19"/>
      <c r="C269" s="16"/>
      <c r="D269" s="16"/>
      <c r="E269" s="20"/>
      <c r="F269" s="19"/>
      <c r="G269" s="19"/>
      <c r="H269" s="19"/>
      <c r="I269" s="19"/>
      <c r="J269" s="19"/>
      <c r="K269" s="19"/>
      <c r="L269" s="21"/>
      <c r="M269" s="14"/>
      <c r="N269" s="18" t="str">
        <f t="shared" si="9"/>
        <v/>
      </c>
    </row>
    <row r="270" spans="1:14" ht="15" customHeight="1" x14ac:dyDescent="0.2">
      <c r="A270">
        <f t="shared" si="8"/>
        <v>268</v>
      </c>
      <c r="B270" s="19"/>
      <c r="C270" s="16"/>
      <c r="D270" s="16"/>
      <c r="E270" s="20"/>
      <c r="F270" s="19"/>
      <c r="G270" s="19"/>
      <c r="H270" s="19"/>
      <c r="I270" s="19"/>
      <c r="J270" s="19"/>
      <c r="K270" s="19"/>
      <c r="L270" s="21"/>
      <c r="M270" s="14"/>
      <c r="N270" s="18" t="str">
        <f t="shared" si="9"/>
        <v/>
      </c>
    </row>
    <row r="271" spans="1:14" ht="15" customHeight="1" x14ac:dyDescent="0.2">
      <c r="A271">
        <f t="shared" si="8"/>
        <v>269</v>
      </c>
      <c r="B271" s="19"/>
      <c r="C271" s="16"/>
      <c r="D271" s="16"/>
      <c r="E271" s="20"/>
      <c r="F271" s="19"/>
      <c r="G271" s="19"/>
      <c r="H271" s="19"/>
      <c r="I271" s="19"/>
      <c r="J271" s="19"/>
      <c r="K271" s="19"/>
      <c r="L271" s="21"/>
      <c r="M271" s="14"/>
      <c r="N271" s="18" t="str">
        <f t="shared" si="9"/>
        <v/>
      </c>
    </row>
    <row r="272" spans="1:14" ht="15" customHeight="1" x14ac:dyDescent="0.2">
      <c r="A272">
        <f t="shared" si="8"/>
        <v>270</v>
      </c>
      <c r="B272" s="19"/>
      <c r="C272" s="16"/>
      <c r="D272" s="16"/>
      <c r="E272" s="20"/>
      <c r="F272" s="19"/>
      <c r="G272" s="19"/>
      <c r="H272" s="19"/>
      <c r="I272" s="19"/>
      <c r="J272" s="19"/>
      <c r="K272" s="19"/>
      <c r="L272" s="21"/>
      <c r="M272" s="14"/>
      <c r="N272" s="18" t="str">
        <f t="shared" si="9"/>
        <v/>
      </c>
    </row>
    <row r="273" spans="1:14" ht="15" customHeight="1" x14ac:dyDescent="0.2">
      <c r="A273">
        <f t="shared" si="8"/>
        <v>271</v>
      </c>
      <c r="B273" s="19"/>
      <c r="C273" s="16"/>
      <c r="D273" s="16"/>
      <c r="E273" s="20"/>
      <c r="F273" s="19"/>
      <c r="G273" s="19"/>
      <c r="H273" s="19"/>
      <c r="I273" s="19"/>
      <c r="J273" s="19"/>
      <c r="K273" s="19"/>
      <c r="L273" s="21"/>
      <c r="M273" s="14"/>
      <c r="N273" s="18" t="str">
        <f t="shared" si="9"/>
        <v/>
      </c>
    </row>
    <row r="274" spans="1:14" ht="15" customHeight="1" x14ac:dyDescent="0.2">
      <c r="A274">
        <f t="shared" si="8"/>
        <v>272</v>
      </c>
      <c r="B274" s="19"/>
      <c r="C274" s="16"/>
      <c r="D274" s="16"/>
      <c r="E274" s="20"/>
      <c r="F274" s="19"/>
      <c r="G274" s="19"/>
      <c r="H274" s="19"/>
      <c r="I274" s="19"/>
      <c r="J274" s="19"/>
      <c r="K274" s="19"/>
      <c r="L274" s="21"/>
      <c r="M274" s="14"/>
      <c r="N274" s="18" t="str">
        <f t="shared" si="9"/>
        <v/>
      </c>
    </row>
    <row r="275" spans="1:14" ht="15" customHeight="1" x14ac:dyDescent="0.2">
      <c r="A275">
        <f t="shared" si="8"/>
        <v>273</v>
      </c>
      <c r="B275" s="19"/>
      <c r="C275" s="16"/>
      <c r="D275" s="16"/>
      <c r="E275" s="20"/>
      <c r="F275" s="19"/>
      <c r="G275" s="19"/>
      <c r="H275" s="19"/>
      <c r="I275" s="19"/>
      <c r="J275" s="19"/>
      <c r="K275" s="19"/>
      <c r="L275" s="21"/>
      <c r="M275" s="14"/>
      <c r="N275" s="18" t="str">
        <f t="shared" si="9"/>
        <v/>
      </c>
    </row>
    <row r="276" spans="1:14" ht="15" customHeight="1" x14ac:dyDescent="0.2">
      <c r="A276">
        <f t="shared" si="8"/>
        <v>274</v>
      </c>
      <c r="B276" s="19"/>
      <c r="C276" s="16"/>
      <c r="D276" s="16"/>
      <c r="E276" s="20"/>
      <c r="F276" s="19"/>
      <c r="G276" s="19"/>
      <c r="H276" s="19"/>
      <c r="I276" s="19"/>
      <c r="J276" s="19"/>
      <c r="K276" s="19"/>
      <c r="L276" s="21"/>
      <c r="M276" s="14"/>
      <c r="N276" s="18" t="str">
        <f t="shared" si="9"/>
        <v/>
      </c>
    </row>
    <row r="277" spans="1:14" ht="15" customHeight="1" x14ac:dyDescent="0.2">
      <c r="A277">
        <f t="shared" si="8"/>
        <v>275</v>
      </c>
      <c r="B277" s="19"/>
      <c r="C277" s="16"/>
      <c r="D277" s="16"/>
      <c r="E277" s="20"/>
      <c r="F277" s="19"/>
      <c r="G277" s="19"/>
      <c r="H277" s="19"/>
      <c r="I277" s="19"/>
      <c r="J277" s="19"/>
      <c r="K277" s="19"/>
      <c r="L277" s="21"/>
      <c r="M277" s="14"/>
      <c r="N277" s="18" t="str">
        <f t="shared" si="9"/>
        <v/>
      </c>
    </row>
    <row r="278" spans="1:14" ht="15" customHeight="1" x14ac:dyDescent="0.2">
      <c r="A278">
        <f t="shared" si="8"/>
        <v>276</v>
      </c>
      <c r="B278" s="19"/>
      <c r="C278" s="16"/>
      <c r="D278" s="16"/>
      <c r="E278" s="20"/>
      <c r="F278" s="19"/>
      <c r="G278" s="19"/>
      <c r="H278" s="19"/>
      <c r="I278" s="19"/>
      <c r="J278" s="19"/>
      <c r="K278" s="19"/>
      <c r="L278" s="21"/>
      <c r="M278" s="14"/>
      <c r="N278" s="18" t="str">
        <f t="shared" si="9"/>
        <v/>
      </c>
    </row>
    <row r="279" spans="1:14" ht="15" customHeight="1" x14ac:dyDescent="0.2">
      <c r="A279">
        <f t="shared" si="8"/>
        <v>277</v>
      </c>
      <c r="B279" s="19"/>
      <c r="C279" s="16"/>
      <c r="D279" s="16"/>
      <c r="E279" s="20"/>
      <c r="F279" s="19"/>
      <c r="G279" s="19"/>
      <c r="H279" s="19"/>
      <c r="I279" s="19"/>
      <c r="J279" s="19"/>
      <c r="K279" s="19"/>
      <c r="L279" s="21"/>
      <c r="M279" s="14"/>
      <c r="N279" s="18" t="str">
        <f t="shared" si="9"/>
        <v/>
      </c>
    </row>
    <row r="280" spans="1:14" ht="15" customHeight="1" x14ac:dyDescent="0.2">
      <c r="A280">
        <f t="shared" si="8"/>
        <v>278</v>
      </c>
      <c r="B280" s="19"/>
      <c r="C280" s="16"/>
      <c r="D280" s="16"/>
      <c r="E280" s="20"/>
      <c r="F280" s="19"/>
      <c r="G280" s="19"/>
      <c r="H280" s="19"/>
      <c r="I280" s="19"/>
      <c r="J280" s="19"/>
      <c r="K280" s="19"/>
      <c r="L280" s="21"/>
      <c r="M280" s="14"/>
      <c r="N280" s="18" t="str">
        <f t="shared" si="9"/>
        <v/>
      </c>
    </row>
    <row r="281" spans="1:14" ht="15" customHeight="1" x14ac:dyDescent="0.2">
      <c r="A281">
        <f t="shared" si="8"/>
        <v>279</v>
      </c>
      <c r="B281" s="19"/>
      <c r="C281" s="16"/>
      <c r="D281" s="16"/>
      <c r="E281" s="20"/>
      <c r="F281" s="19"/>
      <c r="G281" s="19"/>
      <c r="H281" s="19"/>
      <c r="I281" s="19"/>
      <c r="J281" s="19"/>
      <c r="K281" s="19"/>
      <c r="L281" s="21"/>
      <c r="M281" s="14"/>
      <c r="N281" s="18" t="str">
        <f t="shared" si="9"/>
        <v/>
      </c>
    </row>
    <row r="282" spans="1:14" ht="15" customHeight="1" x14ac:dyDescent="0.2">
      <c r="A282">
        <f t="shared" si="8"/>
        <v>280</v>
      </c>
      <c r="B282" s="19"/>
      <c r="C282" s="16"/>
      <c r="D282" s="16"/>
      <c r="E282" s="20"/>
      <c r="F282" s="19"/>
      <c r="G282" s="19"/>
      <c r="H282" s="19"/>
      <c r="I282" s="19"/>
      <c r="J282" s="19"/>
      <c r="K282" s="19"/>
      <c r="L282" s="21"/>
      <c r="M282" s="14"/>
      <c r="N282" s="18" t="str">
        <f t="shared" si="9"/>
        <v/>
      </c>
    </row>
    <row r="283" spans="1:14" ht="15" customHeight="1" x14ac:dyDescent="0.2">
      <c r="A283">
        <f t="shared" si="8"/>
        <v>281</v>
      </c>
      <c r="B283" s="19"/>
      <c r="C283" s="16"/>
      <c r="D283" s="16"/>
      <c r="E283" s="20"/>
      <c r="F283" s="19"/>
      <c r="G283" s="19"/>
      <c r="H283" s="19"/>
      <c r="I283" s="19"/>
      <c r="J283" s="19"/>
      <c r="K283" s="19"/>
      <c r="L283" s="21"/>
      <c r="M283" s="14"/>
      <c r="N283" s="18" t="str">
        <f t="shared" si="9"/>
        <v/>
      </c>
    </row>
    <row r="284" spans="1:14" ht="15" customHeight="1" x14ac:dyDescent="0.2">
      <c r="A284">
        <f t="shared" si="8"/>
        <v>282</v>
      </c>
      <c r="B284" s="19"/>
      <c r="C284" s="16"/>
      <c r="D284" s="16"/>
      <c r="E284" s="20"/>
      <c r="F284" s="19"/>
      <c r="G284" s="19"/>
      <c r="H284" s="19"/>
      <c r="I284" s="19"/>
      <c r="J284" s="19"/>
      <c r="K284" s="19"/>
      <c r="L284" s="21"/>
      <c r="M284" s="14"/>
      <c r="N284" s="18" t="str">
        <f t="shared" si="9"/>
        <v/>
      </c>
    </row>
    <row r="285" spans="1:14" ht="15" customHeight="1" x14ac:dyDescent="0.2">
      <c r="A285">
        <f t="shared" si="8"/>
        <v>283</v>
      </c>
      <c r="B285" s="19"/>
      <c r="C285" s="16"/>
      <c r="D285" s="16"/>
      <c r="E285" s="20"/>
      <c r="F285" s="19"/>
      <c r="G285" s="19"/>
      <c r="H285" s="19"/>
      <c r="I285" s="19"/>
      <c r="J285" s="19"/>
      <c r="K285" s="19"/>
      <c r="L285" s="21"/>
      <c r="M285" s="14"/>
      <c r="N285" s="18" t="str">
        <f t="shared" si="9"/>
        <v/>
      </c>
    </row>
    <row r="286" spans="1:14" ht="15" customHeight="1" x14ac:dyDescent="0.2">
      <c r="A286">
        <f t="shared" si="8"/>
        <v>284</v>
      </c>
      <c r="B286" s="19"/>
      <c r="C286" s="16"/>
      <c r="D286" s="16"/>
      <c r="E286" s="20"/>
      <c r="F286" s="19"/>
      <c r="G286" s="19"/>
      <c r="H286" s="19"/>
      <c r="I286" s="19"/>
      <c r="J286" s="19"/>
      <c r="K286" s="19"/>
      <c r="L286" s="21"/>
      <c r="M286" s="14"/>
      <c r="N286" s="18" t="str">
        <f t="shared" si="9"/>
        <v/>
      </c>
    </row>
    <row r="287" spans="1:14" ht="15" customHeight="1" x14ac:dyDescent="0.2">
      <c r="A287">
        <f t="shared" si="8"/>
        <v>285</v>
      </c>
      <c r="B287" s="19"/>
      <c r="C287" s="16"/>
      <c r="D287" s="16"/>
      <c r="E287" s="20"/>
      <c r="F287" s="19"/>
      <c r="G287" s="19"/>
      <c r="H287" s="19"/>
      <c r="I287" s="19"/>
      <c r="J287" s="19"/>
      <c r="K287" s="19"/>
      <c r="L287" s="21"/>
      <c r="M287" s="14"/>
      <c r="N287" s="18" t="str">
        <f t="shared" si="9"/>
        <v/>
      </c>
    </row>
    <row r="288" spans="1:14" ht="15" customHeight="1" x14ac:dyDescent="0.2">
      <c r="A288">
        <f t="shared" si="8"/>
        <v>286</v>
      </c>
      <c r="B288" s="19"/>
      <c r="C288" s="16"/>
      <c r="D288" s="16"/>
      <c r="E288" s="20"/>
      <c r="F288" s="19"/>
      <c r="G288" s="19"/>
      <c r="H288" s="19"/>
      <c r="I288" s="19"/>
      <c r="J288" s="19"/>
      <c r="K288" s="19"/>
      <c r="L288" s="21"/>
      <c r="M288" s="14"/>
      <c r="N288" s="18" t="str">
        <f t="shared" si="9"/>
        <v/>
      </c>
    </row>
    <row r="289" spans="1:14" ht="15" customHeight="1" x14ac:dyDescent="0.2">
      <c r="A289">
        <f t="shared" si="8"/>
        <v>287</v>
      </c>
      <c r="B289" s="19"/>
      <c r="C289" s="16"/>
      <c r="D289" s="16"/>
      <c r="E289" s="20"/>
      <c r="F289" s="19"/>
      <c r="G289" s="19"/>
      <c r="H289" s="19"/>
      <c r="I289" s="19"/>
      <c r="J289" s="19"/>
      <c r="K289" s="19"/>
      <c r="L289" s="21"/>
      <c r="M289" s="14"/>
      <c r="N289" s="18" t="str">
        <f t="shared" si="9"/>
        <v/>
      </c>
    </row>
    <row r="290" spans="1:14" ht="15" customHeight="1" x14ac:dyDescent="0.2">
      <c r="A290">
        <f t="shared" si="8"/>
        <v>288</v>
      </c>
      <c r="B290" s="19"/>
      <c r="C290" s="16"/>
      <c r="D290" s="16"/>
      <c r="E290" s="20"/>
      <c r="F290" s="19"/>
      <c r="G290" s="19"/>
      <c r="H290" s="19"/>
      <c r="I290" s="19"/>
      <c r="J290" s="19"/>
      <c r="K290" s="19"/>
      <c r="L290" s="21"/>
      <c r="M290" s="14"/>
      <c r="N290" s="18" t="str">
        <f t="shared" si="9"/>
        <v/>
      </c>
    </row>
    <row r="291" spans="1:14" ht="15" customHeight="1" x14ac:dyDescent="0.2">
      <c r="A291">
        <f t="shared" si="8"/>
        <v>289</v>
      </c>
      <c r="B291" s="19"/>
      <c r="C291" s="16"/>
      <c r="D291" s="16"/>
      <c r="E291" s="20"/>
      <c r="F291" s="19"/>
      <c r="G291" s="19"/>
      <c r="H291" s="19"/>
      <c r="I291" s="19"/>
      <c r="J291" s="19"/>
      <c r="K291" s="19"/>
      <c r="L291" s="21"/>
      <c r="M291" s="14"/>
      <c r="N291" s="18" t="str">
        <f t="shared" si="9"/>
        <v/>
      </c>
    </row>
    <row r="292" spans="1:14" ht="15" customHeight="1" x14ac:dyDescent="0.2">
      <c r="A292">
        <f t="shared" si="8"/>
        <v>290</v>
      </c>
      <c r="B292" s="19"/>
      <c r="C292" s="16"/>
      <c r="D292" s="16"/>
      <c r="E292" s="20"/>
      <c r="F292" s="19"/>
      <c r="G292" s="19"/>
      <c r="H292" s="19"/>
      <c r="I292" s="19"/>
      <c r="J292" s="19"/>
      <c r="K292" s="19"/>
      <c r="L292" s="21"/>
      <c r="M292" s="14"/>
      <c r="N292" s="18" t="str">
        <f t="shared" si="9"/>
        <v/>
      </c>
    </row>
    <row r="293" spans="1:14" ht="15" customHeight="1" x14ac:dyDescent="0.2">
      <c r="A293">
        <f t="shared" si="8"/>
        <v>291</v>
      </c>
      <c r="B293" s="19"/>
      <c r="C293" s="16"/>
      <c r="D293" s="16"/>
      <c r="E293" s="20"/>
      <c r="F293" s="19"/>
      <c r="G293" s="19"/>
      <c r="H293" s="19"/>
      <c r="I293" s="19"/>
      <c r="J293" s="19"/>
      <c r="K293" s="19"/>
      <c r="L293" s="21"/>
      <c r="M293" s="14"/>
      <c r="N293" s="18" t="str">
        <f t="shared" si="9"/>
        <v/>
      </c>
    </row>
    <row r="294" spans="1:14" ht="15" customHeight="1" x14ac:dyDescent="0.2">
      <c r="A294">
        <f t="shared" si="8"/>
        <v>292</v>
      </c>
      <c r="B294" s="19"/>
      <c r="C294" s="16"/>
      <c r="D294" s="16"/>
      <c r="E294" s="20"/>
      <c r="F294" s="19"/>
      <c r="G294" s="19"/>
      <c r="H294" s="19"/>
      <c r="I294" s="19"/>
      <c r="J294" s="19"/>
      <c r="K294" s="19"/>
      <c r="L294" s="21"/>
      <c r="M294" s="14"/>
      <c r="N294" s="18" t="str">
        <f t="shared" si="9"/>
        <v/>
      </c>
    </row>
    <row r="295" spans="1:14" ht="15" customHeight="1" x14ac:dyDescent="0.2">
      <c r="A295">
        <f t="shared" si="8"/>
        <v>293</v>
      </c>
      <c r="B295" s="19"/>
      <c r="C295" s="16"/>
      <c r="D295" s="16"/>
      <c r="E295" s="20"/>
      <c r="F295" s="19"/>
      <c r="G295" s="19"/>
      <c r="H295" s="19"/>
      <c r="I295" s="19"/>
      <c r="J295" s="19"/>
      <c r="K295" s="19"/>
      <c r="L295" s="21"/>
      <c r="M295" s="14"/>
      <c r="N295" s="18" t="str">
        <f t="shared" si="9"/>
        <v/>
      </c>
    </row>
    <row r="296" spans="1:14" ht="15" customHeight="1" x14ac:dyDescent="0.2">
      <c r="A296">
        <f t="shared" si="8"/>
        <v>294</v>
      </c>
      <c r="B296" s="19"/>
      <c r="C296" s="16"/>
      <c r="D296" s="16"/>
      <c r="E296" s="20"/>
      <c r="F296" s="19"/>
      <c r="G296" s="19"/>
      <c r="H296" s="19"/>
      <c r="I296" s="19"/>
      <c r="J296" s="19"/>
      <c r="K296" s="19"/>
      <c r="L296" s="21"/>
      <c r="M296" s="14"/>
      <c r="N296" s="18" t="str">
        <f t="shared" si="9"/>
        <v/>
      </c>
    </row>
    <row r="297" spans="1:14" ht="15" customHeight="1" x14ac:dyDescent="0.2">
      <c r="A297">
        <f t="shared" si="8"/>
        <v>295</v>
      </c>
      <c r="B297" s="19"/>
      <c r="C297" s="16"/>
      <c r="D297" s="16"/>
      <c r="E297" s="20"/>
      <c r="F297" s="19"/>
      <c r="G297" s="19"/>
      <c r="H297" s="19"/>
      <c r="I297" s="19"/>
      <c r="J297" s="19"/>
      <c r="K297" s="19"/>
      <c r="L297" s="21"/>
      <c r="M297" s="14"/>
      <c r="N297" s="18" t="str">
        <f t="shared" si="9"/>
        <v/>
      </c>
    </row>
    <row r="298" spans="1:14" ht="15" customHeight="1" x14ac:dyDescent="0.2">
      <c r="A298">
        <f t="shared" si="8"/>
        <v>296</v>
      </c>
      <c r="B298" s="19"/>
      <c r="C298" s="16"/>
      <c r="D298" s="16"/>
      <c r="E298" s="20"/>
      <c r="F298" s="19"/>
      <c r="G298" s="19"/>
      <c r="H298" s="19"/>
      <c r="I298" s="19"/>
      <c r="J298" s="19"/>
      <c r="K298" s="19"/>
      <c r="L298" s="21"/>
      <c r="M298" s="14"/>
      <c r="N298" s="18" t="str">
        <f t="shared" si="9"/>
        <v/>
      </c>
    </row>
    <row r="299" spans="1:14" ht="15" customHeight="1" x14ac:dyDescent="0.2">
      <c r="A299">
        <f t="shared" si="8"/>
        <v>297</v>
      </c>
      <c r="B299" s="19"/>
      <c r="C299" s="16"/>
      <c r="D299" s="16"/>
      <c r="E299" s="20"/>
      <c r="F299" s="19"/>
      <c r="G299" s="19"/>
      <c r="H299" s="19"/>
      <c r="I299" s="19"/>
      <c r="J299" s="19"/>
      <c r="K299" s="19"/>
      <c r="L299" s="21"/>
      <c r="M299" s="14"/>
      <c r="N299" s="18" t="str">
        <f t="shared" si="9"/>
        <v/>
      </c>
    </row>
    <row r="300" spans="1:14" ht="15" customHeight="1" x14ac:dyDescent="0.2">
      <c r="A300">
        <f t="shared" si="8"/>
        <v>298</v>
      </c>
      <c r="B300" s="19"/>
      <c r="C300" s="16"/>
      <c r="D300" s="16"/>
      <c r="E300" s="20"/>
      <c r="F300" s="19"/>
      <c r="G300" s="19"/>
      <c r="H300" s="19"/>
      <c r="I300" s="19"/>
      <c r="J300" s="19"/>
      <c r="K300" s="19"/>
      <c r="L300" s="21"/>
      <c r="M300" s="14"/>
      <c r="N300" s="18" t="str">
        <f t="shared" si="9"/>
        <v/>
      </c>
    </row>
    <row r="301" spans="1:14" ht="15" customHeight="1" x14ac:dyDescent="0.2">
      <c r="A301">
        <f t="shared" si="8"/>
        <v>299</v>
      </c>
      <c r="B301" s="19"/>
      <c r="C301" s="16"/>
      <c r="D301" s="16"/>
      <c r="E301" s="20"/>
      <c r="F301" s="19"/>
      <c r="G301" s="19"/>
      <c r="H301" s="19"/>
      <c r="I301" s="19"/>
      <c r="J301" s="19"/>
      <c r="K301" s="19"/>
      <c r="L301" s="21"/>
      <c r="M301" s="14"/>
      <c r="N301" s="18" t="str">
        <f t="shared" si="9"/>
        <v/>
      </c>
    </row>
    <row r="302" spans="1:14" ht="15" customHeight="1" x14ac:dyDescent="0.2">
      <c r="A302">
        <f t="shared" ref="A302" si="10">A301+1</f>
        <v>300</v>
      </c>
      <c r="B302" s="19"/>
      <c r="C302" s="16"/>
      <c r="D302" s="16"/>
      <c r="E302" s="20"/>
      <c r="F302" s="19"/>
      <c r="G302" s="19"/>
      <c r="H302" s="19"/>
      <c r="I302" s="19"/>
      <c r="J302" s="19"/>
      <c r="K302" s="19"/>
      <c r="L302" s="21"/>
      <c r="M302" s="14"/>
      <c r="N302" s="18" t="str">
        <f t="shared" si="9"/>
        <v/>
      </c>
    </row>
  </sheetData>
  <phoneticPr fontId="2"/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1E8D-C0A8-434F-B953-54B8BA5E5B80}">
  <sheetPr>
    <pageSetUpPr fitToPage="1"/>
  </sheetPr>
  <dimension ref="A1:N302"/>
  <sheetViews>
    <sheetView zoomScale="115" zoomScaleNormal="115" workbookViewId="0">
      <pane ySplit="2" topLeftCell="A111" activePane="bottomLeft" state="frozen"/>
      <selection pane="bottomLeft" activeCell="S80" sqref="S80"/>
    </sheetView>
  </sheetViews>
  <sheetFormatPr defaultRowHeight="15" customHeight="1" x14ac:dyDescent="0.2"/>
  <cols>
    <col min="2" max="2" width="53" style="8" bestFit="1" customWidth="1"/>
    <col min="3" max="3" width="3.6640625" style="9" customWidth="1"/>
    <col min="4" max="4" width="6.44140625" style="9" hidden="1" customWidth="1"/>
    <col min="5" max="5" width="8.44140625" style="27" customWidth="1"/>
    <col min="6" max="11" width="0" style="8" hidden="1" customWidth="1"/>
    <col min="12" max="12" width="8.6640625" style="12" customWidth="1"/>
    <col min="13" max="13" width="6.21875" style="2" customWidth="1"/>
    <col min="14" max="14" width="9.5546875" style="12" bestFit="1" customWidth="1"/>
  </cols>
  <sheetData>
    <row r="1" spans="1:14" ht="15" customHeight="1" x14ac:dyDescent="0.2">
      <c r="B1" s="8" t="s">
        <v>1319</v>
      </c>
      <c r="E1" s="10"/>
    </row>
    <row r="2" spans="1:14" ht="15" customHeight="1" x14ac:dyDescent="0.2">
      <c r="B2" s="13" t="s">
        <v>1313</v>
      </c>
      <c r="C2" s="14" t="s">
        <v>1314</v>
      </c>
      <c r="D2" s="14"/>
      <c r="E2" s="15" t="s">
        <v>1315</v>
      </c>
      <c r="F2" s="16"/>
      <c r="G2" s="16"/>
      <c r="H2" s="16"/>
      <c r="I2" s="16"/>
      <c r="J2" s="16"/>
      <c r="K2" s="16"/>
      <c r="L2" s="18" t="s">
        <v>1320</v>
      </c>
      <c r="M2" s="14" t="s">
        <v>1317</v>
      </c>
      <c r="N2" s="18" t="s">
        <v>1318</v>
      </c>
    </row>
    <row r="3" spans="1:14" ht="15" customHeight="1" x14ac:dyDescent="0.2">
      <c r="A3" s="46">
        <v>1</v>
      </c>
      <c r="B3" s="19" t="str" cm="1">
        <f t="array" ref="B3:B122">_xlfn._xlws.FILTER(重複削除!A:A,重複削除!H:H="外用")</f>
        <v>SPトローチ0.25ｍｇ「明治」</v>
      </c>
      <c r="C3" s="14"/>
      <c r="D3" s="14"/>
      <c r="E3" s="20"/>
      <c r="F3" s="19"/>
      <c r="G3" s="19"/>
      <c r="H3" s="19"/>
      <c r="I3" s="19"/>
      <c r="J3" s="19"/>
      <c r="K3" s="19"/>
      <c r="L3" s="18"/>
      <c r="M3" s="14"/>
      <c r="N3" s="18"/>
    </row>
    <row r="4" spans="1:14" ht="15" customHeight="1" x14ac:dyDescent="0.2">
      <c r="A4" s="46">
        <f>A3+1</f>
        <v>2</v>
      </c>
      <c r="B4" s="19" t="str">
        <v>アイファガン点眼液0.1％</v>
      </c>
      <c r="C4" s="14"/>
      <c r="D4" s="14"/>
      <c r="E4" s="20"/>
      <c r="F4" s="19"/>
      <c r="G4" s="19"/>
      <c r="H4" s="19"/>
      <c r="I4" s="19"/>
      <c r="J4" s="19"/>
      <c r="K4" s="19"/>
      <c r="L4" s="18"/>
      <c r="M4" s="14"/>
      <c r="N4" s="18"/>
    </row>
    <row r="5" spans="1:14" ht="15" customHeight="1" x14ac:dyDescent="0.2">
      <c r="A5" s="46">
        <f t="shared" ref="A5:A68" si="0">A4+1</f>
        <v>3</v>
      </c>
      <c r="B5" s="30" t="str">
        <v>アクアチムクリーム1%</v>
      </c>
      <c r="C5" s="29"/>
      <c r="D5" s="29"/>
      <c r="E5" s="23"/>
      <c r="F5" s="19"/>
      <c r="G5" s="19"/>
      <c r="H5" s="19"/>
      <c r="I5" s="19"/>
      <c r="J5" s="19"/>
      <c r="K5" s="19"/>
      <c r="L5" s="18"/>
      <c r="M5" s="14"/>
      <c r="N5" s="18"/>
    </row>
    <row r="6" spans="1:14" ht="15" customHeight="1" x14ac:dyDescent="0.2">
      <c r="A6" s="46">
        <f t="shared" si="0"/>
        <v>4</v>
      </c>
      <c r="B6" s="30" t="str">
        <v>アクトシン軟膏３％</v>
      </c>
      <c r="C6" s="29"/>
      <c r="D6" s="29"/>
      <c r="E6" s="23"/>
      <c r="F6" s="19"/>
      <c r="G6" s="19"/>
      <c r="H6" s="19"/>
      <c r="I6" s="19"/>
      <c r="J6" s="19"/>
      <c r="K6" s="19"/>
      <c r="L6" s="18"/>
      <c r="M6" s="14"/>
      <c r="N6" s="18"/>
    </row>
    <row r="7" spans="1:14" ht="15" customHeight="1" x14ac:dyDescent="0.2">
      <c r="A7" s="46">
        <f t="shared" si="0"/>
        <v>5</v>
      </c>
      <c r="B7" s="22" t="str">
        <v>アズノール軟膏0.033%</v>
      </c>
      <c r="C7" s="16"/>
      <c r="D7" s="16"/>
      <c r="E7" s="32"/>
      <c r="F7" s="19"/>
      <c r="G7" s="19"/>
      <c r="H7" s="19"/>
      <c r="I7" s="19"/>
      <c r="J7" s="19"/>
      <c r="K7" s="19"/>
      <c r="L7" s="18"/>
      <c r="M7" s="14"/>
      <c r="N7" s="18"/>
    </row>
    <row r="8" spans="1:14" ht="15" customHeight="1" x14ac:dyDescent="0.2">
      <c r="A8" s="46">
        <f t="shared" si="0"/>
        <v>6</v>
      </c>
      <c r="B8" s="22" t="str">
        <v>アズレン点眼液0.02％「ﾆｯﾄｰ」</v>
      </c>
      <c r="C8" s="16"/>
      <c r="D8" s="16"/>
      <c r="E8" s="23"/>
      <c r="F8" s="19"/>
      <c r="G8" s="19"/>
      <c r="H8" s="19"/>
      <c r="I8" s="19"/>
      <c r="J8" s="19"/>
      <c r="K8" s="19"/>
      <c r="L8" s="18"/>
      <c r="M8" s="14"/>
      <c r="N8" s="18"/>
    </row>
    <row r="9" spans="1:14" ht="15" customHeight="1" x14ac:dyDescent="0.2">
      <c r="A9" s="46">
        <f t="shared" si="0"/>
        <v>7</v>
      </c>
      <c r="B9" s="22" t="str">
        <v>アドエア500ディスカス
60吸入用</v>
      </c>
      <c r="C9" s="16"/>
      <c r="D9" s="16"/>
      <c r="E9" s="23"/>
      <c r="F9" s="19"/>
      <c r="G9" s="19"/>
      <c r="H9" s="19"/>
      <c r="I9" s="19"/>
      <c r="J9" s="19"/>
      <c r="K9" s="19"/>
      <c r="L9" s="18"/>
      <c r="M9" s="14"/>
      <c r="N9" s="18"/>
    </row>
    <row r="10" spans="1:14" ht="15" customHeight="1" x14ac:dyDescent="0.2">
      <c r="A10" s="46">
        <f t="shared" si="0"/>
        <v>8</v>
      </c>
      <c r="B10" s="30" t="str">
        <v>アドフィードパップ40ｍｇ</v>
      </c>
      <c r="C10" s="16"/>
      <c r="D10" s="33"/>
      <c r="E10" s="32"/>
      <c r="F10" s="25"/>
      <c r="G10" s="25"/>
      <c r="H10" s="25"/>
      <c r="I10" s="25"/>
      <c r="J10" s="25"/>
      <c r="K10" s="25"/>
      <c r="L10" s="18"/>
      <c r="M10" s="34"/>
      <c r="N10" s="18"/>
    </row>
    <row r="11" spans="1:14" ht="15" customHeight="1" x14ac:dyDescent="0.2">
      <c r="A11" s="46">
        <f t="shared" si="0"/>
        <v>9</v>
      </c>
      <c r="B11" s="19" t="str">
        <v>アノーロエリプタ30吸入用</v>
      </c>
      <c r="C11" s="14"/>
      <c r="D11" s="14"/>
      <c r="E11" s="20"/>
      <c r="F11" s="19"/>
      <c r="G11" s="19"/>
      <c r="H11" s="19"/>
      <c r="I11" s="19"/>
      <c r="J11" s="19"/>
      <c r="K11" s="19"/>
      <c r="L11" s="18"/>
      <c r="M11" s="14"/>
      <c r="N11" s="18"/>
    </row>
    <row r="12" spans="1:14" ht="15" customHeight="1" x14ac:dyDescent="0.2">
      <c r="A12" s="46">
        <f t="shared" si="0"/>
        <v>10</v>
      </c>
      <c r="B12" s="22" t="str">
        <v>アリドネパッチ27.5ｍｇ</v>
      </c>
      <c r="C12" s="16"/>
      <c r="D12" s="16"/>
      <c r="E12" s="23"/>
      <c r="F12" s="19"/>
      <c r="G12" s="19"/>
      <c r="H12" s="19"/>
      <c r="I12" s="19"/>
      <c r="J12" s="19"/>
      <c r="K12" s="19"/>
      <c r="L12" s="18"/>
      <c r="M12" s="14"/>
      <c r="N12" s="18"/>
    </row>
    <row r="13" spans="1:14" ht="15" customHeight="1" x14ac:dyDescent="0.2">
      <c r="A13" s="46">
        <f t="shared" si="0"/>
        <v>11</v>
      </c>
      <c r="B13" s="22" t="str">
        <v>アリドネパッチ55ｍｇ</v>
      </c>
      <c r="C13" s="16"/>
      <c r="D13" s="16"/>
      <c r="E13" s="23"/>
      <c r="F13" s="19"/>
      <c r="G13" s="19"/>
      <c r="H13" s="19"/>
      <c r="I13" s="19"/>
      <c r="J13" s="19"/>
      <c r="K13" s="19"/>
      <c r="L13" s="18"/>
      <c r="M13" s="14"/>
      <c r="N13" s="18"/>
    </row>
    <row r="14" spans="1:14" ht="15" customHeight="1" x14ac:dyDescent="0.2">
      <c r="A14" s="46">
        <f t="shared" si="0"/>
        <v>12</v>
      </c>
      <c r="B14" s="30" t="str">
        <v>アルメタ軟膏</v>
      </c>
      <c r="C14" s="16"/>
      <c r="D14" s="16"/>
      <c r="E14" s="23"/>
      <c r="F14" s="19"/>
      <c r="G14" s="19"/>
      <c r="H14" s="19"/>
      <c r="I14" s="19"/>
      <c r="J14" s="19"/>
      <c r="K14" s="19"/>
      <c r="L14" s="18"/>
      <c r="M14" s="14"/>
      <c r="N14" s="18"/>
    </row>
    <row r="15" spans="1:14" ht="15" customHeight="1" x14ac:dyDescent="0.2">
      <c r="A15" s="46">
        <f t="shared" si="0"/>
        <v>13</v>
      </c>
      <c r="B15" s="25" t="str">
        <v>アレギサール点眼液0.1％　　　　販売中止</v>
      </c>
      <c r="C15" s="14"/>
      <c r="D15" s="14"/>
      <c r="E15" s="20"/>
      <c r="F15" s="19"/>
      <c r="G15" s="19"/>
      <c r="H15" s="19"/>
      <c r="I15" s="19"/>
      <c r="J15" s="19"/>
      <c r="K15" s="19"/>
      <c r="L15" s="18"/>
      <c r="M15" s="14"/>
      <c r="N15" s="18"/>
    </row>
    <row r="16" spans="1:14" ht="15" customHeight="1" x14ac:dyDescent="0.2">
      <c r="A16" s="46">
        <f t="shared" si="0"/>
        <v>14</v>
      </c>
      <c r="B16" s="22" t="str">
        <v>アンテベート軟膏0.05％</v>
      </c>
      <c r="C16" s="16"/>
      <c r="D16" s="16"/>
      <c r="E16" s="23"/>
      <c r="F16" s="19"/>
      <c r="G16" s="19"/>
      <c r="H16" s="19"/>
      <c r="I16" s="19"/>
      <c r="J16" s="19"/>
      <c r="K16" s="19"/>
      <c r="L16" s="18"/>
      <c r="M16" s="14"/>
      <c r="N16" s="18"/>
    </row>
    <row r="17" spans="1:14" ht="15" customHeight="1" x14ac:dyDescent="0.2">
      <c r="A17" s="46">
        <f t="shared" si="0"/>
        <v>15</v>
      </c>
      <c r="B17" s="19" t="str">
        <v>イソプロパノール消毒液70％ 「ヨシダ」</v>
      </c>
      <c r="C17" s="16"/>
      <c r="D17" s="16"/>
      <c r="E17" s="20"/>
      <c r="F17" s="19"/>
      <c r="G17" s="19"/>
      <c r="H17" s="19"/>
      <c r="I17" s="19"/>
      <c r="J17" s="19"/>
      <c r="K17" s="19"/>
      <c r="L17" s="18"/>
      <c r="M17" s="14"/>
      <c r="N17" s="18"/>
    </row>
    <row r="18" spans="1:14" ht="15" customHeight="1" x14ac:dyDescent="0.2">
      <c r="A18" s="46">
        <f t="shared" si="0"/>
        <v>16</v>
      </c>
      <c r="B18" s="22" t="str">
        <v>インテバンクリーム１％　　　　　　　　　</v>
      </c>
      <c r="C18" s="16"/>
      <c r="D18" s="16"/>
      <c r="E18" s="23"/>
      <c r="F18" s="19"/>
      <c r="G18" s="19"/>
      <c r="H18" s="19"/>
      <c r="I18" s="19"/>
      <c r="J18" s="19"/>
      <c r="K18" s="19"/>
      <c r="L18" s="18"/>
      <c r="M18" s="14"/>
      <c r="N18" s="18"/>
    </row>
    <row r="19" spans="1:14" ht="15" customHeight="1" x14ac:dyDescent="0.2">
      <c r="A19" s="46">
        <f t="shared" si="0"/>
        <v>17</v>
      </c>
      <c r="B19" s="25" t="str">
        <v>インテバン外用液１％　　　　　　　　　</v>
      </c>
      <c r="C19" s="16"/>
      <c r="D19" s="16"/>
      <c r="E19" s="20"/>
      <c r="F19" s="19"/>
      <c r="G19" s="19"/>
      <c r="H19" s="19"/>
      <c r="I19" s="19"/>
      <c r="J19" s="19"/>
      <c r="K19" s="19"/>
      <c r="L19" s="18"/>
      <c r="M19" s="14"/>
      <c r="N19" s="18"/>
    </row>
    <row r="20" spans="1:14" ht="15" customHeight="1" x14ac:dyDescent="0.2">
      <c r="A20" s="46">
        <f t="shared" si="0"/>
        <v>18</v>
      </c>
      <c r="B20" s="30" t="str">
        <v>インテバン軟膏１％　　　　　　　　　　　　</v>
      </c>
      <c r="C20" s="16"/>
      <c r="D20" s="16"/>
      <c r="E20" s="23"/>
      <c r="F20" s="19"/>
      <c r="G20" s="19"/>
      <c r="H20" s="19"/>
      <c r="I20" s="19"/>
      <c r="J20" s="19"/>
      <c r="K20" s="19"/>
      <c r="L20" s="18"/>
      <c r="M20" s="14"/>
      <c r="N20" s="18"/>
    </row>
    <row r="21" spans="1:14" ht="15" customHeight="1" x14ac:dyDescent="0.2">
      <c r="A21" s="46">
        <f t="shared" si="0"/>
        <v>19</v>
      </c>
      <c r="B21" s="19" t="str">
        <v>エイゾプト懸濁性点眼液1%</v>
      </c>
      <c r="C21" s="14"/>
      <c r="D21" s="14"/>
      <c r="E21" s="20"/>
      <c r="F21" s="19"/>
      <c r="G21" s="19"/>
      <c r="H21" s="19"/>
      <c r="I21" s="19"/>
      <c r="J21" s="19"/>
      <c r="K21" s="19"/>
      <c r="L21" s="18"/>
      <c r="M21" s="14"/>
      <c r="N21" s="18"/>
    </row>
    <row r="22" spans="1:14" ht="15" customHeight="1" x14ac:dyDescent="0.2">
      <c r="A22" s="46">
        <f t="shared" si="0"/>
        <v>20</v>
      </c>
      <c r="B22" s="19" t="str">
        <v>エフィナコナゾール爪外用液10％「サワイ」　3.56ｇ</v>
      </c>
      <c r="C22" s="14"/>
      <c r="D22" s="14"/>
      <c r="E22" s="20"/>
      <c r="F22" s="19"/>
      <c r="G22" s="19"/>
      <c r="H22" s="19"/>
      <c r="I22" s="19"/>
      <c r="J22" s="19"/>
      <c r="K22" s="19"/>
      <c r="L22" s="18"/>
      <c r="M22" s="14"/>
      <c r="N22" s="18"/>
    </row>
    <row r="23" spans="1:14" ht="15" customHeight="1" x14ac:dyDescent="0.2">
      <c r="A23" s="46">
        <f t="shared" si="0"/>
        <v>21</v>
      </c>
      <c r="B23" s="25" t="str">
        <v>オイラックスクリーム10%</v>
      </c>
      <c r="C23" s="14"/>
      <c r="D23" s="14"/>
      <c r="E23" s="20"/>
      <c r="F23" s="19"/>
      <c r="G23" s="19"/>
      <c r="H23" s="19"/>
      <c r="I23" s="19"/>
      <c r="J23" s="19"/>
      <c r="K23" s="19"/>
      <c r="L23" s="18"/>
      <c r="M23" s="14"/>
      <c r="N23" s="18"/>
    </row>
    <row r="24" spans="1:14" ht="15" customHeight="1" x14ac:dyDescent="0.2">
      <c r="A24" s="46">
        <f t="shared" si="0"/>
        <v>22</v>
      </c>
      <c r="B24" s="19" t="str">
        <v>オキサロール軟膏25μｇ/ｇ0.0025％</v>
      </c>
      <c r="C24" s="14"/>
      <c r="D24" s="14"/>
      <c r="E24" s="20"/>
      <c r="F24" s="19"/>
      <c r="G24" s="19"/>
      <c r="H24" s="19"/>
      <c r="I24" s="19"/>
      <c r="J24" s="19"/>
      <c r="K24" s="19"/>
      <c r="L24" s="18"/>
      <c r="M24" s="14"/>
      <c r="N24" s="18"/>
    </row>
    <row r="25" spans="1:14" ht="15" customHeight="1" x14ac:dyDescent="0.2">
      <c r="A25" s="46">
        <f t="shared" si="0"/>
        <v>23</v>
      </c>
      <c r="B25" s="19" t="str">
        <v>オフロキサシン点眼液0.3％「JG」</v>
      </c>
      <c r="C25" s="16"/>
      <c r="D25" s="16"/>
      <c r="E25" s="20"/>
      <c r="F25" s="19"/>
      <c r="G25" s="19"/>
      <c r="H25" s="19"/>
      <c r="I25" s="19"/>
      <c r="J25" s="19"/>
      <c r="K25" s="19"/>
      <c r="L25" s="18"/>
      <c r="M25" s="14"/>
      <c r="N25" s="18"/>
    </row>
    <row r="26" spans="1:14" ht="15" customHeight="1" x14ac:dyDescent="0.2">
      <c r="A26" s="46">
        <f t="shared" si="0"/>
        <v>24</v>
      </c>
      <c r="B26" s="19" t="str">
        <v>オリブ油</v>
      </c>
      <c r="C26" s="16"/>
      <c r="D26" s="16"/>
      <c r="E26" s="20"/>
      <c r="F26" s="19"/>
      <c r="G26" s="19"/>
      <c r="H26" s="19"/>
      <c r="I26" s="19"/>
      <c r="J26" s="19"/>
      <c r="K26" s="19"/>
      <c r="L26" s="18"/>
      <c r="M26" s="14"/>
      <c r="N26" s="18"/>
    </row>
    <row r="27" spans="1:14" ht="15" customHeight="1" x14ac:dyDescent="0.2">
      <c r="A27" s="46">
        <f t="shared" si="0"/>
        <v>25</v>
      </c>
      <c r="B27" s="19" t="str">
        <v>カロナール坐剤200</v>
      </c>
      <c r="C27" s="16"/>
      <c r="D27" s="16"/>
      <c r="E27" s="20"/>
      <c r="F27" s="19"/>
      <c r="G27" s="19"/>
      <c r="H27" s="19"/>
      <c r="I27" s="19"/>
      <c r="J27" s="19"/>
      <c r="K27" s="19"/>
      <c r="L27" s="18"/>
      <c r="M27" s="14"/>
      <c r="N27" s="18"/>
    </row>
    <row r="28" spans="1:14" ht="15" customHeight="1" x14ac:dyDescent="0.2">
      <c r="A28" s="46">
        <f t="shared" si="0"/>
        <v>26</v>
      </c>
      <c r="B28" s="22" t="str">
        <v>キシロカインポンプスプレー8％</v>
      </c>
      <c r="C28" s="16"/>
      <c r="D28" s="16"/>
      <c r="E28" s="23"/>
      <c r="F28" s="19"/>
      <c r="G28" s="19"/>
      <c r="H28" s="19"/>
      <c r="I28" s="19"/>
      <c r="J28" s="19"/>
      <c r="K28" s="19"/>
      <c r="L28" s="18"/>
      <c r="M28" s="14"/>
      <c r="N28" s="18"/>
    </row>
    <row r="29" spans="1:14" ht="15" customHeight="1" x14ac:dyDescent="0.2">
      <c r="A29" s="46">
        <f t="shared" si="0"/>
        <v>27</v>
      </c>
      <c r="B29" s="22" t="str">
        <v>キュバール100エアゾール15ｍｇ　　</v>
      </c>
      <c r="C29" s="16"/>
      <c r="D29" s="16"/>
      <c r="E29" s="23"/>
      <c r="F29" s="19"/>
      <c r="G29" s="19"/>
      <c r="H29" s="19"/>
      <c r="I29" s="19"/>
      <c r="J29" s="19"/>
      <c r="K29" s="19"/>
      <c r="L29" s="18"/>
      <c r="M29" s="14"/>
      <c r="N29" s="18"/>
    </row>
    <row r="30" spans="1:14" ht="15" customHeight="1" x14ac:dyDescent="0.2">
      <c r="A30" s="46">
        <f t="shared" si="0"/>
        <v>28</v>
      </c>
      <c r="B30" s="19" t="str">
        <v>グラアルファ配合点眼液</v>
      </c>
      <c r="C30" s="14"/>
      <c r="D30" s="14"/>
      <c r="E30" s="20"/>
      <c r="F30" s="19"/>
      <c r="G30" s="19"/>
      <c r="H30" s="19"/>
      <c r="I30" s="19"/>
      <c r="J30" s="19"/>
      <c r="K30" s="19"/>
      <c r="L30" s="18"/>
      <c r="M30" s="14"/>
      <c r="N30" s="18"/>
    </row>
    <row r="31" spans="1:14" ht="15" customHeight="1" x14ac:dyDescent="0.2">
      <c r="A31" s="46">
        <f t="shared" si="0"/>
        <v>29</v>
      </c>
      <c r="B31" s="19" t="str">
        <v>グラナテック点眼液0.4％</v>
      </c>
      <c r="C31" s="16"/>
      <c r="D31" s="16"/>
      <c r="E31" s="20"/>
      <c r="F31" s="19"/>
      <c r="G31" s="19"/>
      <c r="H31" s="19"/>
      <c r="I31" s="19"/>
      <c r="J31" s="19"/>
      <c r="K31" s="19"/>
      <c r="L31" s="18"/>
      <c r="M31" s="14"/>
      <c r="N31" s="18"/>
    </row>
    <row r="32" spans="1:14" ht="15" customHeight="1" x14ac:dyDescent="0.2">
      <c r="A32" s="46">
        <f t="shared" si="0"/>
        <v>30</v>
      </c>
      <c r="B32" s="19" t="str">
        <v>グリセリン浣腸液50％「ムネ」　60ｍｌ</v>
      </c>
      <c r="C32" s="14"/>
      <c r="D32" s="14"/>
      <c r="E32" s="20"/>
      <c r="F32" s="19"/>
      <c r="G32" s="19"/>
      <c r="H32" s="19"/>
      <c r="I32" s="19"/>
      <c r="J32" s="19"/>
      <c r="K32" s="19"/>
      <c r="L32" s="18"/>
      <c r="M32" s="14"/>
      <c r="N32" s="18"/>
    </row>
    <row r="33" spans="1:14" ht="15" customHeight="1" x14ac:dyDescent="0.2">
      <c r="A33" s="46">
        <f t="shared" si="0"/>
        <v>31</v>
      </c>
      <c r="B33" s="22" t="str">
        <v>クレナフィン爪外用液10％3.56ｇ</v>
      </c>
      <c r="C33" s="16"/>
      <c r="D33" s="16"/>
      <c r="E33" s="23"/>
      <c r="F33" s="19"/>
      <c r="G33" s="19"/>
      <c r="H33" s="19"/>
      <c r="I33" s="19"/>
      <c r="J33" s="19"/>
      <c r="K33" s="19"/>
      <c r="L33" s="18"/>
      <c r="M33" s="14"/>
      <c r="N33" s="18"/>
    </row>
    <row r="34" spans="1:14" ht="15" customHeight="1" x14ac:dyDescent="0.2">
      <c r="A34" s="46">
        <f t="shared" si="0"/>
        <v>32</v>
      </c>
      <c r="B34" s="19" t="str">
        <v>クロベタゾールプロピオン酸エステル軟膏0.05％「イワキ」</v>
      </c>
      <c r="C34" s="16"/>
      <c r="D34" s="16"/>
      <c r="E34" s="20"/>
      <c r="F34" s="19"/>
      <c r="G34" s="19"/>
      <c r="H34" s="19"/>
      <c r="I34" s="19"/>
      <c r="J34" s="19"/>
      <c r="K34" s="19"/>
      <c r="L34" s="18"/>
      <c r="M34" s="14"/>
      <c r="N34" s="18"/>
    </row>
    <row r="35" spans="1:14" ht="15" customHeight="1" x14ac:dyDescent="0.2">
      <c r="A35" s="46">
        <f t="shared" si="0"/>
        <v>33</v>
      </c>
      <c r="B35" s="19" t="str">
        <v>クロマイ腟錠100mg</v>
      </c>
      <c r="C35" s="16"/>
      <c r="D35" s="16"/>
      <c r="E35" s="26"/>
      <c r="F35" s="19"/>
      <c r="G35" s="19"/>
      <c r="H35" s="19"/>
      <c r="I35" s="19"/>
      <c r="J35" s="19"/>
      <c r="K35" s="19"/>
      <c r="L35" s="18"/>
      <c r="M35" s="14"/>
      <c r="N35" s="18"/>
    </row>
    <row r="36" spans="1:14" ht="15" customHeight="1" x14ac:dyDescent="0.2">
      <c r="A36" s="46">
        <f t="shared" si="0"/>
        <v>34</v>
      </c>
      <c r="B36" s="19" t="str">
        <v>クロモグリク酸Na点眼液2%「ニットー」　</v>
      </c>
      <c r="C36" s="14"/>
      <c r="D36" s="14"/>
      <c r="E36" s="20"/>
      <c r="F36" s="19"/>
      <c r="G36" s="19"/>
      <c r="H36" s="19"/>
      <c r="I36" s="19"/>
      <c r="J36" s="19"/>
      <c r="K36" s="19"/>
      <c r="L36" s="18"/>
      <c r="M36" s="14"/>
      <c r="N36" s="18"/>
    </row>
    <row r="37" spans="1:14" ht="15" customHeight="1" x14ac:dyDescent="0.2">
      <c r="A37" s="46">
        <f t="shared" si="0"/>
        <v>35</v>
      </c>
      <c r="B37" s="19" t="str">
        <v>クロモグリク酸Na点眼液2%「ニットー」　</v>
      </c>
      <c r="C37" s="14"/>
      <c r="D37" s="14"/>
      <c r="E37" s="20"/>
      <c r="F37" s="19"/>
      <c r="G37" s="19"/>
      <c r="H37" s="19"/>
      <c r="I37" s="19"/>
      <c r="J37" s="19"/>
      <c r="K37" s="19"/>
      <c r="L37" s="18"/>
      <c r="M37" s="14"/>
      <c r="N37" s="18"/>
    </row>
    <row r="38" spans="1:14" ht="15" customHeight="1" x14ac:dyDescent="0.2">
      <c r="A38" s="46">
        <f t="shared" si="0"/>
        <v>36</v>
      </c>
      <c r="B38" s="19" t="str">
        <v>ゲーベンクリーム１％　　　　　　　　　　</v>
      </c>
      <c r="C38" s="14"/>
      <c r="D38" s="14"/>
      <c r="E38" s="26"/>
      <c r="F38" s="19"/>
      <c r="G38" s="19"/>
      <c r="H38" s="19"/>
      <c r="I38" s="19"/>
      <c r="J38" s="19"/>
      <c r="K38" s="19"/>
      <c r="L38" s="18"/>
      <c r="M38" s="14"/>
      <c r="N38" s="18"/>
    </row>
    <row r="39" spans="1:14" ht="15" customHeight="1" x14ac:dyDescent="0.2">
      <c r="A39" s="46">
        <f t="shared" si="0"/>
        <v>37</v>
      </c>
      <c r="B39" s="30" t="str">
        <v>ケトチフェン点鼻液0.05％「サワイ」</v>
      </c>
      <c r="C39" s="14"/>
      <c r="D39" s="14"/>
      <c r="E39" s="23"/>
      <c r="F39" s="19"/>
      <c r="G39" s="19"/>
      <c r="H39" s="19"/>
      <c r="I39" s="19"/>
      <c r="J39" s="19"/>
      <c r="K39" s="19"/>
      <c r="L39" s="18"/>
      <c r="M39" s="14"/>
      <c r="N39" s="18"/>
    </row>
    <row r="40" spans="1:14" ht="15" customHeight="1" x14ac:dyDescent="0.2">
      <c r="A40" s="46">
        <f t="shared" si="0"/>
        <v>38</v>
      </c>
      <c r="B40" s="22" t="str">
        <v>ケトプロフェンパップ30ｍｇ 「三和」　　10ｘ14ｃｍ</v>
      </c>
      <c r="C40" s="14"/>
      <c r="D40" s="14"/>
      <c r="E40" s="23"/>
      <c r="F40" s="19"/>
      <c r="G40" s="19"/>
      <c r="H40" s="19"/>
      <c r="I40" s="19"/>
      <c r="J40" s="19"/>
      <c r="K40" s="19"/>
      <c r="L40" s="18"/>
      <c r="M40" s="14"/>
      <c r="N40" s="18"/>
    </row>
    <row r="41" spans="1:14" ht="15" customHeight="1" x14ac:dyDescent="0.2">
      <c r="A41" s="46">
        <f t="shared" si="0"/>
        <v>39</v>
      </c>
      <c r="B41" s="19" t="str">
        <v>ゲンタマイシン硫酸塩軟膏0.1%「イワキ」</v>
      </c>
      <c r="C41" s="14"/>
      <c r="D41" s="14"/>
      <c r="E41" s="20"/>
      <c r="F41" s="19"/>
      <c r="G41" s="19"/>
      <c r="H41" s="19"/>
      <c r="I41" s="19"/>
      <c r="J41" s="19"/>
      <c r="K41" s="19"/>
      <c r="L41" s="18"/>
      <c r="M41" s="14"/>
      <c r="N41" s="18"/>
    </row>
    <row r="42" spans="1:14" ht="15" customHeight="1" x14ac:dyDescent="0.2">
      <c r="A42" s="46">
        <f t="shared" si="0"/>
        <v>40</v>
      </c>
      <c r="B42" s="30" t="str">
        <v>コールタイジン点鼻液</v>
      </c>
      <c r="C42" s="29"/>
      <c r="D42" s="29"/>
      <c r="E42" s="23"/>
      <c r="F42" s="19"/>
      <c r="G42" s="19"/>
      <c r="H42" s="19"/>
      <c r="I42" s="19"/>
      <c r="J42" s="19"/>
      <c r="K42" s="19"/>
      <c r="L42" s="18"/>
      <c r="M42" s="14"/>
      <c r="N42" s="18"/>
    </row>
    <row r="43" spans="1:14" ht="15" customHeight="1" x14ac:dyDescent="0.2">
      <c r="A43" s="46">
        <f t="shared" si="0"/>
        <v>41</v>
      </c>
      <c r="B43" s="19" t="str">
        <v>コソプト配合点眼液</v>
      </c>
      <c r="C43" s="16"/>
      <c r="D43" s="16"/>
      <c r="E43" s="20"/>
      <c r="F43" s="19"/>
      <c r="G43" s="19"/>
      <c r="H43" s="19"/>
      <c r="I43" s="19"/>
      <c r="J43" s="19"/>
      <c r="K43" s="19"/>
      <c r="L43" s="18"/>
      <c r="M43" s="14"/>
      <c r="N43" s="18"/>
    </row>
    <row r="44" spans="1:14" ht="15" customHeight="1" x14ac:dyDescent="0.2">
      <c r="A44" s="46">
        <f t="shared" si="0"/>
        <v>42</v>
      </c>
      <c r="B44" s="19" t="str">
        <v>サリベートエアゾール</v>
      </c>
      <c r="C44" s="16"/>
      <c r="D44" s="16"/>
      <c r="E44" s="20"/>
      <c r="F44" s="19"/>
      <c r="G44" s="19"/>
      <c r="H44" s="19"/>
      <c r="I44" s="19"/>
      <c r="J44" s="19"/>
      <c r="K44" s="19"/>
      <c r="L44" s="18"/>
      <c r="M44" s="14"/>
      <c r="N44" s="18"/>
    </row>
    <row r="45" spans="1:14" ht="15" customHeight="1" x14ac:dyDescent="0.2">
      <c r="A45" s="46">
        <f t="shared" si="0"/>
        <v>43</v>
      </c>
      <c r="B45" s="22" t="str">
        <v>シアノコバラミン点眼液0.02％「日点」</v>
      </c>
      <c r="C45" s="14"/>
      <c r="D45" s="14"/>
      <c r="E45" s="23"/>
      <c r="F45" s="19"/>
      <c r="G45" s="19"/>
      <c r="H45" s="19"/>
      <c r="I45" s="19"/>
      <c r="J45" s="19"/>
      <c r="K45" s="19"/>
      <c r="L45" s="18"/>
      <c r="M45" s="14"/>
      <c r="N45" s="18"/>
    </row>
    <row r="46" spans="1:14" ht="15" customHeight="1" x14ac:dyDescent="0.2">
      <c r="A46" s="46">
        <f t="shared" si="0"/>
        <v>44</v>
      </c>
      <c r="B46" s="25" t="str">
        <v>ジクアス点眼液3％</v>
      </c>
      <c r="C46" s="14"/>
      <c r="D46" s="14"/>
      <c r="E46" s="20"/>
      <c r="F46" s="19"/>
      <c r="G46" s="19"/>
      <c r="H46" s="19"/>
      <c r="I46" s="19"/>
      <c r="J46" s="19"/>
      <c r="K46" s="19"/>
      <c r="L46" s="18"/>
      <c r="M46" s="14"/>
      <c r="N46" s="18"/>
    </row>
    <row r="47" spans="1:14" ht="15" customHeight="1" x14ac:dyDescent="0.2">
      <c r="A47" s="46">
        <f t="shared" si="0"/>
        <v>45</v>
      </c>
      <c r="B47" s="22" t="str">
        <v>ジクロフェナクナトリウム坐剤25ｍｇ「ＪＧ」</v>
      </c>
      <c r="C47" s="14"/>
      <c r="D47" s="14"/>
      <c r="E47" s="23"/>
      <c r="F47" s="19"/>
      <c r="G47" s="19"/>
      <c r="H47" s="19"/>
      <c r="I47" s="19"/>
      <c r="J47" s="19"/>
      <c r="K47" s="19"/>
      <c r="L47" s="18"/>
      <c r="M47" s="14"/>
      <c r="N47" s="18"/>
    </row>
    <row r="48" spans="1:14" ht="15" customHeight="1" x14ac:dyDescent="0.2">
      <c r="A48" s="46">
        <f t="shared" si="0"/>
        <v>46</v>
      </c>
      <c r="B48" s="25" t="str">
        <v>スクロードパスタ</v>
      </c>
      <c r="C48" s="34"/>
      <c r="D48" s="34"/>
      <c r="E48" s="35"/>
      <c r="F48" s="25"/>
      <c r="G48" s="25"/>
      <c r="H48" s="25"/>
      <c r="I48" s="25"/>
      <c r="J48" s="25"/>
      <c r="K48" s="25"/>
      <c r="L48" s="18"/>
      <c r="M48" s="34"/>
      <c r="N48" s="18"/>
    </row>
    <row r="49" spans="1:14" ht="15" customHeight="1" x14ac:dyDescent="0.2">
      <c r="A49" s="46">
        <f t="shared" si="0"/>
        <v>47</v>
      </c>
      <c r="B49" s="19" t="str">
        <v>スピール膏Ｍ　ＳＰＭ１６</v>
      </c>
      <c r="C49" s="14"/>
      <c r="D49" s="14"/>
      <c r="E49" s="20"/>
      <c r="F49" s="19"/>
      <c r="G49" s="19"/>
      <c r="H49" s="19"/>
      <c r="I49" s="19"/>
      <c r="J49" s="19"/>
      <c r="K49" s="19"/>
      <c r="L49" s="18"/>
      <c r="M49" s="14"/>
      <c r="N49" s="18"/>
    </row>
    <row r="50" spans="1:14" ht="15" customHeight="1" x14ac:dyDescent="0.2">
      <c r="A50" s="46">
        <f t="shared" si="0"/>
        <v>48</v>
      </c>
      <c r="B50" s="22" t="str">
        <v>スピリーバ2.5μｇレスピマット60吸入</v>
      </c>
      <c r="C50" s="16"/>
      <c r="D50" s="16"/>
      <c r="E50" s="23"/>
      <c r="F50" s="19"/>
      <c r="G50" s="19"/>
      <c r="H50" s="19"/>
      <c r="I50" s="19"/>
      <c r="J50" s="19"/>
      <c r="K50" s="19"/>
      <c r="L50" s="18"/>
      <c r="M50" s="14"/>
      <c r="N50" s="18"/>
    </row>
    <row r="51" spans="1:14" ht="15" customHeight="1" x14ac:dyDescent="0.2">
      <c r="A51" s="46">
        <f t="shared" si="0"/>
        <v>49</v>
      </c>
      <c r="B51" s="19" t="str">
        <v>スミスリンローション5％</v>
      </c>
      <c r="C51" s="16"/>
      <c r="D51" s="16"/>
      <c r="E51" s="20"/>
      <c r="F51" s="19"/>
      <c r="G51" s="19"/>
      <c r="H51" s="19"/>
      <c r="I51" s="19"/>
      <c r="J51" s="19"/>
      <c r="K51" s="19"/>
      <c r="L51" s="18"/>
      <c r="M51" s="14"/>
      <c r="N51" s="18"/>
    </row>
    <row r="52" spans="1:14" ht="15" customHeight="1" x14ac:dyDescent="0.2">
      <c r="A52" s="46">
        <f t="shared" si="0"/>
        <v>50</v>
      </c>
      <c r="B52" s="22" t="str">
        <v>ダイアップ坐剤４</v>
      </c>
      <c r="C52" s="16"/>
      <c r="D52" s="16"/>
      <c r="E52" s="32"/>
      <c r="F52" s="19"/>
      <c r="G52" s="19"/>
      <c r="H52" s="19"/>
      <c r="I52" s="19"/>
      <c r="J52" s="19"/>
      <c r="K52" s="19"/>
      <c r="L52" s="18"/>
      <c r="M52" s="34"/>
      <c r="N52" s="18"/>
    </row>
    <row r="53" spans="1:14" ht="15" customHeight="1" x14ac:dyDescent="0.2">
      <c r="A53" s="46">
        <f t="shared" si="0"/>
        <v>51</v>
      </c>
      <c r="B53" s="19" t="str">
        <v>タリビッド眼軟膏0.3％</v>
      </c>
      <c r="C53" s="16"/>
      <c r="D53" s="16"/>
      <c r="E53" s="20"/>
      <c r="F53" s="19"/>
      <c r="G53" s="19"/>
      <c r="H53" s="19"/>
      <c r="I53" s="19"/>
      <c r="J53" s="19"/>
      <c r="K53" s="19"/>
      <c r="L53" s="18"/>
      <c r="M53" s="34"/>
      <c r="N53" s="18"/>
    </row>
    <row r="54" spans="1:14" ht="15" customHeight="1" x14ac:dyDescent="0.2">
      <c r="A54" s="46">
        <f t="shared" si="0"/>
        <v>52</v>
      </c>
      <c r="B54" s="19" t="str">
        <v>タリビッド耳科用液0.3％</v>
      </c>
      <c r="C54" s="14"/>
      <c r="D54" s="14"/>
      <c r="E54" s="20"/>
      <c r="F54" s="19"/>
      <c r="G54" s="19"/>
      <c r="H54" s="19"/>
      <c r="I54" s="19"/>
      <c r="J54" s="19"/>
      <c r="K54" s="19"/>
      <c r="L54" s="18"/>
      <c r="M54" s="14"/>
      <c r="N54" s="18"/>
    </row>
    <row r="55" spans="1:14" ht="15" customHeight="1" x14ac:dyDescent="0.2">
      <c r="A55" s="46">
        <f t="shared" si="0"/>
        <v>53</v>
      </c>
      <c r="B55" s="22" t="str">
        <v>チモロール点眼液0.5％「ニッテン」</v>
      </c>
      <c r="C55" s="14"/>
      <c r="D55" s="14"/>
      <c r="E55" s="20"/>
      <c r="F55" s="19"/>
      <c r="G55" s="19"/>
      <c r="H55" s="19"/>
      <c r="I55" s="19"/>
      <c r="J55" s="19"/>
      <c r="K55" s="19"/>
      <c r="L55" s="18"/>
      <c r="M55" s="14"/>
      <c r="N55" s="18"/>
    </row>
    <row r="56" spans="1:14" ht="15" customHeight="1" x14ac:dyDescent="0.2">
      <c r="A56" s="46">
        <f t="shared" si="0"/>
        <v>54</v>
      </c>
      <c r="B56" s="19" t="str">
        <v>ツロブテロールテープ1ｍｇ「サワイ」</v>
      </c>
      <c r="C56" s="14"/>
      <c r="D56" s="14"/>
      <c r="E56" s="20"/>
      <c r="F56" s="19"/>
      <c r="G56" s="19"/>
      <c r="H56" s="19"/>
      <c r="I56" s="19"/>
      <c r="J56" s="19"/>
      <c r="K56" s="19"/>
      <c r="L56" s="18"/>
      <c r="M56" s="14"/>
      <c r="N56" s="18"/>
    </row>
    <row r="57" spans="1:14" ht="15" customHeight="1" x14ac:dyDescent="0.2">
      <c r="A57" s="46">
        <f t="shared" si="0"/>
        <v>55</v>
      </c>
      <c r="B57" s="19" t="str">
        <v>デキサメタゾン口腔用軟膏0.1％「日医工」</v>
      </c>
      <c r="C57" s="14"/>
      <c r="D57" s="14"/>
      <c r="E57" s="20"/>
      <c r="F57" s="19"/>
      <c r="G57" s="19"/>
      <c r="H57" s="19"/>
      <c r="I57" s="19"/>
      <c r="J57" s="19"/>
      <c r="K57" s="19"/>
      <c r="L57" s="18"/>
      <c r="M57" s="14"/>
      <c r="N57" s="18"/>
    </row>
    <row r="58" spans="1:14" ht="15" customHeight="1" x14ac:dyDescent="0.2">
      <c r="A58" s="46">
        <f t="shared" si="0"/>
        <v>56</v>
      </c>
      <c r="B58" s="19" t="str">
        <v>テクスメテン ユニバーサル クリーム0.1%</v>
      </c>
      <c r="C58" s="14"/>
      <c r="D58" s="14"/>
      <c r="E58" s="20"/>
      <c r="F58" s="19"/>
      <c r="G58" s="19"/>
      <c r="H58" s="19"/>
      <c r="I58" s="19"/>
      <c r="J58" s="19"/>
      <c r="K58" s="19"/>
      <c r="L58" s="36"/>
      <c r="M58" s="14"/>
      <c r="N58" s="18"/>
    </row>
    <row r="59" spans="1:14" ht="15" customHeight="1" x14ac:dyDescent="0.2">
      <c r="A59" s="46">
        <f t="shared" si="0"/>
        <v>57</v>
      </c>
      <c r="B59" s="19" t="str">
        <v>デタントール0.01％点眼液</v>
      </c>
      <c r="C59" s="14"/>
      <c r="D59" s="14"/>
      <c r="E59" s="20"/>
      <c r="F59" s="19"/>
      <c r="G59" s="19"/>
      <c r="H59" s="19"/>
      <c r="I59" s="19"/>
      <c r="J59" s="19"/>
      <c r="K59" s="19"/>
      <c r="L59" s="36"/>
      <c r="M59" s="14"/>
      <c r="N59" s="18"/>
    </row>
    <row r="60" spans="1:14" ht="15" customHeight="1" x14ac:dyDescent="0.2">
      <c r="A60" s="46">
        <f t="shared" si="0"/>
        <v>58</v>
      </c>
      <c r="B60" s="19" t="str">
        <v>テルビナフィン塩酸塩クリーム 1%「イワキ」　採用中止</v>
      </c>
      <c r="C60" s="16"/>
      <c r="D60" s="16"/>
      <c r="E60" s="20"/>
      <c r="F60" s="19"/>
      <c r="G60" s="19"/>
      <c r="H60" s="19"/>
      <c r="I60" s="19"/>
      <c r="J60" s="19"/>
      <c r="K60" s="19"/>
      <c r="L60" s="18"/>
      <c r="M60" s="14"/>
      <c r="N60" s="18"/>
    </row>
    <row r="61" spans="1:14" ht="15" customHeight="1" x14ac:dyDescent="0.2">
      <c r="A61" s="46">
        <f t="shared" si="0"/>
        <v>59</v>
      </c>
      <c r="B61" s="19" t="str">
        <v>テルビナフィン塩酸塩クリーム 1%「サワイ」</v>
      </c>
      <c r="C61" s="14"/>
      <c r="D61" s="14"/>
      <c r="E61" s="20"/>
      <c r="F61" s="19"/>
      <c r="G61" s="19"/>
      <c r="H61" s="19"/>
      <c r="I61" s="19"/>
      <c r="J61" s="19"/>
      <c r="K61" s="19"/>
      <c r="L61" s="18"/>
      <c r="M61" s="14"/>
      <c r="N61" s="18"/>
    </row>
    <row r="62" spans="1:14" ht="15" customHeight="1" x14ac:dyDescent="0.2">
      <c r="A62" s="46">
        <f t="shared" si="0"/>
        <v>60</v>
      </c>
      <c r="B62" s="22" t="str">
        <v>テルビナフィン塩酸塩外用液1%「サワイ」</v>
      </c>
      <c r="C62" s="14"/>
      <c r="D62" s="14"/>
      <c r="E62" s="23"/>
      <c r="F62" s="19"/>
      <c r="G62" s="19"/>
      <c r="H62" s="19"/>
      <c r="I62" s="19"/>
      <c r="J62" s="19"/>
      <c r="K62" s="19"/>
      <c r="L62" s="18"/>
      <c r="M62" s="14"/>
      <c r="N62" s="18"/>
    </row>
    <row r="63" spans="1:14" ht="15" customHeight="1" x14ac:dyDescent="0.2">
      <c r="A63" s="46">
        <f t="shared" si="0"/>
        <v>61</v>
      </c>
      <c r="B63" s="22" t="str">
        <v>デルモゾールG軟膏</v>
      </c>
      <c r="C63" s="14"/>
      <c r="D63" s="14"/>
      <c r="E63" s="23"/>
      <c r="F63" s="19"/>
      <c r="G63" s="19"/>
      <c r="H63" s="19"/>
      <c r="I63" s="19"/>
      <c r="J63" s="19"/>
      <c r="K63" s="19"/>
      <c r="L63" s="18"/>
      <c r="M63" s="14"/>
      <c r="N63" s="18"/>
    </row>
    <row r="64" spans="1:14" ht="15" customHeight="1" x14ac:dyDescent="0.2">
      <c r="A64" s="46">
        <f t="shared" si="0"/>
        <v>62</v>
      </c>
      <c r="B64" s="22" t="str">
        <v>デルモゾールG軟膏</v>
      </c>
      <c r="C64" s="14"/>
      <c r="D64" s="14"/>
      <c r="E64" s="23"/>
      <c r="F64" s="19"/>
      <c r="G64" s="19"/>
      <c r="H64" s="19"/>
      <c r="I64" s="19"/>
      <c r="J64" s="19"/>
      <c r="K64" s="19"/>
      <c r="L64" s="18"/>
      <c r="M64" s="14"/>
      <c r="N64" s="18"/>
    </row>
    <row r="65" spans="1:14" ht="15" customHeight="1" x14ac:dyDescent="0.2">
      <c r="A65" s="46">
        <f t="shared" si="0"/>
        <v>63</v>
      </c>
      <c r="B65" s="22" t="str">
        <v>デルモベート軟膏0.05%</v>
      </c>
      <c r="C65" s="14"/>
      <c r="D65" s="14"/>
      <c r="E65" s="23"/>
      <c r="F65" s="19"/>
      <c r="G65" s="19"/>
      <c r="H65" s="19"/>
      <c r="I65" s="19"/>
      <c r="J65" s="19"/>
      <c r="K65" s="19"/>
      <c r="L65" s="18"/>
      <c r="M65" s="14"/>
      <c r="N65" s="18"/>
    </row>
    <row r="66" spans="1:14" ht="15" customHeight="1" x14ac:dyDescent="0.2">
      <c r="A66" s="46">
        <f t="shared" si="0"/>
        <v>64</v>
      </c>
      <c r="B66" s="22" t="str">
        <v>ナウゼリン坐剤60</v>
      </c>
      <c r="C66" s="14"/>
      <c r="D66" s="14"/>
      <c r="E66" s="23"/>
      <c r="F66" s="19"/>
      <c r="G66" s="19"/>
      <c r="H66" s="19"/>
      <c r="I66" s="19"/>
      <c r="J66" s="19"/>
      <c r="K66" s="19"/>
      <c r="L66" s="18"/>
      <c r="M66" s="14"/>
      <c r="N66" s="18"/>
    </row>
    <row r="67" spans="1:14" ht="15" customHeight="1" x14ac:dyDescent="0.2">
      <c r="A67" s="46">
        <f t="shared" si="0"/>
        <v>65</v>
      </c>
      <c r="B67" s="19" t="str">
        <v>ニゾラールクリーム２％　　　　　　　　　</v>
      </c>
      <c r="C67" s="14"/>
      <c r="D67" s="14"/>
      <c r="E67" s="23"/>
      <c r="F67" s="19"/>
      <c r="G67" s="19"/>
      <c r="H67" s="19"/>
      <c r="I67" s="19"/>
      <c r="J67" s="19"/>
      <c r="K67" s="19"/>
      <c r="L67" s="18"/>
      <c r="M67" s="14"/>
      <c r="N67" s="18"/>
    </row>
    <row r="68" spans="1:14" ht="15" customHeight="1" x14ac:dyDescent="0.2">
      <c r="A68" s="46">
        <f t="shared" si="0"/>
        <v>66</v>
      </c>
      <c r="B68" s="19" t="str">
        <v>ニゾラールローション２％</v>
      </c>
      <c r="C68" s="14"/>
      <c r="D68" s="14"/>
      <c r="E68" s="20"/>
      <c r="F68" s="19"/>
      <c r="G68" s="19"/>
      <c r="H68" s="19"/>
      <c r="I68" s="19"/>
      <c r="J68" s="19"/>
      <c r="K68" s="19"/>
      <c r="L68" s="18"/>
      <c r="M68" s="14"/>
      <c r="N68" s="18"/>
    </row>
    <row r="69" spans="1:14" ht="15" customHeight="1" x14ac:dyDescent="0.2">
      <c r="A69" s="46">
        <f t="shared" ref="A69:A132" si="1">A68+1</f>
        <v>67</v>
      </c>
      <c r="B69" s="19" t="str">
        <v>ニュープロパッチ4.5ｍｇ</v>
      </c>
      <c r="C69" s="14"/>
      <c r="D69" s="14"/>
      <c r="E69" s="26"/>
      <c r="F69" s="19"/>
      <c r="G69" s="19"/>
      <c r="H69" s="19"/>
      <c r="I69" s="19"/>
      <c r="J69" s="19"/>
      <c r="K69" s="19"/>
      <c r="L69" s="18"/>
      <c r="M69" s="14"/>
      <c r="N69" s="18"/>
    </row>
    <row r="70" spans="1:14" ht="15" customHeight="1" x14ac:dyDescent="0.2">
      <c r="A70" s="46">
        <f t="shared" si="1"/>
        <v>68</v>
      </c>
      <c r="B70" s="19" t="str">
        <v>ニュープロパッチ9ｍｇ</v>
      </c>
      <c r="C70" s="14"/>
      <c r="D70" s="14"/>
      <c r="E70" s="20"/>
      <c r="F70" s="19"/>
      <c r="G70" s="19"/>
      <c r="H70" s="19"/>
      <c r="I70" s="19"/>
      <c r="J70" s="19"/>
      <c r="K70" s="19"/>
      <c r="L70" s="18"/>
      <c r="M70" s="14"/>
      <c r="N70" s="18"/>
    </row>
    <row r="71" spans="1:14" ht="15" customHeight="1" x14ac:dyDescent="0.2">
      <c r="A71" s="46">
        <f t="shared" si="1"/>
        <v>69</v>
      </c>
      <c r="B71" s="19" t="str">
        <v>ネオメドロールEE軟膏</v>
      </c>
      <c r="C71" s="14"/>
      <c r="D71" s="14"/>
      <c r="E71" s="20"/>
      <c r="F71" s="19"/>
      <c r="G71" s="19"/>
      <c r="H71" s="19"/>
      <c r="I71" s="19"/>
      <c r="J71" s="19"/>
      <c r="K71" s="19"/>
      <c r="L71" s="18"/>
      <c r="M71" s="14"/>
      <c r="N71" s="18"/>
    </row>
    <row r="72" spans="1:14" ht="15" customHeight="1" x14ac:dyDescent="0.2">
      <c r="A72" s="46">
        <f t="shared" si="1"/>
        <v>70</v>
      </c>
      <c r="B72" s="22" t="str">
        <v>ヒアルロン酸Na点眼液0.1％「ニットー」</v>
      </c>
      <c r="C72" s="14"/>
      <c r="D72" s="14"/>
      <c r="E72" s="23"/>
      <c r="F72" s="19"/>
      <c r="G72" s="19"/>
      <c r="H72" s="19"/>
      <c r="I72" s="19"/>
      <c r="J72" s="19"/>
      <c r="K72" s="19"/>
      <c r="L72" s="18"/>
      <c r="M72" s="14"/>
      <c r="N72" s="18"/>
    </row>
    <row r="73" spans="1:14" ht="15" customHeight="1" x14ac:dyDescent="0.2">
      <c r="A73" s="46">
        <f t="shared" si="1"/>
        <v>71</v>
      </c>
      <c r="B73" s="19" t="str">
        <v>ビソノテープ２ｍｇ</v>
      </c>
      <c r="C73" s="16"/>
      <c r="D73" s="16"/>
      <c r="E73" s="20"/>
      <c r="F73" s="19"/>
      <c r="G73" s="19"/>
      <c r="H73" s="19"/>
      <c r="I73" s="19"/>
      <c r="J73" s="19"/>
      <c r="K73" s="19"/>
      <c r="L73" s="18"/>
      <c r="M73" s="14"/>
      <c r="N73" s="18"/>
    </row>
    <row r="74" spans="1:14" ht="15" customHeight="1" x14ac:dyDescent="0.2">
      <c r="A74" s="46">
        <f t="shared" si="1"/>
        <v>72</v>
      </c>
      <c r="B74" s="22" t="str">
        <v>ビソノテープ4ｍｇ</v>
      </c>
      <c r="C74" s="16"/>
      <c r="D74" s="16"/>
      <c r="E74" s="23"/>
      <c r="F74" s="19"/>
      <c r="G74" s="19"/>
      <c r="H74" s="19"/>
      <c r="I74" s="19"/>
      <c r="J74" s="19"/>
      <c r="K74" s="19"/>
      <c r="L74" s="18"/>
      <c r="M74" s="14"/>
      <c r="N74" s="18"/>
    </row>
    <row r="75" spans="1:14" ht="15" customHeight="1" x14ac:dyDescent="0.2">
      <c r="A75" s="46">
        <f t="shared" si="1"/>
        <v>73</v>
      </c>
      <c r="B75" s="19" t="str">
        <v>ビダラビン軟膏3%｢SW」</v>
      </c>
      <c r="C75" s="16"/>
      <c r="D75" s="16"/>
      <c r="E75" s="20"/>
      <c r="F75" s="19"/>
      <c r="G75" s="19"/>
      <c r="H75" s="19"/>
      <c r="I75" s="19"/>
      <c r="J75" s="19"/>
      <c r="K75" s="19"/>
      <c r="L75" s="18"/>
      <c r="M75" s="14"/>
      <c r="N75" s="18"/>
    </row>
    <row r="76" spans="1:14" ht="15" customHeight="1" x14ac:dyDescent="0.2">
      <c r="A76" s="46">
        <f t="shared" si="1"/>
        <v>74</v>
      </c>
      <c r="B76" s="19" t="str">
        <v>ヒルドイドソフト軟膏 0.3％</v>
      </c>
      <c r="C76" s="16"/>
      <c r="D76" s="16"/>
      <c r="E76" s="20"/>
      <c r="F76" s="19"/>
      <c r="G76" s="19"/>
      <c r="H76" s="19"/>
      <c r="I76" s="19"/>
      <c r="J76" s="19"/>
      <c r="K76" s="19"/>
      <c r="L76" s="18"/>
      <c r="M76" s="14"/>
      <c r="N76" s="18"/>
    </row>
    <row r="77" spans="1:14" ht="15" customHeight="1" x14ac:dyDescent="0.2">
      <c r="A77" s="46">
        <f t="shared" si="1"/>
        <v>75</v>
      </c>
      <c r="B77" s="30" t="str">
        <v>ピレノキシン懸濁性点眼液0.005%「参天」</v>
      </c>
      <c r="C77" s="16"/>
      <c r="D77" s="16"/>
      <c r="E77" s="23"/>
      <c r="F77" s="19"/>
      <c r="G77" s="19"/>
      <c r="H77" s="19"/>
      <c r="I77" s="19"/>
      <c r="J77" s="19"/>
      <c r="K77" s="19"/>
      <c r="L77" s="18"/>
      <c r="M77" s="14"/>
      <c r="N77" s="18"/>
    </row>
    <row r="78" spans="1:14" ht="15" customHeight="1" x14ac:dyDescent="0.2">
      <c r="A78" s="46">
        <f t="shared" si="1"/>
        <v>76</v>
      </c>
      <c r="B78" s="19" t="str">
        <v>フラジール腟錠250mg</v>
      </c>
      <c r="C78" s="16"/>
      <c r="D78" s="16"/>
      <c r="E78" s="20"/>
      <c r="F78" s="19"/>
      <c r="G78" s="19"/>
      <c r="H78" s="19"/>
      <c r="I78" s="19"/>
      <c r="J78" s="19"/>
      <c r="K78" s="19"/>
      <c r="L78" s="18"/>
      <c r="M78" s="14"/>
      <c r="N78" s="18"/>
    </row>
    <row r="79" spans="1:14" ht="15" customHeight="1" x14ac:dyDescent="0.2">
      <c r="A79" s="46">
        <f t="shared" si="1"/>
        <v>77</v>
      </c>
      <c r="B79" s="22" t="str">
        <v>フランドルテープ40mg</v>
      </c>
      <c r="C79" s="16"/>
      <c r="D79" s="16"/>
      <c r="E79" s="23"/>
      <c r="F79" s="19"/>
      <c r="G79" s="19"/>
      <c r="H79" s="19"/>
      <c r="I79" s="19"/>
      <c r="J79" s="19"/>
      <c r="K79" s="19"/>
      <c r="L79" s="18"/>
      <c r="M79" s="14"/>
      <c r="N79" s="18"/>
    </row>
    <row r="80" spans="1:14" ht="15" customHeight="1" x14ac:dyDescent="0.2">
      <c r="A80" s="46">
        <f t="shared" si="1"/>
        <v>78</v>
      </c>
      <c r="B80" s="22" t="str">
        <v>フルオロメトロン点眼液0.1％「NIT」</v>
      </c>
      <c r="C80" s="16"/>
      <c r="D80" s="16"/>
      <c r="E80" s="23"/>
      <c r="F80" s="19"/>
      <c r="G80" s="19"/>
      <c r="H80" s="19"/>
      <c r="I80" s="19"/>
      <c r="J80" s="19"/>
      <c r="K80" s="19"/>
      <c r="L80" s="18"/>
      <c r="M80" s="14"/>
      <c r="N80" s="18"/>
    </row>
    <row r="81" spans="1:14" ht="15" customHeight="1" x14ac:dyDescent="0.2">
      <c r="A81" s="46">
        <f t="shared" si="1"/>
        <v>79</v>
      </c>
      <c r="B81" s="19" t="str">
        <v>プロスタンディン軟膏0.003％</v>
      </c>
      <c r="C81" s="16"/>
      <c r="D81" s="16"/>
      <c r="E81" s="20"/>
      <c r="F81" s="19"/>
      <c r="G81" s="19"/>
      <c r="H81" s="19"/>
      <c r="I81" s="19"/>
      <c r="J81" s="19"/>
      <c r="K81" s="19"/>
      <c r="L81" s="18"/>
      <c r="M81" s="14"/>
      <c r="N81" s="18"/>
    </row>
    <row r="82" spans="1:14" ht="15" customHeight="1" x14ac:dyDescent="0.2">
      <c r="A82" s="46">
        <f t="shared" si="1"/>
        <v>80</v>
      </c>
      <c r="B82" s="19" t="str">
        <v>ブロナック点眼液0.1％</v>
      </c>
      <c r="C82" s="16"/>
      <c r="D82" s="16"/>
      <c r="E82" s="20"/>
      <c r="F82" s="19"/>
      <c r="G82" s="19"/>
      <c r="H82" s="19"/>
      <c r="I82" s="19"/>
      <c r="J82" s="19"/>
      <c r="K82" s="19"/>
      <c r="L82" s="18"/>
      <c r="M82" s="14"/>
      <c r="N82" s="18"/>
    </row>
    <row r="83" spans="1:14" ht="15" customHeight="1" x14ac:dyDescent="0.2">
      <c r="A83" s="46">
        <f t="shared" si="1"/>
        <v>81</v>
      </c>
      <c r="B83" s="25" t="str">
        <v>ブロムヘキシン塩酸塩吸入液0.2％「タイヨー」</v>
      </c>
      <c r="C83" s="16"/>
      <c r="D83" s="16"/>
      <c r="E83" s="20"/>
      <c r="F83" s="19"/>
      <c r="G83" s="19"/>
      <c r="H83" s="19"/>
      <c r="I83" s="19"/>
      <c r="J83" s="19"/>
      <c r="K83" s="19"/>
      <c r="L83" s="18"/>
      <c r="M83" s="14"/>
      <c r="N83" s="18"/>
    </row>
    <row r="84" spans="1:14" ht="15" customHeight="1" x14ac:dyDescent="0.2">
      <c r="A84" s="46">
        <f t="shared" si="1"/>
        <v>82</v>
      </c>
      <c r="B84" s="25" t="str">
        <v>ベタメタゾン吉草酸エステルﾛ-ｼｮﾝ0.12％「イワキ」</v>
      </c>
      <c r="C84" s="16"/>
      <c r="D84" s="16"/>
      <c r="E84" s="20"/>
      <c r="F84" s="19"/>
      <c r="G84" s="19"/>
      <c r="H84" s="19"/>
      <c r="I84" s="19"/>
      <c r="J84" s="19"/>
      <c r="K84" s="19"/>
      <c r="L84" s="18"/>
      <c r="M84" s="14"/>
      <c r="N84" s="18"/>
    </row>
    <row r="85" spans="1:14" ht="15" customHeight="1" x14ac:dyDescent="0.2">
      <c r="A85" s="46">
        <f t="shared" si="1"/>
        <v>83</v>
      </c>
      <c r="B85" s="19" t="str">
        <v>ヘパリン類似物質外用スプレー0.3％「サトウ」</v>
      </c>
      <c r="C85" s="16"/>
      <c r="D85" s="16"/>
      <c r="E85" s="37"/>
      <c r="F85" s="38"/>
      <c r="G85" s="19"/>
      <c r="H85" s="19"/>
      <c r="I85" s="39"/>
      <c r="J85" s="19"/>
      <c r="K85" s="19"/>
      <c r="L85" s="18"/>
      <c r="M85" s="14"/>
      <c r="N85" s="18"/>
    </row>
    <row r="86" spans="1:14" ht="15" customHeight="1" x14ac:dyDescent="0.2">
      <c r="A86" s="46">
        <f t="shared" si="1"/>
        <v>84</v>
      </c>
      <c r="B86" s="19" t="str">
        <v>ヘパリン類似物質外用泡状スプレー0.3％「日本臓器」</v>
      </c>
      <c r="C86" s="16"/>
      <c r="D86" s="16"/>
      <c r="E86" s="37"/>
      <c r="F86" s="38"/>
      <c r="G86" s="19"/>
      <c r="H86" s="19"/>
      <c r="I86" s="39"/>
      <c r="J86" s="19"/>
      <c r="K86" s="19"/>
      <c r="L86" s="18"/>
      <c r="M86" s="14"/>
      <c r="N86" s="18"/>
    </row>
    <row r="87" spans="1:14" ht="15" customHeight="1" x14ac:dyDescent="0.2">
      <c r="A87" s="46">
        <f t="shared" si="1"/>
        <v>85</v>
      </c>
      <c r="B87" s="22" t="str">
        <v>ヘパリン類似物質油性クリーム0.3％「ニチイコウ」</v>
      </c>
      <c r="C87" s="16"/>
      <c r="D87" s="16"/>
      <c r="E87" s="23"/>
      <c r="F87" s="19"/>
      <c r="G87" s="19"/>
      <c r="H87" s="19"/>
      <c r="I87" s="19"/>
      <c r="J87" s="19"/>
      <c r="K87" s="19"/>
      <c r="L87" s="18"/>
      <c r="M87" s="14"/>
      <c r="N87" s="18"/>
    </row>
    <row r="88" spans="1:14" ht="15" customHeight="1" x14ac:dyDescent="0.2">
      <c r="A88" s="46">
        <f t="shared" si="1"/>
        <v>86</v>
      </c>
      <c r="B88" s="19" t="str">
        <v>ペミロラストK点眼液0.1％「TS」</v>
      </c>
      <c r="C88" s="16"/>
      <c r="D88" s="16"/>
      <c r="E88" s="20"/>
      <c r="F88" s="19"/>
      <c r="G88" s="19"/>
      <c r="H88" s="19"/>
      <c r="I88" s="19"/>
      <c r="J88" s="19"/>
      <c r="K88" s="19"/>
      <c r="L88" s="18"/>
      <c r="M88" s="14"/>
      <c r="N88" s="18"/>
    </row>
    <row r="89" spans="1:14" ht="15" customHeight="1" x14ac:dyDescent="0.2">
      <c r="A89" s="46">
        <f t="shared" si="1"/>
        <v>87</v>
      </c>
      <c r="B89" s="22" t="str">
        <v>ヘモレックス軟膏</v>
      </c>
      <c r="C89" s="16"/>
      <c r="D89" s="16"/>
      <c r="E89" s="23"/>
      <c r="F89" s="19"/>
      <c r="G89" s="19"/>
      <c r="H89" s="19"/>
      <c r="I89" s="19"/>
      <c r="J89" s="19"/>
      <c r="K89" s="19"/>
      <c r="L89" s="18"/>
      <c r="M89" s="14"/>
      <c r="N89" s="18"/>
    </row>
    <row r="90" spans="1:14" ht="15" customHeight="1" x14ac:dyDescent="0.2">
      <c r="A90" s="46">
        <f t="shared" si="1"/>
        <v>88</v>
      </c>
      <c r="B90" s="40" t="str">
        <v>ボアラ軟膏0.12％</v>
      </c>
      <c r="C90" s="41"/>
      <c r="D90" s="41"/>
      <c r="E90" s="23"/>
      <c r="F90" s="19"/>
      <c r="G90" s="19"/>
      <c r="H90" s="19"/>
      <c r="I90" s="19"/>
      <c r="J90" s="19"/>
      <c r="K90" s="19"/>
      <c r="L90" s="18"/>
      <c r="M90" s="14"/>
      <c r="N90" s="18"/>
    </row>
    <row r="91" spans="1:14" ht="15" customHeight="1" x14ac:dyDescent="0.2">
      <c r="A91" s="46">
        <f t="shared" si="1"/>
        <v>89</v>
      </c>
      <c r="B91" s="19" t="str">
        <v>ホーリンV膣用錠1ｍｇ</v>
      </c>
      <c r="C91" s="16"/>
      <c r="D91" s="16"/>
      <c r="E91" s="20"/>
      <c r="F91" s="19"/>
      <c r="G91" s="19"/>
      <c r="H91" s="19"/>
      <c r="I91" s="19"/>
      <c r="J91" s="19"/>
      <c r="K91" s="19"/>
      <c r="L91" s="18"/>
      <c r="M91" s="14"/>
      <c r="N91" s="18"/>
    </row>
    <row r="92" spans="1:14" ht="15" customHeight="1" x14ac:dyDescent="0.2">
      <c r="A92" s="46">
        <f t="shared" si="1"/>
        <v>90</v>
      </c>
      <c r="B92" s="19" t="str">
        <v>ポビドンヨードガーグル７％「ケンエー」　　　　　　　　　　</v>
      </c>
      <c r="C92" s="16"/>
      <c r="D92" s="16"/>
      <c r="E92" s="35"/>
      <c r="F92" s="19"/>
      <c r="G92" s="19"/>
      <c r="H92" s="19"/>
      <c r="I92" s="19"/>
      <c r="J92" s="19"/>
      <c r="K92" s="19"/>
      <c r="L92" s="18"/>
      <c r="M92" s="14"/>
      <c r="N92" s="18"/>
    </row>
    <row r="93" spans="1:14" ht="15" customHeight="1" x14ac:dyDescent="0.2">
      <c r="A93" s="46">
        <f t="shared" si="1"/>
        <v>91</v>
      </c>
      <c r="B93" s="19" t="str">
        <v>マイザー軟膏0.05％</v>
      </c>
      <c r="C93" s="16"/>
      <c r="D93" s="16"/>
      <c r="E93" s="20"/>
      <c r="F93" s="19"/>
      <c r="G93" s="19"/>
      <c r="H93" s="19"/>
      <c r="I93" s="19"/>
      <c r="J93" s="19"/>
      <c r="K93" s="19"/>
      <c r="L93" s="18"/>
      <c r="M93" s="14"/>
      <c r="N93" s="18"/>
    </row>
    <row r="94" spans="1:14" ht="15" customHeight="1" x14ac:dyDescent="0.2">
      <c r="A94" s="46">
        <f t="shared" si="1"/>
        <v>92</v>
      </c>
      <c r="B94" s="19" t="str">
        <v>ミケルナ配合点眼液</v>
      </c>
      <c r="C94" s="16"/>
      <c r="D94" s="16"/>
      <c r="E94" s="20"/>
      <c r="F94" s="19"/>
      <c r="G94" s="19"/>
      <c r="H94" s="19"/>
      <c r="I94" s="19"/>
      <c r="J94" s="19"/>
      <c r="K94" s="19"/>
      <c r="L94" s="18"/>
      <c r="M94" s="14"/>
      <c r="N94" s="18"/>
    </row>
    <row r="95" spans="1:14" ht="15" customHeight="1" x14ac:dyDescent="0.2">
      <c r="A95" s="46">
        <f t="shared" si="1"/>
        <v>93</v>
      </c>
      <c r="B95" s="19" t="str">
        <v>ムコスタ点眼液UD2％</v>
      </c>
      <c r="C95" s="16"/>
      <c r="D95" s="16"/>
      <c r="E95" s="20"/>
      <c r="F95" s="19"/>
      <c r="G95" s="19"/>
      <c r="H95" s="19"/>
      <c r="I95" s="19"/>
      <c r="J95" s="19"/>
      <c r="K95" s="19"/>
      <c r="L95" s="18"/>
      <c r="M95" s="14"/>
      <c r="N95" s="18"/>
    </row>
    <row r="96" spans="1:14" ht="15" customHeight="1" x14ac:dyDescent="0.2">
      <c r="A96" s="46">
        <f t="shared" si="1"/>
        <v>94</v>
      </c>
      <c r="B96" s="19" t="str">
        <v>メプチンｴｱ-10μｇ吸入100回　　0.0143％</v>
      </c>
      <c r="C96" s="16"/>
      <c r="D96" s="16"/>
      <c r="E96" s="20"/>
      <c r="F96" s="19"/>
      <c r="G96" s="19"/>
      <c r="H96" s="19"/>
      <c r="I96" s="19"/>
      <c r="J96" s="19"/>
      <c r="K96" s="19"/>
      <c r="L96" s="18"/>
      <c r="M96" s="14"/>
      <c r="N96" s="18"/>
    </row>
    <row r="97" spans="1:14" ht="15" customHeight="1" x14ac:dyDescent="0.2">
      <c r="A97" s="46">
        <f t="shared" si="1"/>
        <v>95</v>
      </c>
      <c r="B97" s="19" t="str">
        <v>ラタノプロスト点眼液0.005％「センジュ」</v>
      </c>
      <c r="C97" s="16"/>
      <c r="D97" s="16"/>
      <c r="E97" s="20"/>
      <c r="F97" s="19"/>
      <c r="G97" s="19"/>
      <c r="H97" s="19"/>
      <c r="I97" s="19"/>
      <c r="J97" s="19"/>
      <c r="K97" s="19"/>
      <c r="L97" s="18"/>
      <c r="M97" s="14"/>
      <c r="N97" s="18"/>
    </row>
    <row r="98" spans="1:14" ht="15" customHeight="1" x14ac:dyDescent="0.2">
      <c r="A98" s="46">
        <f t="shared" si="1"/>
        <v>96</v>
      </c>
      <c r="B98" s="19" t="str">
        <v>ラタノプロスト点眼液0.005％「ニットー」　採用中止</v>
      </c>
      <c r="C98" s="16"/>
      <c r="D98" s="16"/>
      <c r="E98" s="20"/>
      <c r="F98" s="19"/>
      <c r="G98" s="19"/>
      <c r="H98" s="19"/>
      <c r="I98" s="19"/>
      <c r="J98" s="19"/>
      <c r="K98" s="19"/>
      <c r="L98" s="18"/>
      <c r="M98" s="14"/>
      <c r="N98" s="18"/>
    </row>
    <row r="99" spans="1:14" ht="15" customHeight="1" x14ac:dyDescent="0.2">
      <c r="A99" s="46">
        <f t="shared" si="1"/>
        <v>97</v>
      </c>
      <c r="B99" s="19" t="str">
        <v>リドメックスコーワ軟膏0.3％</v>
      </c>
      <c r="C99" s="16"/>
      <c r="D99" s="16"/>
      <c r="E99" s="20"/>
      <c r="F99" s="19"/>
      <c r="G99" s="19"/>
      <c r="H99" s="19"/>
      <c r="I99" s="19"/>
      <c r="J99" s="19"/>
      <c r="K99" s="19"/>
      <c r="L99" s="18"/>
      <c r="M99" s="14"/>
      <c r="N99" s="18"/>
    </row>
    <row r="100" spans="1:14" ht="15" customHeight="1" x14ac:dyDescent="0.2">
      <c r="A100" s="46">
        <f t="shared" si="1"/>
        <v>98</v>
      </c>
      <c r="B100" s="19" t="str">
        <v>リバスチグミンテープ13.5ｍｇ「トーワ」　</v>
      </c>
      <c r="C100" s="16"/>
      <c r="D100" s="16"/>
      <c r="E100" s="20"/>
      <c r="F100" s="19"/>
      <c r="G100" s="19"/>
      <c r="H100" s="19"/>
      <c r="I100" s="19"/>
      <c r="J100" s="19"/>
      <c r="K100" s="19"/>
      <c r="L100" s="18"/>
      <c r="M100" s="14"/>
      <c r="N100" s="18"/>
    </row>
    <row r="101" spans="1:14" ht="15" customHeight="1" x14ac:dyDescent="0.2">
      <c r="A101" s="46">
        <f t="shared" si="1"/>
        <v>99</v>
      </c>
      <c r="B101" s="19" t="str">
        <v>リバスチグミンテープ13.5ｍｇ「ニプロ」　採用中止</v>
      </c>
      <c r="C101" s="16"/>
      <c r="D101" s="16"/>
      <c r="E101" s="20"/>
      <c r="F101" s="19"/>
      <c r="G101" s="19"/>
      <c r="H101" s="19"/>
      <c r="I101" s="19"/>
      <c r="J101" s="19"/>
      <c r="K101" s="19"/>
      <c r="L101" s="18"/>
      <c r="M101" s="14"/>
      <c r="N101" s="18"/>
    </row>
    <row r="102" spans="1:14" ht="15" customHeight="1" x14ac:dyDescent="0.2">
      <c r="A102" s="46">
        <f t="shared" si="1"/>
        <v>100</v>
      </c>
      <c r="B102" s="19" t="str">
        <v>リバスチグミンテープ18ｍｇ「トーワ」　</v>
      </c>
      <c r="C102" s="16"/>
      <c r="D102" s="16"/>
      <c r="E102" s="20"/>
      <c r="F102" s="19"/>
      <c r="G102" s="19"/>
      <c r="H102" s="19"/>
      <c r="I102" s="19"/>
      <c r="J102" s="19"/>
      <c r="K102" s="19"/>
      <c r="L102" s="18"/>
      <c r="M102" s="14"/>
      <c r="N102" s="18"/>
    </row>
    <row r="103" spans="1:14" ht="15" customHeight="1" x14ac:dyDescent="0.2">
      <c r="A103" s="46">
        <f t="shared" si="1"/>
        <v>101</v>
      </c>
      <c r="B103" s="19" t="str">
        <v>リバスチグミンテープ18ｍｇ「ニプロ」　採用中止</v>
      </c>
      <c r="C103" s="16"/>
      <c r="D103" s="16"/>
      <c r="E103" s="20"/>
      <c r="F103" s="19"/>
      <c r="G103" s="19"/>
      <c r="H103" s="19"/>
      <c r="I103" s="19"/>
      <c r="J103" s="19"/>
      <c r="K103" s="19"/>
      <c r="L103" s="18"/>
      <c r="M103" s="14"/>
      <c r="N103" s="18"/>
    </row>
    <row r="104" spans="1:14" ht="15" customHeight="1" x14ac:dyDescent="0.2">
      <c r="A104" s="46">
        <f t="shared" si="1"/>
        <v>102</v>
      </c>
      <c r="B104" s="19" t="str">
        <v>リバスチグミンテープ4.5ｍｇ「トーワ」</v>
      </c>
      <c r="C104" s="16"/>
      <c r="D104" s="16"/>
      <c r="E104" s="20"/>
      <c r="F104" s="19"/>
      <c r="G104" s="19"/>
      <c r="H104" s="19"/>
      <c r="I104" s="19"/>
      <c r="J104" s="19"/>
      <c r="K104" s="19"/>
      <c r="L104" s="18"/>
      <c r="M104" s="14"/>
      <c r="N104" s="18"/>
    </row>
    <row r="105" spans="1:14" ht="15" customHeight="1" x14ac:dyDescent="0.2">
      <c r="A105" s="46">
        <f t="shared" si="1"/>
        <v>103</v>
      </c>
      <c r="B105" s="19" t="str">
        <v>リバスチグミンテープ4.5ｍｇ「ニプロ」　採用中止</v>
      </c>
      <c r="C105" s="16"/>
      <c r="D105" s="16"/>
      <c r="E105" s="20"/>
      <c r="F105" s="19"/>
      <c r="G105" s="19"/>
      <c r="H105" s="19"/>
      <c r="I105" s="19"/>
      <c r="J105" s="19"/>
      <c r="K105" s="19"/>
      <c r="L105" s="18"/>
      <c r="M105" s="14"/>
      <c r="N105" s="18"/>
    </row>
    <row r="106" spans="1:14" ht="15" customHeight="1" x14ac:dyDescent="0.2">
      <c r="A106" s="46">
        <f t="shared" si="1"/>
        <v>104</v>
      </c>
      <c r="B106" s="19" t="str">
        <v>リバスチグミンテープ9ｍｇ「トーワ」　</v>
      </c>
      <c r="C106" s="16"/>
      <c r="D106" s="16"/>
      <c r="E106" s="20"/>
      <c r="F106" s="19"/>
      <c r="G106" s="19"/>
      <c r="H106" s="19"/>
      <c r="I106" s="19"/>
      <c r="J106" s="19"/>
      <c r="K106" s="19"/>
      <c r="L106" s="18"/>
      <c r="M106" s="14"/>
      <c r="N106" s="18"/>
    </row>
    <row r="107" spans="1:14" ht="15" customHeight="1" x14ac:dyDescent="0.2">
      <c r="A107" s="46">
        <f t="shared" si="1"/>
        <v>105</v>
      </c>
      <c r="B107" s="19" t="str">
        <v>リバスチグミンテープ9ｍｇ「ニプロ」　採用中止</v>
      </c>
      <c r="C107" s="16"/>
      <c r="D107" s="16"/>
      <c r="E107" s="20"/>
      <c r="F107" s="19"/>
      <c r="G107" s="19"/>
      <c r="H107" s="19"/>
      <c r="I107" s="19"/>
      <c r="J107" s="19"/>
      <c r="K107" s="19"/>
      <c r="L107" s="18"/>
      <c r="M107" s="14"/>
      <c r="N107" s="18"/>
    </row>
    <row r="108" spans="1:14" ht="15" customHeight="1" x14ac:dyDescent="0.2">
      <c r="A108" s="46">
        <f t="shared" si="1"/>
        <v>106</v>
      </c>
      <c r="B108" s="19" t="str">
        <v>リンデロン-V クリーム0.12%</v>
      </c>
      <c r="C108" s="16"/>
      <c r="D108" s="16"/>
      <c r="E108" s="20"/>
      <c r="F108" s="19"/>
      <c r="G108" s="19"/>
      <c r="H108" s="19"/>
      <c r="I108" s="19"/>
      <c r="J108" s="19"/>
      <c r="K108" s="19"/>
      <c r="L108" s="18"/>
      <c r="M108" s="14"/>
      <c r="N108" s="18"/>
    </row>
    <row r="109" spans="1:14" ht="15" customHeight="1" x14ac:dyDescent="0.2">
      <c r="A109" s="46">
        <f t="shared" si="1"/>
        <v>107</v>
      </c>
      <c r="B109" s="19" t="str">
        <v>リンデロン点眼点耳点鼻液0.1％</v>
      </c>
      <c r="C109" s="16"/>
      <c r="D109" s="16"/>
      <c r="E109" s="20"/>
      <c r="F109" s="19"/>
      <c r="G109" s="19"/>
      <c r="H109" s="19"/>
      <c r="I109" s="19"/>
      <c r="J109" s="19"/>
      <c r="K109" s="19"/>
      <c r="L109" s="18"/>
      <c r="M109" s="14"/>
      <c r="N109" s="18"/>
    </row>
    <row r="110" spans="1:14" ht="15" customHeight="1" x14ac:dyDescent="0.2">
      <c r="A110" s="46">
        <f t="shared" si="1"/>
        <v>108</v>
      </c>
      <c r="B110" s="19" t="str">
        <v>レスタミンコーワクリーム1％</v>
      </c>
      <c r="C110" s="16"/>
      <c r="D110" s="16"/>
      <c r="E110" s="20"/>
      <c r="F110" s="19"/>
      <c r="G110" s="19"/>
      <c r="H110" s="19"/>
      <c r="I110" s="19"/>
      <c r="J110" s="19"/>
      <c r="K110" s="19"/>
      <c r="L110" s="18"/>
      <c r="M110" s="14"/>
      <c r="N110" s="18"/>
    </row>
    <row r="111" spans="1:14" ht="15" customHeight="1" x14ac:dyDescent="0.2">
      <c r="A111" s="46">
        <f t="shared" si="1"/>
        <v>109</v>
      </c>
      <c r="B111" s="19" t="str">
        <v>レボフロキサシン点眼液1.5％「ニットー」</v>
      </c>
      <c r="C111" s="16"/>
      <c r="D111" s="16"/>
      <c r="E111" s="20"/>
      <c r="F111" s="19"/>
      <c r="G111" s="19"/>
      <c r="H111" s="19"/>
      <c r="I111" s="19"/>
      <c r="J111" s="19"/>
      <c r="K111" s="19"/>
      <c r="L111" s="18"/>
      <c r="M111" s="14"/>
      <c r="N111" s="18"/>
    </row>
    <row r="112" spans="1:14" ht="15" customHeight="1" x14ac:dyDescent="0.2">
      <c r="A112" s="46">
        <f t="shared" si="1"/>
        <v>110</v>
      </c>
      <c r="B112" s="19" t="str">
        <v>レルベア100エリプタ30吸入用</v>
      </c>
      <c r="C112" s="16"/>
      <c r="D112" s="16"/>
      <c r="E112" s="20"/>
      <c r="F112" s="19"/>
      <c r="G112" s="19"/>
      <c r="H112" s="19"/>
      <c r="I112" s="19"/>
      <c r="J112" s="19"/>
      <c r="K112" s="19"/>
      <c r="L112" s="18"/>
      <c r="M112" s="14"/>
      <c r="N112" s="18"/>
    </row>
    <row r="113" spans="1:14" ht="15" customHeight="1" x14ac:dyDescent="0.2">
      <c r="A113" s="46">
        <f t="shared" si="1"/>
        <v>111</v>
      </c>
      <c r="B113" s="19" t="str">
        <v>レルベア200エリプタ30吸入用</v>
      </c>
      <c r="C113" s="16"/>
      <c r="D113" s="16"/>
      <c r="E113" s="20"/>
      <c r="F113" s="19"/>
      <c r="G113" s="19"/>
      <c r="H113" s="19"/>
      <c r="I113" s="19"/>
      <c r="J113" s="19"/>
      <c r="K113" s="19"/>
      <c r="L113" s="18"/>
      <c r="M113" s="14"/>
      <c r="N113" s="18"/>
    </row>
    <row r="114" spans="1:14" ht="15" customHeight="1" x14ac:dyDescent="0.2">
      <c r="A114" s="46">
        <f t="shared" si="1"/>
        <v>112</v>
      </c>
      <c r="B114" s="19" t="str">
        <v>ロキソプロフェンNaテープ100ｍｇ「DSEP」</v>
      </c>
      <c r="C114" s="16"/>
      <c r="D114" s="16"/>
      <c r="E114" s="20"/>
      <c r="F114" s="19"/>
      <c r="G114" s="19"/>
      <c r="H114" s="19"/>
      <c r="I114" s="19"/>
      <c r="J114" s="19"/>
      <c r="K114" s="19"/>
      <c r="L114" s="18"/>
      <c r="M114" s="14"/>
      <c r="N114" s="18"/>
    </row>
    <row r="115" spans="1:14" ht="15" customHeight="1" x14ac:dyDescent="0.2">
      <c r="A115" s="46">
        <f t="shared" si="1"/>
        <v>113</v>
      </c>
      <c r="B115" s="19" t="str">
        <v>ロキソプロフェンNaテープ100ｍｇ「科研」　採用中止</v>
      </c>
      <c r="C115" s="16"/>
      <c r="D115" s="16"/>
      <c r="E115" s="20"/>
      <c r="F115" s="19"/>
      <c r="G115" s="19"/>
      <c r="H115" s="19"/>
      <c r="I115" s="19"/>
      <c r="J115" s="19"/>
      <c r="K115" s="19"/>
      <c r="L115" s="18"/>
      <c r="M115" s="14"/>
      <c r="N115" s="18"/>
    </row>
    <row r="116" spans="1:14" ht="15" customHeight="1" x14ac:dyDescent="0.2">
      <c r="A116" s="46">
        <f t="shared" si="1"/>
        <v>114</v>
      </c>
      <c r="B116" s="19" t="str">
        <v>ロコイド軟膏0.1％</v>
      </c>
      <c r="C116" s="16"/>
      <c r="D116" s="16"/>
      <c r="E116" s="20"/>
      <c r="F116" s="19"/>
      <c r="G116" s="19"/>
      <c r="H116" s="19"/>
      <c r="I116" s="19"/>
      <c r="J116" s="19"/>
      <c r="K116" s="19"/>
      <c r="L116" s="18"/>
      <c r="M116" s="14"/>
      <c r="N116" s="18"/>
    </row>
    <row r="117" spans="1:14" ht="15" customHeight="1" x14ac:dyDescent="0.2">
      <c r="A117" s="46">
        <f t="shared" si="1"/>
        <v>115</v>
      </c>
      <c r="B117" s="19" t="str">
        <v>ロナセンテープ20ｍｇ</v>
      </c>
      <c r="C117" s="16"/>
      <c r="D117" s="16"/>
      <c r="E117" s="20"/>
      <c r="F117" s="19"/>
      <c r="G117" s="19"/>
      <c r="H117" s="19"/>
      <c r="I117" s="19"/>
      <c r="J117" s="19"/>
      <c r="K117" s="19"/>
      <c r="L117" s="18"/>
      <c r="M117" s="14"/>
      <c r="N117" s="18"/>
    </row>
    <row r="118" spans="1:14" ht="15" customHeight="1" x14ac:dyDescent="0.2">
      <c r="A118" s="46">
        <f t="shared" si="1"/>
        <v>116</v>
      </c>
      <c r="B118" s="19" t="str">
        <v>ロナセンテープ40ｍｇ</v>
      </c>
      <c r="C118" s="16"/>
      <c r="D118" s="16"/>
      <c r="E118" s="20"/>
      <c r="F118" s="19"/>
      <c r="G118" s="19"/>
      <c r="H118" s="19"/>
      <c r="I118" s="19"/>
      <c r="J118" s="19"/>
      <c r="K118" s="19"/>
      <c r="L118" s="18"/>
      <c r="M118" s="14"/>
      <c r="N118" s="18"/>
    </row>
    <row r="119" spans="1:14" ht="15" customHeight="1" x14ac:dyDescent="0.2">
      <c r="A119" s="46">
        <f t="shared" si="1"/>
        <v>117</v>
      </c>
      <c r="B119" s="19" t="str">
        <v>亜鉛華軟膏「ニッコー」　　　　　　　　　　　　　　　</v>
      </c>
      <c r="C119" s="16"/>
      <c r="D119" s="16"/>
      <c r="E119" s="20"/>
      <c r="F119" s="19"/>
      <c r="G119" s="19"/>
      <c r="H119" s="19"/>
      <c r="I119" s="19"/>
      <c r="J119" s="19"/>
      <c r="K119" s="19"/>
      <c r="L119" s="18"/>
      <c r="M119" s="14"/>
      <c r="N119" s="18"/>
    </row>
    <row r="120" spans="1:14" ht="15" customHeight="1" x14ac:dyDescent="0.2">
      <c r="A120" s="46">
        <f t="shared" si="1"/>
        <v>118</v>
      </c>
      <c r="B120" s="19" t="str">
        <v>新レシカルボン坐剤　　　　　　　　　　　</v>
      </c>
      <c r="C120" s="16"/>
      <c r="D120" s="16"/>
      <c r="E120" s="20"/>
      <c r="F120" s="19"/>
      <c r="G120" s="19"/>
      <c r="H120" s="19"/>
      <c r="I120" s="19"/>
      <c r="J120" s="19"/>
      <c r="K120" s="19"/>
      <c r="L120" s="18"/>
      <c r="M120" s="14"/>
      <c r="N120" s="18"/>
    </row>
    <row r="121" spans="1:14" ht="15" customHeight="1" x14ac:dyDescent="0.2">
      <c r="A121" s="46">
        <f t="shared" si="1"/>
        <v>119</v>
      </c>
      <c r="B121" s="19" t="str">
        <v>尿素クリーム10％「日医工」</v>
      </c>
      <c r="C121" s="16"/>
      <c r="D121" s="16"/>
      <c r="E121" s="20"/>
      <c r="F121" s="19"/>
      <c r="G121" s="19"/>
      <c r="H121" s="19"/>
      <c r="I121" s="19"/>
      <c r="J121" s="19"/>
      <c r="K121" s="19"/>
      <c r="L121" s="18"/>
      <c r="M121" s="14"/>
      <c r="N121" s="18"/>
    </row>
    <row r="122" spans="1:14" ht="15" customHeight="1" x14ac:dyDescent="0.2">
      <c r="A122" s="46">
        <f t="shared" si="1"/>
        <v>120</v>
      </c>
      <c r="B122" s="19" t="str">
        <v>白色ワセリン「ケンエー」</v>
      </c>
      <c r="C122" s="16"/>
      <c r="D122" s="16"/>
      <c r="E122" s="20"/>
      <c r="F122" s="19"/>
      <c r="G122" s="19"/>
      <c r="H122" s="19"/>
      <c r="I122" s="19"/>
      <c r="J122" s="19"/>
      <c r="K122" s="19"/>
      <c r="L122" s="18"/>
      <c r="M122" s="14"/>
      <c r="N122" s="18"/>
    </row>
    <row r="123" spans="1:14" ht="15" customHeight="1" x14ac:dyDescent="0.2">
      <c r="A123" s="46">
        <f t="shared" si="1"/>
        <v>121</v>
      </c>
      <c r="B123" s="19"/>
      <c r="C123" s="16"/>
      <c r="D123" s="16"/>
      <c r="E123" s="20"/>
      <c r="F123" s="19"/>
      <c r="G123" s="19"/>
      <c r="H123" s="19"/>
      <c r="I123" s="19"/>
      <c r="J123" s="19"/>
      <c r="K123" s="19"/>
      <c r="L123" s="18"/>
      <c r="M123" s="14"/>
      <c r="N123" s="18"/>
    </row>
    <row r="124" spans="1:14" ht="15" customHeight="1" x14ac:dyDescent="0.2">
      <c r="A124" s="46">
        <f t="shared" si="1"/>
        <v>122</v>
      </c>
      <c r="B124" s="19"/>
      <c r="C124" s="16"/>
      <c r="D124" s="16"/>
      <c r="E124" s="20"/>
      <c r="F124" s="19"/>
      <c r="G124" s="19"/>
      <c r="H124" s="19"/>
      <c r="I124" s="19"/>
      <c r="J124" s="19"/>
      <c r="K124" s="19"/>
      <c r="L124" s="18"/>
      <c r="M124" s="14"/>
      <c r="N124" s="18"/>
    </row>
    <row r="125" spans="1:14" ht="15" customHeight="1" x14ac:dyDescent="0.2">
      <c r="A125" s="46">
        <f t="shared" si="1"/>
        <v>123</v>
      </c>
      <c r="B125" s="19"/>
      <c r="C125" s="16"/>
      <c r="D125" s="16"/>
      <c r="E125" s="20"/>
      <c r="F125" s="19"/>
      <c r="G125" s="19"/>
      <c r="H125" s="19"/>
      <c r="I125" s="19"/>
      <c r="J125" s="19"/>
      <c r="K125" s="19"/>
      <c r="L125" s="18"/>
      <c r="M125" s="14"/>
      <c r="N125" s="18"/>
    </row>
    <row r="126" spans="1:14" ht="15" customHeight="1" x14ac:dyDescent="0.2">
      <c r="A126" s="46">
        <f t="shared" si="1"/>
        <v>124</v>
      </c>
      <c r="B126" s="19"/>
      <c r="C126" s="16"/>
      <c r="D126" s="16"/>
      <c r="E126" s="20"/>
      <c r="F126" s="19"/>
      <c r="G126" s="19"/>
      <c r="H126" s="19"/>
      <c r="I126" s="19"/>
      <c r="J126" s="19"/>
      <c r="K126" s="19"/>
      <c r="L126" s="18"/>
      <c r="M126" s="14"/>
      <c r="N126" s="18"/>
    </row>
    <row r="127" spans="1:14" ht="15" customHeight="1" x14ac:dyDescent="0.2">
      <c r="A127" s="46">
        <f t="shared" si="1"/>
        <v>125</v>
      </c>
      <c r="B127" s="19"/>
      <c r="C127" s="16"/>
      <c r="D127" s="16"/>
      <c r="E127" s="20"/>
      <c r="F127" s="19"/>
      <c r="G127" s="19"/>
      <c r="H127" s="19"/>
      <c r="I127" s="19"/>
      <c r="J127" s="19"/>
      <c r="K127" s="19"/>
      <c r="L127" s="18"/>
      <c r="M127" s="14"/>
      <c r="N127" s="18"/>
    </row>
    <row r="128" spans="1:14" ht="15" customHeight="1" x14ac:dyDescent="0.2">
      <c r="A128" s="46">
        <f t="shared" si="1"/>
        <v>126</v>
      </c>
      <c r="B128" s="19"/>
      <c r="C128" s="16"/>
      <c r="D128" s="16"/>
      <c r="E128" s="20"/>
      <c r="F128" s="19"/>
      <c r="G128" s="19"/>
      <c r="H128" s="19"/>
      <c r="I128" s="19"/>
      <c r="J128" s="19"/>
      <c r="K128" s="19"/>
      <c r="L128" s="18"/>
      <c r="M128" s="14"/>
      <c r="N128" s="18"/>
    </row>
    <row r="129" spans="1:14" ht="15" customHeight="1" x14ac:dyDescent="0.2">
      <c r="A129" s="46">
        <f t="shared" si="1"/>
        <v>127</v>
      </c>
      <c r="B129" s="19"/>
      <c r="C129" s="16"/>
      <c r="D129" s="16"/>
      <c r="E129" s="20"/>
      <c r="F129" s="19"/>
      <c r="G129" s="19"/>
      <c r="H129" s="19"/>
      <c r="I129" s="19"/>
      <c r="J129" s="19"/>
      <c r="K129" s="19"/>
      <c r="L129" s="18"/>
      <c r="M129" s="14"/>
      <c r="N129" s="18"/>
    </row>
    <row r="130" spans="1:14" ht="15" customHeight="1" x14ac:dyDescent="0.2">
      <c r="A130" s="46">
        <f t="shared" si="1"/>
        <v>128</v>
      </c>
      <c r="B130" s="19"/>
      <c r="C130" s="16"/>
      <c r="D130" s="16"/>
      <c r="E130" s="20"/>
      <c r="F130" s="19"/>
      <c r="G130" s="19"/>
      <c r="H130" s="19"/>
      <c r="I130" s="19"/>
      <c r="J130" s="19"/>
      <c r="K130" s="19"/>
      <c r="L130" s="18"/>
      <c r="M130" s="14"/>
      <c r="N130" s="18"/>
    </row>
    <row r="131" spans="1:14" ht="15" customHeight="1" x14ac:dyDescent="0.2">
      <c r="A131" s="46">
        <f t="shared" si="1"/>
        <v>129</v>
      </c>
      <c r="B131" s="19"/>
      <c r="C131" s="16"/>
      <c r="D131" s="16"/>
      <c r="E131" s="20"/>
      <c r="F131" s="19"/>
      <c r="G131" s="19"/>
      <c r="H131" s="19"/>
      <c r="I131" s="19"/>
      <c r="J131" s="19"/>
      <c r="K131" s="19"/>
      <c r="L131" s="18"/>
      <c r="M131" s="14"/>
      <c r="N131" s="18"/>
    </row>
    <row r="132" spans="1:14" ht="15" customHeight="1" x14ac:dyDescent="0.2">
      <c r="A132" s="46">
        <f t="shared" si="1"/>
        <v>130</v>
      </c>
      <c r="B132" s="19"/>
      <c r="C132" s="16"/>
      <c r="D132" s="16"/>
      <c r="E132" s="20"/>
      <c r="F132" s="19"/>
      <c r="G132" s="19"/>
      <c r="H132" s="19"/>
      <c r="I132" s="19"/>
      <c r="J132" s="19"/>
      <c r="K132" s="19"/>
      <c r="L132" s="18"/>
      <c r="M132" s="14"/>
      <c r="N132" s="18"/>
    </row>
    <row r="133" spans="1:14" ht="15" customHeight="1" x14ac:dyDescent="0.2">
      <c r="A133" s="46">
        <f t="shared" ref="A133:A196" si="2">A132+1</f>
        <v>131</v>
      </c>
      <c r="B133" s="19"/>
      <c r="C133" s="16"/>
      <c r="D133" s="16"/>
      <c r="E133" s="20"/>
      <c r="F133" s="19"/>
      <c r="G133" s="19"/>
      <c r="H133" s="19"/>
      <c r="I133" s="19"/>
      <c r="J133" s="19"/>
      <c r="K133" s="19"/>
      <c r="L133" s="18"/>
      <c r="M133" s="14"/>
      <c r="N133" s="18"/>
    </row>
    <row r="134" spans="1:14" ht="15" customHeight="1" x14ac:dyDescent="0.2">
      <c r="A134" s="46">
        <f t="shared" si="2"/>
        <v>132</v>
      </c>
      <c r="B134" s="19"/>
      <c r="C134" s="16"/>
      <c r="D134" s="16"/>
      <c r="E134" s="20"/>
      <c r="F134" s="19"/>
      <c r="G134" s="19"/>
      <c r="H134" s="19"/>
      <c r="I134" s="19"/>
      <c r="J134" s="19"/>
      <c r="K134" s="19"/>
      <c r="L134" s="18"/>
      <c r="M134" s="14"/>
      <c r="N134" s="18"/>
    </row>
    <row r="135" spans="1:14" ht="15" customHeight="1" x14ac:dyDescent="0.2">
      <c r="A135" s="46">
        <f t="shared" si="2"/>
        <v>133</v>
      </c>
      <c r="B135" s="19"/>
      <c r="C135" s="16"/>
      <c r="D135" s="16"/>
      <c r="E135" s="20"/>
      <c r="F135" s="19"/>
      <c r="G135" s="19"/>
      <c r="H135" s="19"/>
      <c r="I135" s="19"/>
      <c r="J135" s="19"/>
      <c r="K135" s="19"/>
      <c r="L135" s="18"/>
      <c r="M135" s="14"/>
      <c r="N135" s="18"/>
    </row>
    <row r="136" spans="1:14" ht="15" customHeight="1" x14ac:dyDescent="0.2">
      <c r="A136" s="46">
        <f t="shared" si="2"/>
        <v>134</v>
      </c>
      <c r="B136" s="19"/>
      <c r="C136" s="16"/>
      <c r="D136" s="16"/>
      <c r="E136" s="20"/>
      <c r="F136" s="19"/>
      <c r="G136" s="19"/>
      <c r="H136" s="19"/>
      <c r="I136" s="19"/>
      <c r="J136" s="19"/>
      <c r="K136" s="19"/>
      <c r="L136" s="18"/>
      <c r="M136" s="14"/>
      <c r="N136" s="18"/>
    </row>
    <row r="137" spans="1:14" ht="15" customHeight="1" x14ac:dyDescent="0.2">
      <c r="A137" s="46">
        <f t="shared" si="2"/>
        <v>135</v>
      </c>
      <c r="B137" s="19"/>
      <c r="C137" s="16"/>
      <c r="D137" s="16"/>
      <c r="E137" s="20"/>
      <c r="F137" s="19"/>
      <c r="G137" s="19"/>
      <c r="H137" s="19"/>
      <c r="I137" s="19"/>
      <c r="J137" s="19"/>
      <c r="K137" s="19"/>
      <c r="L137" s="18"/>
      <c r="M137" s="14"/>
      <c r="N137" s="18"/>
    </row>
    <row r="138" spans="1:14" ht="15" customHeight="1" x14ac:dyDescent="0.2">
      <c r="A138" s="46">
        <f t="shared" si="2"/>
        <v>136</v>
      </c>
      <c r="B138" s="19"/>
      <c r="C138" s="16"/>
      <c r="D138" s="16"/>
      <c r="E138" s="20"/>
      <c r="F138" s="19"/>
      <c r="G138" s="19"/>
      <c r="H138" s="19"/>
      <c r="I138" s="19"/>
      <c r="J138" s="19"/>
      <c r="K138" s="19"/>
      <c r="L138" s="18"/>
      <c r="M138" s="14"/>
      <c r="N138" s="18"/>
    </row>
    <row r="139" spans="1:14" ht="15" customHeight="1" x14ac:dyDescent="0.2">
      <c r="A139" s="46">
        <f t="shared" si="2"/>
        <v>137</v>
      </c>
      <c r="B139" s="19"/>
      <c r="C139" s="16"/>
      <c r="D139" s="16"/>
      <c r="E139" s="20"/>
      <c r="F139" s="19"/>
      <c r="G139" s="19"/>
      <c r="H139" s="19"/>
      <c r="I139" s="19"/>
      <c r="J139" s="19"/>
      <c r="K139" s="19"/>
      <c r="L139" s="18"/>
      <c r="M139" s="14"/>
      <c r="N139" s="18"/>
    </row>
    <row r="140" spans="1:14" ht="15" customHeight="1" x14ac:dyDescent="0.2">
      <c r="A140" s="46">
        <f t="shared" si="2"/>
        <v>138</v>
      </c>
      <c r="B140" s="19"/>
      <c r="C140" s="16"/>
      <c r="D140" s="16"/>
      <c r="E140" s="20"/>
      <c r="F140" s="19"/>
      <c r="G140" s="19"/>
      <c r="H140" s="19"/>
      <c r="I140" s="19"/>
      <c r="J140" s="19"/>
      <c r="K140" s="19"/>
      <c r="L140" s="18"/>
      <c r="M140" s="14"/>
      <c r="N140" s="18"/>
    </row>
    <row r="141" spans="1:14" ht="15" customHeight="1" x14ac:dyDescent="0.2">
      <c r="A141" s="46">
        <f t="shared" si="2"/>
        <v>139</v>
      </c>
      <c r="B141" s="19"/>
      <c r="C141" s="16"/>
      <c r="D141" s="16"/>
      <c r="E141" s="20"/>
      <c r="F141" s="19"/>
      <c r="G141" s="19"/>
      <c r="H141" s="19"/>
      <c r="I141" s="19"/>
      <c r="J141" s="19"/>
      <c r="K141" s="19"/>
      <c r="L141" s="18"/>
      <c r="M141" s="14"/>
      <c r="N141" s="18"/>
    </row>
    <row r="142" spans="1:14" ht="15" customHeight="1" x14ac:dyDescent="0.2">
      <c r="A142" s="46">
        <f t="shared" si="2"/>
        <v>140</v>
      </c>
      <c r="B142" s="19"/>
      <c r="C142" s="16"/>
      <c r="D142" s="16"/>
      <c r="E142" s="20"/>
      <c r="F142" s="19"/>
      <c r="G142" s="19"/>
      <c r="H142" s="19"/>
      <c r="I142" s="19"/>
      <c r="J142" s="19"/>
      <c r="K142" s="19"/>
      <c r="L142" s="18"/>
      <c r="M142" s="14"/>
      <c r="N142" s="18"/>
    </row>
    <row r="143" spans="1:14" ht="15" customHeight="1" x14ac:dyDescent="0.2">
      <c r="A143" s="46">
        <f t="shared" si="2"/>
        <v>141</v>
      </c>
      <c r="B143" s="19"/>
      <c r="C143" s="16"/>
      <c r="D143" s="16"/>
      <c r="E143" s="20"/>
      <c r="F143" s="19"/>
      <c r="G143" s="19"/>
      <c r="H143" s="19"/>
      <c r="I143" s="19"/>
      <c r="J143" s="19"/>
      <c r="K143" s="19"/>
      <c r="L143" s="18"/>
      <c r="M143" s="14"/>
      <c r="N143" s="18"/>
    </row>
    <row r="144" spans="1:14" ht="15" customHeight="1" x14ac:dyDescent="0.2">
      <c r="A144" s="46">
        <f t="shared" si="2"/>
        <v>142</v>
      </c>
      <c r="B144" s="19"/>
      <c r="C144" s="16"/>
      <c r="D144" s="16"/>
      <c r="E144" s="20"/>
      <c r="F144" s="19"/>
      <c r="G144" s="19"/>
      <c r="H144" s="19"/>
      <c r="I144" s="19"/>
      <c r="J144" s="19"/>
      <c r="K144" s="19"/>
      <c r="L144" s="18"/>
      <c r="M144" s="14"/>
      <c r="N144" s="18"/>
    </row>
    <row r="145" spans="1:14" ht="15" customHeight="1" x14ac:dyDescent="0.2">
      <c r="A145" s="46">
        <f t="shared" si="2"/>
        <v>143</v>
      </c>
      <c r="B145" s="19"/>
      <c r="C145" s="16"/>
      <c r="D145" s="16"/>
      <c r="E145" s="20"/>
      <c r="F145" s="19"/>
      <c r="G145" s="19"/>
      <c r="H145" s="19"/>
      <c r="I145" s="19"/>
      <c r="J145" s="19"/>
      <c r="K145" s="19"/>
      <c r="L145" s="18"/>
      <c r="M145" s="14"/>
      <c r="N145" s="18"/>
    </row>
    <row r="146" spans="1:14" ht="15" customHeight="1" x14ac:dyDescent="0.2">
      <c r="A146" s="46">
        <f t="shared" si="2"/>
        <v>144</v>
      </c>
      <c r="B146" s="19"/>
      <c r="C146" s="16"/>
      <c r="D146" s="16"/>
      <c r="E146" s="20"/>
      <c r="F146" s="19"/>
      <c r="G146" s="19"/>
      <c r="H146" s="19"/>
      <c r="I146" s="19"/>
      <c r="J146" s="19"/>
      <c r="K146" s="19"/>
      <c r="L146" s="18"/>
      <c r="M146" s="14"/>
      <c r="N146" s="18"/>
    </row>
    <row r="147" spans="1:14" ht="15" customHeight="1" x14ac:dyDescent="0.2">
      <c r="A147" s="46">
        <f t="shared" si="2"/>
        <v>145</v>
      </c>
      <c r="B147" s="19"/>
      <c r="C147" s="16"/>
      <c r="D147" s="16"/>
      <c r="E147" s="20"/>
      <c r="F147" s="19"/>
      <c r="G147" s="19"/>
      <c r="H147" s="19"/>
      <c r="I147" s="19"/>
      <c r="J147" s="19"/>
      <c r="K147" s="19"/>
      <c r="L147" s="18"/>
      <c r="M147" s="14"/>
      <c r="N147" s="18"/>
    </row>
    <row r="148" spans="1:14" ht="15" customHeight="1" x14ac:dyDescent="0.2">
      <c r="A148" s="46">
        <f t="shared" si="2"/>
        <v>146</v>
      </c>
      <c r="B148" s="19"/>
      <c r="C148" s="16"/>
      <c r="D148" s="16"/>
      <c r="E148" s="20"/>
      <c r="F148" s="19"/>
      <c r="G148" s="19"/>
      <c r="H148" s="19"/>
      <c r="I148" s="19"/>
      <c r="J148" s="19"/>
      <c r="K148" s="19"/>
      <c r="L148" s="18"/>
      <c r="M148" s="14"/>
      <c r="N148" s="18"/>
    </row>
    <row r="149" spans="1:14" ht="15" customHeight="1" x14ac:dyDescent="0.2">
      <c r="A149" s="46">
        <f t="shared" si="2"/>
        <v>147</v>
      </c>
      <c r="B149" s="19"/>
      <c r="C149" s="16"/>
      <c r="D149" s="16"/>
      <c r="E149" s="20"/>
      <c r="F149" s="19"/>
      <c r="G149" s="19"/>
      <c r="H149" s="19"/>
      <c r="I149" s="19"/>
      <c r="J149" s="19"/>
      <c r="K149" s="19"/>
      <c r="L149" s="18"/>
      <c r="M149" s="14"/>
      <c r="N149" s="18"/>
    </row>
    <row r="150" spans="1:14" ht="15" customHeight="1" x14ac:dyDescent="0.2">
      <c r="A150" s="46">
        <f t="shared" si="2"/>
        <v>148</v>
      </c>
      <c r="B150" s="19"/>
      <c r="C150" s="16"/>
      <c r="D150" s="16"/>
      <c r="E150" s="20"/>
      <c r="F150" s="19"/>
      <c r="G150" s="19"/>
      <c r="H150" s="19"/>
      <c r="I150" s="19"/>
      <c r="J150" s="19"/>
      <c r="K150" s="19"/>
      <c r="L150" s="18"/>
      <c r="M150" s="14"/>
      <c r="N150" s="18"/>
    </row>
    <row r="151" spans="1:14" ht="15" customHeight="1" x14ac:dyDescent="0.2">
      <c r="A151" s="46">
        <f t="shared" si="2"/>
        <v>149</v>
      </c>
      <c r="B151" s="19"/>
      <c r="C151" s="16"/>
      <c r="D151" s="16"/>
      <c r="E151" s="20"/>
      <c r="F151" s="19"/>
      <c r="G151" s="19"/>
      <c r="H151" s="19"/>
      <c r="I151" s="19"/>
      <c r="J151" s="19"/>
      <c r="K151" s="19"/>
      <c r="L151" s="18"/>
      <c r="M151" s="14"/>
      <c r="N151" s="18"/>
    </row>
    <row r="152" spans="1:14" ht="15" customHeight="1" x14ac:dyDescent="0.2">
      <c r="A152" s="46">
        <f t="shared" si="2"/>
        <v>150</v>
      </c>
      <c r="B152" s="19"/>
      <c r="C152" s="16"/>
      <c r="D152" s="16"/>
      <c r="E152" s="20"/>
      <c r="F152" s="19"/>
      <c r="G152" s="19"/>
      <c r="H152" s="19"/>
      <c r="I152" s="19"/>
      <c r="J152" s="19"/>
      <c r="K152" s="19"/>
      <c r="L152" s="18"/>
      <c r="M152" s="14"/>
      <c r="N152" s="18"/>
    </row>
    <row r="153" spans="1:14" ht="15" customHeight="1" x14ac:dyDescent="0.2">
      <c r="A153" s="46">
        <f t="shared" si="2"/>
        <v>151</v>
      </c>
      <c r="B153" s="19"/>
      <c r="C153" s="16"/>
      <c r="D153" s="16"/>
      <c r="E153" s="20"/>
      <c r="F153" s="19"/>
      <c r="G153" s="19"/>
      <c r="H153" s="19"/>
      <c r="I153" s="19"/>
      <c r="J153" s="19"/>
      <c r="K153" s="19"/>
      <c r="L153" s="18"/>
      <c r="M153" s="14"/>
      <c r="N153" s="18"/>
    </row>
    <row r="154" spans="1:14" ht="15" customHeight="1" x14ac:dyDescent="0.2">
      <c r="A154" s="46">
        <f t="shared" si="2"/>
        <v>152</v>
      </c>
      <c r="B154" s="19"/>
      <c r="C154" s="16"/>
      <c r="D154" s="16"/>
      <c r="E154" s="20"/>
      <c r="F154" s="19"/>
      <c r="G154" s="19"/>
      <c r="H154" s="19"/>
      <c r="I154" s="19"/>
      <c r="J154" s="19"/>
      <c r="K154" s="19"/>
      <c r="L154" s="18"/>
      <c r="M154" s="14"/>
      <c r="N154" s="18"/>
    </row>
    <row r="155" spans="1:14" ht="15" customHeight="1" x14ac:dyDescent="0.2">
      <c r="A155" s="46">
        <f t="shared" si="2"/>
        <v>153</v>
      </c>
      <c r="B155" s="19"/>
      <c r="C155" s="16"/>
      <c r="D155" s="16"/>
      <c r="E155" s="20"/>
      <c r="F155" s="19"/>
      <c r="G155" s="19"/>
      <c r="H155" s="19"/>
      <c r="I155" s="19"/>
      <c r="J155" s="19"/>
      <c r="K155" s="19"/>
      <c r="L155" s="18"/>
      <c r="M155" s="14"/>
      <c r="N155" s="18"/>
    </row>
    <row r="156" spans="1:14" ht="15" customHeight="1" x14ac:dyDescent="0.2">
      <c r="A156" s="46">
        <f t="shared" si="2"/>
        <v>154</v>
      </c>
      <c r="B156" s="19"/>
      <c r="C156" s="16"/>
      <c r="D156" s="16"/>
      <c r="E156" s="20"/>
      <c r="F156" s="19"/>
      <c r="G156" s="19"/>
      <c r="H156" s="19"/>
      <c r="I156" s="19"/>
      <c r="J156" s="19"/>
      <c r="K156" s="19"/>
      <c r="L156" s="18"/>
      <c r="M156" s="14"/>
      <c r="N156" s="18"/>
    </row>
    <row r="157" spans="1:14" ht="15" customHeight="1" x14ac:dyDescent="0.2">
      <c r="A157" s="46">
        <f t="shared" si="2"/>
        <v>155</v>
      </c>
      <c r="B157" s="19"/>
      <c r="C157" s="16"/>
      <c r="D157" s="16"/>
      <c r="E157" s="20"/>
      <c r="F157" s="19"/>
      <c r="G157" s="19"/>
      <c r="H157" s="19"/>
      <c r="I157" s="19"/>
      <c r="J157" s="19"/>
      <c r="K157" s="19"/>
      <c r="L157" s="18"/>
      <c r="M157" s="14"/>
      <c r="N157" s="18"/>
    </row>
    <row r="158" spans="1:14" ht="15" customHeight="1" x14ac:dyDescent="0.2">
      <c r="A158" s="46">
        <f t="shared" si="2"/>
        <v>156</v>
      </c>
      <c r="B158" s="19"/>
      <c r="C158" s="16"/>
      <c r="D158" s="16"/>
      <c r="E158" s="20"/>
      <c r="F158" s="19"/>
      <c r="G158" s="19"/>
      <c r="H158" s="19"/>
      <c r="I158" s="19"/>
      <c r="J158" s="19"/>
      <c r="K158" s="19"/>
      <c r="L158" s="18"/>
      <c r="M158" s="14"/>
      <c r="N158" s="18"/>
    </row>
    <row r="159" spans="1:14" ht="15" customHeight="1" x14ac:dyDescent="0.2">
      <c r="A159" s="46">
        <f t="shared" si="2"/>
        <v>157</v>
      </c>
      <c r="B159" s="19"/>
      <c r="C159" s="16"/>
      <c r="D159" s="16"/>
      <c r="E159" s="20"/>
      <c r="F159" s="19"/>
      <c r="G159" s="19"/>
      <c r="H159" s="19"/>
      <c r="I159" s="19"/>
      <c r="J159" s="19"/>
      <c r="K159" s="19"/>
      <c r="L159" s="18"/>
      <c r="M159" s="14"/>
      <c r="N159" s="18"/>
    </row>
    <row r="160" spans="1:14" ht="15" customHeight="1" x14ac:dyDescent="0.2">
      <c r="A160" s="46">
        <f t="shared" si="2"/>
        <v>158</v>
      </c>
      <c r="B160" s="19"/>
      <c r="C160" s="16"/>
      <c r="D160" s="16"/>
      <c r="E160" s="20"/>
      <c r="F160" s="19"/>
      <c r="G160" s="19"/>
      <c r="H160" s="19"/>
      <c r="I160" s="19"/>
      <c r="J160" s="19"/>
      <c r="K160" s="19"/>
      <c r="L160" s="18"/>
      <c r="M160" s="14"/>
      <c r="N160" s="18"/>
    </row>
    <row r="161" spans="1:14" ht="15" customHeight="1" x14ac:dyDescent="0.2">
      <c r="A161" s="46">
        <f t="shared" si="2"/>
        <v>159</v>
      </c>
      <c r="B161" s="19"/>
      <c r="C161" s="16"/>
      <c r="D161" s="16"/>
      <c r="E161" s="20"/>
      <c r="F161" s="19"/>
      <c r="G161" s="19"/>
      <c r="H161" s="19"/>
      <c r="I161" s="19"/>
      <c r="J161" s="19"/>
      <c r="K161" s="19"/>
      <c r="L161" s="18"/>
      <c r="M161" s="14"/>
      <c r="N161" s="18"/>
    </row>
    <row r="162" spans="1:14" ht="15" customHeight="1" x14ac:dyDescent="0.2">
      <c r="A162" s="46">
        <f t="shared" si="2"/>
        <v>160</v>
      </c>
      <c r="B162" s="19"/>
      <c r="C162" s="16"/>
      <c r="D162" s="16"/>
      <c r="E162" s="20"/>
      <c r="F162" s="19"/>
      <c r="G162" s="19"/>
      <c r="H162" s="19"/>
      <c r="I162" s="19"/>
      <c r="J162" s="19"/>
      <c r="K162" s="19"/>
      <c r="L162" s="18"/>
      <c r="M162" s="14"/>
      <c r="N162" s="18"/>
    </row>
    <row r="163" spans="1:14" ht="15" customHeight="1" x14ac:dyDescent="0.2">
      <c r="A163" s="46">
        <f t="shared" si="2"/>
        <v>161</v>
      </c>
      <c r="B163" s="19"/>
      <c r="C163" s="16"/>
      <c r="D163" s="16"/>
      <c r="E163" s="20"/>
      <c r="F163" s="19"/>
      <c r="G163" s="19"/>
      <c r="H163" s="19"/>
      <c r="I163" s="19"/>
      <c r="J163" s="19"/>
      <c r="K163" s="19"/>
      <c r="L163" s="18"/>
      <c r="M163" s="14"/>
      <c r="N163" s="18"/>
    </row>
    <row r="164" spans="1:14" ht="15" customHeight="1" x14ac:dyDescent="0.2">
      <c r="A164" s="46">
        <f t="shared" si="2"/>
        <v>162</v>
      </c>
      <c r="B164" s="19"/>
      <c r="C164" s="16"/>
      <c r="D164" s="16"/>
      <c r="E164" s="20"/>
      <c r="F164" s="19"/>
      <c r="G164" s="19"/>
      <c r="H164" s="19"/>
      <c r="I164" s="19"/>
      <c r="J164" s="19"/>
      <c r="K164" s="19"/>
      <c r="L164" s="18"/>
      <c r="M164" s="14"/>
      <c r="N164" s="18"/>
    </row>
    <row r="165" spans="1:14" ht="15" customHeight="1" x14ac:dyDescent="0.2">
      <c r="A165" s="46">
        <f t="shared" si="2"/>
        <v>163</v>
      </c>
      <c r="B165" s="19"/>
      <c r="C165" s="16"/>
      <c r="D165" s="16"/>
      <c r="E165" s="20"/>
      <c r="F165" s="19"/>
      <c r="G165" s="19"/>
      <c r="H165" s="19"/>
      <c r="I165" s="19"/>
      <c r="J165" s="19"/>
      <c r="K165" s="19"/>
      <c r="L165" s="18"/>
      <c r="M165" s="14"/>
      <c r="N165" s="18"/>
    </row>
    <row r="166" spans="1:14" ht="15" customHeight="1" x14ac:dyDescent="0.2">
      <c r="A166" s="46">
        <f t="shared" si="2"/>
        <v>164</v>
      </c>
      <c r="B166" s="19"/>
      <c r="C166" s="16"/>
      <c r="D166" s="16"/>
      <c r="E166" s="20"/>
      <c r="F166" s="19"/>
      <c r="G166" s="19"/>
      <c r="H166" s="19"/>
      <c r="I166" s="19"/>
      <c r="J166" s="19"/>
      <c r="K166" s="19"/>
      <c r="L166" s="18"/>
      <c r="M166" s="14"/>
      <c r="N166" s="18"/>
    </row>
    <row r="167" spans="1:14" ht="15" customHeight="1" x14ac:dyDescent="0.2">
      <c r="A167" s="46">
        <f t="shared" si="2"/>
        <v>165</v>
      </c>
      <c r="B167" s="19"/>
      <c r="C167" s="16"/>
      <c r="D167" s="16"/>
      <c r="E167" s="20"/>
      <c r="F167" s="19"/>
      <c r="G167" s="19"/>
      <c r="H167" s="19"/>
      <c r="I167" s="19"/>
      <c r="J167" s="19"/>
      <c r="K167" s="19"/>
      <c r="L167" s="18"/>
      <c r="M167" s="14"/>
      <c r="N167" s="18"/>
    </row>
    <row r="168" spans="1:14" ht="15" customHeight="1" x14ac:dyDescent="0.2">
      <c r="A168" s="46">
        <f t="shared" si="2"/>
        <v>166</v>
      </c>
      <c r="B168" s="19"/>
      <c r="C168" s="16"/>
      <c r="D168" s="16"/>
      <c r="E168" s="20"/>
      <c r="F168" s="19"/>
      <c r="G168" s="19"/>
      <c r="H168" s="19"/>
      <c r="I168" s="19"/>
      <c r="J168" s="19"/>
      <c r="K168" s="19"/>
      <c r="L168" s="18"/>
      <c r="M168" s="14"/>
      <c r="N168" s="18"/>
    </row>
    <row r="169" spans="1:14" ht="15" customHeight="1" x14ac:dyDescent="0.2">
      <c r="A169" s="46">
        <f t="shared" si="2"/>
        <v>167</v>
      </c>
      <c r="B169" s="19"/>
      <c r="C169" s="16"/>
      <c r="D169" s="16"/>
      <c r="E169" s="20"/>
      <c r="F169" s="19"/>
      <c r="G169" s="19"/>
      <c r="H169" s="19"/>
      <c r="I169" s="19"/>
      <c r="J169" s="19"/>
      <c r="K169" s="19"/>
      <c r="L169" s="18"/>
      <c r="M169" s="14"/>
      <c r="N169" s="18"/>
    </row>
    <row r="170" spans="1:14" ht="15" customHeight="1" x14ac:dyDescent="0.2">
      <c r="A170" s="46">
        <f t="shared" si="2"/>
        <v>168</v>
      </c>
      <c r="B170" s="19"/>
      <c r="C170" s="16"/>
      <c r="D170" s="16"/>
      <c r="E170" s="20"/>
      <c r="F170" s="19"/>
      <c r="G170" s="19"/>
      <c r="H170" s="19"/>
      <c r="I170" s="19"/>
      <c r="J170" s="19"/>
      <c r="K170" s="19"/>
      <c r="L170" s="18"/>
      <c r="M170" s="14"/>
      <c r="N170" s="18"/>
    </row>
    <row r="171" spans="1:14" ht="15" customHeight="1" x14ac:dyDescent="0.2">
      <c r="A171" s="46">
        <f t="shared" si="2"/>
        <v>169</v>
      </c>
      <c r="B171" s="19"/>
      <c r="C171" s="16"/>
      <c r="D171" s="16"/>
      <c r="E171" s="20"/>
      <c r="F171" s="19"/>
      <c r="G171" s="19"/>
      <c r="H171" s="19"/>
      <c r="I171" s="19"/>
      <c r="J171" s="19"/>
      <c r="K171" s="19"/>
      <c r="L171" s="18"/>
      <c r="M171" s="14"/>
      <c r="N171" s="18"/>
    </row>
    <row r="172" spans="1:14" ht="15" customHeight="1" x14ac:dyDescent="0.2">
      <c r="A172" s="46">
        <f t="shared" si="2"/>
        <v>170</v>
      </c>
      <c r="B172" s="19"/>
      <c r="C172" s="16"/>
      <c r="D172" s="16"/>
      <c r="E172" s="20"/>
      <c r="F172" s="19"/>
      <c r="G172" s="19"/>
      <c r="H172" s="19"/>
      <c r="I172" s="19"/>
      <c r="J172" s="19"/>
      <c r="K172" s="19"/>
      <c r="L172" s="18"/>
      <c r="M172" s="14"/>
      <c r="N172" s="18"/>
    </row>
    <row r="173" spans="1:14" ht="15" customHeight="1" x14ac:dyDescent="0.2">
      <c r="A173" s="46">
        <f t="shared" si="2"/>
        <v>171</v>
      </c>
      <c r="B173" s="19"/>
      <c r="C173" s="16"/>
      <c r="D173" s="16"/>
      <c r="E173" s="20"/>
      <c r="F173" s="19"/>
      <c r="G173" s="19"/>
      <c r="H173" s="19"/>
      <c r="I173" s="19"/>
      <c r="J173" s="19"/>
      <c r="K173" s="19"/>
      <c r="L173" s="18"/>
      <c r="M173" s="14"/>
      <c r="N173" s="18"/>
    </row>
    <row r="174" spans="1:14" ht="15" customHeight="1" x14ac:dyDescent="0.2">
      <c r="A174" s="46">
        <f t="shared" si="2"/>
        <v>172</v>
      </c>
      <c r="B174" s="19"/>
      <c r="C174" s="16"/>
      <c r="D174" s="16"/>
      <c r="E174" s="20"/>
      <c r="F174" s="19"/>
      <c r="G174" s="19"/>
      <c r="H174" s="19"/>
      <c r="I174" s="19"/>
      <c r="J174" s="19"/>
      <c r="K174" s="19"/>
      <c r="L174" s="18"/>
      <c r="M174" s="14"/>
      <c r="N174" s="18"/>
    </row>
    <row r="175" spans="1:14" ht="15" customHeight="1" x14ac:dyDescent="0.2">
      <c r="A175" s="46">
        <f t="shared" si="2"/>
        <v>173</v>
      </c>
      <c r="B175" s="19"/>
      <c r="C175" s="16"/>
      <c r="D175" s="16"/>
      <c r="E175" s="20"/>
      <c r="F175" s="19"/>
      <c r="G175" s="19"/>
      <c r="H175" s="19"/>
      <c r="I175" s="19"/>
      <c r="J175" s="19"/>
      <c r="K175" s="19"/>
      <c r="L175" s="18"/>
      <c r="M175" s="14"/>
      <c r="N175" s="18"/>
    </row>
    <row r="176" spans="1:14" ht="15" customHeight="1" x14ac:dyDescent="0.2">
      <c r="A176" s="46">
        <f t="shared" si="2"/>
        <v>174</v>
      </c>
      <c r="B176" s="19"/>
      <c r="C176" s="16"/>
      <c r="D176" s="16"/>
      <c r="E176" s="20"/>
      <c r="F176" s="19"/>
      <c r="G176" s="19"/>
      <c r="H176" s="19"/>
      <c r="I176" s="19"/>
      <c r="J176" s="19"/>
      <c r="K176" s="19"/>
      <c r="L176" s="18"/>
      <c r="M176" s="14"/>
      <c r="N176" s="18"/>
    </row>
    <row r="177" spans="1:14" ht="15" customHeight="1" x14ac:dyDescent="0.2">
      <c r="A177" s="46">
        <f t="shared" si="2"/>
        <v>175</v>
      </c>
      <c r="B177" s="19"/>
      <c r="C177" s="16"/>
      <c r="D177" s="16"/>
      <c r="E177" s="20"/>
      <c r="F177" s="19"/>
      <c r="G177" s="19"/>
      <c r="H177" s="19"/>
      <c r="I177" s="19"/>
      <c r="J177" s="19"/>
      <c r="K177" s="19"/>
      <c r="L177" s="18"/>
      <c r="M177" s="14"/>
      <c r="N177" s="18"/>
    </row>
    <row r="178" spans="1:14" ht="15" customHeight="1" x14ac:dyDescent="0.2">
      <c r="A178" s="46">
        <f t="shared" si="2"/>
        <v>176</v>
      </c>
      <c r="B178" s="19"/>
      <c r="C178" s="16"/>
      <c r="D178" s="16"/>
      <c r="E178" s="20"/>
      <c r="F178" s="19"/>
      <c r="G178" s="19"/>
      <c r="H178" s="19"/>
      <c r="I178" s="19"/>
      <c r="J178" s="19"/>
      <c r="K178" s="19"/>
      <c r="L178" s="18"/>
      <c r="M178" s="14"/>
      <c r="N178" s="18"/>
    </row>
    <row r="179" spans="1:14" ht="15" customHeight="1" x14ac:dyDescent="0.2">
      <c r="A179" s="46">
        <f t="shared" si="2"/>
        <v>177</v>
      </c>
      <c r="B179" s="19"/>
      <c r="C179" s="16"/>
      <c r="D179" s="16"/>
      <c r="E179" s="20"/>
      <c r="F179" s="19"/>
      <c r="G179" s="19"/>
      <c r="H179" s="19"/>
      <c r="I179" s="19"/>
      <c r="J179" s="19"/>
      <c r="K179" s="19"/>
      <c r="L179" s="18"/>
      <c r="M179" s="14"/>
      <c r="N179" s="18"/>
    </row>
    <row r="180" spans="1:14" ht="15" customHeight="1" x14ac:dyDescent="0.2">
      <c r="A180" s="46">
        <f t="shared" si="2"/>
        <v>178</v>
      </c>
      <c r="B180" s="19"/>
      <c r="C180" s="16"/>
      <c r="D180" s="16"/>
      <c r="E180" s="20"/>
      <c r="F180" s="19"/>
      <c r="G180" s="19"/>
      <c r="H180" s="19"/>
      <c r="I180" s="19"/>
      <c r="J180" s="19"/>
      <c r="K180" s="19"/>
      <c r="L180" s="18"/>
      <c r="M180" s="14"/>
      <c r="N180" s="18"/>
    </row>
    <row r="181" spans="1:14" ht="15" customHeight="1" x14ac:dyDescent="0.2">
      <c r="A181" s="46">
        <f t="shared" si="2"/>
        <v>179</v>
      </c>
      <c r="B181" s="19"/>
      <c r="C181" s="16"/>
      <c r="D181" s="16"/>
      <c r="E181" s="20"/>
      <c r="F181" s="19"/>
      <c r="G181" s="19"/>
      <c r="H181" s="19"/>
      <c r="I181" s="19"/>
      <c r="J181" s="19"/>
      <c r="K181" s="19"/>
      <c r="L181" s="18"/>
      <c r="M181" s="14"/>
      <c r="N181" s="18"/>
    </row>
    <row r="182" spans="1:14" ht="15" customHeight="1" x14ac:dyDescent="0.2">
      <c r="A182" s="46">
        <f t="shared" si="2"/>
        <v>180</v>
      </c>
      <c r="B182" s="19"/>
      <c r="C182" s="16"/>
      <c r="D182" s="16"/>
      <c r="E182" s="20"/>
      <c r="F182" s="19"/>
      <c r="G182" s="19"/>
      <c r="H182" s="19"/>
      <c r="I182" s="19"/>
      <c r="J182" s="19"/>
      <c r="K182" s="19"/>
      <c r="L182" s="18"/>
      <c r="M182" s="14"/>
      <c r="N182" s="18"/>
    </row>
    <row r="183" spans="1:14" ht="15" customHeight="1" x14ac:dyDescent="0.2">
      <c r="A183" s="46">
        <f t="shared" si="2"/>
        <v>181</v>
      </c>
      <c r="B183" s="19"/>
      <c r="C183" s="16"/>
      <c r="D183" s="16"/>
      <c r="E183" s="20"/>
      <c r="F183" s="19"/>
      <c r="G183" s="19"/>
      <c r="H183" s="19"/>
      <c r="I183" s="19"/>
      <c r="J183" s="19"/>
      <c r="K183" s="19"/>
      <c r="L183" s="18"/>
      <c r="M183" s="14"/>
      <c r="N183" s="18"/>
    </row>
    <row r="184" spans="1:14" ht="15" customHeight="1" x14ac:dyDescent="0.2">
      <c r="A184" s="46">
        <f t="shared" si="2"/>
        <v>182</v>
      </c>
      <c r="B184" s="19"/>
      <c r="C184" s="16"/>
      <c r="D184" s="16"/>
      <c r="E184" s="20"/>
      <c r="F184" s="19"/>
      <c r="G184" s="19"/>
      <c r="H184" s="19"/>
      <c r="I184" s="19"/>
      <c r="J184" s="19"/>
      <c r="K184" s="19"/>
      <c r="L184" s="18"/>
      <c r="M184" s="14"/>
      <c r="N184" s="18"/>
    </row>
    <row r="185" spans="1:14" ht="15" customHeight="1" x14ac:dyDescent="0.2">
      <c r="A185" s="46">
        <f t="shared" si="2"/>
        <v>183</v>
      </c>
      <c r="B185" s="19"/>
      <c r="C185" s="16"/>
      <c r="D185" s="16"/>
      <c r="E185" s="20"/>
      <c r="F185" s="19"/>
      <c r="G185" s="19"/>
      <c r="H185" s="19"/>
      <c r="I185" s="19"/>
      <c r="J185" s="19"/>
      <c r="K185" s="19"/>
      <c r="L185" s="18"/>
      <c r="M185" s="14"/>
      <c r="N185" s="18"/>
    </row>
    <row r="186" spans="1:14" ht="15" customHeight="1" x14ac:dyDescent="0.2">
      <c r="A186" s="46">
        <f t="shared" si="2"/>
        <v>184</v>
      </c>
      <c r="B186" s="19"/>
      <c r="C186" s="16"/>
      <c r="D186" s="16"/>
      <c r="E186" s="20"/>
      <c r="F186" s="19"/>
      <c r="G186" s="19"/>
      <c r="H186" s="19"/>
      <c r="I186" s="19"/>
      <c r="J186" s="19"/>
      <c r="K186" s="19"/>
      <c r="L186" s="18"/>
      <c r="M186" s="14"/>
      <c r="N186" s="18"/>
    </row>
    <row r="187" spans="1:14" ht="15" customHeight="1" x14ac:dyDescent="0.2">
      <c r="A187" s="46">
        <f t="shared" si="2"/>
        <v>185</v>
      </c>
      <c r="B187" s="19"/>
      <c r="C187" s="16"/>
      <c r="D187" s="16"/>
      <c r="E187" s="20"/>
      <c r="F187" s="19"/>
      <c r="G187" s="19"/>
      <c r="H187" s="19"/>
      <c r="I187" s="19"/>
      <c r="J187" s="19"/>
      <c r="K187" s="19"/>
      <c r="L187" s="18"/>
      <c r="M187" s="14"/>
      <c r="N187" s="18"/>
    </row>
    <row r="188" spans="1:14" ht="15" customHeight="1" x14ac:dyDescent="0.2">
      <c r="A188" s="46">
        <f t="shared" si="2"/>
        <v>186</v>
      </c>
      <c r="B188" s="19"/>
      <c r="C188" s="16"/>
      <c r="D188" s="16"/>
      <c r="E188" s="20"/>
      <c r="F188" s="19"/>
      <c r="G188" s="19"/>
      <c r="H188" s="19"/>
      <c r="I188" s="19"/>
      <c r="J188" s="19"/>
      <c r="K188" s="19"/>
      <c r="L188" s="18"/>
      <c r="M188" s="14"/>
      <c r="N188" s="18"/>
    </row>
    <row r="189" spans="1:14" ht="15" customHeight="1" x14ac:dyDescent="0.2">
      <c r="A189" s="46">
        <f t="shared" si="2"/>
        <v>187</v>
      </c>
      <c r="B189" s="19"/>
      <c r="C189" s="16"/>
      <c r="D189" s="16"/>
      <c r="E189" s="20"/>
      <c r="F189" s="19"/>
      <c r="G189" s="19"/>
      <c r="H189" s="19"/>
      <c r="I189" s="19"/>
      <c r="J189" s="19"/>
      <c r="K189" s="19"/>
      <c r="L189" s="18"/>
      <c r="M189" s="14"/>
      <c r="N189" s="18"/>
    </row>
    <row r="190" spans="1:14" ht="15" customHeight="1" x14ac:dyDescent="0.2">
      <c r="A190" s="46">
        <f t="shared" si="2"/>
        <v>188</v>
      </c>
      <c r="B190" s="19"/>
      <c r="C190" s="16"/>
      <c r="D190" s="16"/>
      <c r="E190" s="20"/>
      <c r="F190" s="19"/>
      <c r="G190" s="19"/>
      <c r="H190" s="19"/>
      <c r="I190" s="19"/>
      <c r="J190" s="19"/>
      <c r="K190" s="19"/>
      <c r="L190" s="18"/>
      <c r="M190" s="14"/>
      <c r="N190" s="18"/>
    </row>
    <row r="191" spans="1:14" ht="15" customHeight="1" x14ac:dyDescent="0.2">
      <c r="A191" s="46">
        <f t="shared" si="2"/>
        <v>189</v>
      </c>
      <c r="B191" s="19"/>
      <c r="C191" s="16"/>
      <c r="D191" s="16"/>
      <c r="E191" s="20"/>
      <c r="F191" s="19"/>
      <c r="G191" s="19"/>
      <c r="H191" s="19"/>
      <c r="I191" s="19"/>
      <c r="J191" s="19"/>
      <c r="K191" s="19"/>
      <c r="L191" s="18"/>
      <c r="M191" s="14"/>
      <c r="N191" s="18"/>
    </row>
    <row r="192" spans="1:14" ht="15" customHeight="1" x14ac:dyDescent="0.2">
      <c r="A192" s="46">
        <f t="shared" si="2"/>
        <v>190</v>
      </c>
      <c r="B192" s="19"/>
      <c r="C192" s="16"/>
      <c r="D192" s="16"/>
      <c r="E192" s="20"/>
      <c r="F192" s="19"/>
      <c r="G192" s="19"/>
      <c r="H192" s="19"/>
      <c r="I192" s="19"/>
      <c r="J192" s="19"/>
      <c r="K192" s="19"/>
      <c r="L192" s="18"/>
      <c r="M192" s="14"/>
      <c r="N192" s="18"/>
    </row>
    <row r="193" spans="1:14" ht="15" customHeight="1" x14ac:dyDescent="0.2">
      <c r="A193" s="46">
        <f t="shared" si="2"/>
        <v>191</v>
      </c>
      <c r="B193" s="19"/>
      <c r="C193" s="16"/>
      <c r="D193" s="16"/>
      <c r="E193" s="20"/>
      <c r="F193" s="19"/>
      <c r="G193" s="19"/>
      <c r="H193" s="19"/>
      <c r="I193" s="19"/>
      <c r="J193" s="19"/>
      <c r="K193" s="19"/>
      <c r="L193" s="18"/>
      <c r="M193" s="14"/>
      <c r="N193" s="18"/>
    </row>
    <row r="194" spans="1:14" ht="15" customHeight="1" x14ac:dyDescent="0.2">
      <c r="A194" s="46">
        <f t="shared" si="2"/>
        <v>192</v>
      </c>
      <c r="B194" s="19"/>
      <c r="C194" s="16"/>
      <c r="D194" s="16"/>
      <c r="E194" s="20"/>
      <c r="F194" s="19"/>
      <c r="G194" s="19"/>
      <c r="H194" s="19"/>
      <c r="I194" s="19"/>
      <c r="J194" s="19"/>
      <c r="K194" s="19"/>
      <c r="L194" s="18"/>
      <c r="M194" s="14"/>
      <c r="N194" s="18"/>
    </row>
    <row r="195" spans="1:14" ht="15" customHeight="1" x14ac:dyDescent="0.2">
      <c r="A195" s="46">
        <f t="shared" si="2"/>
        <v>193</v>
      </c>
      <c r="B195" s="19"/>
      <c r="C195" s="16"/>
      <c r="D195" s="16"/>
      <c r="E195" s="20"/>
      <c r="F195" s="19"/>
      <c r="G195" s="19"/>
      <c r="H195" s="19"/>
      <c r="I195" s="19"/>
      <c r="J195" s="19"/>
      <c r="K195" s="19"/>
      <c r="L195" s="18"/>
      <c r="M195" s="14"/>
      <c r="N195" s="18"/>
    </row>
    <row r="196" spans="1:14" ht="15" customHeight="1" x14ac:dyDescent="0.2">
      <c r="A196" s="46">
        <f t="shared" si="2"/>
        <v>194</v>
      </c>
      <c r="B196" s="19"/>
      <c r="C196" s="16"/>
      <c r="D196" s="16"/>
      <c r="E196" s="20"/>
      <c r="F196" s="19"/>
      <c r="G196" s="19"/>
      <c r="H196" s="19"/>
      <c r="I196" s="19"/>
      <c r="J196" s="19"/>
      <c r="K196" s="19"/>
      <c r="L196" s="18"/>
      <c r="M196" s="14"/>
      <c r="N196" s="18"/>
    </row>
    <row r="197" spans="1:14" ht="15" customHeight="1" x14ac:dyDescent="0.2">
      <c r="A197" s="46">
        <f t="shared" ref="A197:A260" si="3">A196+1</f>
        <v>195</v>
      </c>
      <c r="B197" s="19"/>
      <c r="C197" s="16"/>
      <c r="D197" s="16"/>
      <c r="E197" s="20"/>
      <c r="F197" s="19"/>
      <c r="G197" s="19"/>
      <c r="H197" s="19"/>
      <c r="I197" s="19"/>
      <c r="J197" s="19"/>
      <c r="K197" s="19"/>
      <c r="L197" s="18"/>
      <c r="M197" s="14"/>
      <c r="N197" s="18"/>
    </row>
    <row r="198" spans="1:14" ht="15" customHeight="1" x14ac:dyDescent="0.2">
      <c r="A198" s="46">
        <f t="shared" si="3"/>
        <v>196</v>
      </c>
      <c r="B198" s="19"/>
      <c r="C198" s="16"/>
      <c r="D198" s="16"/>
      <c r="E198" s="20"/>
      <c r="F198" s="19"/>
      <c r="G198" s="19"/>
      <c r="H198" s="19"/>
      <c r="I198" s="19"/>
      <c r="J198" s="19"/>
      <c r="K198" s="19"/>
      <c r="L198" s="18"/>
      <c r="M198" s="14"/>
      <c r="N198" s="18"/>
    </row>
    <row r="199" spans="1:14" ht="15" customHeight="1" x14ac:dyDescent="0.2">
      <c r="A199" s="46">
        <f t="shared" si="3"/>
        <v>197</v>
      </c>
      <c r="B199" s="19"/>
      <c r="C199" s="16"/>
      <c r="D199" s="16"/>
      <c r="E199" s="20"/>
      <c r="F199" s="19"/>
      <c r="G199" s="19"/>
      <c r="H199" s="19"/>
      <c r="I199" s="19"/>
      <c r="J199" s="19"/>
      <c r="K199" s="19"/>
      <c r="L199" s="18"/>
      <c r="M199" s="14"/>
      <c r="N199" s="18"/>
    </row>
    <row r="200" spans="1:14" ht="15" customHeight="1" x14ac:dyDescent="0.2">
      <c r="A200" s="46">
        <f t="shared" si="3"/>
        <v>198</v>
      </c>
      <c r="B200" s="19"/>
      <c r="C200" s="16"/>
      <c r="D200" s="16"/>
      <c r="E200" s="20"/>
      <c r="F200" s="19"/>
      <c r="G200" s="19"/>
      <c r="H200" s="19"/>
      <c r="I200" s="19"/>
      <c r="J200" s="19"/>
      <c r="K200" s="19"/>
      <c r="L200" s="18"/>
      <c r="M200" s="14"/>
      <c r="N200" s="18"/>
    </row>
    <row r="201" spans="1:14" ht="15" customHeight="1" x14ac:dyDescent="0.2">
      <c r="A201" s="46">
        <f t="shared" si="3"/>
        <v>199</v>
      </c>
      <c r="B201" s="19"/>
      <c r="C201" s="16"/>
      <c r="D201" s="16"/>
      <c r="E201" s="20"/>
      <c r="F201" s="19"/>
      <c r="G201" s="19"/>
      <c r="H201" s="19"/>
      <c r="I201" s="19"/>
      <c r="J201" s="19"/>
      <c r="K201" s="19"/>
      <c r="L201" s="18"/>
      <c r="M201" s="14"/>
      <c r="N201" s="18"/>
    </row>
    <row r="202" spans="1:14" ht="15" customHeight="1" x14ac:dyDescent="0.2">
      <c r="A202" s="46">
        <f t="shared" si="3"/>
        <v>200</v>
      </c>
      <c r="B202" s="19"/>
      <c r="C202" s="16"/>
      <c r="D202" s="16"/>
      <c r="E202" s="20"/>
      <c r="F202" s="19"/>
      <c r="G202" s="19"/>
      <c r="H202" s="19"/>
      <c r="I202" s="19"/>
      <c r="J202" s="19"/>
      <c r="K202" s="19"/>
      <c r="L202" s="18"/>
      <c r="M202" s="14"/>
      <c r="N202" s="18"/>
    </row>
    <row r="203" spans="1:14" ht="15" customHeight="1" x14ac:dyDescent="0.2">
      <c r="A203" s="46">
        <f t="shared" si="3"/>
        <v>201</v>
      </c>
      <c r="B203" s="19"/>
      <c r="C203" s="16"/>
      <c r="D203" s="16"/>
      <c r="E203" s="20"/>
      <c r="F203" s="19"/>
      <c r="G203" s="19"/>
      <c r="H203" s="19"/>
      <c r="I203" s="19"/>
      <c r="J203" s="19"/>
      <c r="K203" s="19"/>
      <c r="L203" s="18"/>
      <c r="M203" s="14"/>
      <c r="N203" s="18"/>
    </row>
    <row r="204" spans="1:14" ht="15" customHeight="1" x14ac:dyDescent="0.2">
      <c r="A204" s="46">
        <f t="shared" si="3"/>
        <v>202</v>
      </c>
      <c r="B204" s="19"/>
      <c r="C204" s="16"/>
      <c r="D204" s="16"/>
      <c r="E204" s="20"/>
      <c r="F204" s="19"/>
      <c r="G204" s="19"/>
      <c r="H204" s="19"/>
      <c r="I204" s="19"/>
      <c r="J204" s="19"/>
      <c r="K204" s="19"/>
      <c r="L204" s="18"/>
      <c r="M204" s="14"/>
      <c r="N204" s="18"/>
    </row>
    <row r="205" spans="1:14" ht="15" customHeight="1" x14ac:dyDescent="0.2">
      <c r="A205" s="46">
        <f t="shared" si="3"/>
        <v>203</v>
      </c>
      <c r="B205" s="19"/>
      <c r="C205" s="16"/>
      <c r="D205" s="16"/>
      <c r="E205" s="20"/>
      <c r="F205" s="19"/>
      <c r="G205" s="19"/>
      <c r="H205" s="19"/>
      <c r="I205" s="19"/>
      <c r="J205" s="19"/>
      <c r="K205" s="19"/>
      <c r="L205" s="18"/>
      <c r="M205" s="14"/>
      <c r="N205" s="18"/>
    </row>
    <row r="206" spans="1:14" ht="15" customHeight="1" x14ac:dyDescent="0.2">
      <c r="A206" s="46">
        <f t="shared" si="3"/>
        <v>204</v>
      </c>
      <c r="B206" s="19"/>
      <c r="C206" s="16"/>
      <c r="D206" s="16"/>
      <c r="E206" s="20"/>
      <c r="F206" s="19"/>
      <c r="G206" s="19"/>
      <c r="H206" s="19"/>
      <c r="I206" s="19"/>
      <c r="J206" s="19"/>
      <c r="K206" s="19"/>
      <c r="L206" s="18"/>
      <c r="M206" s="14"/>
      <c r="N206" s="18"/>
    </row>
    <row r="207" spans="1:14" ht="15" customHeight="1" x14ac:dyDescent="0.2">
      <c r="A207" s="46">
        <f t="shared" si="3"/>
        <v>205</v>
      </c>
      <c r="B207" s="19"/>
      <c r="C207" s="16"/>
      <c r="D207" s="16"/>
      <c r="E207" s="20"/>
      <c r="F207" s="19"/>
      <c r="G207" s="19"/>
      <c r="H207" s="19"/>
      <c r="I207" s="19"/>
      <c r="J207" s="19"/>
      <c r="K207" s="19"/>
      <c r="L207" s="18"/>
      <c r="M207" s="14"/>
      <c r="N207" s="18"/>
    </row>
    <row r="208" spans="1:14" ht="15" customHeight="1" x14ac:dyDescent="0.2">
      <c r="A208" s="46">
        <f t="shared" si="3"/>
        <v>206</v>
      </c>
      <c r="B208" s="19"/>
      <c r="C208" s="16"/>
      <c r="D208" s="16"/>
      <c r="E208" s="20"/>
      <c r="F208" s="19"/>
      <c r="G208" s="19"/>
      <c r="H208" s="19"/>
      <c r="I208" s="19"/>
      <c r="J208" s="19"/>
      <c r="K208" s="19"/>
      <c r="L208" s="18"/>
      <c r="M208" s="14"/>
      <c r="N208" s="18"/>
    </row>
    <row r="209" spans="1:14" ht="15" customHeight="1" x14ac:dyDescent="0.2">
      <c r="A209" s="46">
        <f t="shared" si="3"/>
        <v>207</v>
      </c>
      <c r="B209" s="19"/>
      <c r="C209" s="16"/>
      <c r="D209" s="16"/>
      <c r="E209" s="20"/>
      <c r="F209" s="19"/>
      <c r="G209" s="19"/>
      <c r="H209" s="19"/>
      <c r="I209" s="19"/>
      <c r="J209" s="19"/>
      <c r="K209" s="19"/>
      <c r="L209" s="18"/>
      <c r="M209" s="14"/>
      <c r="N209" s="18"/>
    </row>
    <row r="210" spans="1:14" ht="15" customHeight="1" x14ac:dyDescent="0.2">
      <c r="A210" s="46">
        <f t="shared" si="3"/>
        <v>208</v>
      </c>
      <c r="B210" s="19"/>
      <c r="C210" s="16"/>
      <c r="D210" s="16"/>
      <c r="E210" s="20"/>
      <c r="F210" s="19"/>
      <c r="G210" s="19"/>
      <c r="H210" s="19"/>
      <c r="I210" s="19"/>
      <c r="J210" s="19"/>
      <c r="K210" s="19"/>
      <c r="L210" s="18"/>
      <c r="M210" s="14"/>
      <c r="N210" s="18"/>
    </row>
    <row r="211" spans="1:14" ht="15" customHeight="1" x14ac:dyDescent="0.2">
      <c r="A211" s="46">
        <f t="shared" si="3"/>
        <v>209</v>
      </c>
      <c r="B211" s="19"/>
      <c r="C211" s="16"/>
      <c r="D211" s="16"/>
      <c r="E211" s="20"/>
      <c r="F211" s="19"/>
      <c r="G211" s="19"/>
      <c r="H211" s="19"/>
      <c r="I211" s="19"/>
      <c r="J211" s="19"/>
      <c r="K211" s="19"/>
      <c r="L211" s="18"/>
      <c r="M211" s="14"/>
      <c r="N211" s="18"/>
    </row>
    <row r="212" spans="1:14" ht="15" customHeight="1" x14ac:dyDescent="0.2">
      <c r="A212" s="46">
        <f t="shared" si="3"/>
        <v>210</v>
      </c>
      <c r="B212" s="19"/>
      <c r="C212" s="16"/>
      <c r="D212" s="16"/>
      <c r="E212" s="20"/>
      <c r="F212" s="19"/>
      <c r="G212" s="19"/>
      <c r="H212" s="19"/>
      <c r="I212" s="19"/>
      <c r="J212" s="19"/>
      <c r="K212" s="19"/>
      <c r="L212" s="18"/>
      <c r="M212" s="14"/>
      <c r="N212" s="18"/>
    </row>
    <row r="213" spans="1:14" ht="15" customHeight="1" x14ac:dyDescent="0.2">
      <c r="A213" s="46">
        <f t="shared" si="3"/>
        <v>211</v>
      </c>
      <c r="B213" s="19"/>
      <c r="C213" s="16"/>
      <c r="D213" s="16"/>
      <c r="E213" s="20"/>
      <c r="F213" s="19"/>
      <c r="G213" s="19"/>
      <c r="H213" s="19"/>
      <c r="I213" s="19"/>
      <c r="J213" s="19"/>
      <c r="K213" s="19"/>
      <c r="L213" s="18"/>
      <c r="M213" s="14"/>
      <c r="N213" s="18"/>
    </row>
    <row r="214" spans="1:14" ht="15" customHeight="1" x14ac:dyDescent="0.2">
      <c r="A214" s="46">
        <f t="shared" si="3"/>
        <v>212</v>
      </c>
      <c r="B214" s="19"/>
      <c r="C214" s="16"/>
      <c r="D214" s="16"/>
      <c r="E214" s="20"/>
      <c r="F214" s="19"/>
      <c r="G214" s="19"/>
      <c r="H214" s="19"/>
      <c r="I214" s="19"/>
      <c r="J214" s="19"/>
      <c r="K214" s="19"/>
      <c r="L214" s="18"/>
      <c r="M214" s="14"/>
      <c r="N214" s="18"/>
    </row>
    <row r="215" spans="1:14" ht="15" customHeight="1" x14ac:dyDescent="0.2">
      <c r="A215" s="46">
        <f t="shared" si="3"/>
        <v>213</v>
      </c>
      <c r="B215" s="19"/>
      <c r="C215" s="16"/>
      <c r="D215" s="16"/>
      <c r="E215" s="20"/>
      <c r="F215" s="19"/>
      <c r="G215" s="19"/>
      <c r="H215" s="19"/>
      <c r="I215" s="19"/>
      <c r="J215" s="19"/>
      <c r="K215" s="19"/>
      <c r="L215" s="18"/>
      <c r="M215" s="14"/>
      <c r="N215" s="18"/>
    </row>
    <row r="216" spans="1:14" ht="15" customHeight="1" x14ac:dyDescent="0.2">
      <c r="A216" s="46">
        <f t="shared" si="3"/>
        <v>214</v>
      </c>
      <c r="B216" s="19"/>
      <c r="C216" s="16"/>
      <c r="D216" s="16"/>
      <c r="E216" s="20"/>
      <c r="F216" s="19"/>
      <c r="G216" s="19"/>
      <c r="H216" s="19"/>
      <c r="I216" s="19"/>
      <c r="J216" s="19"/>
      <c r="K216" s="19"/>
      <c r="L216" s="18"/>
      <c r="M216" s="14"/>
      <c r="N216" s="18"/>
    </row>
    <row r="217" spans="1:14" ht="15" customHeight="1" x14ac:dyDescent="0.2">
      <c r="A217" s="46">
        <f t="shared" si="3"/>
        <v>215</v>
      </c>
      <c r="B217" s="19"/>
      <c r="C217" s="16"/>
      <c r="D217" s="16"/>
      <c r="E217" s="20"/>
      <c r="F217" s="19"/>
      <c r="G217" s="19"/>
      <c r="H217" s="19"/>
      <c r="I217" s="19"/>
      <c r="J217" s="19"/>
      <c r="K217" s="19"/>
      <c r="L217" s="18"/>
      <c r="M217" s="14"/>
      <c r="N217" s="18"/>
    </row>
    <row r="218" spans="1:14" ht="15" customHeight="1" x14ac:dyDescent="0.2">
      <c r="A218" s="46">
        <f t="shared" si="3"/>
        <v>216</v>
      </c>
      <c r="B218" s="19"/>
      <c r="C218" s="16"/>
      <c r="D218" s="16"/>
      <c r="E218" s="20"/>
      <c r="F218" s="19"/>
      <c r="G218" s="19"/>
      <c r="H218" s="19"/>
      <c r="I218" s="19"/>
      <c r="J218" s="19"/>
      <c r="K218" s="19"/>
      <c r="L218" s="18"/>
      <c r="M218" s="14"/>
      <c r="N218" s="18"/>
    </row>
    <row r="219" spans="1:14" ht="15" customHeight="1" x14ac:dyDescent="0.2">
      <c r="A219" s="46">
        <f t="shared" si="3"/>
        <v>217</v>
      </c>
      <c r="B219" s="19"/>
      <c r="C219" s="16"/>
      <c r="D219" s="16"/>
      <c r="E219" s="20"/>
      <c r="F219" s="19"/>
      <c r="G219" s="19"/>
      <c r="H219" s="19"/>
      <c r="I219" s="19"/>
      <c r="J219" s="19"/>
      <c r="K219" s="19"/>
      <c r="L219" s="18"/>
      <c r="M219" s="14"/>
      <c r="N219" s="18"/>
    </row>
    <row r="220" spans="1:14" ht="15" customHeight="1" x14ac:dyDescent="0.2">
      <c r="A220" s="46">
        <f t="shared" si="3"/>
        <v>218</v>
      </c>
      <c r="B220" s="19"/>
      <c r="C220" s="16"/>
      <c r="D220" s="16"/>
      <c r="E220" s="20"/>
      <c r="F220" s="19"/>
      <c r="G220" s="19"/>
      <c r="H220" s="19"/>
      <c r="I220" s="19"/>
      <c r="J220" s="19"/>
      <c r="K220" s="19"/>
      <c r="L220" s="18"/>
      <c r="M220" s="14"/>
      <c r="N220" s="18"/>
    </row>
    <row r="221" spans="1:14" ht="15" customHeight="1" x14ac:dyDescent="0.2">
      <c r="A221" s="46">
        <f t="shared" si="3"/>
        <v>219</v>
      </c>
      <c r="B221" s="19"/>
      <c r="C221" s="16"/>
      <c r="D221" s="16"/>
      <c r="E221" s="20"/>
      <c r="F221" s="19"/>
      <c r="G221" s="19"/>
      <c r="H221" s="19"/>
      <c r="I221" s="19"/>
      <c r="J221" s="19"/>
      <c r="K221" s="19"/>
      <c r="L221" s="18"/>
      <c r="M221" s="14"/>
      <c r="N221" s="18"/>
    </row>
    <row r="222" spans="1:14" ht="15" customHeight="1" x14ac:dyDescent="0.2">
      <c r="A222" s="46">
        <f t="shared" si="3"/>
        <v>220</v>
      </c>
      <c r="B222" s="19"/>
      <c r="C222" s="16"/>
      <c r="D222" s="16"/>
      <c r="E222" s="20"/>
      <c r="F222" s="19"/>
      <c r="G222" s="19"/>
      <c r="H222" s="19"/>
      <c r="I222" s="19"/>
      <c r="J222" s="19"/>
      <c r="K222" s="19"/>
      <c r="L222" s="18"/>
      <c r="M222" s="14"/>
      <c r="N222" s="18"/>
    </row>
    <row r="223" spans="1:14" ht="15" customHeight="1" x14ac:dyDescent="0.2">
      <c r="A223" s="46">
        <f t="shared" si="3"/>
        <v>221</v>
      </c>
      <c r="B223" s="19"/>
      <c r="C223" s="16"/>
      <c r="D223" s="16"/>
      <c r="E223" s="20"/>
      <c r="F223" s="19"/>
      <c r="G223" s="19"/>
      <c r="H223" s="19"/>
      <c r="I223" s="19"/>
      <c r="J223" s="19"/>
      <c r="K223" s="19"/>
      <c r="L223" s="18"/>
      <c r="M223" s="14"/>
      <c r="N223" s="18"/>
    </row>
    <row r="224" spans="1:14" ht="15" customHeight="1" x14ac:dyDescent="0.2">
      <c r="A224" s="46">
        <f t="shared" si="3"/>
        <v>222</v>
      </c>
      <c r="B224" s="19"/>
      <c r="C224" s="16"/>
      <c r="D224" s="16"/>
      <c r="E224" s="20"/>
      <c r="F224" s="19"/>
      <c r="G224" s="19"/>
      <c r="H224" s="19"/>
      <c r="I224" s="19"/>
      <c r="J224" s="19"/>
      <c r="K224" s="19"/>
      <c r="L224" s="18"/>
      <c r="M224" s="14"/>
      <c r="N224" s="18"/>
    </row>
    <row r="225" spans="1:14" ht="15" customHeight="1" x14ac:dyDescent="0.2">
      <c r="A225" s="46">
        <f t="shared" si="3"/>
        <v>223</v>
      </c>
      <c r="B225" s="19"/>
      <c r="C225" s="16"/>
      <c r="D225" s="16"/>
      <c r="E225" s="20"/>
      <c r="F225" s="19"/>
      <c r="G225" s="19"/>
      <c r="H225" s="19"/>
      <c r="I225" s="19"/>
      <c r="J225" s="19"/>
      <c r="K225" s="19"/>
      <c r="L225" s="18"/>
      <c r="M225" s="14"/>
      <c r="N225" s="18"/>
    </row>
    <row r="226" spans="1:14" ht="15" customHeight="1" x14ac:dyDescent="0.2">
      <c r="A226" s="46">
        <f t="shared" si="3"/>
        <v>224</v>
      </c>
      <c r="B226" s="19"/>
      <c r="C226" s="16"/>
      <c r="D226" s="16"/>
      <c r="E226" s="20"/>
      <c r="F226" s="19"/>
      <c r="G226" s="19"/>
      <c r="H226" s="19"/>
      <c r="I226" s="19"/>
      <c r="J226" s="19"/>
      <c r="K226" s="19"/>
      <c r="L226" s="18"/>
      <c r="M226" s="14"/>
      <c r="N226" s="18"/>
    </row>
    <row r="227" spans="1:14" ht="15" customHeight="1" x14ac:dyDescent="0.2">
      <c r="A227" s="46">
        <f t="shared" si="3"/>
        <v>225</v>
      </c>
      <c r="B227" s="19"/>
      <c r="C227" s="16"/>
      <c r="D227" s="16"/>
      <c r="E227" s="20"/>
      <c r="F227" s="19"/>
      <c r="G227" s="19"/>
      <c r="H227" s="19"/>
      <c r="I227" s="19"/>
      <c r="J227" s="19"/>
      <c r="K227" s="19"/>
      <c r="L227" s="18"/>
      <c r="M227" s="14"/>
      <c r="N227" s="18"/>
    </row>
    <row r="228" spans="1:14" ht="15" customHeight="1" x14ac:dyDescent="0.2">
      <c r="A228" s="46">
        <f t="shared" si="3"/>
        <v>226</v>
      </c>
      <c r="B228" s="19"/>
      <c r="C228" s="16"/>
      <c r="D228" s="16"/>
      <c r="E228" s="20"/>
      <c r="F228" s="19"/>
      <c r="G228" s="19"/>
      <c r="H228" s="19"/>
      <c r="I228" s="19"/>
      <c r="J228" s="19"/>
      <c r="K228" s="19"/>
      <c r="L228" s="18"/>
      <c r="M228" s="14"/>
      <c r="N228" s="18"/>
    </row>
    <row r="229" spans="1:14" ht="15" customHeight="1" x14ac:dyDescent="0.2">
      <c r="A229" s="46">
        <f t="shared" si="3"/>
        <v>227</v>
      </c>
      <c r="B229" s="19"/>
      <c r="C229" s="16"/>
      <c r="D229" s="16"/>
      <c r="E229" s="20"/>
      <c r="F229" s="19"/>
      <c r="G229" s="19"/>
      <c r="H229" s="19"/>
      <c r="I229" s="19"/>
      <c r="J229" s="19"/>
      <c r="K229" s="19"/>
      <c r="L229" s="18"/>
      <c r="M229" s="14"/>
      <c r="N229" s="18"/>
    </row>
    <row r="230" spans="1:14" ht="15" customHeight="1" x14ac:dyDescent="0.2">
      <c r="A230" s="46">
        <f t="shared" si="3"/>
        <v>228</v>
      </c>
      <c r="B230" s="19"/>
      <c r="C230" s="16"/>
      <c r="D230" s="16"/>
      <c r="E230" s="20"/>
      <c r="F230" s="19"/>
      <c r="G230" s="19"/>
      <c r="H230" s="19"/>
      <c r="I230" s="19"/>
      <c r="J230" s="19"/>
      <c r="K230" s="19"/>
      <c r="L230" s="18"/>
      <c r="M230" s="14"/>
      <c r="N230" s="18"/>
    </row>
    <row r="231" spans="1:14" ht="15" customHeight="1" x14ac:dyDescent="0.2">
      <c r="A231" s="46">
        <f t="shared" si="3"/>
        <v>229</v>
      </c>
      <c r="B231" s="19"/>
      <c r="C231" s="16"/>
      <c r="D231" s="16"/>
      <c r="E231" s="20"/>
      <c r="F231" s="19"/>
      <c r="G231" s="19"/>
      <c r="H231" s="19"/>
      <c r="I231" s="19"/>
      <c r="J231" s="19"/>
      <c r="K231" s="19"/>
      <c r="L231" s="18"/>
      <c r="M231" s="14"/>
      <c r="N231" s="18"/>
    </row>
    <row r="232" spans="1:14" ht="15" customHeight="1" x14ac:dyDescent="0.2">
      <c r="A232" s="46">
        <f t="shared" si="3"/>
        <v>230</v>
      </c>
      <c r="B232" s="19"/>
      <c r="C232" s="16"/>
      <c r="D232" s="16"/>
      <c r="E232" s="20"/>
      <c r="F232" s="19"/>
      <c r="G232" s="19"/>
      <c r="H232" s="19"/>
      <c r="I232" s="19"/>
      <c r="J232" s="19"/>
      <c r="K232" s="19"/>
      <c r="L232" s="18"/>
      <c r="M232" s="14"/>
      <c r="N232" s="18"/>
    </row>
    <row r="233" spans="1:14" ht="15" customHeight="1" x14ac:dyDescent="0.2">
      <c r="A233" s="46">
        <f t="shared" si="3"/>
        <v>231</v>
      </c>
      <c r="B233" s="19"/>
      <c r="C233" s="16"/>
      <c r="D233" s="16"/>
      <c r="E233" s="20"/>
      <c r="F233" s="19"/>
      <c r="G233" s="19"/>
      <c r="H233" s="19"/>
      <c r="I233" s="19"/>
      <c r="J233" s="19"/>
      <c r="K233" s="19"/>
      <c r="L233" s="18"/>
      <c r="M233" s="14"/>
      <c r="N233" s="18"/>
    </row>
    <row r="234" spans="1:14" ht="15" customHeight="1" x14ac:dyDescent="0.2">
      <c r="A234" s="46">
        <f t="shared" si="3"/>
        <v>232</v>
      </c>
      <c r="B234" s="19"/>
      <c r="C234" s="16"/>
      <c r="D234" s="16"/>
      <c r="E234" s="20"/>
      <c r="F234" s="19"/>
      <c r="G234" s="19"/>
      <c r="H234" s="19"/>
      <c r="I234" s="19"/>
      <c r="J234" s="19"/>
      <c r="K234" s="19"/>
      <c r="L234" s="18"/>
      <c r="M234" s="14"/>
      <c r="N234" s="18"/>
    </row>
    <row r="235" spans="1:14" ht="15" customHeight="1" x14ac:dyDescent="0.2">
      <c r="A235" s="46">
        <f t="shared" si="3"/>
        <v>233</v>
      </c>
      <c r="B235" s="19"/>
      <c r="C235" s="16"/>
      <c r="D235" s="16"/>
      <c r="E235" s="20"/>
      <c r="F235" s="19"/>
      <c r="G235" s="19"/>
      <c r="H235" s="19"/>
      <c r="I235" s="19"/>
      <c r="J235" s="19"/>
      <c r="K235" s="19"/>
      <c r="L235" s="18"/>
      <c r="M235" s="14"/>
      <c r="N235" s="18"/>
    </row>
    <row r="236" spans="1:14" ht="15" customHeight="1" x14ac:dyDescent="0.2">
      <c r="A236" s="46">
        <f t="shared" si="3"/>
        <v>234</v>
      </c>
      <c r="B236" s="19"/>
      <c r="C236" s="16"/>
      <c r="D236" s="16"/>
      <c r="E236" s="20"/>
      <c r="F236" s="19"/>
      <c r="G236" s="19"/>
      <c r="H236" s="19"/>
      <c r="I236" s="19"/>
      <c r="J236" s="19"/>
      <c r="K236" s="19"/>
      <c r="L236" s="18"/>
      <c r="M236" s="14"/>
      <c r="N236" s="18"/>
    </row>
    <row r="237" spans="1:14" ht="15" customHeight="1" x14ac:dyDescent="0.2">
      <c r="A237" s="46">
        <f t="shared" si="3"/>
        <v>235</v>
      </c>
      <c r="B237" s="19"/>
      <c r="C237" s="16"/>
      <c r="D237" s="16"/>
      <c r="E237" s="20"/>
      <c r="F237" s="19"/>
      <c r="G237" s="19"/>
      <c r="H237" s="19"/>
      <c r="I237" s="19"/>
      <c r="J237" s="19"/>
      <c r="K237" s="19"/>
      <c r="L237" s="18"/>
      <c r="M237" s="14"/>
      <c r="N237" s="18"/>
    </row>
    <row r="238" spans="1:14" ht="15" customHeight="1" x14ac:dyDescent="0.2">
      <c r="A238" s="46">
        <f t="shared" si="3"/>
        <v>236</v>
      </c>
      <c r="B238" s="19"/>
      <c r="C238" s="16"/>
      <c r="D238" s="16"/>
      <c r="E238" s="20"/>
      <c r="F238" s="19"/>
      <c r="G238" s="19"/>
      <c r="H238" s="19"/>
      <c r="I238" s="19"/>
      <c r="J238" s="19"/>
      <c r="K238" s="19"/>
      <c r="L238" s="18"/>
      <c r="M238" s="14"/>
      <c r="N238" s="18"/>
    </row>
    <row r="239" spans="1:14" ht="15" customHeight="1" x14ac:dyDescent="0.2">
      <c r="A239" s="46">
        <f t="shared" si="3"/>
        <v>237</v>
      </c>
      <c r="B239" s="19"/>
      <c r="C239" s="16"/>
      <c r="D239" s="16"/>
      <c r="E239" s="20"/>
      <c r="F239" s="19"/>
      <c r="G239" s="19"/>
      <c r="H239" s="19"/>
      <c r="I239" s="19"/>
      <c r="J239" s="19"/>
      <c r="K239" s="19"/>
      <c r="L239" s="18"/>
      <c r="M239" s="14"/>
      <c r="N239" s="18"/>
    </row>
    <row r="240" spans="1:14" ht="15" customHeight="1" x14ac:dyDescent="0.2">
      <c r="A240" s="46">
        <f t="shared" si="3"/>
        <v>238</v>
      </c>
      <c r="B240" s="19"/>
      <c r="C240" s="16"/>
      <c r="D240" s="16"/>
      <c r="E240" s="20"/>
      <c r="F240" s="19"/>
      <c r="G240" s="19"/>
      <c r="H240" s="19"/>
      <c r="I240" s="19"/>
      <c r="J240" s="19"/>
      <c r="K240" s="19"/>
      <c r="L240" s="18"/>
      <c r="M240" s="14"/>
      <c r="N240" s="18"/>
    </row>
    <row r="241" spans="1:14" ht="15" customHeight="1" x14ac:dyDescent="0.2">
      <c r="A241" s="46">
        <f t="shared" si="3"/>
        <v>239</v>
      </c>
      <c r="B241" s="19"/>
      <c r="C241" s="16"/>
      <c r="D241" s="16"/>
      <c r="E241" s="20"/>
      <c r="F241" s="19"/>
      <c r="G241" s="19"/>
      <c r="H241" s="19"/>
      <c r="I241" s="19"/>
      <c r="J241" s="19"/>
      <c r="K241" s="19"/>
      <c r="L241" s="18"/>
      <c r="M241" s="14"/>
      <c r="N241" s="18"/>
    </row>
    <row r="242" spans="1:14" ht="15" customHeight="1" x14ac:dyDescent="0.2">
      <c r="A242" s="46">
        <f t="shared" si="3"/>
        <v>240</v>
      </c>
      <c r="B242" s="19"/>
      <c r="C242" s="16"/>
      <c r="D242" s="16"/>
      <c r="E242" s="20"/>
      <c r="F242" s="19"/>
      <c r="G242" s="19"/>
      <c r="H242" s="19"/>
      <c r="I242" s="19"/>
      <c r="J242" s="19"/>
      <c r="K242" s="19"/>
      <c r="L242" s="18"/>
      <c r="M242" s="14"/>
      <c r="N242" s="18"/>
    </row>
    <row r="243" spans="1:14" ht="15" customHeight="1" x14ac:dyDescent="0.2">
      <c r="A243" s="46">
        <f t="shared" si="3"/>
        <v>241</v>
      </c>
      <c r="B243" s="19"/>
      <c r="C243" s="16"/>
      <c r="D243" s="16"/>
      <c r="E243" s="20"/>
      <c r="F243" s="19"/>
      <c r="G243" s="19"/>
      <c r="H243" s="19"/>
      <c r="I243" s="19"/>
      <c r="J243" s="19"/>
      <c r="K243" s="19"/>
      <c r="L243" s="18"/>
      <c r="M243" s="14"/>
      <c r="N243" s="18"/>
    </row>
    <row r="244" spans="1:14" ht="15" customHeight="1" x14ac:dyDescent="0.2">
      <c r="A244" s="46">
        <f t="shared" si="3"/>
        <v>242</v>
      </c>
      <c r="B244" s="19"/>
      <c r="C244" s="16"/>
      <c r="D244" s="16"/>
      <c r="E244" s="20"/>
      <c r="F244" s="19"/>
      <c r="G244" s="19"/>
      <c r="H244" s="19"/>
      <c r="I244" s="19"/>
      <c r="J244" s="19"/>
      <c r="K244" s="19"/>
      <c r="L244" s="18"/>
      <c r="M244" s="14"/>
      <c r="N244" s="18"/>
    </row>
    <row r="245" spans="1:14" ht="15" customHeight="1" x14ac:dyDescent="0.2">
      <c r="A245" s="46">
        <f t="shared" si="3"/>
        <v>243</v>
      </c>
      <c r="B245" s="19"/>
      <c r="C245" s="16"/>
      <c r="D245" s="16"/>
      <c r="E245" s="20"/>
      <c r="F245" s="19"/>
      <c r="G245" s="19"/>
      <c r="H245" s="19"/>
      <c r="I245" s="19"/>
      <c r="J245" s="19"/>
      <c r="K245" s="19"/>
      <c r="L245" s="18"/>
      <c r="M245" s="14"/>
      <c r="N245" s="18"/>
    </row>
    <row r="246" spans="1:14" ht="15" customHeight="1" x14ac:dyDescent="0.2">
      <c r="A246" s="46">
        <f t="shared" si="3"/>
        <v>244</v>
      </c>
      <c r="B246" s="19"/>
      <c r="C246" s="16"/>
      <c r="D246" s="16"/>
      <c r="E246" s="20"/>
      <c r="F246" s="19"/>
      <c r="G246" s="19"/>
      <c r="H246" s="19"/>
      <c r="I246" s="19"/>
      <c r="J246" s="19"/>
      <c r="K246" s="19"/>
      <c r="L246" s="18"/>
      <c r="M246" s="14"/>
      <c r="N246" s="18"/>
    </row>
    <row r="247" spans="1:14" ht="15" customHeight="1" x14ac:dyDescent="0.2">
      <c r="A247" s="46">
        <f t="shared" si="3"/>
        <v>245</v>
      </c>
      <c r="B247" s="19"/>
      <c r="C247" s="16"/>
      <c r="D247" s="16"/>
      <c r="E247" s="20"/>
      <c r="F247" s="19"/>
      <c r="G247" s="19"/>
      <c r="H247" s="19"/>
      <c r="I247" s="19"/>
      <c r="J247" s="19"/>
      <c r="K247" s="19"/>
      <c r="L247" s="18"/>
      <c r="M247" s="14"/>
      <c r="N247" s="18"/>
    </row>
    <row r="248" spans="1:14" ht="15" customHeight="1" x14ac:dyDescent="0.2">
      <c r="A248" s="46">
        <f t="shared" si="3"/>
        <v>246</v>
      </c>
      <c r="B248" s="19"/>
      <c r="C248" s="16"/>
      <c r="D248" s="16"/>
      <c r="E248" s="20"/>
      <c r="F248" s="19"/>
      <c r="G248" s="19"/>
      <c r="H248" s="19"/>
      <c r="I248" s="19"/>
      <c r="J248" s="19"/>
      <c r="K248" s="19"/>
      <c r="L248" s="18"/>
      <c r="M248" s="14"/>
      <c r="N248" s="18"/>
    </row>
    <row r="249" spans="1:14" ht="15" customHeight="1" x14ac:dyDescent="0.2">
      <c r="A249" s="46">
        <f t="shared" si="3"/>
        <v>247</v>
      </c>
      <c r="B249" s="19"/>
      <c r="C249" s="16"/>
      <c r="D249" s="16"/>
      <c r="E249" s="20"/>
      <c r="F249" s="19"/>
      <c r="G249" s="19"/>
      <c r="H249" s="19"/>
      <c r="I249" s="19"/>
      <c r="J249" s="19"/>
      <c r="K249" s="19"/>
      <c r="L249" s="18"/>
      <c r="M249" s="14"/>
      <c r="N249" s="18"/>
    </row>
    <row r="250" spans="1:14" ht="15" customHeight="1" x14ac:dyDescent="0.2">
      <c r="A250" s="46">
        <f t="shared" si="3"/>
        <v>248</v>
      </c>
      <c r="B250" s="19"/>
      <c r="C250" s="16"/>
      <c r="D250" s="16"/>
      <c r="E250" s="20"/>
      <c r="F250" s="19"/>
      <c r="G250" s="19"/>
      <c r="H250" s="19"/>
      <c r="I250" s="19"/>
      <c r="J250" s="19"/>
      <c r="K250" s="19"/>
      <c r="L250" s="18"/>
      <c r="M250" s="14"/>
      <c r="N250" s="18"/>
    </row>
    <row r="251" spans="1:14" ht="15" customHeight="1" x14ac:dyDescent="0.2">
      <c r="A251" s="46">
        <f t="shared" si="3"/>
        <v>249</v>
      </c>
      <c r="B251" s="19"/>
      <c r="C251" s="16"/>
      <c r="D251" s="16"/>
      <c r="E251" s="20"/>
      <c r="F251" s="19"/>
      <c r="G251" s="19"/>
      <c r="H251" s="19"/>
      <c r="I251" s="19"/>
      <c r="J251" s="19"/>
      <c r="K251" s="19"/>
      <c r="L251" s="18"/>
      <c r="M251" s="14"/>
      <c r="N251" s="18"/>
    </row>
    <row r="252" spans="1:14" ht="15" customHeight="1" x14ac:dyDescent="0.2">
      <c r="A252" s="46">
        <f t="shared" si="3"/>
        <v>250</v>
      </c>
      <c r="B252" s="19"/>
      <c r="C252" s="16"/>
      <c r="D252" s="16"/>
      <c r="E252" s="20"/>
      <c r="F252" s="19"/>
      <c r="G252" s="19"/>
      <c r="H252" s="19"/>
      <c r="I252" s="19"/>
      <c r="J252" s="19"/>
      <c r="K252" s="19"/>
      <c r="L252" s="18"/>
      <c r="M252" s="14"/>
      <c r="N252" s="18"/>
    </row>
    <row r="253" spans="1:14" ht="15" customHeight="1" x14ac:dyDescent="0.2">
      <c r="A253" s="46">
        <f t="shared" si="3"/>
        <v>251</v>
      </c>
      <c r="B253" s="19"/>
      <c r="C253" s="16"/>
      <c r="D253" s="16"/>
      <c r="E253" s="20"/>
      <c r="F253" s="19"/>
      <c r="G253" s="19"/>
      <c r="H253" s="19"/>
      <c r="I253" s="19"/>
      <c r="J253" s="19"/>
      <c r="K253" s="19"/>
      <c r="L253" s="18"/>
      <c r="M253" s="14"/>
      <c r="N253" s="18"/>
    </row>
    <row r="254" spans="1:14" ht="15" customHeight="1" x14ac:dyDescent="0.2">
      <c r="A254" s="46">
        <f t="shared" si="3"/>
        <v>252</v>
      </c>
      <c r="B254" s="19"/>
      <c r="C254" s="16"/>
      <c r="D254" s="16"/>
      <c r="E254" s="20"/>
      <c r="F254" s="19"/>
      <c r="G254" s="19"/>
      <c r="H254" s="19"/>
      <c r="I254" s="19"/>
      <c r="J254" s="19"/>
      <c r="K254" s="19"/>
      <c r="L254" s="18"/>
      <c r="M254" s="14"/>
      <c r="N254" s="18"/>
    </row>
    <row r="255" spans="1:14" ht="15" customHeight="1" x14ac:dyDescent="0.2">
      <c r="A255" s="46">
        <f t="shared" si="3"/>
        <v>253</v>
      </c>
      <c r="B255" s="19"/>
      <c r="C255" s="16"/>
      <c r="D255" s="16"/>
      <c r="E255" s="20"/>
      <c r="F255" s="19"/>
      <c r="G255" s="19"/>
      <c r="H255" s="19"/>
      <c r="I255" s="19"/>
      <c r="J255" s="19"/>
      <c r="K255" s="19"/>
      <c r="L255" s="18"/>
      <c r="M255" s="14"/>
      <c r="N255" s="18"/>
    </row>
    <row r="256" spans="1:14" ht="15" customHeight="1" x14ac:dyDescent="0.2">
      <c r="A256" s="46">
        <f t="shared" si="3"/>
        <v>254</v>
      </c>
      <c r="B256" s="19"/>
      <c r="C256" s="16"/>
      <c r="D256" s="16"/>
      <c r="E256" s="20"/>
      <c r="F256" s="19"/>
      <c r="G256" s="19"/>
      <c r="H256" s="19"/>
      <c r="I256" s="19"/>
      <c r="J256" s="19"/>
      <c r="K256" s="19"/>
      <c r="L256" s="18"/>
      <c r="M256" s="14"/>
      <c r="N256" s="18"/>
    </row>
    <row r="257" spans="1:14" ht="15" customHeight="1" x14ac:dyDescent="0.2">
      <c r="A257" s="46">
        <f t="shared" si="3"/>
        <v>255</v>
      </c>
      <c r="B257" s="19"/>
      <c r="C257" s="16"/>
      <c r="D257" s="16"/>
      <c r="E257" s="20"/>
      <c r="F257" s="19"/>
      <c r="G257" s="19"/>
      <c r="H257" s="19"/>
      <c r="I257" s="19"/>
      <c r="J257" s="19"/>
      <c r="K257" s="19"/>
      <c r="L257" s="18"/>
      <c r="M257" s="14"/>
      <c r="N257" s="18"/>
    </row>
    <row r="258" spans="1:14" ht="15" customHeight="1" x14ac:dyDescent="0.2">
      <c r="A258" s="46">
        <f t="shared" si="3"/>
        <v>256</v>
      </c>
      <c r="B258" s="19"/>
      <c r="C258" s="16"/>
      <c r="D258" s="16"/>
      <c r="E258" s="20"/>
      <c r="F258" s="19"/>
      <c r="G258" s="19"/>
      <c r="H258" s="19"/>
      <c r="I258" s="19"/>
      <c r="J258" s="19"/>
      <c r="K258" s="19"/>
      <c r="L258" s="18"/>
      <c r="M258" s="14"/>
      <c r="N258" s="18"/>
    </row>
    <row r="259" spans="1:14" ht="15" customHeight="1" x14ac:dyDescent="0.2">
      <c r="A259" s="46">
        <f t="shared" si="3"/>
        <v>257</v>
      </c>
      <c r="B259" s="19"/>
      <c r="C259" s="16"/>
      <c r="D259" s="16"/>
      <c r="E259" s="20"/>
      <c r="F259" s="19"/>
      <c r="G259" s="19"/>
      <c r="H259" s="19"/>
      <c r="I259" s="19"/>
      <c r="J259" s="19"/>
      <c r="K259" s="19"/>
      <c r="L259" s="18"/>
      <c r="M259" s="14"/>
      <c r="N259" s="18"/>
    </row>
    <row r="260" spans="1:14" ht="15" customHeight="1" x14ac:dyDescent="0.2">
      <c r="A260" s="46">
        <f t="shared" si="3"/>
        <v>258</v>
      </c>
      <c r="B260" s="19"/>
      <c r="C260" s="16"/>
      <c r="D260" s="16"/>
      <c r="E260" s="20"/>
      <c r="F260" s="19"/>
      <c r="G260" s="19"/>
      <c r="H260" s="19"/>
      <c r="I260" s="19"/>
      <c r="J260" s="19"/>
      <c r="K260" s="19"/>
      <c r="L260" s="18"/>
      <c r="M260" s="14"/>
      <c r="N260" s="18"/>
    </row>
    <row r="261" spans="1:14" ht="15" customHeight="1" x14ac:dyDescent="0.2">
      <c r="A261" s="46">
        <f t="shared" ref="A261:A302" si="4">A260+1</f>
        <v>259</v>
      </c>
      <c r="B261" s="19"/>
      <c r="C261" s="16"/>
      <c r="D261" s="16"/>
      <c r="E261" s="20"/>
      <c r="F261" s="19"/>
      <c r="G261" s="19"/>
      <c r="H261" s="19"/>
      <c r="I261" s="19"/>
      <c r="J261" s="19"/>
      <c r="K261" s="19"/>
      <c r="L261" s="18"/>
      <c r="M261" s="14"/>
      <c r="N261" s="18"/>
    </row>
    <row r="262" spans="1:14" ht="15" customHeight="1" x14ac:dyDescent="0.2">
      <c r="A262" s="46">
        <f t="shared" si="4"/>
        <v>260</v>
      </c>
      <c r="B262" s="19"/>
      <c r="C262" s="16"/>
      <c r="D262" s="16"/>
      <c r="E262" s="20"/>
      <c r="F262" s="19"/>
      <c r="G262" s="19"/>
      <c r="H262" s="19"/>
      <c r="I262" s="19"/>
      <c r="J262" s="19"/>
      <c r="K262" s="19"/>
      <c r="L262" s="18"/>
      <c r="M262" s="14"/>
      <c r="N262" s="18"/>
    </row>
    <row r="263" spans="1:14" ht="15" customHeight="1" x14ac:dyDescent="0.2">
      <c r="A263" s="46">
        <f t="shared" si="4"/>
        <v>261</v>
      </c>
      <c r="B263" s="19"/>
      <c r="C263" s="16"/>
      <c r="D263" s="16"/>
      <c r="E263" s="20"/>
      <c r="F263" s="19"/>
      <c r="G263" s="19"/>
      <c r="H263" s="19"/>
      <c r="I263" s="19"/>
      <c r="J263" s="19"/>
      <c r="K263" s="19"/>
      <c r="L263" s="18"/>
      <c r="M263" s="14"/>
      <c r="N263" s="18"/>
    </row>
    <row r="264" spans="1:14" ht="15" customHeight="1" x14ac:dyDescent="0.2">
      <c r="A264" s="46">
        <f t="shared" si="4"/>
        <v>262</v>
      </c>
      <c r="B264" s="19"/>
      <c r="C264" s="16"/>
      <c r="D264" s="16"/>
      <c r="E264" s="20"/>
      <c r="F264" s="19"/>
      <c r="G264" s="19"/>
      <c r="H264" s="19"/>
      <c r="I264" s="19"/>
      <c r="J264" s="19"/>
      <c r="K264" s="19"/>
      <c r="L264" s="18"/>
      <c r="M264" s="14"/>
      <c r="N264" s="18"/>
    </row>
    <row r="265" spans="1:14" ht="15" customHeight="1" x14ac:dyDescent="0.2">
      <c r="A265" s="46">
        <f t="shared" si="4"/>
        <v>263</v>
      </c>
      <c r="B265" s="19"/>
      <c r="C265" s="16"/>
      <c r="D265" s="16"/>
      <c r="E265" s="20"/>
      <c r="F265" s="19"/>
      <c r="G265" s="19"/>
      <c r="H265" s="19"/>
      <c r="I265" s="19"/>
      <c r="J265" s="19"/>
      <c r="K265" s="19"/>
      <c r="L265" s="18"/>
      <c r="M265" s="14"/>
      <c r="N265" s="18"/>
    </row>
    <row r="266" spans="1:14" ht="15" customHeight="1" x14ac:dyDescent="0.2">
      <c r="A266" s="46">
        <f t="shared" si="4"/>
        <v>264</v>
      </c>
      <c r="B266" s="19"/>
      <c r="C266" s="16"/>
      <c r="D266" s="16"/>
      <c r="E266" s="20"/>
      <c r="F266" s="19"/>
      <c r="G266" s="19"/>
      <c r="H266" s="19"/>
      <c r="I266" s="19"/>
      <c r="J266" s="19"/>
      <c r="K266" s="19"/>
      <c r="L266" s="18"/>
      <c r="M266" s="14"/>
      <c r="N266" s="18"/>
    </row>
    <row r="267" spans="1:14" ht="15" customHeight="1" x14ac:dyDescent="0.2">
      <c r="A267" s="46">
        <f t="shared" si="4"/>
        <v>265</v>
      </c>
      <c r="B267" s="19"/>
      <c r="C267" s="16"/>
      <c r="D267" s="16"/>
      <c r="E267" s="20"/>
      <c r="F267" s="19"/>
      <c r="G267" s="19"/>
      <c r="H267" s="19"/>
      <c r="I267" s="19"/>
      <c r="J267" s="19"/>
      <c r="K267" s="19"/>
      <c r="L267" s="18"/>
      <c r="M267" s="14"/>
      <c r="N267" s="18"/>
    </row>
    <row r="268" spans="1:14" ht="15" customHeight="1" x14ac:dyDescent="0.2">
      <c r="A268" s="46">
        <f t="shared" si="4"/>
        <v>266</v>
      </c>
      <c r="B268" s="19"/>
      <c r="C268" s="16"/>
      <c r="D268" s="16"/>
      <c r="E268" s="20"/>
      <c r="F268" s="19"/>
      <c r="G268" s="19"/>
      <c r="H268" s="19"/>
      <c r="I268" s="19"/>
      <c r="J268" s="19"/>
      <c r="K268" s="19"/>
      <c r="L268" s="18"/>
      <c r="M268" s="14"/>
      <c r="N268" s="18"/>
    </row>
    <row r="269" spans="1:14" ht="15" customHeight="1" x14ac:dyDescent="0.2">
      <c r="A269" s="46">
        <f t="shared" si="4"/>
        <v>267</v>
      </c>
      <c r="B269" s="19"/>
      <c r="C269" s="16"/>
      <c r="D269" s="16"/>
      <c r="E269" s="20"/>
      <c r="F269" s="19"/>
      <c r="G269" s="19"/>
      <c r="H269" s="19"/>
      <c r="I269" s="19"/>
      <c r="J269" s="19"/>
      <c r="K269" s="19"/>
      <c r="L269" s="18"/>
      <c r="M269" s="14"/>
      <c r="N269" s="18"/>
    </row>
    <row r="270" spans="1:14" ht="15" customHeight="1" x14ac:dyDescent="0.2">
      <c r="A270" s="46">
        <f t="shared" si="4"/>
        <v>268</v>
      </c>
      <c r="B270" s="19"/>
      <c r="C270" s="16"/>
      <c r="D270" s="16"/>
      <c r="E270" s="20"/>
      <c r="F270" s="19"/>
      <c r="G270" s="19"/>
      <c r="H270" s="19"/>
      <c r="I270" s="19"/>
      <c r="J270" s="19"/>
      <c r="K270" s="19"/>
      <c r="L270" s="18"/>
      <c r="M270" s="14"/>
      <c r="N270" s="18"/>
    </row>
    <row r="271" spans="1:14" ht="15" customHeight="1" x14ac:dyDescent="0.2">
      <c r="A271" s="46">
        <f t="shared" si="4"/>
        <v>269</v>
      </c>
      <c r="B271" s="19"/>
      <c r="C271" s="16"/>
      <c r="D271" s="16"/>
      <c r="E271" s="20"/>
      <c r="F271" s="19"/>
      <c r="G271" s="19"/>
      <c r="H271" s="19"/>
      <c r="I271" s="19"/>
      <c r="J271" s="19"/>
      <c r="K271" s="19"/>
      <c r="L271" s="18"/>
      <c r="M271" s="14"/>
      <c r="N271" s="18"/>
    </row>
    <row r="272" spans="1:14" ht="15" customHeight="1" x14ac:dyDescent="0.2">
      <c r="A272" s="46">
        <f t="shared" si="4"/>
        <v>270</v>
      </c>
      <c r="B272" s="19"/>
      <c r="C272" s="16"/>
      <c r="D272" s="16"/>
      <c r="E272" s="20"/>
      <c r="F272" s="19"/>
      <c r="G272" s="19"/>
      <c r="H272" s="19"/>
      <c r="I272" s="19"/>
      <c r="J272" s="19"/>
      <c r="K272" s="19"/>
      <c r="L272" s="18"/>
      <c r="M272" s="14"/>
      <c r="N272" s="18"/>
    </row>
    <row r="273" spans="1:14" ht="15" customHeight="1" x14ac:dyDescent="0.2">
      <c r="A273" s="46">
        <f t="shared" si="4"/>
        <v>271</v>
      </c>
      <c r="B273" s="19"/>
      <c r="C273" s="16"/>
      <c r="D273" s="16"/>
      <c r="E273" s="20"/>
      <c r="F273" s="19"/>
      <c r="G273" s="19"/>
      <c r="H273" s="19"/>
      <c r="I273" s="19"/>
      <c r="J273" s="19"/>
      <c r="K273" s="19"/>
      <c r="L273" s="18"/>
      <c r="M273" s="14"/>
      <c r="N273" s="18"/>
    </row>
    <row r="274" spans="1:14" ht="15" customHeight="1" x14ac:dyDescent="0.2">
      <c r="A274" s="46">
        <f t="shared" si="4"/>
        <v>272</v>
      </c>
      <c r="B274" s="19"/>
      <c r="C274" s="16"/>
      <c r="D274" s="16"/>
      <c r="E274" s="20"/>
      <c r="F274" s="19"/>
      <c r="G274" s="19"/>
      <c r="H274" s="19"/>
      <c r="I274" s="19"/>
      <c r="J274" s="19"/>
      <c r="K274" s="19"/>
      <c r="L274" s="18"/>
      <c r="M274" s="14"/>
      <c r="N274" s="18"/>
    </row>
    <row r="275" spans="1:14" ht="15" customHeight="1" x14ac:dyDescent="0.2">
      <c r="A275" s="46">
        <f t="shared" si="4"/>
        <v>273</v>
      </c>
      <c r="B275" s="19"/>
      <c r="C275" s="16"/>
      <c r="D275" s="16"/>
      <c r="E275" s="20"/>
      <c r="F275" s="19"/>
      <c r="G275" s="19"/>
      <c r="H275" s="19"/>
      <c r="I275" s="19"/>
      <c r="J275" s="19"/>
      <c r="K275" s="19"/>
      <c r="L275" s="18"/>
      <c r="M275" s="14"/>
      <c r="N275" s="18"/>
    </row>
    <row r="276" spans="1:14" ht="15" customHeight="1" x14ac:dyDescent="0.2">
      <c r="A276" s="46">
        <f t="shared" si="4"/>
        <v>274</v>
      </c>
      <c r="B276" s="19"/>
      <c r="C276" s="16"/>
      <c r="D276" s="16"/>
      <c r="E276" s="20"/>
      <c r="F276" s="19"/>
      <c r="G276" s="19"/>
      <c r="H276" s="19"/>
      <c r="I276" s="19"/>
      <c r="J276" s="19"/>
      <c r="K276" s="19"/>
      <c r="L276" s="18"/>
      <c r="M276" s="14"/>
      <c r="N276" s="18"/>
    </row>
    <row r="277" spans="1:14" ht="15" customHeight="1" x14ac:dyDescent="0.2">
      <c r="A277" s="46">
        <f t="shared" si="4"/>
        <v>275</v>
      </c>
      <c r="B277" s="19"/>
      <c r="C277" s="16"/>
      <c r="D277" s="16"/>
      <c r="E277" s="20"/>
      <c r="F277" s="19"/>
      <c r="G277" s="19"/>
      <c r="H277" s="19"/>
      <c r="I277" s="19"/>
      <c r="J277" s="19"/>
      <c r="K277" s="19"/>
      <c r="L277" s="18"/>
      <c r="M277" s="14"/>
      <c r="N277" s="18"/>
    </row>
    <row r="278" spans="1:14" ht="15" customHeight="1" x14ac:dyDescent="0.2">
      <c r="A278" s="46">
        <f t="shared" si="4"/>
        <v>276</v>
      </c>
      <c r="B278" s="19"/>
      <c r="C278" s="16"/>
      <c r="D278" s="16"/>
      <c r="E278" s="20"/>
      <c r="F278" s="19"/>
      <c r="G278" s="19"/>
      <c r="H278" s="19"/>
      <c r="I278" s="19"/>
      <c r="J278" s="19"/>
      <c r="K278" s="19"/>
      <c r="L278" s="18"/>
      <c r="M278" s="14"/>
      <c r="N278" s="18"/>
    </row>
    <row r="279" spans="1:14" ht="15" customHeight="1" x14ac:dyDescent="0.2">
      <c r="A279" s="46">
        <f t="shared" si="4"/>
        <v>277</v>
      </c>
      <c r="B279" s="19"/>
      <c r="C279" s="16"/>
      <c r="D279" s="16"/>
      <c r="E279" s="20"/>
      <c r="F279" s="19"/>
      <c r="G279" s="19"/>
      <c r="H279" s="19"/>
      <c r="I279" s="19"/>
      <c r="J279" s="19"/>
      <c r="K279" s="19"/>
      <c r="L279" s="18"/>
      <c r="M279" s="14"/>
      <c r="N279" s="18"/>
    </row>
    <row r="280" spans="1:14" ht="15" customHeight="1" x14ac:dyDescent="0.2">
      <c r="A280" s="46">
        <f t="shared" si="4"/>
        <v>278</v>
      </c>
      <c r="B280" s="19"/>
      <c r="C280" s="16"/>
      <c r="D280" s="16"/>
      <c r="E280" s="20"/>
      <c r="F280" s="19"/>
      <c r="G280" s="19"/>
      <c r="H280" s="19"/>
      <c r="I280" s="19"/>
      <c r="J280" s="19"/>
      <c r="K280" s="19"/>
      <c r="L280" s="18"/>
      <c r="M280" s="14"/>
      <c r="N280" s="18"/>
    </row>
    <row r="281" spans="1:14" ht="15" customHeight="1" x14ac:dyDescent="0.2">
      <c r="A281" s="46">
        <f t="shared" si="4"/>
        <v>279</v>
      </c>
      <c r="B281" s="19"/>
      <c r="C281" s="16"/>
      <c r="D281" s="16"/>
      <c r="E281" s="20"/>
      <c r="F281" s="19"/>
      <c r="G281" s="19"/>
      <c r="H281" s="19"/>
      <c r="I281" s="19"/>
      <c r="J281" s="19"/>
      <c r="K281" s="19"/>
      <c r="L281" s="18"/>
      <c r="M281" s="14"/>
      <c r="N281" s="18"/>
    </row>
    <row r="282" spans="1:14" ht="15" customHeight="1" x14ac:dyDescent="0.2">
      <c r="A282" s="46">
        <f t="shared" si="4"/>
        <v>280</v>
      </c>
      <c r="B282" s="19"/>
      <c r="C282" s="16"/>
      <c r="D282" s="16"/>
      <c r="E282" s="20"/>
      <c r="F282" s="19"/>
      <c r="G282" s="19"/>
      <c r="H282" s="19"/>
      <c r="I282" s="19"/>
      <c r="J282" s="19"/>
      <c r="K282" s="19"/>
      <c r="L282" s="18"/>
      <c r="M282" s="14"/>
      <c r="N282" s="18"/>
    </row>
    <row r="283" spans="1:14" ht="15" customHeight="1" x14ac:dyDescent="0.2">
      <c r="A283" s="46">
        <f t="shared" si="4"/>
        <v>281</v>
      </c>
      <c r="B283" s="19"/>
      <c r="C283" s="16"/>
      <c r="D283" s="16"/>
      <c r="E283" s="20"/>
      <c r="F283" s="19"/>
      <c r="G283" s="19"/>
      <c r="H283" s="19"/>
      <c r="I283" s="19"/>
      <c r="J283" s="19"/>
      <c r="K283" s="19"/>
      <c r="L283" s="18"/>
      <c r="M283" s="14"/>
      <c r="N283" s="18"/>
    </row>
    <row r="284" spans="1:14" ht="15" customHeight="1" x14ac:dyDescent="0.2">
      <c r="A284" s="46">
        <f t="shared" si="4"/>
        <v>282</v>
      </c>
      <c r="B284" s="19"/>
      <c r="C284" s="16"/>
      <c r="D284" s="16"/>
      <c r="E284" s="20"/>
      <c r="F284" s="19"/>
      <c r="G284" s="19"/>
      <c r="H284" s="19"/>
      <c r="I284" s="19"/>
      <c r="J284" s="19"/>
      <c r="K284" s="19"/>
      <c r="L284" s="18"/>
      <c r="M284" s="14"/>
      <c r="N284" s="18"/>
    </row>
    <row r="285" spans="1:14" ht="15" customHeight="1" x14ac:dyDescent="0.2">
      <c r="A285" s="46">
        <f t="shared" si="4"/>
        <v>283</v>
      </c>
      <c r="B285" s="19"/>
      <c r="C285" s="16"/>
      <c r="D285" s="16"/>
      <c r="E285" s="20"/>
      <c r="F285" s="19"/>
      <c r="G285" s="19"/>
      <c r="H285" s="19"/>
      <c r="I285" s="19"/>
      <c r="J285" s="19"/>
      <c r="K285" s="19"/>
      <c r="L285" s="18"/>
      <c r="M285" s="14"/>
      <c r="N285" s="18"/>
    </row>
    <row r="286" spans="1:14" ht="15" customHeight="1" x14ac:dyDescent="0.2">
      <c r="A286" s="46">
        <f t="shared" si="4"/>
        <v>284</v>
      </c>
      <c r="B286" s="19"/>
      <c r="C286" s="16"/>
      <c r="D286" s="16"/>
      <c r="E286" s="20"/>
      <c r="F286" s="19"/>
      <c r="G286" s="19"/>
      <c r="H286" s="19"/>
      <c r="I286" s="19"/>
      <c r="J286" s="19"/>
      <c r="K286" s="19"/>
      <c r="L286" s="18"/>
      <c r="M286" s="14"/>
      <c r="N286" s="18"/>
    </row>
    <row r="287" spans="1:14" ht="15" customHeight="1" x14ac:dyDescent="0.2">
      <c r="A287" s="46">
        <f t="shared" si="4"/>
        <v>285</v>
      </c>
      <c r="B287" s="19"/>
      <c r="C287" s="16"/>
      <c r="D287" s="16"/>
      <c r="E287" s="20"/>
      <c r="F287" s="19"/>
      <c r="G287" s="19"/>
      <c r="H287" s="19"/>
      <c r="I287" s="19"/>
      <c r="J287" s="19"/>
      <c r="K287" s="19"/>
      <c r="L287" s="18"/>
      <c r="M287" s="14"/>
      <c r="N287" s="18"/>
    </row>
    <row r="288" spans="1:14" ht="15" customHeight="1" x14ac:dyDescent="0.2">
      <c r="A288" s="46">
        <f t="shared" si="4"/>
        <v>286</v>
      </c>
      <c r="B288" s="19"/>
      <c r="C288" s="16"/>
      <c r="D288" s="16"/>
      <c r="E288" s="20"/>
      <c r="F288" s="19"/>
      <c r="G288" s="19"/>
      <c r="H288" s="19"/>
      <c r="I288" s="19"/>
      <c r="J288" s="19"/>
      <c r="K288" s="19"/>
      <c r="L288" s="18"/>
      <c r="M288" s="14"/>
      <c r="N288" s="18"/>
    </row>
    <row r="289" spans="1:14" ht="15" customHeight="1" x14ac:dyDescent="0.2">
      <c r="A289" s="46">
        <f t="shared" si="4"/>
        <v>287</v>
      </c>
      <c r="B289" s="19"/>
      <c r="C289" s="16"/>
      <c r="D289" s="16"/>
      <c r="E289" s="20"/>
      <c r="F289" s="19"/>
      <c r="G289" s="19"/>
      <c r="H289" s="19"/>
      <c r="I289" s="19"/>
      <c r="J289" s="19"/>
      <c r="K289" s="19"/>
      <c r="L289" s="18"/>
      <c r="M289" s="14"/>
      <c r="N289" s="18"/>
    </row>
    <row r="290" spans="1:14" ht="15" customHeight="1" x14ac:dyDescent="0.2">
      <c r="A290" s="46">
        <f t="shared" si="4"/>
        <v>288</v>
      </c>
      <c r="B290" s="19"/>
      <c r="C290" s="16"/>
      <c r="D290" s="16"/>
      <c r="E290" s="20"/>
      <c r="F290" s="19"/>
      <c r="G290" s="19"/>
      <c r="H290" s="19"/>
      <c r="I290" s="19"/>
      <c r="J290" s="19"/>
      <c r="K290" s="19"/>
      <c r="L290" s="18"/>
      <c r="M290" s="14"/>
      <c r="N290" s="18"/>
    </row>
    <row r="291" spans="1:14" ht="15" customHeight="1" x14ac:dyDescent="0.2">
      <c r="A291" s="46">
        <f t="shared" si="4"/>
        <v>289</v>
      </c>
      <c r="B291" s="19"/>
      <c r="C291" s="16"/>
      <c r="D291" s="16"/>
      <c r="E291" s="20"/>
      <c r="F291" s="19"/>
      <c r="G291" s="19"/>
      <c r="H291" s="19"/>
      <c r="I291" s="19"/>
      <c r="J291" s="19"/>
      <c r="K291" s="19"/>
      <c r="L291" s="18"/>
      <c r="M291" s="14"/>
      <c r="N291" s="18"/>
    </row>
    <row r="292" spans="1:14" ht="15" customHeight="1" x14ac:dyDescent="0.2">
      <c r="A292" s="46">
        <f t="shared" si="4"/>
        <v>290</v>
      </c>
      <c r="B292" s="19"/>
      <c r="C292" s="16"/>
      <c r="D292" s="16"/>
      <c r="E292" s="20"/>
      <c r="F292" s="19"/>
      <c r="G292" s="19"/>
      <c r="H292" s="19"/>
      <c r="I292" s="19"/>
      <c r="J292" s="19"/>
      <c r="K292" s="19"/>
      <c r="L292" s="18"/>
      <c r="M292" s="14"/>
      <c r="N292" s="18"/>
    </row>
    <row r="293" spans="1:14" ht="15" customHeight="1" x14ac:dyDescent="0.2">
      <c r="A293" s="46">
        <f t="shared" si="4"/>
        <v>291</v>
      </c>
      <c r="B293" s="19"/>
      <c r="C293" s="16"/>
      <c r="D293" s="16"/>
      <c r="E293" s="20"/>
      <c r="F293" s="19"/>
      <c r="G293" s="19"/>
      <c r="H293" s="19"/>
      <c r="I293" s="19"/>
      <c r="J293" s="19"/>
      <c r="K293" s="19"/>
      <c r="L293" s="18"/>
      <c r="M293" s="14"/>
      <c r="N293" s="18"/>
    </row>
    <row r="294" spans="1:14" ht="15" customHeight="1" x14ac:dyDescent="0.2">
      <c r="A294" s="46">
        <f t="shared" si="4"/>
        <v>292</v>
      </c>
      <c r="B294" s="19"/>
      <c r="C294" s="16"/>
      <c r="D294" s="16"/>
      <c r="E294" s="20"/>
      <c r="F294" s="19"/>
      <c r="G294" s="19"/>
      <c r="H294" s="19"/>
      <c r="I294" s="19"/>
      <c r="J294" s="19"/>
      <c r="K294" s="19"/>
      <c r="L294" s="18"/>
      <c r="M294" s="14"/>
      <c r="N294" s="18"/>
    </row>
    <row r="295" spans="1:14" ht="15" customHeight="1" x14ac:dyDescent="0.2">
      <c r="A295" s="46">
        <f t="shared" si="4"/>
        <v>293</v>
      </c>
      <c r="B295" s="19"/>
      <c r="C295" s="16"/>
      <c r="D295" s="16"/>
      <c r="E295" s="20"/>
      <c r="F295" s="19"/>
      <c r="G295" s="19"/>
      <c r="H295" s="19"/>
      <c r="I295" s="19"/>
      <c r="J295" s="19"/>
      <c r="K295" s="19"/>
      <c r="L295" s="18"/>
      <c r="M295" s="14"/>
      <c r="N295" s="18"/>
    </row>
    <row r="296" spans="1:14" ht="15" customHeight="1" x14ac:dyDescent="0.2">
      <c r="A296" s="46">
        <f t="shared" si="4"/>
        <v>294</v>
      </c>
      <c r="B296" s="19"/>
      <c r="C296" s="16"/>
      <c r="D296" s="16"/>
      <c r="E296" s="20"/>
      <c r="F296" s="19"/>
      <c r="G296" s="19"/>
      <c r="H296" s="19"/>
      <c r="I296" s="19"/>
      <c r="J296" s="19"/>
      <c r="K296" s="19"/>
      <c r="L296" s="18"/>
      <c r="M296" s="14"/>
      <c r="N296" s="18"/>
    </row>
    <row r="297" spans="1:14" ht="15" customHeight="1" x14ac:dyDescent="0.2">
      <c r="A297" s="46">
        <f t="shared" si="4"/>
        <v>295</v>
      </c>
      <c r="B297" s="19"/>
      <c r="C297" s="16"/>
      <c r="D297" s="16"/>
      <c r="E297" s="20"/>
      <c r="F297" s="19"/>
      <c r="G297" s="19"/>
      <c r="H297" s="19"/>
      <c r="I297" s="19"/>
      <c r="J297" s="19"/>
      <c r="K297" s="19"/>
      <c r="L297" s="18"/>
      <c r="M297" s="14"/>
      <c r="N297" s="18"/>
    </row>
    <row r="298" spans="1:14" ht="15" customHeight="1" x14ac:dyDescent="0.2">
      <c r="A298" s="46">
        <f t="shared" si="4"/>
        <v>296</v>
      </c>
      <c r="B298" s="19"/>
      <c r="C298" s="16"/>
      <c r="D298" s="16"/>
      <c r="E298" s="20"/>
      <c r="F298" s="19"/>
      <c r="G298" s="19"/>
      <c r="H298" s="19"/>
      <c r="I298" s="19"/>
      <c r="J298" s="19"/>
      <c r="K298" s="19"/>
      <c r="L298" s="18"/>
      <c r="M298" s="14"/>
      <c r="N298" s="18"/>
    </row>
    <row r="299" spans="1:14" ht="15" customHeight="1" x14ac:dyDescent="0.2">
      <c r="A299" s="46">
        <f t="shared" si="4"/>
        <v>297</v>
      </c>
      <c r="B299" s="19"/>
      <c r="C299" s="16"/>
      <c r="D299" s="16"/>
      <c r="E299" s="20"/>
      <c r="F299" s="19"/>
      <c r="G299" s="19"/>
      <c r="H299" s="19"/>
      <c r="I299" s="19"/>
      <c r="J299" s="19"/>
      <c r="K299" s="19"/>
      <c r="L299" s="18"/>
      <c r="M299" s="14"/>
      <c r="N299" s="18"/>
    </row>
    <row r="300" spans="1:14" ht="15" customHeight="1" x14ac:dyDescent="0.2">
      <c r="A300" s="46">
        <f t="shared" si="4"/>
        <v>298</v>
      </c>
      <c r="B300" s="19"/>
      <c r="C300" s="16"/>
      <c r="D300" s="16"/>
      <c r="E300" s="20"/>
      <c r="F300" s="19"/>
      <c r="G300" s="19"/>
      <c r="H300" s="19"/>
      <c r="I300" s="19"/>
      <c r="J300" s="19"/>
      <c r="K300" s="19"/>
      <c r="L300" s="18"/>
      <c r="M300" s="14"/>
      <c r="N300" s="18"/>
    </row>
    <row r="301" spans="1:14" ht="15" customHeight="1" x14ac:dyDescent="0.2">
      <c r="A301" s="46">
        <f t="shared" si="4"/>
        <v>299</v>
      </c>
      <c r="B301" s="19"/>
      <c r="C301" s="16"/>
      <c r="D301" s="16"/>
      <c r="E301" s="20"/>
      <c r="F301" s="19"/>
      <c r="G301" s="19"/>
      <c r="H301" s="19"/>
      <c r="I301" s="19"/>
      <c r="J301" s="19"/>
      <c r="K301" s="19"/>
      <c r="L301" s="18"/>
      <c r="M301" s="14"/>
      <c r="N301" s="18"/>
    </row>
    <row r="302" spans="1:14" ht="15" customHeight="1" x14ac:dyDescent="0.2">
      <c r="A302" s="46">
        <f t="shared" si="4"/>
        <v>300</v>
      </c>
      <c r="B302" s="19"/>
      <c r="C302" s="16"/>
      <c r="D302" s="16"/>
      <c r="E302" s="20"/>
      <c r="F302" s="19"/>
      <c r="G302" s="19"/>
      <c r="H302" s="19"/>
      <c r="I302" s="19"/>
      <c r="J302" s="19"/>
      <c r="K302" s="19"/>
      <c r="L302" s="18"/>
      <c r="M302" s="14"/>
      <c r="N302" s="18"/>
    </row>
  </sheetData>
  <phoneticPr fontId="2"/>
  <pageMargins left="0.7" right="0.7" top="0.75" bottom="0.75" header="0.3" footer="0.3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FB2B-C739-41CB-B742-CF59ED08D35F}">
  <dimension ref="G9:G14"/>
  <sheetViews>
    <sheetView workbookViewId="0">
      <selection activeCell="E16" sqref="E16"/>
    </sheetView>
  </sheetViews>
  <sheetFormatPr defaultRowHeight="13.2" x14ac:dyDescent="0.2"/>
  <sheetData>
    <row r="9" spans="7:7" x14ac:dyDescent="0.2">
      <c r="G9" t="s">
        <v>15</v>
      </c>
    </row>
    <row r="10" spans="7:7" x14ac:dyDescent="0.2">
      <c r="G10" t="s">
        <v>40</v>
      </c>
    </row>
    <row r="11" spans="7:7" x14ac:dyDescent="0.2">
      <c r="G11" t="s">
        <v>63</v>
      </c>
    </row>
    <row r="12" spans="7:7" x14ac:dyDescent="0.2">
      <c r="G12" t="s">
        <v>81</v>
      </c>
    </row>
    <row r="13" spans="7:7" x14ac:dyDescent="0.2">
      <c r="G13" t="s">
        <v>152</v>
      </c>
    </row>
    <row r="14" spans="7:7" x14ac:dyDescent="0.2">
      <c r="G14" t="s">
        <v>582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元データ</vt:lpstr>
      <vt:lpstr>重複削除</vt:lpstr>
      <vt:lpstr>注射（集計）</vt:lpstr>
      <vt:lpstr>漢方 (集計)</vt:lpstr>
      <vt:lpstr>外用 (集計)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dcterms:created xsi:type="dcterms:W3CDTF">2026-02-02T01:10:07Z</dcterms:created>
  <dcterms:modified xsi:type="dcterms:W3CDTF">2026-02-02T03:19:08Z</dcterms:modified>
</cp:coreProperties>
</file>